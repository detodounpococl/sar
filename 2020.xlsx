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G:\Mi unidad\ESTADISTICAS\SAR 2019 - 2026\"/>
    </mc:Choice>
  </mc:AlternateContent>
  <xr:revisionPtr revIDLastSave="0" documentId="13_ncr:1_{DB21B319-79ED-42CB-8FEF-92425C8C94A0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detalle CIE10" sheetId="26" r:id="rId1"/>
    <sheet name="FORMATO" sheetId="22" r:id="rId2"/>
    <sheet name="CONSOLIDADO" sheetId="25" r:id="rId3"/>
    <sheet name="ENERO" sheetId="36" r:id="rId4"/>
    <sheet name="FEBRERO" sheetId="37" r:id="rId5"/>
    <sheet name="MARZO" sheetId="38" r:id="rId6"/>
    <sheet name="ABRIL" sheetId="39" r:id="rId7"/>
    <sheet name="MAYO" sheetId="40" r:id="rId8"/>
    <sheet name="JUNIO" sheetId="41" r:id="rId9"/>
    <sheet name="JULIO" sheetId="42" r:id="rId10"/>
    <sheet name="AGOSTO" sheetId="43" r:id="rId11"/>
    <sheet name="SEPTIEMBRE" sheetId="44" r:id="rId12"/>
    <sheet name="OCTUBRE" sheetId="45" r:id="rId13"/>
    <sheet name="NOVIEMBRE" sheetId="46" r:id="rId14"/>
    <sheet name="DICIEMBRE" sheetId="47" r:id="rId1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50" i="25" l="1"/>
  <c r="M249" i="25"/>
  <c r="M248" i="25"/>
  <c r="M247" i="25"/>
  <c r="M246" i="25"/>
  <c r="M245" i="25"/>
  <c r="M244" i="25"/>
  <c r="M243" i="25"/>
  <c r="M242" i="25"/>
  <c r="M241" i="25"/>
  <c r="M240" i="25"/>
  <c r="M239" i="25"/>
  <c r="M238" i="25"/>
  <c r="M237" i="25"/>
  <c r="M236" i="25"/>
  <c r="M235" i="25"/>
  <c r="M234" i="25"/>
  <c r="M233" i="25"/>
  <c r="M232" i="25"/>
  <c r="M231" i="25"/>
  <c r="M230" i="25"/>
  <c r="M229" i="25"/>
  <c r="M228" i="25"/>
  <c r="M227" i="25"/>
  <c r="M226" i="25"/>
  <c r="M225" i="25"/>
  <c r="M224" i="25"/>
  <c r="M223" i="25"/>
  <c r="M222" i="25"/>
  <c r="M221" i="25"/>
  <c r="M220" i="25"/>
  <c r="M219" i="25"/>
  <c r="M218" i="25"/>
  <c r="M217" i="25"/>
  <c r="M216" i="25"/>
  <c r="M215" i="25"/>
  <c r="M214" i="25"/>
  <c r="M213" i="25"/>
  <c r="M212" i="25"/>
  <c r="M211" i="25"/>
  <c r="M210" i="25"/>
  <c r="M209" i="25"/>
  <c r="M208" i="25"/>
  <c r="M207" i="25"/>
  <c r="M206" i="25"/>
  <c r="M205" i="25"/>
  <c r="M204" i="25"/>
  <c r="M203" i="25"/>
  <c r="M202" i="25"/>
  <c r="M201" i="25"/>
  <c r="M200" i="25"/>
  <c r="M199" i="25"/>
  <c r="M198" i="25"/>
  <c r="M197" i="25"/>
  <c r="M196" i="25"/>
  <c r="M195" i="25"/>
  <c r="M194" i="25"/>
  <c r="M193" i="25"/>
  <c r="M192" i="25"/>
  <c r="M191" i="25"/>
  <c r="M190" i="25"/>
  <c r="M189" i="25"/>
  <c r="M188" i="25"/>
  <c r="M187" i="25"/>
  <c r="M186" i="25"/>
  <c r="M185" i="25"/>
  <c r="M184" i="25"/>
  <c r="M183" i="25"/>
  <c r="M182" i="25"/>
  <c r="M181" i="25"/>
  <c r="M180" i="25"/>
  <c r="M179" i="25"/>
  <c r="M178" i="25"/>
  <c r="M177" i="25"/>
  <c r="M176" i="25"/>
  <c r="M175" i="25"/>
  <c r="M174" i="25"/>
  <c r="M173" i="25"/>
  <c r="M172" i="25"/>
  <c r="M171" i="25"/>
  <c r="M170" i="25"/>
  <c r="M169" i="25"/>
  <c r="M168" i="25"/>
  <c r="M167" i="25"/>
  <c r="M166" i="25"/>
  <c r="M165" i="25"/>
  <c r="M164" i="25"/>
  <c r="M163" i="25"/>
  <c r="M162" i="25"/>
  <c r="M161" i="25"/>
  <c r="M160" i="25"/>
  <c r="M159" i="25"/>
  <c r="M158" i="25"/>
  <c r="M157" i="25"/>
  <c r="M156" i="25"/>
  <c r="M155" i="25"/>
  <c r="M154" i="25"/>
  <c r="M153" i="25"/>
  <c r="M152" i="25"/>
  <c r="M151" i="25"/>
  <c r="M150" i="25"/>
  <c r="M149" i="25"/>
  <c r="M148" i="25"/>
  <c r="M147" i="25"/>
  <c r="M146" i="25"/>
  <c r="M145" i="25"/>
  <c r="M144" i="25"/>
  <c r="M143" i="25"/>
  <c r="M142" i="25"/>
  <c r="M141" i="25"/>
  <c r="M140" i="25"/>
  <c r="M139" i="25"/>
  <c r="M138" i="25"/>
  <c r="M137" i="25"/>
  <c r="M136" i="25"/>
  <c r="M135" i="25"/>
  <c r="M134" i="25"/>
  <c r="M133" i="25"/>
  <c r="M132" i="25"/>
  <c r="M131" i="25"/>
  <c r="M130" i="25"/>
  <c r="M129" i="25"/>
  <c r="M128" i="25"/>
  <c r="M127" i="25"/>
  <c r="M126" i="25"/>
  <c r="M125" i="25"/>
  <c r="M124" i="25"/>
  <c r="M123" i="25"/>
  <c r="M122" i="25"/>
  <c r="M121" i="25"/>
  <c r="M120" i="25"/>
  <c r="M119" i="25"/>
  <c r="M118" i="25"/>
  <c r="M117" i="25"/>
  <c r="M116" i="25"/>
  <c r="M115" i="25"/>
  <c r="M114" i="25"/>
  <c r="M113" i="25"/>
  <c r="M112" i="25"/>
  <c r="M111" i="25"/>
  <c r="M110" i="25"/>
  <c r="M109" i="25"/>
  <c r="M108" i="25"/>
  <c r="M107" i="25"/>
  <c r="M106" i="25"/>
  <c r="M105" i="25"/>
  <c r="M104" i="25"/>
  <c r="M103" i="25"/>
  <c r="M102" i="25"/>
  <c r="M101" i="25"/>
  <c r="M100" i="25"/>
  <c r="M99" i="25"/>
  <c r="M98" i="25"/>
  <c r="M97" i="25"/>
  <c r="M96" i="25"/>
  <c r="M95" i="25"/>
  <c r="M94" i="25"/>
  <c r="M93" i="25"/>
  <c r="M92" i="25"/>
  <c r="M91" i="25"/>
  <c r="M90" i="25"/>
  <c r="M89" i="25"/>
  <c r="M88" i="25"/>
  <c r="M87" i="25"/>
  <c r="M86" i="25"/>
  <c r="M85" i="25"/>
  <c r="M84" i="25"/>
  <c r="M83" i="25"/>
  <c r="M82" i="25"/>
  <c r="M81" i="25"/>
  <c r="M80" i="25"/>
  <c r="M79" i="25"/>
  <c r="M78" i="25"/>
  <c r="M77" i="25"/>
  <c r="M76" i="25"/>
  <c r="M75" i="25"/>
  <c r="M74" i="25"/>
  <c r="M73" i="25"/>
  <c r="M72" i="25"/>
  <c r="M71" i="25"/>
  <c r="M70" i="25"/>
  <c r="M69" i="25"/>
  <c r="M68" i="25"/>
  <c r="M67" i="25"/>
  <c r="M66" i="25"/>
  <c r="M65" i="25"/>
  <c r="M64" i="25"/>
  <c r="M63" i="25"/>
  <c r="M62" i="25"/>
  <c r="M61" i="25"/>
  <c r="M60" i="25"/>
  <c r="M59" i="25"/>
  <c r="M58" i="25"/>
  <c r="M57" i="25"/>
  <c r="M56" i="25"/>
  <c r="M55" i="25"/>
  <c r="M54" i="25"/>
  <c r="M53" i="25"/>
  <c r="M52" i="25"/>
  <c r="M51" i="25"/>
  <c r="M50" i="25"/>
  <c r="M49" i="25"/>
  <c r="M48" i="25"/>
  <c r="M47" i="25"/>
  <c r="M46" i="25"/>
  <c r="M45" i="25"/>
  <c r="M44" i="25"/>
  <c r="M43" i="25"/>
  <c r="M42" i="25"/>
  <c r="M41" i="25"/>
  <c r="M40" i="25"/>
  <c r="M39" i="25"/>
  <c r="M38" i="25"/>
  <c r="M37" i="25"/>
  <c r="M36" i="25"/>
  <c r="M35" i="25"/>
  <c r="M34" i="25"/>
  <c r="M33" i="25"/>
  <c r="M32" i="25"/>
  <c r="M31" i="25"/>
  <c r="M30" i="25"/>
  <c r="M29" i="25"/>
  <c r="M28" i="25"/>
  <c r="M27" i="25"/>
  <c r="M26" i="25"/>
  <c r="M25" i="25"/>
  <c r="M24" i="25"/>
  <c r="M23" i="25"/>
  <c r="M22" i="25"/>
  <c r="M21" i="25"/>
  <c r="M20" i="25"/>
  <c r="M19" i="25"/>
  <c r="M18" i="25"/>
  <c r="M17" i="25"/>
  <c r="M16" i="25"/>
  <c r="M15" i="25"/>
  <c r="M14" i="25"/>
  <c r="M13" i="25"/>
  <c r="M12" i="25"/>
  <c r="M11" i="25"/>
  <c r="M10" i="25"/>
  <c r="M9" i="25"/>
  <c r="M8" i="25"/>
  <c r="M7" i="25"/>
  <c r="M6" i="25"/>
  <c r="M5" i="25"/>
  <c r="M4" i="25"/>
  <c r="M3" i="25"/>
  <c r="AF147" i="47"/>
  <c r="AF143" i="47"/>
  <c r="AF134" i="47"/>
  <c r="AF142" i="47"/>
  <c r="AF137" i="47"/>
  <c r="AF129" i="47"/>
  <c r="AD143" i="47"/>
  <c r="AD142" i="47"/>
  <c r="AD129" i="47"/>
  <c r="AE173" i="47"/>
  <c r="AE143" i="47"/>
  <c r="AE142" i="47"/>
  <c r="AE139" i="47"/>
  <c r="AE134" i="47"/>
  <c r="AE129" i="47"/>
  <c r="AE82" i="47"/>
  <c r="AE83" i="47" s="1"/>
  <c r="AE79" i="47"/>
  <c r="AE78" i="47" s="1"/>
  <c r="AE53" i="47"/>
  <c r="AE28" i="47"/>
  <c r="AE81" i="47" l="1"/>
  <c r="Z212" i="47"/>
  <c r="Y212" i="47"/>
  <c r="X212" i="47"/>
  <c r="W212" i="47"/>
  <c r="V212" i="47"/>
  <c r="U212" i="47"/>
  <c r="T212" i="47"/>
  <c r="S212" i="47"/>
  <c r="R212" i="47"/>
  <c r="Q212" i="47"/>
  <c r="P212" i="47"/>
  <c r="O212" i="47"/>
  <c r="N212" i="47"/>
  <c r="M212" i="47"/>
  <c r="L212" i="47"/>
  <c r="K212" i="47"/>
  <c r="J212" i="47"/>
  <c r="I212" i="47"/>
  <c r="H212" i="47"/>
  <c r="G212" i="47"/>
  <c r="F212" i="47"/>
  <c r="E212" i="47"/>
  <c r="D212" i="47"/>
  <c r="C212" i="47"/>
  <c r="B212" i="47"/>
  <c r="AF212" i="47"/>
  <c r="AE212" i="47"/>
  <c r="AD212" i="47"/>
  <c r="AC212" i="47"/>
  <c r="AB212" i="47"/>
  <c r="AA212" i="47"/>
  <c r="AC143" i="47" l="1"/>
  <c r="AC142" i="47"/>
  <c r="AC137" i="47"/>
  <c r="AC129" i="47"/>
  <c r="AB143" i="47"/>
  <c r="AB142" i="47"/>
  <c r="AB129" i="47" l="1"/>
  <c r="AA143" i="47" l="1"/>
  <c r="AA142" i="47"/>
  <c r="AA129" i="47"/>
  <c r="Z143" i="47" l="1"/>
  <c r="Z142" i="47"/>
  <c r="Z134" i="47"/>
  <c r="Z129" i="47"/>
  <c r="Y143" i="47" l="1"/>
  <c r="Y142" i="47"/>
  <c r="Y137" i="47"/>
  <c r="Y129" i="47"/>
  <c r="L246" i="25" l="1"/>
  <c r="L245" i="25"/>
  <c r="L244" i="25"/>
  <c r="L221" i="25"/>
  <c r="X142" i="47" l="1"/>
  <c r="X143" i="47"/>
  <c r="X134" i="47"/>
  <c r="X129" i="47"/>
  <c r="W143" i="47" l="1"/>
  <c r="W142" i="47"/>
  <c r="W137" i="47"/>
  <c r="W129" i="47"/>
  <c r="V143" i="47" l="1"/>
  <c r="V142" i="47"/>
  <c r="V139" i="47"/>
  <c r="V137" i="47"/>
  <c r="V129" i="47"/>
  <c r="U143" i="47"/>
  <c r="U138" i="47"/>
  <c r="U129" i="47"/>
  <c r="T143" i="47"/>
  <c r="T134" i="47"/>
  <c r="T142" i="47"/>
  <c r="T129" i="47" l="1"/>
  <c r="S143" i="47" l="1"/>
  <c r="S139" i="47"/>
  <c r="S129" i="47"/>
  <c r="R143" i="47" l="1"/>
  <c r="R142" i="47"/>
  <c r="R134" i="47"/>
  <c r="R129" i="47"/>
  <c r="Q143" i="47" l="1"/>
  <c r="Q142" i="47"/>
  <c r="Q129" i="47"/>
  <c r="P143" i="47" l="1"/>
  <c r="P142" i="47"/>
  <c r="P134" i="47"/>
  <c r="P129" i="47"/>
  <c r="O143" i="47" l="1"/>
  <c r="O142" i="47"/>
  <c r="O134" i="47"/>
  <c r="O129" i="47"/>
  <c r="O3" i="47"/>
  <c r="N143" i="47" l="1"/>
  <c r="N142" i="47"/>
  <c r="N129" i="47"/>
  <c r="M143" i="47" l="1"/>
  <c r="M134" i="47"/>
  <c r="M142" i="47"/>
  <c r="M139" i="47"/>
  <c r="M137" i="47"/>
  <c r="M129" i="47"/>
  <c r="L143" i="47"/>
  <c r="L142" i="47"/>
  <c r="L129" i="47"/>
  <c r="K143" i="47" l="1"/>
  <c r="K142" i="47"/>
  <c r="K129" i="47"/>
  <c r="J143" i="47" l="1"/>
  <c r="J142" i="47"/>
  <c r="J129" i="47"/>
  <c r="I143" i="47" l="1"/>
  <c r="I142" i="47"/>
  <c r="I134" i="47"/>
  <c r="I129" i="47"/>
  <c r="H143" i="47"/>
  <c r="H134" i="47"/>
  <c r="H142" i="47"/>
  <c r="H137" i="47"/>
  <c r="H129" i="47"/>
  <c r="G129" i="47"/>
  <c r="G143" i="47"/>
  <c r="G142" i="47"/>
  <c r="G137" i="47"/>
  <c r="F143" i="47" l="1"/>
  <c r="F142" i="47"/>
  <c r="F137" i="47"/>
  <c r="F129" i="47"/>
  <c r="E143" i="47"/>
  <c r="E142" i="47"/>
  <c r="E129" i="47"/>
  <c r="D143" i="47" l="1"/>
  <c r="D142" i="47"/>
  <c r="D129" i="47"/>
  <c r="C143" i="47" l="1"/>
  <c r="C142" i="47"/>
  <c r="C129" i="47"/>
  <c r="B143" i="47" l="1"/>
  <c r="B134" i="47"/>
  <c r="B129" i="47"/>
  <c r="AG250" i="47"/>
  <c r="AG249" i="47"/>
  <c r="AG248" i="47"/>
  <c r="AG247" i="47"/>
  <c r="AG243" i="47"/>
  <c r="AF242" i="47"/>
  <c r="AE242" i="47"/>
  <c r="AD242" i="47"/>
  <c r="AC242" i="47"/>
  <c r="AB242" i="47"/>
  <c r="AA242" i="47"/>
  <c r="Z242" i="47"/>
  <c r="Y242" i="47"/>
  <c r="X242" i="47"/>
  <c r="W242" i="47"/>
  <c r="V242" i="47"/>
  <c r="U242" i="47"/>
  <c r="T242" i="47"/>
  <c r="S242" i="47"/>
  <c r="R242" i="47"/>
  <c r="Q242" i="47"/>
  <c r="P242" i="47"/>
  <c r="O242" i="47"/>
  <c r="N242" i="47"/>
  <c r="M242" i="47"/>
  <c r="L242" i="47"/>
  <c r="K242" i="47"/>
  <c r="J242" i="47"/>
  <c r="I242" i="47"/>
  <c r="H242" i="47"/>
  <c r="G242" i="47"/>
  <c r="F242" i="47"/>
  <c r="E242" i="47"/>
  <c r="D242" i="47"/>
  <c r="C242" i="47"/>
  <c r="B242" i="47"/>
  <c r="AG241" i="47"/>
  <c r="AG240" i="47"/>
  <c r="AG239" i="47"/>
  <c r="AF238" i="47"/>
  <c r="AE238" i="47"/>
  <c r="AD238" i="47"/>
  <c r="AC238" i="47"/>
  <c r="AB238" i="47"/>
  <c r="AA238" i="47"/>
  <c r="Z238" i="47"/>
  <c r="Y238" i="47"/>
  <c r="X238" i="47"/>
  <c r="W238" i="47"/>
  <c r="V238" i="47"/>
  <c r="U238" i="47"/>
  <c r="T238" i="47"/>
  <c r="S238" i="47"/>
  <c r="R238" i="47"/>
  <c r="Q238" i="47"/>
  <c r="P238" i="47"/>
  <c r="O238" i="47"/>
  <c r="N238" i="47"/>
  <c r="M238" i="47"/>
  <c r="L238" i="47"/>
  <c r="K238" i="47"/>
  <c r="J238" i="47"/>
  <c r="I238" i="47"/>
  <c r="H238" i="47"/>
  <c r="G238" i="47"/>
  <c r="F238" i="47"/>
  <c r="E238" i="47"/>
  <c r="D238" i="47"/>
  <c r="C238" i="47"/>
  <c r="B238" i="47"/>
  <c r="AG237" i="47"/>
  <c r="AG236" i="47"/>
  <c r="AG235" i="47"/>
  <c r="AF234" i="47"/>
  <c r="AE234" i="47"/>
  <c r="AD234" i="47"/>
  <c r="AC234" i="47"/>
  <c r="AB234" i="47"/>
  <c r="AA234" i="47"/>
  <c r="Z234" i="47"/>
  <c r="Y234" i="47"/>
  <c r="X234" i="47"/>
  <c r="W234" i="47"/>
  <c r="V234" i="47"/>
  <c r="U234" i="47"/>
  <c r="T234" i="47"/>
  <c r="S234" i="47"/>
  <c r="R234" i="47"/>
  <c r="Q234" i="47"/>
  <c r="P234" i="47"/>
  <c r="O234" i="47"/>
  <c r="N234" i="47"/>
  <c r="M234" i="47"/>
  <c r="L234" i="47"/>
  <c r="K234" i="47"/>
  <c r="J234" i="47"/>
  <c r="I234" i="47"/>
  <c r="H234" i="47"/>
  <c r="G234" i="47"/>
  <c r="F234" i="47"/>
  <c r="E234" i="47"/>
  <c r="D234" i="47"/>
  <c r="C234" i="47"/>
  <c r="B234" i="47"/>
  <c r="AG233" i="47"/>
  <c r="AG232" i="47"/>
  <c r="AG231" i="47"/>
  <c r="AG230" i="47"/>
  <c r="AG229" i="47"/>
  <c r="AG228" i="47"/>
  <c r="AG227" i="47"/>
  <c r="AG226" i="47"/>
  <c r="AG225" i="47"/>
  <c r="AG224" i="47"/>
  <c r="AG223" i="47"/>
  <c r="AG222" i="47"/>
  <c r="AF220" i="47"/>
  <c r="AE220" i="47"/>
  <c r="AD220" i="47"/>
  <c r="AC220" i="47"/>
  <c r="AB220" i="47"/>
  <c r="AA220" i="47"/>
  <c r="Z220" i="47"/>
  <c r="Y220" i="47"/>
  <c r="X220" i="47"/>
  <c r="W220" i="47"/>
  <c r="V220" i="47"/>
  <c r="U220" i="47"/>
  <c r="T220" i="47"/>
  <c r="S220" i="47"/>
  <c r="R220" i="47"/>
  <c r="Q220" i="47"/>
  <c r="P220" i="47"/>
  <c r="O220" i="47"/>
  <c r="N220" i="47"/>
  <c r="M220" i="47"/>
  <c r="L220" i="47"/>
  <c r="K220" i="47"/>
  <c r="J220" i="47"/>
  <c r="I220" i="47"/>
  <c r="H220" i="47"/>
  <c r="G220" i="47"/>
  <c r="F220" i="47"/>
  <c r="E220" i="47"/>
  <c r="D220" i="47"/>
  <c r="C220" i="47"/>
  <c r="B220" i="47"/>
  <c r="AG219" i="47"/>
  <c r="AG218" i="47"/>
  <c r="AG217" i="47"/>
  <c r="AG216" i="47"/>
  <c r="AG215" i="47"/>
  <c r="AG214" i="47"/>
  <c r="AG213" i="47"/>
  <c r="AG212" i="47"/>
  <c r="AG211" i="47"/>
  <c r="AG210" i="47"/>
  <c r="AG209" i="47"/>
  <c r="AG208" i="47"/>
  <c r="AG207" i="47"/>
  <c r="AF206" i="47"/>
  <c r="AE206" i="47"/>
  <c r="AD206" i="47"/>
  <c r="AC206" i="47"/>
  <c r="AB206" i="47"/>
  <c r="AA206" i="47"/>
  <c r="Z206" i="47"/>
  <c r="Y206" i="47"/>
  <c r="X206" i="47"/>
  <c r="W206" i="47"/>
  <c r="V206" i="47"/>
  <c r="U206" i="47"/>
  <c r="T206" i="47"/>
  <c r="S206" i="47"/>
  <c r="R206" i="47"/>
  <c r="Q206" i="47"/>
  <c r="P206" i="47"/>
  <c r="O206" i="47"/>
  <c r="N206" i="47"/>
  <c r="M206" i="47"/>
  <c r="L206" i="47"/>
  <c r="K206" i="47"/>
  <c r="J206" i="47"/>
  <c r="I206" i="47"/>
  <c r="H206" i="47"/>
  <c r="G206" i="47"/>
  <c r="F206" i="47"/>
  <c r="E206" i="47"/>
  <c r="D206" i="47"/>
  <c r="C206" i="47"/>
  <c r="B206" i="47"/>
  <c r="AG205" i="47"/>
  <c r="AG204" i="47"/>
  <c r="AG203" i="47"/>
  <c r="AG202" i="47"/>
  <c r="AG201" i="47"/>
  <c r="AG200" i="47"/>
  <c r="AG199" i="47"/>
  <c r="AG198" i="47"/>
  <c r="AG197" i="47"/>
  <c r="AG196" i="47"/>
  <c r="AG195" i="47"/>
  <c r="AG194" i="47"/>
  <c r="AG193" i="47"/>
  <c r="AG192" i="47"/>
  <c r="AG191" i="47"/>
  <c r="AG190" i="47"/>
  <c r="AG189" i="47"/>
  <c r="AG188" i="47"/>
  <c r="AG187" i="47"/>
  <c r="AG186" i="47"/>
  <c r="AG185" i="47"/>
  <c r="AG184" i="47"/>
  <c r="AG183" i="47"/>
  <c r="AG182" i="47"/>
  <c r="AG181" i="47"/>
  <c r="AG180" i="47"/>
  <c r="AF179" i="47"/>
  <c r="AE179" i="47"/>
  <c r="AD179" i="47"/>
  <c r="AC179" i="47"/>
  <c r="AB179" i="47"/>
  <c r="AA179" i="47"/>
  <c r="Z179" i="47"/>
  <c r="Y179" i="47"/>
  <c r="X179" i="47"/>
  <c r="W179" i="47"/>
  <c r="V179" i="47"/>
  <c r="U179" i="47"/>
  <c r="T179" i="47"/>
  <c r="S179" i="47"/>
  <c r="R179" i="47"/>
  <c r="Q179" i="47"/>
  <c r="P179" i="47"/>
  <c r="O179" i="47"/>
  <c r="N179" i="47"/>
  <c r="M179" i="47"/>
  <c r="L179" i="47"/>
  <c r="K179" i="47"/>
  <c r="J179" i="47"/>
  <c r="I179" i="47"/>
  <c r="H179" i="47"/>
  <c r="G179" i="47"/>
  <c r="F179" i="47"/>
  <c r="E179" i="47"/>
  <c r="D179" i="47"/>
  <c r="C179" i="47"/>
  <c r="B179" i="47"/>
  <c r="AG178" i="47"/>
  <c r="AG177" i="47"/>
  <c r="AG176" i="47"/>
  <c r="AG175" i="47"/>
  <c r="AF174" i="47"/>
  <c r="AE174" i="47"/>
  <c r="AD174" i="47"/>
  <c r="AC174" i="47"/>
  <c r="AB174" i="47"/>
  <c r="AA174" i="47"/>
  <c r="Z174" i="47"/>
  <c r="Y174" i="47"/>
  <c r="X174" i="47"/>
  <c r="W174" i="47"/>
  <c r="V174" i="47"/>
  <c r="U174" i="47"/>
  <c r="T174" i="47"/>
  <c r="S174" i="47"/>
  <c r="R174" i="47"/>
  <c r="Q174" i="47"/>
  <c r="P174" i="47"/>
  <c r="O174" i="47"/>
  <c r="N174" i="47"/>
  <c r="M174" i="47"/>
  <c r="L174" i="47"/>
  <c r="K174" i="47"/>
  <c r="J174" i="47"/>
  <c r="I174" i="47"/>
  <c r="H174" i="47"/>
  <c r="G174" i="47"/>
  <c r="F174" i="47"/>
  <c r="E174" i="47"/>
  <c r="D174" i="47"/>
  <c r="C174" i="47"/>
  <c r="B174" i="47"/>
  <c r="AG173" i="47"/>
  <c r="AG172" i="47"/>
  <c r="AG171" i="47"/>
  <c r="AG170" i="47"/>
  <c r="AG169" i="47"/>
  <c r="AG168" i="47"/>
  <c r="AF167" i="47"/>
  <c r="AF144" i="47" s="1"/>
  <c r="AE167" i="47"/>
  <c r="AD167" i="47"/>
  <c r="AC167" i="47"/>
  <c r="AB167" i="47"/>
  <c r="AA167" i="47"/>
  <c r="Z167" i="47"/>
  <c r="Y167" i="47"/>
  <c r="X167" i="47"/>
  <c r="W167" i="47"/>
  <c r="V167" i="47"/>
  <c r="U167" i="47"/>
  <c r="U144" i="47" s="1"/>
  <c r="T167" i="47"/>
  <c r="S167" i="47"/>
  <c r="R167" i="47"/>
  <c r="Q167" i="47"/>
  <c r="P167" i="47"/>
  <c r="O167" i="47"/>
  <c r="N167" i="47"/>
  <c r="M167" i="47"/>
  <c r="M144" i="47" s="1"/>
  <c r="L167" i="47"/>
  <c r="K167" i="47"/>
  <c r="J167" i="47"/>
  <c r="I167" i="47"/>
  <c r="H167" i="47"/>
  <c r="G167" i="47"/>
  <c r="F167" i="47"/>
  <c r="E167" i="47"/>
  <c r="E144" i="47" s="1"/>
  <c r="D167" i="47"/>
  <c r="C167" i="47"/>
  <c r="B167" i="47"/>
  <c r="AG166" i="47"/>
  <c r="AG165" i="47"/>
  <c r="AG164" i="47"/>
  <c r="AG163" i="47"/>
  <c r="AG162" i="47"/>
  <c r="AG161" i="47"/>
  <c r="AG160" i="47"/>
  <c r="AG159" i="47"/>
  <c r="AF158" i="47"/>
  <c r="AE158" i="47"/>
  <c r="AD158" i="47"/>
  <c r="AC158" i="47"/>
  <c r="AB158" i="47"/>
  <c r="AA158" i="47"/>
  <c r="Z158" i="47"/>
  <c r="Y158" i="47"/>
  <c r="X158" i="47"/>
  <c r="W158" i="47"/>
  <c r="V158" i="47"/>
  <c r="U158" i="47"/>
  <c r="T158" i="47"/>
  <c r="S158" i="47"/>
  <c r="R158" i="47"/>
  <c r="Q158" i="47"/>
  <c r="P158" i="47"/>
  <c r="O158" i="47"/>
  <c r="N158" i="47"/>
  <c r="M158" i="47"/>
  <c r="L158" i="47"/>
  <c r="K158" i="47"/>
  <c r="J158" i="47"/>
  <c r="I158" i="47"/>
  <c r="H158" i="47"/>
  <c r="G158" i="47"/>
  <c r="F158" i="47"/>
  <c r="E158" i="47"/>
  <c r="D158" i="47"/>
  <c r="C158" i="47"/>
  <c r="B158" i="47"/>
  <c r="AG157" i="47"/>
  <c r="AG156" i="47"/>
  <c r="AG155" i="47"/>
  <c r="AG154" i="47"/>
  <c r="AG153" i="47"/>
  <c r="AG152" i="47"/>
  <c r="AG151" i="47"/>
  <c r="AG150" i="47"/>
  <c r="AG149" i="47"/>
  <c r="AF148" i="47"/>
  <c r="AF146" i="47" s="1"/>
  <c r="AE148" i="47"/>
  <c r="AD148" i="47"/>
  <c r="AD146" i="47" s="1"/>
  <c r="AC148" i="47"/>
  <c r="AC146" i="47" s="1"/>
  <c r="AB148" i="47"/>
  <c r="AB146" i="47" s="1"/>
  <c r="AA148" i="47"/>
  <c r="AA146" i="47" s="1"/>
  <c r="Z148" i="47"/>
  <c r="Z146" i="47" s="1"/>
  <c r="Y148" i="47"/>
  <c r="Y146" i="47" s="1"/>
  <c r="X148" i="47"/>
  <c r="X146" i="47" s="1"/>
  <c r="W148" i="47"/>
  <c r="W146" i="47" s="1"/>
  <c r="W144" i="47" s="1"/>
  <c r="V148" i="47"/>
  <c r="V146" i="47" s="1"/>
  <c r="U148" i="47"/>
  <c r="U146" i="47" s="1"/>
  <c r="T148" i="47"/>
  <c r="T146" i="47" s="1"/>
  <c r="T144" i="47" s="1"/>
  <c r="S148" i="47"/>
  <c r="S146" i="47" s="1"/>
  <c r="S144" i="47" s="1"/>
  <c r="R148" i="47"/>
  <c r="R146" i="47" s="1"/>
  <c r="Q148" i="47"/>
  <c r="Q146" i="47" s="1"/>
  <c r="P148" i="47"/>
  <c r="P146" i="47" s="1"/>
  <c r="O148" i="47"/>
  <c r="O146" i="47" s="1"/>
  <c r="N148" i="47"/>
  <c r="N146" i="47" s="1"/>
  <c r="N144" i="47" s="1"/>
  <c r="M148" i="47"/>
  <c r="M146" i="47" s="1"/>
  <c r="L148" i="47"/>
  <c r="L146" i="47" s="1"/>
  <c r="K148" i="47"/>
  <c r="K146" i="47" s="1"/>
  <c r="J148" i="47"/>
  <c r="J146" i="47" s="1"/>
  <c r="I148" i="47"/>
  <c r="I146" i="47" s="1"/>
  <c r="H148" i="47"/>
  <c r="H146" i="47" s="1"/>
  <c r="G148" i="47"/>
  <c r="G146" i="47" s="1"/>
  <c r="F148" i="47"/>
  <c r="F146" i="47" s="1"/>
  <c r="E148" i="47"/>
  <c r="E146" i="47" s="1"/>
  <c r="D148" i="47"/>
  <c r="C148" i="47"/>
  <c r="B148" i="47"/>
  <c r="B146" i="47" s="1"/>
  <c r="B144" i="47" s="1"/>
  <c r="AE147" i="47"/>
  <c r="AD147" i="47"/>
  <c r="AC147" i="47"/>
  <c r="AB147" i="47"/>
  <c r="AA147" i="47"/>
  <c r="Z147" i="47"/>
  <c r="Y147" i="47"/>
  <c r="X147" i="47"/>
  <c r="W147" i="47"/>
  <c r="V147" i="47"/>
  <c r="U147" i="47"/>
  <c r="T147" i="47"/>
  <c r="S147" i="47"/>
  <c r="R147" i="47"/>
  <c r="Q147" i="47"/>
  <c r="P147" i="47"/>
  <c r="O147" i="47"/>
  <c r="N147" i="47"/>
  <c r="M147" i="47"/>
  <c r="L147" i="47"/>
  <c r="K147" i="47"/>
  <c r="J147" i="47"/>
  <c r="I147" i="47"/>
  <c r="H147" i="47"/>
  <c r="G147" i="47"/>
  <c r="F147" i="47"/>
  <c r="E147" i="47"/>
  <c r="D147" i="47"/>
  <c r="C147" i="47"/>
  <c r="B147" i="47"/>
  <c r="AE146" i="47"/>
  <c r="C146" i="47"/>
  <c r="C144" i="47" s="1"/>
  <c r="AF145" i="47"/>
  <c r="AE145" i="47"/>
  <c r="AD145" i="47"/>
  <c r="AC145" i="47"/>
  <c r="AB145" i="47"/>
  <c r="AA145" i="47"/>
  <c r="Z145" i="47"/>
  <c r="Y145" i="47"/>
  <c r="X145" i="47"/>
  <c r="W145" i="47"/>
  <c r="V145" i="47"/>
  <c r="U145" i="47"/>
  <c r="T145" i="47"/>
  <c r="S145" i="47"/>
  <c r="R145" i="47"/>
  <c r="Q145" i="47"/>
  <c r="P145" i="47"/>
  <c r="O145" i="47"/>
  <c r="N145" i="47"/>
  <c r="M145" i="47"/>
  <c r="L145" i="47"/>
  <c r="K145" i="47"/>
  <c r="J145" i="47"/>
  <c r="I145" i="47"/>
  <c r="H145" i="47"/>
  <c r="G145" i="47"/>
  <c r="F145" i="47"/>
  <c r="E145" i="47"/>
  <c r="D145" i="47"/>
  <c r="C145" i="47"/>
  <c r="B145" i="47"/>
  <c r="AG143" i="47"/>
  <c r="AG142" i="47"/>
  <c r="AG141" i="47"/>
  <c r="AG140" i="47"/>
  <c r="AG139" i="47"/>
  <c r="AG138" i="47"/>
  <c r="AG137" i="47"/>
  <c r="AG136" i="47"/>
  <c r="AG135" i="47"/>
  <c r="AG133" i="47"/>
  <c r="AG132" i="47"/>
  <c r="AG131" i="47"/>
  <c r="AF130" i="47"/>
  <c r="AE130" i="47"/>
  <c r="AD130" i="47"/>
  <c r="AC130" i="47"/>
  <c r="AB130" i="47"/>
  <c r="AA130" i="47"/>
  <c r="Z130" i="47"/>
  <c r="Y130" i="47"/>
  <c r="X130" i="47"/>
  <c r="W130" i="47"/>
  <c r="V130" i="47"/>
  <c r="U130" i="47"/>
  <c r="T130" i="47"/>
  <c r="S130" i="47"/>
  <c r="R130" i="47"/>
  <c r="Q130" i="47"/>
  <c r="P130" i="47"/>
  <c r="O130" i="47"/>
  <c r="N130" i="47"/>
  <c r="M130" i="47"/>
  <c r="L130" i="47"/>
  <c r="K130" i="47"/>
  <c r="J130" i="47"/>
  <c r="I130" i="47"/>
  <c r="H130" i="47"/>
  <c r="G130" i="47"/>
  <c r="F130" i="47"/>
  <c r="E130" i="47"/>
  <c r="D130" i="47"/>
  <c r="C130" i="47"/>
  <c r="AG129" i="47"/>
  <c r="AG128" i="47"/>
  <c r="AG127" i="47"/>
  <c r="AG126" i="47"/>
  <c r="AG125" i="47"/>
  <c r="AG124" i="47"/>
  <c r="AG123" i="47"/>
  <c r="AG122" i="47"/>
  <c r="AG121" i="47"/>
  <c r="AG120" i="47"/>
  <c r="AG119" i="47"/>
  <c r="AG118" i="47"/>
  <c r="AG117" i="47"/>
  <c r="AF116" i="47"/>
  <c r="AE116" i="47"/>
  <c r="AD116" i="47"/>
  <c r="AC116" i="47"/>
  <c r="AB116" i="47"/>
  <c r="AA116" i="47"/>
  <c r="Z116" i="47"/>
  <c r="Y116" i="47"/>
  <c r="X116" i="47"/>
  <c r="W116" i="47"/>
  <c r="V116" i="47"/>
  <c r="U116" i="47"/>
  <c r="T116" i="47"/>
  <c r="S116" i="47"/>
  <c r="R116" i="47"/>
  <c r="Q116" i="47"/>
  <c r="P116" i="47"/>
  <c r="O116" i="47"/>
  <c r="N116" i="47"/>
  <c r="M116" i="47"/>
  <c r="L116" i="47"/>
  <c r="K116" i="47"/>
  <c r="J116" i="47"/>
  <c r="I116" i="47"/>
  <c r="H116" i="47"/>
  <c r="G116" i="47"/>
  <c r="F116" i="47"/>
  <c r="E116" i="47"/>
  <c r="D116" i="47"/>
  <c r="C116" i="47"/>
  <c r="B116" i="47"/>
  <c r="AG115" i="47"/>
  <c r="AG114" i="47"/>
  <c r="AG113" i="47"/>
  <c r="AG112" i="47"/>
  <c r="AG111" i="47"/>
  <c r="AG110" i="47"/>
  <c r="AG109" i="47"/>
  <c r="AG108" i="47"/>
  <c r="AG107" i="47"/>
  <c r="AG106" i="47"/>
  <c r="AG105" i="47"/>
  <c r="AG104" i="47"/>
  <c r="AG103" i="47"/>
  <c r="AG102" i="47"/>
  <c r="AG101" i="47"/>
  <c r="AF100" i="47"/>
  <c r="AE100" i="47"/>
  <c r="AD100" i="47"/>
  <c r="AC100" i="47"/>
  <c r="AB100" i="47"/>
  <c r="AA100" i="47"/>
  <c r="Z100" i="47"/>
  <c r="Y100" i="47"/>
  <c r="X100" i="47"/>
  <c r="W100" i="47"/>
  <c r="V100" i="47"/>
  <c r="U100" i="47"/>
  <c r="T100" i="47"/>
  <c r="S100" i="47"/>
  <c r="R100" i="47"/>
  <c r="Q100" i="47"/>
  <c r="P100" i="47"/>
  <c r="O100" i="47"/>
  <c r="N100" i="47"/>
  <c r="M100" i="47"/>
  <c r="L100" i="47"/>
  <c r="K100" i="47"/>
  <c r="J100" i="47"/>
  <c r="I100" i="47"/>
  <c r="H100" i="47"/>
  <c r="G100" i="47"/>
  <c r="F100" i="47"/>
  <c r="E100" i="47"/>
  <c r="D100" i="47"/>
  <c r="C100" i="47"/>
  <c r="B100" i="47"/>
  <c r="AG99" i="47"/>
  <c r="AG98" i="47"/>
  <c r="AG97" i="47"/>
  <c r="AG96" i="47"/>
  <c r="AG95" i="47"/>
  <c r="AF94" i="47"/>
  <c r="AE94" i="47"/>
  <c r="AD94" i="47"/>
  <c r="AC94" i="47"/>
  <c r="AC93" i="47" s="1"/>
  <c r="AB94" i="47"/>
  <c r="AA94" i="47"/>
  <c r="AA93" i="47" s="1"/>
  <c r="Z94" i="47"/>
  <c r="Y94" i="47"/>
  <c r="X94" i="47"/>
  <c r="W94" i="47"/>
  <c r="V94" i="47"/>
  <c r="U94" i="47"/>
  <c r="T94" i="47"/>
  <c r="T93" i="47" s="1"/>
  <c r="S94" i="47"/>
  <c r="S93" i="47" s="1"/>
  <c r="R94" i="47"/>
  <c r="Q94" i="47"/>
  <c r="P94" i="47"/>
  <c r="O94" i="47"/>
  <c r="N94" i="47"/>
  <c r="M94" i="47"/>
  <c r="L94" i="47"/>
  <c r="K94" i="47"/>
  <c r="J94" i="47"/>
  <c r="I94" i="47"/>
  <c r="H94" i="47"/>
  <c r="H93" i="47" s="1"/>
  <c r="G94" i="47"/>
  <c r="F94" i="47"/>
  <c r="E94" i="47"/>
  <c r="D94" i="47"/>
  <c r="C94" i="47"/>
  <c r="B94" i="47"/>
  <c r="AB93" i="47"/>
  <c r="L93" i="47"/>
  <c r="D93" i="47"/>
  <c r="AG92" i="47"/>
  <c r="AG91" i="47"/>
  <c r="AG90" i="47"/>
  <c r="AG89" i="47"/>
  <c r="AG88" i="47"/>
  <c r="AF87" i="47"/>
  <c r="AE87" i="47"/>
  <c r="AD87" i="47"/>
  <c r="AC87" i="47"/>
  <c r="AB87" i="47"/>
  <c r="AA87" i="47"/>
  <c r="Z87" i="47"/>
  <c r="Y87" i="47"/>
  <c r="X87" i="47"/>
  <c r="W87" i="47"/>
  <c r="V87" i="47"/>
  <c r="U87" i="47"/>
  <c r="T87" i="47"/>
  <c r="S87" i="47"/>
  <c r="R87" i="47"/>
  <c r="Q87" i="47"/>
  <c r="P87" i="47"/>
  <c r="O87" i="47"/>
  <c r="N87" i="47"/>
  <c r="M87" i="47"/>
  <c r="L87" i="47"/>
  <c r="K87" i="47"/>
  <c r="J87" i="47"/>
  <c r="I87" i="47"/>
  <c r="H87" i="47"/>
  <c r="G87" i="47"/>
  <c r="F87" i="47"/>
  <c r="E87" i="47"/>
  <c r="D87" i="47"/>
  <c r="C87" i="47"/>
  <c r="B87" i="47"/>
  <c r="AG86" i="47"/>
  <c r="AG85" i="47"/>
  <c r="AF84" i="47"/>
  <c r="AE84" i="47"/>
  <c r="AD84" i="47"/>
  <c r="AC84" i="47"/>
  <c r="AB84" i="47"/>
  <c r="AA84" i="47"/>
  <c r="Z84" i="47"/>
  <c r="Y84" i="47"/>
  <c r="X84" i="47"/>
  <c r="W84" i="47"/>
  <c r="V84" i="47"/>
  <c r="U84" i="47"/>
  <c r="T84" i="47"/>
  <c r="S84" i="47"/>
  <c r="R84" i="47"/>
  <c r="Q84" i="47"/>
  <c r="P84" i="47"/>
  <c r="O84" i="47"/>
  <c r="N84" i="47"/>
  <c r="M84" i="47"/>
  <c r="L84" i="47"/>
  <c r="K84" i="47"/>
  <c r="J84" i="47"/>
  <c r="I84" i="47"/>
  <c r="H84" i="47"/>
  <c r="G84" i="47"/>
  <c r="F84" i="47"/>
  <c r="E84" i="47"/>
  <c r="D84" i="47"/>
  <c r="C84" i="47"/>
  <c r="B84" i="47"/>
  <c r="U83" i="47"/>
  <c r="M83" i="47"/>
  <c r="AF82" i="47"/>
  <c r="AF83" i="47" s="1"/>
  <c r="AF81" i="47" s="1"/>
  <c r="AD82" i="47"/>
  <c r="AD83" i="47" s="1"/>
  <c r="AC82" i="47"/>
  <c r="AC83" i="47" s="1"/>
  <c r="AB83" i="47"/>
  <c r="AB81" i="47" s="1"/>
  <c r="AA83" i="47"/>
  <c r="AA81" i="47" s="1"/>
  <c r="Y82" i="47"/>
  <c r="X82" i="47"/>
  <c r="X83" i="47" s="1"/>
  <c r="X81" i="47" s="1"/>
  <c r="W82" i="47"/>
  <c r="W83" i="47" s="1"/>
  <c r="W81" i="47" s="1"/>
  <c r="V82" i="47"/>
  <c r="V83" i="47" s="1"/>
  <c r="T83" i="47"/>
  <c r="T81" i="47" s="1"/>
  <c r="S82" i="47"/>
  <c r="S83" i="47" s="1"/>
  <c r="R82" i="47"/>
  <c r="Q82" i="47"/>
  <c r="P82" i="47"/>
  <c r="P83" i="47" s="1"/>
  <c r="P81" i="47" s="1"/>
  <c r="O82" i="47"/>
  <c r="O83" i="47" s="1"/>
  <c r="O81" i="47" s="1"/>
  <c r="N83" i="47"/>
  <c r="L82" i="47"/>
  <c r="L83" i="47" s="1"/>
  <c r="L81" i="47" s="1"/>
  <c r="K82" i="47"/>
  <c r="K83" i="47" s="1"/>
  <c r="K81" i="47" s="1"/>
  <c r="J82" i="47"/>
  <c r="H82" i="47"/>
  <c r="H83" i="47" s="1"/>
  <c r="H81" i="47" s="1"/>
  <c r="G83" i="47"/>
  <c r="G81" i="47" s="1"/>
  <c r="F83" i="47"/>
  <c r="E82" i="47"/>
  <c r="E83" i="47" s="1"/>
  <c r="D82" i="47"/>
  <c r="D83" i="47" s="1"/>
  <c r="D81" i="47" s="1"/>
  <c r="C82" i="47"/>
  <c r="C83" i="47" s="1"/>
  <c r="B82" i="47"/>
  <c r="AF80" i="47"/>
  <c r="AF79" i="47" s="1"/>
  <c r="AF78" i="47" s="1"/>
  <c r="AC80" i="47"/>
  <c r="AC79" i="47" s="1"/>
  <c r="AC78" i="47" s="1"/>
  <c r="AB80" i="47"/>
  <c r="AB79" i="47" s="1"/>
  <c r="AB78" i="47" s="1"/>
  <c r="AA80" i="47"/>
  <c r="AA79" i="47" s="1"/>
  <c r="AA78" i="47" s="1"/>
  <c r="Y80" i="47"/>
  <c r="Y79" i="47" s="1"/>
  <c r="Y78" i="47" s="1"/>
  <c r="V80" i="47"/>
  <c r="V79" i="47" s="1"/>
  <c r="V78" i="47" s="1"/>
  <c r="U80" i="47"/>
  <c r="U79" i="47" s="1"/>
  <c r="U78" i="47" s="1"/>
  <c r="T80" i="47"/>
  <c r="T79" i="47" s="1"/>
  <c r="T78" i="47" s="1"/>
  <c r="S80" i="47"/>
  <c r="S79" i="47" s="1"/>
  <c r="S78" i="47" s="1"/>
  <c r="R80" i="47"/>
  <c r="R79" i="47" s="1"/>
  <c r="R78" i="47" s="1"/>
  <c r="O80" i="47"/>
  <c r="O79" i="47" s="1"/>
  <c r="O78" i="47" s="1"/>
  <c r="N80" i="47"/>
  <c r="N79" i="47" s="1"/>
  <c r="N78" i="47" s="1"/>
  <c r="M80" i="47"/>
  <c r="M79" i="47" s="1"/>
  <c r="M78" i="47" s="1"/>
  <c r="H80" i="47"/>
  <c r="H79" i="47" s="1"/>
  <c r="H78" i="47" s="1"/>
  <c r="G80" i="47"/>
  <c r="G79" i="47" s="1"/>
  <c r="G78" i="47" s="1"/>
  <c r="F80" i="47"/>
  <c r="F79" i="47" s="1"/>
  <c r="F78" i="47" s="1"/>
  <c r="AD79" i="47"/>
  <c r="AD78" i="47" s="1"/>
  <c r="Z79" i="47"/>
  <c r="Z78" i="47" s="1"/>
  <c r="X79" i="47"/>
  <c r="X78" i="47" s="1"/>
  <c r="W79" i="47"/>
  <c r="W78" i="47" s="1"/>
  <c r="Q79" i="47"/>
  <c r="Q78" i="47" s="1"/>
  <c r="P79" i="47"/>
  <c r="P78" i="47" s="1"/>
  <c r="L79" i="47"/>
  <c r="L78" i="47" s="1"/>
  <c r="K79" i="47"/>
  <c r="K78" i="47" s="1"/>
  <c r="J79" i="47"/>
  <c r="J78" i="47" s="1"/>
  <c r="I79" i="47"/>
  <c r="I78" i="47" s="1"/>
  <c r="E79" i="47"/>
  <c r="E78" i="47" s="1"/>
  <c r="D79" i="47"/>
  <c r="D78" i="47" s="1"/>
  <c r="C79" i="47"/>
  <c r="C78" i="47" s="1"/>
  <c r="B79" i="47"/>
  <c r="B78" i="47" s="1"/>
  <c r="AG77" i="47"/>
  <c r="AG76" i="47"/>
  <c r="AG75" i="47"/>
  <c r="AG74" i="47"/>
  <c r="AG73" i="47"/>
  <c r="AG72" i="47"/>
  <c r="AG71" i="47"/>
  <c r="AG70" i="47"/>
  <c r="AG69" i="47"/>
  <c r="AG68" i="47"/>
  <c r="AG67" i="47"/>
  <c r="AG66" i="47"/>
  <c r="AG65" i="47"/>
  <c r="AG64" i="47"/>
  <c r="AG63" i="47"/>
  <c r="AG62" i="47"/>
  <c r="AG61" i="47"/>
  <c r="AG60" i="47"/>
  <c r="AG59" i="47"/>
  <c r="AG58" i="47"/>
  <c r="AG57" i="47"/>
  <c r="AG56" i="47"/>
  <c r="AG55" i="47"/>
  <c r="AG54" i="47"/>
  <c r="AF53" i="47"/>
  <c r="AD53" i="47"/>
  <c r="AC53" i="47"/>
  <c r="AB53" i="47"/>
  <c r="AA53" i="47"/>
  <c r="Z53" i="47"/>
  <c r="Y53" i="47"/>
  <c r="X53" i="47"/>
  <c r="W53" i="47"/>
  <c r="V53" i="47"/>
  <c r="U53" i="47"/>
  <c r="T53" i="47"/>
  <c r="S53" i="47"/>
  <c r="R53" i="47"/>
  <c r="Q53" i="47"/>
  <c r="P53" i="47"/>
  <c r="O53" i="47"/>
  <c r="N53" i="47"/>
  <c r="M53" i="47"/>
  <c r="L53" i="47"/>
  <c r="K53" i="47"/>
  <c r="J53" i="47"/>
  <c r="I53" i="47"/>
  <c r="H53" i="47"/>
  <c r="G53" i="47"/>
  <c r="F53" i="47"/>
  <c r="E53" i="47"/>
  <c r="D53" i="47"/>
  <c r="C53" i="47"/>
  <c r="B53" i="47"/>
  <c r="AG52" i="47"/>
  <c r="AG51" i="47"/>
  <c r="AG50" i="47"/>
  <c r="AG49" i="47"/>
  <c r="AG48" i="47"/>
  <c r="AG47" i="47"/>
  <c r="AG46" i="47"/>
  <c r="AG45" i="47"/>
  <c r="AG44" i="47"/>
  <c r="AG43" i="47"/>
  <c r="AG42" i="47"/>
  <c r="AG41" i="47"/>
  <c r="AG40" i="47"/>
  <c r="AG39" i="47"/>
  <c r="AG38" i="47"/>
  <c r="AG37" i="47"/>
  <c r="AG36" i="47"/>
  <c r="AG35" i="47"/>
  <c r="AG34" i="47"/>
  <c r="AG33" i="47"/>
  <c r="AG32" i="47"/>
  <c r="AG31" i="47"/>
  <c r="AG30" i="47"/>
  <c r="AG29" i="47"/>
  <c r="AF28" i="47"/>
  <c r="AD28" i="47"/>
  <c r="AC28" i="47"/>
  <c r="AB28" i="47"/>
  <c r="AA28" i="47"/>
  <c r="Z28" i="47"/>
  <c r="Y28" i="47"/>
  <c r="X28" i="47"/>
  <c r="W28" i="47"/>
  <c r="V28" i="47"/>
  <c r="U28" i="47"/>
  <c r="T28" i="47"/>
  <c r="S28" i="47"/>
  <c r="R28" i="47"/>
  <c r="Q28" i="47"/>
  <c r="P28" i="47"/>
  <c r="O28" i="47"/>
  <c r="N28" i="47"/>
  <c r="M28" i="47"/>
  <c r="L28" i="47"/>
  <c r="K28" i="47"/>
  <c r="J28" i="47"/>
  <c r="I28" i="47"/>
  <c r="H28" i="47"/>
  <c r="G28" i="47"/>
  <c r="F28" i="47"/>
  <c r="E28" i="47"/>
  <c r="D28" i="47"/>
  <c r="C28" i="47"/>
  <c r="B28" i="47"/>
  <c r="AG27" i="47"/>
  <c r="AG26" i="47"/>
  <c r="AG25" i="47"/>
  <c r="AG24" i="47"/>
  <c r="AG23" i="47"/>
  <c r="AG22" i="47"/>
  <c r="AG21" i="47"/>
  <c r="AG20" i="47"/>
  <c r="AG19" i="47"/>
  <c r="AG18" i="47"/>
  <c r="AG17" i="47"/>
  <c r="AG16" i="47"/>
  <c r="AG15" i="47"/>
  <c r="AG14" i="47"/>
  <c r="AG13" i="47"/>
  <c r="AG12" i="47"/>
  <c r="AG11" i="47"/>
  <c r="AG10" i="47"/>
  <c r="AG9" i="47"/>
  <c r="AG8" i="47"/>
  <c r="AG7" i="47"/>
  <c r="AG6" i="47"/>
  <c r="AG5" i="47"/>
  <c r="AG4" i="47"/>
  <c r="AF3" i="47"/>
  <c r="AE3" i="47"/>
  <c r="AD3" i="47"/>
  <c r="AC3" i="47"/>
  <c r="AB3" i="47"/>
  <c r="AA3" i="47"/>
  <c r="Z3" i="47"/>
  <c r="Y3" i="47"/>
  <c r="X3" i="47"/>
  <c r="W3" i="47"/>
  <c r="V3" i="47"/>
  <c r="U3" i="47"/>
  <c r="T3" i="47"/>
  <c r="S3" i="47"/>
  <c r="R3" i="47"/>
  <c r="Q3" i="47"/>
  <c r="P3" i="47"/>
  <c r="N3" i="47"/>
  <c r="M3" i="47"/>
  <c r="L3" i="47"/>
  <c r="K3" i="47"/>
  <c r="J3" i="47"/>
  <c r="I3" i="47"/>
  <c r="H3" i="47"/>
  <c r="G3" i="47"/>
  <c r="F3" i="47"/>
  <c r="E3" i="47"/>
  <c r="D3" i="47"/>
  <c r="C3" i="47"/>
  <c r="B3" i="47"/>
  <c r="AC2" i="47"/>
  <c r="C2" i="47"/>
  <c r="D2" i="47" s="1"/>
  <c r="E2" i="47" s="1"/>
  <c r="F2" i="47" s="1"/>
  <c r="G2" i="47" s="1"/>
  <c r="H2" i="47" s="1"/>
  <c r="I2" i="47" s="1"/>
  <c r="J2" i="47" s="1"/>
  <c r="K2" i="47" s="1"/>
  <c r="L2" i="47" s="1"/>
  <c r="M2" i="47" s="1"/>
  <c r="N2" i="47" s="1"/>
  <c r="O2" i="47" s="1"/>
  <c r="P2" i="47" s="1"/>
  <c r="Q2" i="47" s="1"/>
  <c r="R2" i="47" s="1"/>
  <c r="S2" i="47" s="1"/>
  <c r="T2" i="47" s="1"/>
  <c r="U2" i="47" s="1"/>
  <c r="V2" i="47" s="1"/>
  <c r="W2" i="47" s="1"/>
  <c r="X2" i="47" s="1"/>
  <c r="Y2" i="47" s="1"/>
  <c r="Z2" i="47" s="1"/>
  <c r="AA2" i="47" s="1"/>
  <c r="AG216" i="22"/>
  <c r="AB144" i="47" l="1"/>
  <c r="X93" i="47"/>
  <c r="K144" i="47"/>
  <c r="U93" i="47"/>
  <c r="I144" i="47"/>
  <c r="J144" i="47"/>
  <c r="E93" i="47"/>
  <c r="L144" i="47"/>
  <c r="F144" i="47"/>
  <c r="AA144" i="47"/>
  <c r="AD144" i="47"/>
  <c r="I93" i="47"/>
  <c r="Y144" i="47"/>
  <c r="Q144" i="47"/>
  <c r="K93" i="47"/>
  <c r="R144" i="47"/>
  <c r="AF93" i="47"/>
  <c r="M93" i="47"/>
  <c r="AG234" i="47"/>
  <c r="V144" i="47"/>
  <c r="Z144" i="47"/>
  <c r="P93" i="47"/>
  <c r="AG147" i="47"/>
  <c r="AC144" i="47"/>
  <c r="AG242" i="47"/>
  <c r="G93" i="47"/>
  <c r="O93" i="47"/>
  <c r="W93" i="47"/>
  <c r="AE93" i="47"/>
  <c r="H144" i="47"/>
  <c r="X144" i="47"/>
  <c r="C81" i="47"/>
  <c r="Q93" i="47"/>
  <c r="Y93" i="47"/>
  <c r="B130" i="47"/>
  <c r="AG130" i="47" s="1"/>
  <c r="AD93" i="47"/>
  <c r="AG238" i="47"/>
  <c r="Z93" i="47"/>
  <c r="V93" i="47"/>
  <c r="S81" i="47"/>
  <c r="AG158" i="47"/>
  <c r="R93" i="47"/>
  <c r="P144" i="47"/>
  <c r="N93" i="47"/>
  <c r="AG206" i="47"/>
  <c r="AG220" i="47"/>
  <c r="J93" i="47"/>
  <c r="G144" i="47"/>
  <c r="F93" i="47"/>
  <c r="AG167" i="47"/>
  <c r="AG174" i="47"/>
  <c r="AG82" i="47"/>
  <c r="AG28" i="47"/>
  <c r="AG179" i="47"/>
  <c r="AG84" i="47"/>
  <c r="AG145" i="47"/>
  <c r="AG134" i="47"/>
  <c r="AG53" i="47"/>
  <c r="AG78" i="47"/>
  <c r="B83" i="47"/>
  <c r="J83" i="47"/>
  <c r="J81" i="47" s="1"/>
  <c r="R83" i="47"/>
  <c r="R81" i="47" s="1"/>
  <c r="Z83" i="47"/>
  <c r="Z81" i="47" s="1"/>
  <c r="AG100" i="47"/>
  <c r="B93" i="47"/>
  <c r="AG148" i="47"/>
  <c r="AG146" i="47" s="1"/>
  <c r="D146" i="47"/>
  <c r="D144" i="47" s="1"/>
  <c r="F81" i="47"/>
  <c r="N81" i="47"/>
  <c r="V81" i="47"/>
  <c r="AD81" i="47"/>
  <c r="C93" i="47"/>
  <c r="AG94" i="47"/>
  <c r="AG79" i="47"/>
  <c r="AG3" i="47"/>
  <c r="AG80" i="47"/>
  <c r="E81" i="47"/>
  <c r="M81" i="47"/>
  <c r="U81" i="47"/>
  <c r="AC81" i="47"/>
  <c r="I83" i="47"/>
  <c r="I81" i="47" s="1"/>
  <c r="Q83" i="47"/>
  <c r="Q81" i="47" s="1"/>
  <c r="Y83" i="47"/>
  <c r="Y81" i="47" s="1"/>
  <c r="AG87" i="47"/>
  <c r="AG116" i="47"/>
  <c r="O144" i="47"/>
  <c r="AE144" i="47"/>
  <c r="AE143" i="46"/>
  <c r="AE142" i="46"/>
  <c r="AE137" i="46"/>
  <c r="AE129" i="46"/>
  <c r="AH87" i="47" l="1"/>
  <c r="AG144" i="47"/>
  <c r="AG93" i="47"/>
  <c r="AG83" i="47"/>
  <c r="AH84" i="47" s="1"/>
  <c r="B81" i="47"/>
  <c r="AG81" i="47" s="1"/>
  <c r="AH81" i="47" s="1"/>
  <c r="AG216" i="46"/>
  <c r="L216" i="25" s="1"/>
  <c r="N216" i="25" s="1"/>
  <c r="AH93" i="47" l="1"/>
  <c r="AH130" i="47"/>
  <c r="AH206" i="47"/>
  <c r="AH144" i="47"/>
  <c r="AD173" i="46"/>
  <c r="AD143" i="46"/>
  <c r="AD142" i="46"/>
  <c r="AD129" i="46"/>
  <c r="AC143" i="46"/>
  <c r="AC142" i="46"/>
  <c r="AC137" i="46"/>
  <c r="AC129" i="46"/>
  <c r="AA143" i="46" l="1"/>
  <c r="AA134" i="46"/>
  <c r="AA142" i="46"/>
  <c r="AA137" i="46"/>
  <c r="AA129" i="46"/>
  <c r="AB143" i="46"/>
  <c r="AB142" i="46"/>
  <c r="AB134" i="46"/>
  <c r="AB129" i="46"/>
  <c r="Z143" i="46"/>
  <c r="Z142" i="46"/>
  <c r="Z139" i="46"/>
  <c r="Z137" i="46"/>
  <c r="Z129" i="46"/>
  <c r="Y143" i="46"/>
  <c r="Y142" i="46"/>
  <c r="Y129" i="46"/>
  <c r="X173" i="46"/>
  <c r="X143" i="46"/>
  <c r="X142" i="46"/>
  <c r="X134" i="46"/>
  <c r="X137" i="46"/>
  <c r="X129" i="46"/>
  <c r="W143" i="46" l="1"/>
  <c r="W142" i="46"/>
  <c r="W137" i="46"/>
  <c r="W129" i="46"/>
  <c r="V143" i="46"/>
  <c r="V142" i="46"/>
  <c r="V129" i="46"/>
  <c r="U143" i="46"/>
  <c r="U142" i="46"/>
  <c r="U137" i="46"/>
  <c r="U129" i="46"/>
  <c r="T143" i="46"/>
  <c r="T142" i="46"/>
  <c r="T129" i="46"/>
  <c r="S143" i="46" l="1"/>
  <c r="S142" i="46"/>
  <c r="S129" i="46"/>
  <c r="R143" i="46" l="1"/>
  <c r="R142" i="46"/>
  <c r="R129" i="46"/>
  <c r="Q143" i="46" l="1"/>
  <c r="Q142" i="46"/>
  <c r="Q129" i="46"/>
  <c r="P143" i="46" l="1"/>
  <c r="P134" i="46"/>
  <c r="P142" i="46"/>
  <c r="P137" i="46"/>
  <c r="P129" i="46"/>
  <c r="O143" i="46" l="1"/>
  <c r="O142" i="46"/>
  <c r="O129" i="46"/>
  <c r="N143" i="46"/>
  <c r="N142" i="46"/>
  <c r="N129" i="46"/>
  <c r="M143" i="46" l="1"/>
  <c r="M142" i="46"/>
  <c r="M134" i="46"/>
  <c r="M129" i="46"/>
  <c r="K247" i="25" l="1"/>
  <c r="K246" i="25"/>
  <c r="K245" i="25"/>
  <c r="K222" i="25"/>
  <c r="L143" i="46" l="1"/>
  <c r="L142" i="46"/>
  <c r="L129" i="46"/>
  <c r="K143" i="46" l="1"/>
  <c r="K142" i="46"/>
  <c r="K134" i="46"/>
  <c r="K137" i="46"/>
  <c r="K129" i="46"/>
  <c r="J173" i="46" l="1"/>
  <c r="J143" i="46"/>
  <c r="J142" i="46"/>
  <c r="J139" i="46"/>
  <c r="J134" i="46"/>
  <c r="J137" i="46"/>
  <c r="J129" i="46"/>
  <c r="I143" i="46" l="1"/>
  <c r="I142" i="46"/>
  <c r="I129" i="46"/>
  <c r="H143" i="46" l="1"/>
  <c r="H142" i="46"/>
  <c r="H129" i="46"/>
  <c r="G173" i="46"/>
  <c r="G143" i="46"/>
  <c r="G142" i="46"/>
  <c r="G129" i="46"/>
  <c r="F143" i="46"/>
  <c r="F142" i="46"/>
  <c r="F139" i="46"/>
  <c r="F137" i="46"/>
  <c r="F129" i="46"/>
  <c r="E143" i="46"/>
  <c r="E142" i="46"/>
  <c r="E129" i="46"/>
  <c r="D143" i="46"/>
  <c r="D142" i="46"/>
  <c r="D137" i="46"/>
  <c r="D129" i="46"/>
  <c r="C143" i="46" l="1"/>
  <c r="C142" i="46"/>
  <c r="C134" i="46"/>
  <c r="C129" i="46"/>
  <c r="B143" i="46" l="1"/>
  <c r="B142" i="46"/>
  <c r="AG142" i="46"/>
  <c r="L142" i="25" s="1"/>
  <c r="B134" i="46"/>
  <c r="B129" i="46"/>
  <c r="B116" i="46" s="1"/>
  <c r="AG250" i="46"/>
  <c r="L250" i="25" s="1"/>
  <c r="AG249" i="46"/>
  <c r="L249" i="25" s="1"/>
  <c r="AG248" i="46"/>
  <c r="L248" i="25" s="1"/>
  <c r="AG247" i="46"/>
  <c r="L247" i="25" s="1"/>
  <c r="AG243" i="46"/>
  <c r="L243" i="25" s="1"/>
  <c r="AF242" i="46"/>
  <c r="AE242" i="46"/>
  <c r="AD242" i="46"/>
  <c r="AC242" i="46"/>
  <c r="AB242" i="46"/>
  <c r="AA242" i="46"/>
  <c r="Z242" i="46"/>
  <c r="Y242" i="46"/>
  <c r="X242" i="46"/>
  <c r="W242" i="46"/>
  <c r="V242" i="46"/>
  <c r="U242" i="46"/>
  <c r="T242" i="46"/>
  <c r="S242" i="46"/>
  <c r="R242" i="46"/>
  <c r="Q242" i="46"/>
  <c r="P242" i="46"/>
  <c r="O242" i="46"/>
  <c r="N242" i="46"/>
  <c r="M242" i="46"/>
  <c r="L242" i="46"/>
  <c r="K242" i="46"/>
  <c r="J242" i="46"/>
  <c r="I242" i="46"/>
  <c r="H242" i="46"/>
  <c r="G242" i="46"/>
  <c r="F242" i="46"/>
  <c r="E242" i="46"/>
  <c r="D242" i="46"/>
  <c r="C242" i="46"/>
  <c r="B242" i="46"/>
  <c r="AG241" i="46"/>
  <c r="L241" i="25" s="1"/>
  <c r="AG240" i="46"/>
  <c r="L240" i="25" s="1"/>
  <c r="AG239" i="46"/>
  <c r="L239" i="25" s="1"/>
  <c r="AF238" i="46"/>
  <c r="AE238" i="46"/>
  <c r="AD238" i="46"/>
  <c r="AC238" i="46"/>
  <c r="AB238" i="46"/>
  <c r="AA238" i="46"/>
  <c r="Z238" i="46"/>
  <c r="Y238" i="46"/>
  <c r="X238" i="46"/>
  <c r="W238" i="46"/>
  <c r="V238" i="46"/>
  <c r="U238" i="46"/>
  <c r="T238" i="46"/>
  <c r="S238" i="46"/>
  <c r="R238" i="46"/>
  <c r="Q238" i="46"/>
  <c r="P238" i="46"/>
  <c r="O238" i="46"/>
  <c r="N238" i="46"/>
  <c r="M238" i="46"/>
  <c r="L238" i="46"/>
  <c r="K238" i="46"/>
  <c r="J238" i="46"/>
  <c r="I238" i="46"/>
  <c r="H238" i="46"/>
  <c r="G238" i="46"/>
  <c r="F238" i="46"/>
  <c r="E238" i="46"/>
  <c r="D238" i="46"/>
  <c r="C238" i="46"/>
  <c r="B238" i="46"/>
  <c r="AG237" i="46"/>
  <c r="L237" i="25" s="1"/>
  <c r="AG236" i="46"/>
  <c r="L236" i="25" s="1"/>
  <c r="AG235" i="46"/>
  <c r="L235" i="25" s="1"/>
  <c r="AF234" i="46"/>
  <c r="AE234" i="46"/>
  <c r="AD234" i="46"/>
  <c r="AC234" i="46"/>
  <c r="AB234" i="46"/>
  <c r="AA234" i="46"/>
  <c r="Z234" i="46"/>
  <c r="Y234" i="46"/>
  <c r="X234" i="46"/>
  <c r="W234" i="46"/>
  <c r="V234" i="46"/>
  <c r="U234" i="46"/>
  <c r="T234" i="46"/>
  <c r="S234" i="46"/>
  <c r="R234" i="46"/>
  <c r="Q234" i="46"/>
  <c r="P234" i="46"/>
  <c r="O234" i="46"/>
  <c r="N234" i="46"/>
  <c r="M234" i="46"/>
  <c r="L234" i="46"/>
  <c r="K234" i="46"/>
  <c r="J234" i="46"/>
  <c r="I234" i="46"/>
  <c r="H234" i="46"/>
  <c r="G234" i="46"/>
  <c r="F234" i="46"/>
  <c r="E234" i="46"/>
  <c r="D234" i="46"/>
  <c r="C234" i="46"/>
  <c r="B234" i="46"/>
  <c r="AG233" i="46"/>
  <c r="L233" i="25" s="1"/>
  <c r="AG232" i="46"/>
  <c r="L232" i="25" s="1"/>
  <c r="AG231" i="46"/>
  <c r="L231" i="25" s="1"/>
  <c r="AG230" i="46"/>
  <c r="L230" i="25" s="1"/>
  <c r="AG229" i="46"/>
  <c r="L229" i="25" s="1"/>
  <c r="AG228" i="46"/>
  <c r="L228" i="25" s="1"/>
  <c r="AG227" i="46"/>
  <c r="L227" i="25" s="1"/>
  <c r="AG226" i="46"/>
  <c r="L226" i="25" s="1"/>
  <c r="AG225" i="46"/>
  <c r="L225" i="25" s="1"/>
  <c r="AG224" i="46"/>
  <c r="L224" i="25" s="1"/>
  <c r="AG223" i="46"/>
  <c r="L223" i="25" s="1"/>
  <c r="AG222" i="46"/>
  <c r="L222" i="25" s="1"/>
  <c r="AF220" i="46"/>
  <c r="AE220" i="46"/>
  <c r="AD220" i="46"/>
  <c r="AC220" i="46"/>
  <c r="AB220" i="46"/>
  <c r="AA220" i="46"/>
  <c r="Z220" i="46"/>
  <c r="Y220" i="46"/>
  <c r="X220" i="46"/>
  <c r="W220" i="46"/>
  <c r="V220" i="46"/>
  <c r="U220" i="46"/>
  <c r="T220" i="46"/>
  <c r="S220" i="46"/>
  <c r="R220" i="46"/>
  <c r="Q220" i="46"/>
  <c r="P220" i="46"/>
  <c r="O220" i="46"/>
  <c r="N220" i="46"/>
  <c r="M220" i="46"/>
  <c r="L220" i="46"/>
  <c r="K220" i="46"/>
  <c r="J220" i="46"/>
  <c r="I220" i="46"/>
  <c r="H220" i="46"/>
  <c r="G220" i="46"/>
  <c r="F220" i="46"/>
  <c r="E220" i="46"/>
  <c r="D220" i="46"/>
  <c r="C220" i="46"/>
  <c r="B220" i="46"/>
  <c r="AG219" i="46"/>
  <c r="L219" i="25" s="1"/>
  <c r="AG218" i="46"/>
  <c r="L218" i="25" s="1"/>
  <c r="AG217" i="46"/>
  <c r="L217" i="25" s="1"/>
  <c r="AG215" i="46"/>
  <c r="L215" i="25" s="1"/>
  <c r="AG214" i="46"/>
  <c r="L214" i="25" s="1"/>
  <c r="AG213" i="46"/>
  <c r="L213" i="25" s="1"/>
  <c r="AG212" i="46"/>
  <c r="L212" i="25" s="1"/>
  <c r="AG211" i="46"/>
  <c r="L211" i="25" s="1"/>
  <c r="AG210" i="46"/>
  <c r="L210" i="25" s="1"/>
  <c r="AG209" i="46"/>
  <c r="L209" i="25" s="1"/>
  <c r="AG208" i="46"/>
  <c r="L208" i="25" s="1"/>
  <c r="AG207" i="46"/>
  <c r="L207" i="25" s="1"/>
  <c r="AF206" i="46"/>
  <c r="AE206" i="46"/>
  <c r="AD206" i="46"/>
  <c r="AC206" i="46"/>
  <c r="AB206" i="46"/>
  <c r="AA206" i="46"/>
  <c r="Z206" i="46"/>
  <c r="Y206" i="46"/>
  <c r="X206" i="46"/>
  <c r="W206" i="46"/>
  <c r="V206" i="46"/>
  <c r="U206" i="46"/>
  <c r="T206" i="46"/>
  <c r="S206" i="46"/>
  <c r="R206" i="46"/>
  <c r="Q206" i="46"/>
  <c r="P206" i="46"/>
  <c r="O206" i="46"/>
  <c r="N206" i="46"/>
  <c r="M206" i="46"/>
  <c r="L206" i="46"/>
  <c r="K206" i="46"/>
  <c r="J206" i="46"/>
  <c r="I206" i="46"/>
  <c r="H206" i="46"/>
  <c r="G206" i="46"/>
  <c r="F206" i="46"/>
  <c r="E206" i="46"/>
  <c r="D206" i="46"/>
  <c r="C206" i="46"/>
  <c r="B206" i="46"/>
  <c r="AG205" i="46"/>
  <c r="L205" i="25" s="1"/>
  <c r="AG204" i="46"/>
  <c r="L204" i="25" s="1"/>
  <c r="AG203" i="46"/>
  <c r="L203" i="25" s="1"/>
  <c r="AG202" i="46"/>
  <c r="L202" i="25" s="1"/>
  <c r="AG201" i="46"/>
  <c r="L201" i="25" s="1"/>
  <c r="AG200" i="46"/>
  <c r="L200" i="25" s="1"/>
  <c r="AG199" i="46"/>
  <c r="L199" i="25" s="1"/>
  <c r="AG198" i="46"/>
  <c r="L198" i="25" s="1"/>
  <c r="AG197" i="46"/>
  <c r="L197" i="25" s="1"/>
  <c r="AG196" i="46"/>
  <c r="L196" i="25" s="1"/>
  <c r="AG195" i="46"/>
  <c r="L195" i="25" s="1"/>
  <c r="AG194" i="46"/>
  <c r="L194" i="25" s="1"/>
  <c r="AG193" i="46"/>
  <c r="L193" i="25" s="1"/>
  <c r="AG192" i="46"/>
  <c r="L192" i="25" s="1"/>
  <c r="AG191" i="46"/>
  <c r="L191" i="25" s="1"/>
  <c r="AG190" i="46"/>
  <c r="L190" i="25" s="1"/>
  <c r="AG189" i="46"/>
  <c r="L189" i="25" s="1"/>
  <c r="AG188" i="46"/>
  <c r="L188" i="25" s="1"/>
  <c r="AG187" i="46"/>
  <c r="L187" i="25" s="1"/>
  <c r="AG186" i="46"/>
  <c r="L186" i="25" s="1"/>
  <c r="AG185" i="46"/>
  <c r="L185" i="25" s="1"/>
  <c r="AG184" i="46"/>
  <c r="L184" i="25" s="1"/>
  <c r="AG183" i="46"/>
  <c r="L183" i="25" s="1"/>
  <c r="AG182" i="46"/>
  <c r="L182" i="25" s="1"/>
  <c r="AG181" i="46"/>
  <c r="L181" i="25" s="1"/>
  <c r="AG180" i="46"/>
  <c r="L180" i="25" s="1"/>
  <c r="AF179" i="46"/>
  <c r="AE179" i="46"/>
  <c r="AD179" i="46"/>
  <c r="AC179" i="46"/>
  <c r="AB179" i="46"/>
  <c r="AA179" i="46"/>
  <c r="Z179" i="46"/>
  <c r="Y179" i="46"/>
  <c r="X179" i="46"/>
  <c r="W179" i="46"/>
  <c r="V179" i="46"/>
  <c r="U179" i="46"/>
  <c r="T179" i="46"/>
  <c r="S179" i="46"/>
  <c r="R179" i="46"/>
  <c r="Q179" i="46"/>
  <c r="P179" i="46"/>
  <c r="O179" i="46"/>
  <c r="N179" i="46"/>
  <c r="M179" i="46"/>
  <c r="L179" i="46"/>
  <c r="K179" i="46"/>
  <c r="J179" i="46"/>
  <c r="I179" i="46"/>
  <c r="H179" i="46"/>
  <c r="G179" i="46"/>
  <c r="F179" i="46"/>
  <c r="E179" i="46"/>
  <c r="D179" i="46"/>
  <c r="C179" i="46"/>
  <c r="B179" i="46"/>
  <c r="AG178" i="46"/>
  <c r="L178" i="25" s="1"/>
  <c r="AG177" i="46"/>
  <c r="L177" i="25" s="1"/>
  <c r="AG176" i="46"/>
  <c r="L176" i="25" s="1"/>
  <c r="AG175" i="46"/>
  <c r="L175" i="25" s="1"/>
  <c r="AF174" i="46"/>
  <c r="AE174" i="46"/>
  <c r="AD174" i="46"/>
  <c r="AC174" i="46"/>
  <c r="AB174" i="46"/>
  <c r="AA174" i="46"/>
  <c r="Z174" i="46"/>
  <c r="Y174" i="46"/>
  <c r="X174" i="46"/>
  <c r="W174" i="46"/>
  <c r="V174" i="46"/>
  <c r="U174" i="46"/>
  <c r="T174" i="46"/>
  <c r="S174" i="46"/>
  <c r="R174" i="46"/>
  <c r="Q174" i="46"/>
  <c r="P174" i="46"/>
  <c r="O174" i="46"/>
  <c r="N174" i="46"/>
  <c r="M174" i="46"/>
  <c r="L174" i="46"/>
  <c r="K174" i="46"/>
  <c r="J174" i="46"/>
  <c r="I174" i="46"/>
  <c r="H174" i="46"/>
  <c r="G174" i="46"/>
  <c r="F174" i="46"/>
  <c r="E174" i="46"/>
  <c r="D174" i="46"/>
  <c r="C174" i="46"/>
  <c r="B174" i="46"/>
  <c r="AG173" i="46"/>
  <c r="L173" i="25" s="1"/>
  <c r="AG172" i="46"/>
  <c r="L172" i="25" s="1"/>
  <c r="AG171" i="46"/>
  <c r="L171" i="25" s="1"/>
  <c r="AG170" i="46"/>
  <c r="L170" i="25" s="1"/>
  <c r="AG169" i="46"/>
  <c r="L169" i="25" s="1"/>
  <c r="AG168" i="46"/>
  <c r="L168" i="25" s="1"/>
  <c r="AF167" i="46"/>
  <c r="AE167" i="46"/>
  <c r="AD167" i="46"/>
  <c r="AC167" i="46"/>
  <c r="AB167" i="46"/>
  <c r="AA167" i="46"/>
  <c r="Z167" i="46"/>
  <c r="Y167" i="46"/>
  <c r="X167" i="46"/>
  <c r="W167" i="46"/>
  <c r="V167" i="46"/>
  <c r="U167" i="46"/>
  <c r="T167" i="46"/>
  <c r="S167" i="46"/>
  <c r="R167" i="46"/>
  <c r="Q167" i="46"/>
  <c r="P167" i="46"/>
  <c r="O167" i="46"/>
  <c r="N167" i="46"/>
  <c r="M167" i="46"/>
  <c r="L167" i="46"/>
  <c r="K167" i="46"/>
  <c r="J167" i="46"/>
  <c r="I167" i="46"/>
  <c r="H167" i="46"/>
  <c r="G167" i="46"/>
  <c r="F167" i="46"/>
  <c r="E167" i="46"/>
  <c r="D167" i="46"/>
  <c r="C167" i="46"/>
  <c r="B167" i="46"/>
  <c r="AG166" i="46"/>
  <c r="L166" i="25" s="1"/>
  <c r="AG165" i="46"/>
  <c r="L165" i="25" s="1"/>
  <c r="AG164" i="46"/>
  <c r="L164" i="25" s="1"/>
  <c r="AG163" i="46"/>
  <c r="L163" i="25" s="1"/>
  <c r="AG162" i="46"/>
  <c r="L162" i="25" s="1"/>
  <c r="AG161" i="46"/>
  <c r="L161" i="25" s="1"/>
  <c r="AG160" i="46"/>
  <c r="L160" i="25" s="1"/>
  <c r="AG159" i="46"/>
  <c r="L159" i="25" s="1"/>
  <c r="AF158" i="46"/>
  <c r="AE158" i="46"/>
  <c r="AD158" i="46"/>
  <c r="AC158" i="46"/>
  <c r="AB158" i="46"/>
  <c r="AA158" i="46"/>
  <c r="Z158" i="46"/>
  <c r="Y158" i="46"/>
  <c r="X158" i="46"/>
  <c r="W158" i="46"/>
  <c r="V158" i="46"/>
  <c r="U158" i="46"/>
  <c r="T158" i="46"/>
  <c r="S158" i="46"/>
  <c r="R158" i="46"/>
  <c r="Q158" i="46"/>
  <c r="P158" i="46"/>
  <c r="O158" i="46"/>
  <c r="N158" i="46"/>
  <c r="M158" i="46"/>
  <c r="L158" i="46"/>
  <c r="K158" i="46"/>
  <c r="J158" i="46"/>
  <c r="I158" i="46"/>
  <c r="H158" i="46"/>
  <c r="G158" i="46"/>
  <c r="F158" i="46"/>
  <c r="E158" i="46"/>
  <c r="D158" i="46"/>
  <c r="C158" i="46"/>
  <c r="B158" i="46"/>
  <c r="AG157" i="46"/>
  <c r="L157" i="25" s="1"/>
  <c r="AG156" i="46"/>
  <c r="L156" i="25" s="1"/>
  <c r="AG155" i="46"/>
  <c r="L155" i="25" s="1"/>
  <c r="AG154" i="46"/>
  <c r="L154" i="25" s="1"/>
  <c r="AG153" i="46"/>
  <c r="L153" i="25" s="1"/>
  <c r="AG152" i="46"/>
  <c r="L152" i="25" s="1"/>
  <c r="AG151" i="46"/>
  <c r="L151" i="25" s="1"/>
  <c r="AG150" i="46"/>
  <c r="L150" i="25" s="1"/>
  <c r="AG149" i="46"/>
  <c r="L149" i="25" s="1"/>
  <c r="AF148" i="46"/>
  <c r="AF146" i="46" s="1"/>
  <c r="AF144" i="46" s="1"/>
  <c r="AE148" i="46"/>
  <c r="AD148" i="46"/>
  <c r="AD146" i="46" s="1"/>
  <c r="AC148" i="46"/>
  <c r="AC146" i="46" s="1"/>
  <c r="AB148" i="46"/>
  <c r="AB146" i="46" s="1"/>
  <c r="AB144" i="46" s="1"/>
  <c r="AA148" i="46"/>
  <c r="AA146" i="46" s="1"/>
  <c r="AA144" i="46" s="1"/>
  <c r="Z148" i="46"/>
  <c r="Z146" i="46" s="1"/>
  <c r="Y148" i="46"/>
  <c r="Y146" i="46" s="1"/>
  <c r="Y144" i="46" s="1"/>
  <c r="X148" i="46"/>
  <c r="X146" i="46" s="1"/>
  <c r="X144" i="46" s="1"/>
  <c r="W148" i="46"/>
  <c r="V148" i="46"/>
  <c r="V146" i="46" s="1"/>
  <c r="U148" i="46"/>
  <c r="U146" i="46" s="1"/>
  <c r="U144" i="46" s="1"/>
  <c r="T148" i="46"/>
  <c r="S148" i="46"/>
  <c r="R148" i="46"/>
  <c r="R146" i="46" s="1"/>
  <c r="Q148" i="46"/>
  <c r="Q146" i="46" s="1"/>
  <c r="P148" i="46"/>
  <c r="P146" i="46" s="1"/>
  <c r="O148" i="46"/>
  <c r="N148" i="46"/>
  <c r="N146" i="46" s="1"/>
  <c r="N144" i="46" s="1"/>
  <c r="M148" i="46"/>
  <c r="M146" i="46" s="1"/>
  <c r="L148" i="46"/>
  <c r="L146" i="46" s="1"/>
  <c r="L144" i="46" s="1"/>
  <c r="K148" i="46"/>
  <c r="K146" i="46" s="1"/>
  <c r="J148" i="46"/>
  <c r="J146" i="46" s="1"/>
  <c r="I148" i="46"/>
  <c r="I146" i="46" s="1"/>
  <c r="H148" i="46"/>
  <c r="H146" i="46" s="1"/>
  <c r="G148" i="46"/>
  <c r="G146" i="46" s="1"/>
  <c r="G144" i="46" s="1"/>
  <c r="F148" i="46"/>
  <c r="F146" i="46" s="1"/>
  <c r="E148" i="46"/>
  <c r="E146" i="46" s="1"/>
  <c r="E144" i="46" s="1"/>
  <c r="D148" i="46"/>
  <c r="C148" i="46"/>
  <c r="B148" i="46"/>
  <c r="B146" i="46" s="1"/>
  <c r="AE147" i="46"/>
  <c r="AD147" i="46"/>
  <c r="AC147" i="46"/>
  <c r="AB147" i="46"/>
  <c r="AA147" i="46"/>
  <c r="Z147" i="46"/>
  <c r="Y147" i="46"/>
  <c r="X147" i="46"/>
  <c r="W147" i="46"/>
  <c r="V147" i="46"/>
  <c r="U147" i="46"/>
  <c r="T147" i="46"/>
  <c r="S147" i="46"/>
  <c r="R147" i="46"/>
  <c r="Q147" i="46"/>
  <c r="P147" i="46"/>
  <c r="O147" i="46"/>
  <c r="N147" i="46"/>
  <c r="M147" i="46"/>
  <c r="L147" i="46"/>
  <c r="K147" i="46"/>
  <c r="J147" i="46"/>
  <c r="I147" i="46"/>
  <c r="H147" i="46"/>
  <c r="G147" i="46"/>
  <c r="F147" i="46"/>
  <c r="E147" i="46"/>
  <c r="D147" i="46"/>
  <c r="C147" i="46"/>
  <c r="B147" i="46"/>
  <c r="AE146" i="46"/>
  <c r="W146" i="46"/>
  <c r="W144" i="46" s="1"/>
  <c r="T146" i="46"/>
  <c r="T144" i="46" s="1"/>
  <c r="S146" i="46"/>
  <c r="O146" i="46"/>
  <c r="O144" i="46" s="1"/>
  <c r="D146" i="46"/>
  <c r="C146" i="46"/>
  <c r="AF145" i="46"/>
  <c r="AE145" i="46"/>
  <c r="AD145" i="46"/>
  <c r="AC145" i="46"/>
  <c r="AB145" i="46"/>
  <c r="AA145" i="46"/>
  <c r="Z145" i="46"/>
  <c r="Y145" i="46"/>
  <c r="X145" i="46"/>
  <c r="W145" i="46"/>
  <c r="V145" i="46"/>
  <c r="U145" i="46"/>
  <c r="T145" i="46"/>
  <c r="S145" i="46"/>
  <c r="R145" i="46"/>
  <c r="Q145" i="46"/>
  <c r="P145" i="46"/>
  <c r="O145" i="46"/>
  <c r="N145" i="46"/>
  <c r="M145" i="46"/>
  <c r="L145" i="46"/>
  <c r="K145" i="46"/>
  <c r="J145" i="46"/>
  <c r="I145" i="46"/>
  <c r="H145" i="46"/>
  <c r="G145" i="46"/>
  <c r="F145" i="46"/>
  <c r="E145" i="46"/>
  <c r="D145" i="46"/>
  <c r="C145" i="46"/>
  <c r="B145" i="46"/>
  <c r="AG143" i="46"/>
  <c r="L143" i="25" s="1"/>
  <c r="AG141" i="46"/>
  <c r="L141" i="25" s="1"/>
  <c r="AG140" i="46"/>
  <c r="L140" i="25" s="1"/>
  <c r="AG139" i="46"/>
  <c r="L139" i="25" s="1"/>
  <c r="AG138" i="46"/>
  <c r="L138" i="25" s="1"/>
  <c r="AG137" i="46"/>
  <c r="L137" i="25" s="1"/>
  <c r="AG136" i="46"/>
  <c r="L136" i="25" s="1"/>
  <c r="AG135" i="46"/>
  <c r="L135" i="25" s="1"/>
  <c r="AG134" i="46"/>
  <c r="L134" i="25" s="1"/>
  <c r="AG133" i="46"/>
  <c r="L133" i="25" s="1"/>
  <c r="AG132" i="46"/>
  <c r="L132" i="25" s="1"/>
  <c r="AG131" i="46"/>
  <c r="L131" i="25" s="1"/>
  <c r="AF130" i="46"/>
  <c r="AE130" i="46"/>
  <c r="AD130" i="46"/>
  <c r="AC130" i="46"/>
  <c r="AB130" i="46"/>
  <c r="AA130" i="46"/>
  <c r="Z130" i="46"/>
  <c r="Y130" i="46"/>
  <c r="X130" i="46"/>
  <c r="W130" i="46"/>
  <c r="V130" i="46"/>
  <c r="U130" i="46"/>
  <c r="T130" i="46"/>
  <c r="S130" i="46"/>
  <c r="R130" i="46"/>
  <c r="Q130" i="46"/>
  <c r="P130" i="46"/>
  <c r="O130" i="46"/>
  <c r="N130" i="46"/>
  <c r="M130" i="46"/>
  <c r="L130" i="46"/>
  <c r="K130" i="46"/>
  <c r="J130" i="46"/>
  <c r="I130" i="46"/>
  <c r="H130" i="46"/>
  <c r="G130" i="46"/>
  <c r="F130" i="46"/>
  <c r="E130" i="46"/>
  <c r="D130" i="46"/>
  <c r="C130" i="46"/>
  <c r="AG129" i="46"/>
  <c r="L129" i="25" s="1"/>
  <c r="AG128" i="46"/>
  <c r="L128" i="25" s="1"/>
  <c r="AG127" i="46"/>
  <c r="L127" i="25" s="1"/>
  <c r="AG126" i="46"/>
  <c r="L126" i="25" s="1"/>
  <c r="AG125" i="46"/>
  <c r="L125" i="25" s="1"/>
  <c r="AG124" i="46"/>
  <c r="L124" i="25" s="1"/>
  <c r="AG123" i="46"/>
  <c r="L123" i="25" s="1"/>
  <c r="AG122" i="46"/>
  <c r="L122" i="25" s="1"/>
  <c r="AG121" i="46"/>
  <c r="L121" i="25" s="1"/>
  <c r="AG120" i="46"/>
  <c r="L120" i="25" s="1"/>
  <c r="AG119" i="46"/>
  <c r="L119" i="25" s="1"/>
  <c r="AG118" i="46"/>
  <c r="L118" i="25" s="1"/>
  <c r="AG117" i="46"/>
  <c r="L117" i="25" s="1"/>
  <c r="AF116" i="46"/>
  <c r="AE116" i="46"/>
  <c r="AD116" i="46"/>
  <c r="AC116" i="46"/>
  <c r="AB116" i="46"/>
  <c r="AA116" i="46"/>
  <c r="Z116" i="46"/>
  <c r="Y116" i="46"/>
  <c r="X116" i="46"/>
  <c r="W116" i="46"/>
  <c r="V116" i="46"/>
  <c r="U116" i="46"/>
  <c r="T116" i="46"/>
  <c r="S116" i="46"/>
  <c r="R116" i="46"/>
  <c r="Q116" i="46"/>
  <c r="P116" i="46"/>
  <c r="O116" i="46"/>
  <c r="N116" i="46"/>
  <c r="M116" i="46"/>
  <c r="L116" i="46"/>
  <c r="K116" i="46"/>
  <c r="J116" i="46"/>
  <c r="I116" i="46"/>
  <c r="H116" i="46"/>
  <c r="G116" i="46"/>
  <c r="F116" i="46"/>
  <c r="E116" i="46"/>
  <c r="D116" i="46"/>
  <c r="C116" i="46"/>
  <c r="AG115" i="46"/>
  <c r="L115" i="25" s="1"/>
  <c r="AG114" i="46"/>
  <c r="L114" i="25" s="1"/>
  <c r="AG113" i="46"/>
  <c r="L113" i="25" s="1"/>
  <c r="AG112" i="46"/>
  <c r="L112" i="25" s="1"/>
  <c r="AG111" i="46"/>
  <c r="L111" i="25" s="1"/>
  <c r="AG110" i="46"/>
  <c r="L110" i="25" s="1"/>
  <c r="AG109" i="46"/>
  <c r="L109" i="25" s="1"/>
  <c r="AG108" i="46"/>
  <c r="L108" i="25" s="1"/>
  <c r="AG107" i="46"/>
  <c r="L107" i="25" s="1"/>
  <c r="AG106" i="46"/>
  <c r="L106" i="25" s="1"/>
  <c r="AG105" i="46"/>
  <c r="L105" i="25" s="1"/>
  <c r="AG104" i="46"/>
  <c r="L104" i="25" s="1"/>
  <c r="AG103" i="46"/>
  <c r="L103" i="25" s="1"/>
  <c r="AG102" i="46"/>
  <c r="L102" i="25" s="1"/>
  <c r="AG101" i="46"/>
  <c r="L101" i="25" s="1"/>
  <c r="AF100" i="46"/>
  <c r="AE100" i="46"/>
  <c r="AD100" i="46"/>
  <c r="AC100" i="46"/>
  <c r="AB100" i="46"/>
  <c r="AA100" i="46"/>
  <c r="Z100" i="46"/>
  <c r="Y100" i="46"/>
  <c r="X100" i="46"/>
  <c r="W100" i="46"/>
  <c r="V100" i="46"/>
  <c r="U100" i="46"/>
  <c r="U93" i="46" s="1"/>
  <c r="T100" i="46"/>
  <c r="S100" i="46"/>
  <c r="R100" i="46"/>
  <c r="Q100" i="46"/>
  <c r="P100" i="46"/>
  <c r="O100" i="46"/>
  <c r="N100" i="46"/>
  <c r="M100" i="46"/>
  <c r="L100" i="46"/>
  <c r="K100" i="46"/>
  <c r="J100" i="46"/>
  <c r="I100" i="46"/>
  <c r="H100" i="46"/>
  <c r="G100" i="46"/>
  <c r="F100" i="46"/>
  <c r="E100" i="46"/>
  <c r="D100" i="46"/>
  <c r="C100" i="46"/>
  <c r="B100" i="46"/>
  <c r="AG99" i="46"/>
  <c r="L99" i="25" s="1"/>
  <c r="AG98" i="46"/>
  <c r="L98" i="25" s="1"/>
  <c r="AG97" i="46"/>
  <c r="L97" i="25" s="1"/>
  <c r="AG96" i="46"/>
  <c r="L96" i="25" s="1"/>
  <c r="AG95" i="46"/>
  <c r="L95" i="25" s="1"/>
  <c r="AF94" i="46"/>
  <c r="AE94" i="46"/>
  <c r="AD94" i="46"/>
  <c r="AC94" i="46"/>
  <c r="AC93" i="46" s="1"/>
  <c r="AB94" i="46"/>
  <c r="AA94" i="46"/>
  <c r="AA93" i="46" s="1"/>
  <c r="Z94" i="46"/>
  <c r="Z93" i="46" s="1"/>
  <c r="Y94" i="46"/>
  <c r="X94" i="46"/>
  <c r="W94" i="46"/>
  <c r="V94" i="46"/>
  <c r="V93" i="46" s="1"/>
  <c r="U94" i="46"/>
  <c r="T94" i="46"/>
  <c r="S94" i="46"/>
  <c r="R94" i="46"/>
  <c r="R93" i="46" s="1"/>
  <c r="Q94" i="46"/>
  <c r="Q93" i="46" s="1"/>
  <c r="P94" i="46"/>
  <c r="P93" i="46" s="1"/>
  <c r="O94" i="46"/>
  <c r="N94" i="46"/>
  <c r="M94" i="46"/>
  <c r="L94" i="46"/>
  <c r="K94" i="46"/>
  <c r="J94" i="46"/>
  <c r="I94" i="46"/>
  <c r="H94" i="46"/>
  <c r="H93" i="46" s="1"/>
  <c r="G94" i="46"/>
  <c r="G93" i="46" s="1"/>
  <c r="F94" i="46"/>
  <c r="F93" i="46" s="1"/>
  <c r="E94" i="46"/>
  <c r="E93" i="46" s="1"/>
  <c r="D94" i="46"/>
  <c r="C94" i="46"/>
  <c r="B94" i="46"/>
  <c r="AG92" i="46"/>
  <c r="L92" i="25" s="1"/>
  <c r="AG91" i="46"/>
  <c r="L91" i="25" s="1"/>
  <c r="AG90" i="46"/>
  <c r="L90" i="25" s="1"/>
  <c r="AG89" i="46"/>
  <c r="L89" i="25" s="1"/>
  <c r="AG88" i="46"/>
  <c r="L88" i="25" s="1"/>
  <c r="AF87" i="46"/>
  <c r="AE87" i="46"/>
  <c r="AD87" i="46"/>
  <c r="AC87" i="46"/>
  <c r="AB87" i="46"/>
  <c r="AA87" i="46"/>
  <c r="Z87" i="46"/>
  <c r="Y87" i="46"/>
  <c r="X87" i="46"/>
  <c r="W87" i="46"/>
  <c r="V87" i="46"/>
  <c r="U87" i="46"/>
  <c r="T87" i="46"/>
  <c r="S87" i="46"/>
  <c r="R87" i="46"/>
  <c r="Q87" i="46"/>
  <c r="P87" i="46"/>
  <c r="O87" i="46"/>
  <c r="N87" i="46"/>
  <c r="M87" i="46"/>
  <c r="L87" i="46"/>
  <c r="K87" i="46"/>
  <c r="J87" i="46"/>
  <c r="I87" i="46"/>
  <c r="H87" i="46"/>
  <c r="G87" i="46"/>
  <c r="F87" i="46"/>
  <c r="E87" i="46"/>
  <c r="D87" i="46"/>
  <c r="C87" i="46"/>
  <c r="B87" i="46"/>
  <c r="AG86" i="46"/>
  <c r="L86" i="25" s="1"/>
  <c r="AG85" i="46"/>
  <c r="L85" i="25" s="1"/>
  <c r="AF84" i="46"/>
  <c r="AE84" i="46"/>
  <c r="AD84" i="46"/>
  <c r="AC84" i="46"/>
  <c r="AB84" i="46"/>
  <c r="AA84" i="46"/>
  <c r="Z84" i="46"/>
  <c r="Y84" i="46"/>
  <c r="X84" i="46"/>
  <c r="W84" i="46"/>
  <c r="V84" i="46"/>
  <c r="U84" i="46"/>
  <c r="T84" i="46"/>
  <c r="S84" i="46"/>
  <c r="R84" i="46"/>
  <c r="Q84" i="46"/>
  <c r="P84" i="46"/>
  <c r="O84" i="46"/>
  <c r="N84" i="46"/>
  <c r="M84" i="46"/>
  <c r="L84" i="46"/>
  <c r="K84" i="46"/>
  <c r="J84" i="46"/>
  <c r="I84" i="46"/>
  <c r="H84" i="46"/>
  <c r="G84" i="46"/>
  <c r="F84" i="46"/>
  <c r="E84" i="46"/>
  <c r="D84" i="46"/>
  <c r="C84" i="46"/>
  <c r="B84" i="46"/>
  <c r="AD83" i="46"/>
  <c r="AF82" i="46"/>
  <c r="AF83" i="46" s="1"/>
  <c r="AF81" i="46" s="1"/>
  <c r="AE82" i="46"/>
  <c r="AE83" i="46" s="1"/>
  <c r="AE81" i="46" s="1"/>
  <c r="AC83" i="46"/>
  <c r="AB82" i="46"/>
  <c r="AB83" i="46" s="1"/>
  <c r="AB81" i="46" s="1"/>
  <c r="AA82" i="46"/>
  <c r="AA83" i="46" s="1"/>
  <c r="Z82" i="46"/>
  <c r="Y82" i="46"/>
  <c r="Y83" i="46" s="1"/>
  <c r="X82" i="46"/>
  <c r="X83" i="46" s="1"/>
  <c r="X81" i="46" s="1"/>
  <c r="W83" i="46"/>
  <c r="W81" i="46" s="1"/>
  <c r="U82" i="46"/>
  <c r="U83" i="46" s="1"/>
  <c r="T82" i="46"/>
  <c r="T83" i="46" s="1"/>
  <c r="T81" i="46" s="1"/>
  <c r="S82" i="46"/>
  <c r="S83" i="46" s="1"/>
  <c r="R82" i="46"/>
  <c r="Q82" i="46"/>
  <c r="Q83" i="46" s="1"/>
  <c r="P83" i="46"/>
  <c r="P81" i="46" s="1"/>
  <c r="O83" i="46"/>
  <c r="O81" i="46" s="1"/>
  <c r="N82" i="46"/>
  <c r="N83" i="46" s="1"/>
  <c r="M82" i="46"/>
  <c r="M83" i="46" s="1"/>
  <c r="L82" i="46"/>
  <c r="L83" i="46" s="1"/>
  <c r="L81" i="46" s="1"/>
  <c r="K82" i="46"/>
  <c r="K83" i="46" s="1"/>
  <c r="J82" i="46"/>
  <c r="I83" i="46"/>
  <c r="H83" i="46"/>
  <c r="H81" i="46" s="1"/>
  <c r="G82" i="46"/>
  <c r="G83" i="46" s="1"/>
  <c r="G81" i="46" s="1"/>
  <c r="F82" i="46"/>
  <c r="E82" i="46"/>
  <c r="E83" i="46" s="1"/>
  <c r="D82" i="46"/>
  <c r="D83" i="46" s="1"/>
  <c r="D81" i="46" s="1"/>
  <c r="C82" i="46"/>
  <c r="C83" i="46" s="1"/>
  <c r="C81" i="46"/>
  <c r="AF80" i="46"/>
  <c r="AF79" i="46" s="1"/>
  <c r="AF78" i="46" s="1"/>
  <c r="AC80" i="46"/>
  <c r="AC79" i="46" s="1"/>
  <c r="AC78" i="46" s="1"/>
  <c r="AB80" i="46"/>
  <c r="AB79" i="46" s="1"/>
  <c r="AB78" i="46" s="1"/>
  <c r="AA80" i="46"/>
  <c r="AA79" i="46" s="1"/>
  <c r="AA78" i="46" s="1"/>
  <c r="Y80" i="46"/>
  <c r="Y79" i="46" s="1"/>
  <c r="Y78" i="46" s="1"/>
  <c r="V80" i="46"/>
  <c r="V79" i="46" s="1"/>
  <c r="V78" i="46" s="1"/>
  <c r="U80" i="46"/>
  <c r="U79" i="46" s="1"/>
  <c r="U78" i="46" s="1"/>
  <c r="T80" i="46"/>
  <c r="T79" i="46" s="1"/>
  <c r="T78" i="46" s="1"/>
  <c r="S80" i="46"/>
  <c r="S79" i="46" s="1"/>
  <c r="S78" i="46" s="1"/>
  <c r="R80" i="46"/>
  <c r="R79" i="46" s="1"/>
  <c r="R78" i="46" s="1"/>
  <c r="O80" i="46"/>
  <c r="O79" i="46" s="1"/>
  <c r="O78" i="46" s="1"/>
  <c r="N80" i="46"/>
  <c r="N79" i="46" s="1"/>
  <c r="N78" i="46" s="1"/>
  <c r="M80" i="46"/>
  <c r="M79" i="46" s="1"/>
  <c r="M78" i="46" s="1"/>
  <c r="H80" i="46"/>
  <c r="H79" i="46" s="1"/>
  <c r="H78" i="46" s="1"/>
  <c r="G80" i="46"/>
  <c r="G79" i="46" s="1"/>
  <c r="G78" i="46" s="1"/>
  <c r="F80" i="46"/>
  <c r="F79" i="46" s="1"/>
  <c r="F78" i="46" s="1"/>
  <c r="AE79" i="46"/>
  <c r="AE78" i="46" s="1"/>
  <c r="AD79" i="46"/>
  <c r="AD78" i="46" s="1"/>
  <c r="Z79" i="46"/>
  <c r="Z78" i="46" s="1"/>
  <c r="X79" i="46"/>
  <c r="X78" i="46" s="1"/>
  <c r="W79" i="46"/>
  <c r="W78" i="46" s="1"/>
  <c r="Q79" i="46"/>
  <c r="Q78" i="46" s="1"/>
  <c r="P79" i="46"/>
  <c r="P78" i="46" s="1"/>
  <c r="L79" i="46"/>
  <c r="L78" i="46" s="1"/>
  <c r="K79" i="46"/>
  <c r="K78" i="46" s="1"/>
  <c r="J79" i="46"/>
  <c r="J78" i="46" s="1"/>
  <c r="I79" i="46"/>
  <c r="I78" i="46" s="1"/>
  <c r="E79" i="46"/>
  <c r="E78" i="46" s="1"/>
  <c r="D79" i="46"/>
  <c r="D78" i="46" s="1"/>
  <c r="C79" i="46"/>
  <c r="C78" i="46" s="1"/>
  <c r="B79" i="46"/>
  <c r="B78" i="46"/>
  <c r="AG77" i="46"/>
  <c r="L77" i="25" s="1"/>
  <c r="AG76" i="46"/>
  <c r="L76" i="25" s="1"/>
  <c r="AG75" i="46"/>
  <c r="L75" i="25" s="1"/>
  <c r="AG74" i="46"/>
  <c r="L74" i="25" s="1"/>
  <c r="AG73" i="46"/>
  <c r="L73" i="25" s="1"/>
  <c r="AG72" i="46"/>
  <c r="L72" i="25" s="1"/>
  <c r="AG71" i="46"/>
  <c r="L71" i="25" s="1"/>
  <c r="AG70" i="46"/>
  <c r="L70" i="25" s="1"/>
  <c r="AG69" i="46"/>
  <c r="L69" i="25" s="1"/>
  <c r="AG68" i="46"/>
  <c r="L68" i="25" s="1"/>
  <c r="AG67" i="46"/>
  <c r="L67" i="25" s="1"/>
  <c r="AG66" i="46"/>
  <c r="L66" i="25" s="1"/>
  <c r="AG65" i="46"/>
  <c r="L65" i="25" s="1"/>
  <c r="AG64" i="46"/>
  <c r="L64" i="25" s="1"/>
  <c r="AG63" i="46"/>
  <c r="L63" i="25" s="1"/>
  <c r="AG62" i="46"/>
  <c r="L62" i="25" s="1"/>
  <c r="AG61" i="46"/>
  <c r="L61" i="25" s="1"/>
  <c r="AG60" i="46"/>
  <c r="L60" i="25" s="1"/>
  <c r="AG59" i="46"/>
  <c r="L59" i="25" s="1"/>
  <c r="AG58" i="46"/>
  <c r="L58" i="25" s="1"/>
  <c r="AG57" i="46"/>
  <c r="L57" i="25" s="1"/>
  <c r="AG56" i="46"/>
  <c r="L56" i="25" s="1"/>
  <c r="AG55" i="46"/>
  <c r="L55" i="25" s="1"/>
  <c r="AG54" i="46"/>
  <c r="L54" i="25" s="1"/>
  <c r="AF53" i="46"/>
  <c r="AE53" i="46"/>
  <c r="AD53" i="46"/>
  <c r="AC53" i="46"/>
  <c r="AB53" i="46"/>
  <c r="AA53" i="46"/>
  <c r="Z53" i="46"/>
  <c r="Y53" i="46"/>
  <c r="X53" i="46"/>
  <c r="W53" i="46"/>
  <c r="V53" i="46"/>
  <c r="U53" i="46"/>
  <c r="T53" i="46"/>
  <c r="S53" i="46"/>
  <c r="R53" i="46"/>
  <c r="Q53" i="46"/>
  <c r="P53" i="46"/>
  <c r="O53" i="46"/>
  <c r="N53" i="46"/>
  <c r="M53" i="46"/>
  <c r="L53" i="46"/>
  <c r="K53" i="46"/>
  <c r="J53" i="46"/>
  <c r="I53" i="46"/>
  <c r="H53" i="46"/>
  <c r="G53" i="46"/>
  <c r="F53" i="46"/>
  <c r="E53" i="46"/>
  <c r="D53" i="46"/>
  <c r="C53" i="46"/>
  <c r="B53" i="46"/>
  <c r="AG52" i="46"/>
  <c r="L52" i="25" s="1"/>
  <c r="AG51" i="46"/>
  <c r="L51" i="25" s="1"/>
  <c r="AG50" i="46"/>
  <c r="L50" i="25" s="1"/>
  <c r="AG49" i="46"/>
  <c r="L49" i="25" s="1"/>
  <c r="AG48" i="46"/>
  <c r="L48" i="25" s="1"/>
  <c r="AG47" i="46"/>
  <c r="L47" i="25" s="1"/>
  <c r="AG46" i="46"/>
  <c r="L46" i="25" s="1"/>
  <c r="AG45" i="46"/>
  <c r="L45" i="25" s="1"/>
  <c r="AG44" i="46"/>
  <c r="L44" i="25" s="1"/>
  <c r="AG43" i="46"/>
  <c r="L43" i="25" s="1"/>
  <c r="AG42" i="46"/>
  <c r="L42" i="25" s="1"/>
  <c r="AG41" i="46"/>
  <c r="L41" i="25" s="1"/>
  <c r="AG40" i="46"/>
  <c r="L40" i="25" s="1"/>
  <c r="AG39" i="46"/>
  <c r="L39" i="25" s="1"/>
  <c r="AG38" i="46"/>
  <c r="L38" i="25" s="1"/>
  <c r="AG37" i="46"/>
  <c r="L37" i="25" s="1"/>
  <c r="AG36" i="46"/>
  <c r="L36" i="25" s="1"/>
  <c r="AG35" i="46"/>
  <c r="L35" i="25" s="1"/>
  <c r="AG34" i="46"/>
  <c r="L34" i="25" s="1"/>
  <c r="AG33" i="46"/>
  <c r="L33" i="25" s="1"/>
  <c r="AG32" i="46"/>
  <c r="L32" i="25" s="1"/>
  <c r="AG31" i="46"/>
  <c r="L31" i="25" s="1"/>
  <c r="AG30" i="46"/>
  <c r="L30" i="25" s="1"/>
  <c r="AG29" i="46"/>
  <c r="L29" i="25" s="1"/>
  <c r="AF28" i="46"/>
  <c r="AE28" i="46"/>
  <c r="AD28" i="46"/>
  <c r="AC28" i="46"/>
  <c r="AB28" i="46"/>
  <c r="AA28" i="46"/>
  <c r="Z28" i="46"/>
  <c r="Y28" i="46"/>
  <c r="X28" i="46"/>
  <c r="W28" i="46"/>
  <c r="V28" i="46"/>
  <c r="U28" i="46"/>
  <c r="T28" i="46"/>
  <c r="S28" i="46"/>
  <c r="R28" i="46"/>
  <c r="Q28" i="46"/>
  <c r="P28" i="46"/>
  <c r="O28" i="46"/>
  <c r="N28" i="46"/>
  <c r="M28" i="46"/>
  <c r="L28" i="46"/>
  <c r="K28" i="46"/>
  <c r="J28" i="46"/>
  <c r="I28" i="46"/>
  <c r="H28" i="46"/>
  <c r="G28" i="46"/>
  <c r="F28" i="46"/>
  <c r="E28" i="46"/>
  <c r="D28" i="46"/>
  <c r="C28" i="46"/>
  <c r="B28" i="46"/>
  <c r="AG27" i="46"/>
  <c r="L27" i="25" s="1"/>
  <c r="AG26" i="46"/>
  <c r="L26" i="25" s="1"/>
  <c r="AG25" i="46"/>
  <c r="L25" i="25" s="1"/>
  <c r="AG24" i="46"/>
  <c r="L24" i="25" s="1"/>
  <c r="AG23" i="46"/>
  <c r="L23" i="25" s="1"/>
  <c r="AG22" i="46"/>
  <c r="L22" i="25" s="1"/>
  <c r="AG21" i="46"/>
  <c r="L21" i="25" s="1"/>
  <c r="AG20" i="46"/>
  <c r="L20" i="25" s="1"/>
  <c r="AG19" i="46"/>
  <c r="L19" i="25" s="1"/>
  <c r="AG18" i="46"/>
  <c r="L18" i="25" s="1"/>
  <c r="AG17" i="46"/>
  <c r="L17" i="25" s="1"/>
  <c r="AG16" i="46"/>
  <c r="L16" i="25" s="1"/>
  <c r="AG15" i="46"/>
  <c r="L15" i="25" s="1"/>
  <c r="AG14" i="46"/>
  <c r="L14" i="25" s="1"/>
  <c r="AG13" i="46"/>
  <c r="L13" i="25" s="1"/>
  <c r="AG12" i="46"/>
  <c r="L12" i="25" s="1"/>
  <c r="AG11" i="46"/>
  <c r="L11" i="25" s="1"/>
  <c r="AG10" i="46"/>
  <c r="L10" i="25" s="1"/>
  <c r="AG9" i="46"/>
  <c r="L9" i="25" s="1"/>
  <c r="AG8" i="46"/>
  <c r="L8" i="25" s="1"/>
  <c r="AG7" i="46"/>
  <c r="L7" i="25" s="1"/>
  <c r="AG6" i="46"/>
  <c r="L6" i="25" s="1"/>
  <c r="AG5" i="46"/>
  <c r="L5" i="25" s="1"/>
  <c r="AG4" i="46"/>
  <c r="L4" i="25" s="1"/>
  <c r="AF3" i="46"/>
  <c r="AE3" i="46"/>
  <c r="AD3" i="46"/>
  <c r="AC3" i="46"/>
  <c r="AB3" i="46"/>
  <c r="AA3" i="46"/>
  <c r="Z3" i="46"/>
  <c r="Y3" i="46"/>
  <c r="X3" i="46"/>
  <c r="W3" i="46"/>
  <c r="V3" i="46"/>
  <c r="U3" i="46"/>
  <c r="T3" i="46"/>
  <c r="S3" i="46"/>
  <c r="R3" i="46"/>
  <c r="Q3" i="46"/>
  <c r="P3" i="46"/>
  <c r="O3" i="46"/>
  <c r="N3" i="46"/>
  <c r="M3" i="46"/>
  <c r="L3" i="46"/>
  <c r="K3" i="46"/>
  <c r="J3" i="46"/>
  <c r="I3" i="46"/>
  <c r="H3" i="46"/>
  <c r="G3" i="46"/>
  <c r="F3" i="46"/>
  <c r="E3" i="46"/>
  <c r="D3" i="46"/>
  <c r="C3" i="46"/>
  <c r="B3" i="46"/>
  <c r="AC2" i="46"/>
  <c r="C2" i="46"/>
  <c r="D2" i="46" s="1"/>
  <c r="E2" i="46" s="1"/>
  <c r="F2" i="46" s="1"/>
  <c r="G2" i="46" s="1"/>
  <c r="H2" i="46" s="1"/>
  <c r="I2" i="46" s="1"/>
  <c r="J2" i="46" s="1"/>
  <c r="K2" i="46" s="1"/>
  <c r="L2" i="46" s="1"/>
  <c r="M2" i="46" s="1"/>
  <c r="N2" i="46" s="1"/>
  <c r="O2" i="46" s="1"/>
  <c r="P2" i="46" s="1"/>
  <c r="Q2" i="46" s="1"/>
  <c r="R2" i="46" s="1"/>
  <c r="S2" i="46" s="1"/>
  <c r="T2" i="46" s="1"/>
  <c r="U2" i="46" s="1"/>
  <c r="V2" i="46" s="1"/>
  <c r="W2" i="46" s="1"/>
  <c r="X2" i="46" s="1"/>
  <c r="Y2" i="46" s="1"/>
  <c r="Z2" i="46" s="1"/>
  <c r="AA2" i="46" s="1"/>
  <c r="AF143" i="45"/>
  <c r="AF142" i="45"/>
  <c r="AF129" i="45"/>
  <c r="Z144" i="46" l="1"/>
  <c r="J144" i="46"/>
  <c r="L93" i="46"/>
  <c r="AF93" i="46"/>
  <c r="AE144" i="46"/>
  <c r="K93" i="46"/>
  <c r="AE93" i="46"/>
  <c r="M93" i="46"/>
  <c r="AG238" i="46"/>
  <c r="L238" i="25" s="1"/>
  <c r="N93" i="46"/>
  <c r="P144" i="46"/>
  <c r="S93" i="46"/>
  <c r="R144" i="46"/>
  <c r="H144" i="46"/>
  <c r="S81" i="46"/>
  <c r="Q144" i="46"/>
  <c r="T93" i="46"/>
  <c r="I144" i="46"/>
  <c r="O93" i="46"/>
  <c r="AD93" i="46"/>
  <c r="C93" i="46"/>
  <c r="W93" i="46"/>
  <c r="B144" i="46"/>
  <c r="V144" i="46"/>
  <c r="F144" i="46"/>
  <c r="X93" i="46"/>
  <c r="B93" i="46"/>
  <c r="B130" i="46"/>
  <c r="AD144" i="46"/>
  <c r="Y93" i="46"/>
  <c r="AG242" i="46"/>
  <c r="L242" i="25" s="1"/>
  <c r="AG234" i="46"/>
  <c r="L234" i="25" s="1"/>
  <c r="M144" i="46"/>
  <c r="AG147" i="46"/>
  <c r="L147" i="25" s="1"/>
  <c r="AC144" i="46"/>
  <c r="AA81" i="46"/>
  <c r="AB93" i="46"/>
  <c r="S144" i="46"/>
  <c r="K144" i="46"/>
  <c r="K81" i="46"/>
  <c r="J93" i="46"/>
  <c r="I93" i="46"/>
  <c r="AG220" i="46"/>
  <c r="L220" i="25" s="1"/>
  <c r="AG167" i="46"/>
  <c r="L167" i="25" s="1"/>
  <c r="AG179" i="46"/>
  <c r="L179" i="25" s="1"/>
  <c r="AG174" i="46"/>
  <c r="L174" i="25" s="1"/>
  <c r="D144" i="46"/>
  <c r="AG206" i="46"/>
  <c r="L206" i="25" s="1"/>
  <c r="C144" i="46"/>
  <c r="AG158" i="46"/>
  <c r="L158" i="25" s="1"/>
  <c r="AG84" i="46"/>
  <c r="L84" i="25" s="1"/>
  <c r="AG145" i="46"/>
  <c r="L145" i="25" s="1"/>
  <c r="AG116" i="46"/>
  <c r="L116" i="25" s="1"/>
  <c r="AG53" i="46"/>
  <c r="L53" i="25" s="1"/>
  <c r="AG28" i="46"/>
  <c r="L28" i="25" s="1"/>
  <c r="AG3" i="46"/>
  <c r="L3" i="25" s="1"/>
  <c r="AG78" i="46"/>
  <c r="L78" i="25" s="1"/>
  <c r="AG80" i="46"/>
  <c r="L80" i="25" s="1"/>
  <c r="AG82" i="46"/>
  <c r="L82" i="25" s="1"/>
  <c r="N81" i="46"/>
  <c r="AD81" i="46"/>
  <c r="F83" i="46"/>
  <c r="F81" i="46" s="1"/>
  <c r="V83" i="46"/>
  <c r="V81" i="46" s="1"/>
  <c r="J83" i="46"/>
  <c r="J81" i="46" s="1"/>
  <c r="Z83" i="46"/>
  <c r="Z81" i="46" s="1"/>
  <c r="AG87" i="46"/>
  <c r="L87" i="25" s="1"/>
  <c r="AG100" i="46"/>
  <c r="L100" i="25" s="1"/>
  <c r="AG79" i="46"/>
  <c r="L79" i="25" s="1"/>
  <c r="B83" i="46"/>
  <c r="R83" i="46"/>
  <c r="R81" i="46" s="1"/>
  <c r="D93" i="46"/>
  <c r="AG94" i="46"/>
  <c r="L94" i="25" s="1"/>
  <c r="AG130" i="46"/>
  <c r="L130" i="25" s="1"/>
  <c r="AG148" i="46"/>
  <c r="E81" i="46"/>
  <c r="I81" i="46"/>
  <c r="M81" i="46"/>
  <c r="Q81" i="46"/>
  <c r="U81" i="46"/>
  <c r="Y81" i="46"/>
  <c r="AC81" i="46"/>
  <c r="AE143" i="45"/>
  <c r="AE142" i="45"/>
  <c r="AE137" i="45"/>
  <c r="AE129" i="45"/>
  <c r="AD143" i="45"/>
  <c r="AD142" i="45"/>
  <c r="AD117" i="45"/>
  <c r="AC143" i="45"/>
  <c r="AC142" i="45"/>
  <c r="AC129" i="45"/>
  <c r="AG146" i="46" l="1"/>
  <c r="L146" i="25" s="1"/>
  <c r="L148" i="25"/>
  <c r="AG144" i="46"/>
  <c r="L144" i="25" s="1"/>
  <c r="AG93" i="46"/>
  <c r="L93" i="25" s="1"/>
  <c r="AG83" i="46"/>
  <c r="AH87" i="46"/>
  <c r="B81" i="46"/>
  <c r="AG81" i="46" s="1"/>
  <c r="AB143" i="45"/>
  <c r="AB142" i="45"/>
  <c r="AB134" i="45"/>
  <c r="AB129" i="45"/>
  <c r="AH81" i="46" l="1"/>
  <c r="L81" i="25"/>
  <c r="AH84" i="46"/>
  <c r="L83" i="25"/>
  <c r="AH144" i="46"/>
  <c r="AH206" i="46"/>
  <c r="AH93" i="46"/>
  <c r="AH130" i="46"/>
  <c r="AA143" i="45"/>
  <c r="AA142" i="45"/>
  <c r="AA137" i="45"/>
  <c r="AA129" i="45"/>
  <c r="Z143" i="45"/>
  <c r="Z142" i="45"/>
  <c r="Z129" i="45"/>
  <c r="Y143" i="45"/>
  <c r="Y142" i="45"/>
  <c r="Y137" i="45"/>
  <c r="Y129" i="45"/>
  <c r="X143" i="45"/>
  <c r="X142" i="45"/>
  <c r="X137" i="45"/>
  <c r="X129" i="45"/>
  <c r="AG215" i="45" l="1"/>
  <c r="K217" i="25" s="1"/>
  <c r="N215" i="25"/>
  <c r="AG215" i="22"/>
  <c r="V213" i="45"/>
  <c r="W143" i="45" l="1"/>
  <c r="W137" i="45"/>
  <c r="W142" i="45"/>
  <c r="W129" i="45"/>
  <c r="V143" i="45" l="1"/>
  <c r="V134" i="45"/>
  <c r="V142" i="45"/>
  <c r="V137" i="45"/>
  <c r="V129" i="45" l="1"/>
  <c r="U143" i="45" l="1"/>
  <c r="U142" i="45"/>
  <c r="U137" i="45"/>
  <c r="U129" i="45"/>
  <c r="T143" i="45" l="1"/>
  <c r="T142" i="45"/>
  <c r="T137" i="45"/>
  <c r="T129" i="45"/>
  <c r="S173" i="45" l="1"/>
  <c r="S143" i="45"/>
  <c r="S142" i="45"/>
  <c r="S129" i="45"/>
  <c r="R143" i="45" l="1"/>
  <c r="R142" i="45"/>
  <c r="R129" i="45"/>
  <c r="Q143" i="45"/>
  <c r="Q142" i="45"/>
  <c r="Q137" i="45"/>
  <c r="Q129" i="45"/>
  <c r="P143" i="45"/>
  <c r="P142" i="45"/>
  <c r="P134" i="45"/>
  <c r="P137" i="45"/>
  <c r="P129" i="45"/>
  <c r="O143" i="45" l="1"/>
  <c r="O142" i="45"/>
  <c r="O137" i="45"/>
  <c r="O129" i="45"/>
  <c r="N143" i="45" l="1"/>
  <c r="N142" i="45"/>
  <c r="N137" i="45"/>
  <c r="N129" i="45"/>
  <c r="M143" i="45" l="1"/>
  <c r="M142" i="45"/>
  <c r="M129" i="45"/>
  <c r="L143" i="45" l="1"/>
  <c r="L134" i="45"/>
  <c r="L142" i="45"/>
  <c r="L137" i="45"/>
  <c r="L129" i="45"/>
  <c r="K143" i="45"/>
  <c r="K142" i="45"/>
  <c r="K129" i="45"/>
  <c r="J143" i="45"/>
  <c r="J142" i="45"/>
  <c r="J134" i="45"/>
  <c r="J129" i="45"/>
  <c r="I143" i="45" l="1"/>
  <c r="I142" i="45"/>
  <c r="I129" i="45"/>
  <c r="H143" i="45" l="1"/>
  <c r="H142" i="45"/>
  <c r="H137" i="45"/>
  <c r="H129" i="45"/>
  <c r="G143" i="45" l="1"/>
  <c r="G142" i="45"/>
  <c r="G134" i="45"/>
  <c r="G137" i="45"/>
  <c r="G129" i="45"/>
  <c r="F143" i="45" l="1"/>
  <c r="F142" i="45"/>
  <c r="F129" i="45"/>
  <c r="J246" i="25" l="1"/>
  <c r="J245" i="25"/>
  <c r="J244" i="25"/>
  <c r="J221" i="25"/>
  <c r="E143" i="45" l="1"/>
  <c r="E142" i="45"/>
  <c r="E134" i="45"/>
  <c r="E137" i="45"/>
  <c r="E129" i="45"/>
  <c r="D142" i="45" l="1"/>
  <c r="D137" i="45"/>
  <c r="D129" i="45"/>
  <c r="C143" i="45"/>
  <c r="C142" i="45"/>
  <c r="C134" i="45"/>
  <c r="C137" i="45"/>
  <c r="C130" i="45" s="1"/>
  <c r="C129" i="45"/>
  <c r="C116" i="45" s="1"/>
  <c r="B143" i="45"/>
  <c r="B142" i="45"/>
  <c r="AG142" i="45" s="1"/>
  <c r="K142" i="25" s="1"/>
  <c r="B129" i="45"/>
  <c r="B116" i="45" s="1"/>
  <c r="AG249" i="45"/>
  <c r="AG248" i="45"/>
  <c r="K250" i="25" s="1"/>
  <c r="AG247" i="45"/>
  <c r="K249" i="25" s="1"/>
  <c r="AG246" i="45"/>
  <c r="K248" i="25" s="1"/>
  <c r="AG242" i="45"/>
  <c r="K244" i="25" s="1"/>
  <c r="AF241" i="45"/>
  <c r="AE241" i="45"/>
  <c r="AD241" i="45"/>
  <c r="AC241" i="45"/>
  <c r="AB241" i="45"/>
  <c r="AA241" i="45"/>
  <c r="Z241" i="45"/>
  <c r="Y241" i="45"/>
  <c r="X241" i="45"/>
  <c r="W241" i="45"/>
  <c r="V241" i="45"/>
  <c r="U241" i="45"/>
  <c r="T241" i="45"/>
  <c r="S241" i="45"/>
  <c r="R241" i="45"/>
  <c r="Q241" i="45"/>
  <c r="P241" i="45"/>
  <c r="O241" i="45"/>
  <c r="N241" i="45"/>
  <c r="M241" i="45"/>
  <c r="L241" i="45"/>
  <c r="K241" i="45"/>
  <c r="J241" i="45"/>
  <c r="I241" i="45"/>
  <c r="H241" i="45"/>
  <c r="G241" i="45"/>
  <c r="F241" i="45"/>
  <c r="E241" i="45"/>
  <c r="D241" i="45"/>
  <c r="C241" i="45"/>
  <c r="B241" i="45"/>
  <c r="AG240" i="45"/>
  <c r="K242" i="25" s="1"/>
  <c r="AG239" i="45"/>
  <c r="K241" i="25" s="1"/>
  <c r="AG238" i="45"/>
  <c r="K240" i="25" s="1"/>
  <c r="AF237" i="45"/>
  <c r="AE237" i="45"/>
  <c r="AD237" i="45"/>
  <c r="AC237" i="45"/>
  <c r="AB237" i="45"/>
  <c r="AA237" i="45"/>
  <c r="Z237" i="45"/>
  <c r="Y237" i="45"/>
  <c r="X237" i="45"/>
  <c r="W237" i="45"/>
  <c r="V237" i="45"/>
  <c r="U237" i="45"/>
  <c r="T237" i="45"/>
  <c r="S237" i="45"/>
  <c r="R237" i="45"/>
  <c r="Q237" i="45"/>
  <c r="P237" i="45"/>
  <c r="O237" i="45"/>
  <c r="N237" i="45"/>
  <c r="M237" i="45"/>
  <c r="L237" i="45"/>
  <c r="K237" i="45"/>
  <c r="J237" i="45"/>
  <c r="I237" i="45"/>
  <c r="H237" i="45"/>
  <c r="G237" i="45"/>
  <c r="F237" i="45"/>
  <c r="E237" i="45"/>
  <c r="D237" i="45"/>
  <c r="C237" i="45"/>
  <c r="B237" i="45"/>
  <c r="AG236" i="45"/>
  <c r="K238" i="25" s="1"/>
  <c r="AG235" i="45"/>
  <c r="K237" i="25" s="1"/>
  <c r="AG234" i="45"/>
  <c r="K236" i="25" s="1"/>
  <c r="AF233" i="45"/>
  <c r="AE233" i="45"/>
  <c r="AD233" i="45"/>
  <c r="AC233" i="45"/>
  <c r="AB233" i="45"/>
  <c r="AA233" i="45"/>
  <c r="Z233" i="45"/>
  <c r="Y233" i="45"/>
  <c r="X233" i="45"/>
  <c r="W233" i="45"/>
  <c r="V233" i="45"/>
  <c r="U233" i="45"/>
  <c r="T233" i="45"/>
  <c r="S233" i="45"/>
  <c r="R233" i="45"/>
  <c r="Q233" i="45"/>
  <c r="P233" i="45"/>
  <c r="O233" i="45"/>
  <c r="N233" i="45"/>
  <c r="M233" i="45"/>
  <c r="L233" i="45"/>
  <c r="K233" i="45"/>
  <c r="J233" i="45"/>
  <c r="I233" i="45"/>
  <c r="H233" i="45"/>
  <c r="G233" i="45"/>
  <c r="F233" i="45"/>
  <c r="E233" i="45"/>
  <c r="D233" i="45"/>
  <c r="C233" i="45"/>
  <c r="B233" i="45"/>
  <c r="AG232" i="45"/>
  <c r="K234" i="25" s="1"/>
  <c r="AG231" i="45"/>
  <c r="K233" i="25" s="1"/>
  <c r="AG230" i="45"/>
  <c r="K232" i="25" s="1"/>
  <c r="AG229" i="45"/>
  <c r="K231" i="25" s="1"/>
  <c r="AG228" i="45"/>
  <c r="K230" i="25" s="1"/>
  <c r="AG227" i="45"/>
  <c r="K229" i="25" s="1"/>
  <c r="AG226" i="45"/>
  <c r="K228" i="25" s="1"/>
  <c r="AG225" i="45"/>
  <c r="K227" i="25" s="1"/>
  <c r="AG224" i="45"/>
  <c r="K226" i="25" s="1"/>
  <c r="AG223" i="45"/>
  <c r="K225" i="25" s="1"/>
  <c r="AG222" i="45"/>
  <c r="K224" i="25" s="1"/>
  <c r="AG221" i="45"/>
  <c r="K223" i="25" s="1"/>
  <c r="AF219" i="45"/>
  <c r="AE219" i="45"/>
  <c r="AD219" i="45"/>
  <c r="AC219" i="45"/>
  <c r="AB219" i="45"/>
  <c r="AA219" i="45"/>
  <c r="Z219" i="45"/>
  <c r="Y219" i="45"/>
  <c r="X219" i="45"/>
  <c r="W219" i="45"/>
  <c r="V219" i="45"/>
  <c r="U219" i="45"/>
  <c r="T219" i="45"/>
  <c r="S219" i="45"/>
  <c r="R219" i="45"/>
  <c r="Q219" i="45"/>
  <c r="P219" i="45"/>
  <c r="O219" i="45"/>
  <c r="N219" i="45"/>
  <c r="M219" i="45"/>
  <c r="L219" i="45"/>
  <c r="K219" i="45"/>
  <c r="J219" i="45"/>
  <c r="I219" i="45"/>
  <c r="H219" i="45"/>
  <c r="G219" i="45"/>
  <c r="F219" i="45"/>
  <c r="E219" i="45"/>
  <c r="D219" i="45"/>
  <c r="C219" i="45"/>
  <c r="B219" i="45"/>
  <c r="AG218" i="45"/>
  <c r="K220" i="25" s="1"/>
  <c r="AG217" i="45"/>
  <c r="K219" i="25" s="1"/>
  <c r="AG216" i="45"/>
  <c r="K218" i="25" s="1"/>
  <c r="AG214" i="45"/>
  <c r="K214" i="25" s="1"/>
  <c r="AG213" i="45"/>
  <c r="K213" i="25" s="1"/>
  <c r="AG212" i="45"/>
  <c r="K212" i="25" s="1"/>
  <c r="AG211" i="45"/>
  <c r="K211" i="25" s="1"/>
  <c r="AG210" i="45"/>
  <c r="K210" i="25" s="1"/>
  <c r="AG209" i="45"/>
  <c r="K209" i="25" s="1"/>
  <c r="AG208" i="45"/>
  <c r="K208" i="25" s="1"/>
  <c r="AG207" i="45"/>
  <c r="K207" i="25" s="1"/>
  <c r="AF206" i="45"/>
  <c r="AE206" i="45"/>
  <c r="AD206" i="45"/>
  <c r="AC206" i="45"/>
  <c r="AB206" i="45"/>
  <c r="AA206" i="45"/>
  <c r="Z206" i="45"/>
  <c r="Y206" i="45"/>
  <c r="X206" i="45"/>
  <c r="W206" i="45"/>
  <c r="V206" i="45"/>
  <c r="U206" i="45"/>
  <c r="T206" i="45"/>
  <c r="S206" i="45"/>
  <c r="R206" i="45"/>
  <c r="Q206" i="45"/>
  <c r="P206" i="45"/>
  <c r="O206" i="45"/>
  <c r="N206" i="45"/>
  <c r="M206" i="45"/>
  <c r="L206" i="45"/>
  <c r="K206" i="45"/>
  <c r="J206" i="45"/>
  <c r="I206" i="45"/>
  <c r="H206" i="45"/>
  <c r="G206" i="45"/>
  <c r="F206" i="45"/>
  <c r="E206" i="45"/>
  <c r="D206" i="45"/>
  <c r="C206" i="45"/>
  <c r="B206" i="45"/>
  <c r="AG205" i="45"/>
  <c r="K205" i="25" s="1"/>
  <c r="AG204" i="45"/>
  <c r="K204" i="25" s="1"/>
  <c r="AG203" i="45"/>
  <c r="K203" i="25" s="1"/>
  <c r="AG202" i="45"/>
  <c r="K202" i="25" s="1"/>
  <c r="AG201" i="45"/>
  <c r="K201" i="25" s="1"/>
  <c r="AG200" i="45"/>
  <c r="K200" i="25" s="1"/>
  <c r="AG199" i="45"/>
  <c r="K199" i="25" s="1"/>
  <c r="AG198" i="45"/>
  <c r="K198" i="25" s="1"/>
  <c r="AG197" i="45"/>
  <c r="K197" i="25" s="1"/>
  <c r="AG196" i="45"/>
  <c r="K196" i="25" s="1"/>
  <c r="AG195" i="45"/>
  <c r="K195" i="25" s="1"/>
  <c r="AG194" i="45"/>
  <c r="K194" i="25" s="1"/>
  <c r="AG193" i="45"/>
  <c r="K193" i="25" s="1"/>
  <c r="AG192" i="45"/>
  <c r="K192" i="25" s="1"/>
  <c r="AG191" i="45"/>
  <c r="K191" i="25" s="1"/>
  <c r="AG190" i="45"/>
  <c r="K190" i="25" s="1"/>
  <c r="AG189" i="45"/>
  <c r="K189" i="25" s="1"/>
  <c r="AG188" i="45"/>
  <c r="K188" i="25" s="1"/>
  <c r="AG187" i="45"/>
  <c r="K187" i="25" s="1"/>
  <c r="AG186" i="45"/>
  <c r="K186" i="25" s="1"/>
  <c r="AG185" i="45"/>
  <c r="K185" i="25" s="1"/>
  <c r="AG184" i="45"/>
  <c r="K184" i="25" s="1"/>
  <c r="AG183" i="45"/>
  <c r="K183" i="25" s="1"/>
  <c r="AG182" i="45"/>
  <c r="K182" i="25" s="1"/>
  <c r="AG181" i="45"/>
  <c r="K181" i="25" s="1"/>
  <c r="AG180" i="45"/>
  <c r="K180" i="25" s="1"/>
  <c r="AF179" i="45"/>
  <c r="AE179" i="45"/>
  <c r="AD179" i="45"/>
  <c r="AC179" i="45"/>
  <c r="AB179" i="45"/>
  <c r="AA179" i="45"/>
  <c r="Z179" i="45"/>
  <c r="Y179" i="45"/>
  <c r="X179" i="45"/>
  <c r="W179" i="45"/>
  <c r="V179" i="45"/>
  <c r="U179" i="45"/>
  <c r="T179" i="45"/>
  <c r="S179" i="45"/>
  <c r="R179" i="45"/>
  <c r="Q179" i="45"/>
  <c r="P179" i="45"/>
  <c r="O179" i="45"/>
  <c r="N179" i="45"/>
  <c r="M179" i="45"/>
  <c r="L179" i="45"/>
  <c r="K179" i="45"/>
  <c r="J179" i="45"/>
  <c r="I179" i="45"/>
  <c r="H179" i="45"/>
  <c r="G179" i="45"/>
  <c r="F179" i="45"/>
  <c r="E179" i="45"/>
  <c r="D179" i="45"/>
  <c r="C179" i="45"/>
  <c r="B179" i="45"/>
  <c r="AG178" i="45"/>
  <c r="K178" i="25" s="1"/>
  <c r="AG177" i="45"/>
  <c r="K177" i="25" s="1"/>
  <c r="AG176" i="45"/>
  <c r="K176" i="25" s="1"/>
  <c r="AG175" i="45"/>
  <c r="K175" i="25" s="1"/>
  <c r="AF174" i="45"/>
  <c r="AE174" i="45"/>
  <c r="AD174" i="45"/>
  <c r="AC174" i="45"/>
  <c r="AB174" i="45"/>
  <c r="AA174" i="45"/>
  <c r="Z174" i="45"/>
  <c r="Y174" i="45"/>
  <c r="X174" i="45"/>
  <c r="W174" i="45"/>
  <c r="V174" i="45"/>
  <c r="U174" i="45"/>
  <c r="T174" i="45"/>
  <c r="S174" i="45"/>
  <c r="R174" i="45"/>
  <c r="Q174" i="45"/>
  <c r="P174" i="45"/>
  <c r="O174" i="45"/>
  <c r="N174" i="45"/>
  <c r="M174" i="45"/>
  <c r="L174" i="45"/>
  <c r="J174" i="45"/>
  <c r="I174" i="45"/>
  <c r="H174" i="45"/>
  <c r="G174" i="45"/>
  <c r="F174" i="45"/>
  <c r="E174" i="45"/>
  <c r="D174" i="45"/>
  <c r="C174" i="45"/>
  <c r="B174" i="45"/>
  <c r="AG173" i="45"/>
  <c r="K173" i="25" s="1"/>
  <c r="AG172" i="45"/>
  <c r="K172" i="25" s="1"/>
  <c r="AG171" i="45"/>
  <c r="K171" i="25" s="1"/>
  <c r="AG170" i="45"/>
  <c r="K170" i="25" s="1"/>
  <c r="AG169" i="45"/>
  <c r="K169" i="25" s="1"/>
  <c r="AG168" i="45"/>
  <c r="K168" i="25" s="1"/>
  <c r="AF167" i="45"/>
  <c r="AE167" i="45"/>
  <c r="AD167" i="45"/>
  <c r="AC167" i="45"/>
  <c r="AB167" i="45"/>
  <c r="AA167" i="45"/>
  <c r="Z167" i="45"/>
  <c r="Y167" i="45"/>
  <c r="X167" i="45"/>
  <c r="W167" i="45"/>
  <c r="V167" i="45"/>
  <c r="U167" i="45"/>
  <c r="T167" i="45"/>
  <c r="S167" i="45"/>
  <c r="R167" i="45"/>
  <c r="Q167" i="45"/>
  <c r="P167" i="45"/>
  <c r="O167" i="45"/>
  <c r="N167" i="45"/>
  <c r="M167" i="45"/>
  <c r="L167" i="45"/>
  <c r="K167" i="45"/>
  <c r="J167" i="45"/>
  <c r="I167" i="45"/>
  <c r="H167" i="45"/>
  <c r="G167" i="45"/>
  <c r="F167" i="45"/>
  <c r="E167" i="45"/>
  <c r="D167" i="45"/>
  <c r="C167" i="45"/>
  <c r="B167" i="45"/>
  <c r="AG166" i="45"/>
  <c r="K166" i="25" s="1"/>
  <c r="AG165" i="45"/>
  <c r="K165" i="25" s="1"/>
  <c r="AG164" i="45"/>
  <c r="K164" i="25" s="1"/>
  <c r="AG163" i="45"/>
  <c r="K163" i="25" s="1"/>
  <c r="AG162" i="45"/>
  <c r="K162" i="25" s="1"/>
  <c r="AG161" i="45"/>
  <c r="K161" i="25" s="1"/>
  <c r="AG160" i="45"/>
  <c r="K160" i="25" s="1"/>
  <c r="AG159" i="45"/>
  <c r="K159" i="25" s="1"/>
  <c r="AF158" i="45"/>
  <c r="AE158" i="45"/>
  <c r="AD158" i="45"/>
  <c r="AC158" i="45"/>
  <c r="AB158" i="45"/>
  <c r="AA158" i="45"/>
  <c r="Z158" i="45"/>
  <c r="Y158" i="45"/>
  <c r="X158" i="45"/>
  <c r="W158" i="45"/>
  <c r="V158" i="45"/>
  <c r="U158" i="45"/>
  <c r="T158" i="45"/>
  <c r="S158" i="45"/>
  <c r="R158" i="45"/>
  <c r="Q158" i="45"/>
  <c r="P158" i="45"/>
  <c r="O158" i="45"/>
  <c r="N158" i="45"/>
  <c r="M158" i="45"/>
  <c r="L158" i="45"/>
  <c r="K158" i="45"/>
  <c r="J158" i="45"/>
  <c r="I158" i="45"/>
  <c r="H158" i="45"/>
  <c r="G158" i="45"/>
  <c r="F158" i="45"/>
  <c r="E158" i="45"/>
  <c r="D158" i="45"/>
  <c r="C158" i="45"/>
  <c r="B158" i="45"/>
  <c r="AG157" i="45"/>
  <c r="K157" i="25" s="1"/>
  <c r="AG156" i="45"/>
  <c r="K156" i="25" s="1"/>
  <c r="AG155" i="45"/>
  <c r="K155" i="25" s="1"/>
  <c r="AG154" i="45"/>
  <c r="K154" i="25" s="1"/>
  <c r="AG153" i="45"/>
  <c r="K153" i="25" s="1"/>
  <c r="AG152" i="45"/>
  <c r="K152" i="25" s="1"/>
  <c r="AG151" i="45"/>
  <c r="K151" i="25" s="1"/>
  <c r="AG150" i="45"/>
  <c r="K150" i="25" s="1"/>
  <c r="AG149" i="45"/>
  <c r="K149" i="25" s="1"/>
  <c r="AF148" i="45"/>
  <c r="AF146" i="45" s="1"/>
  <c r="AE148" i="45"/>
  <c r="AE146" i="45" s="1"/>
  <c r="AD148" i="45"/>
  <c r="AD146" i="45" s="1"/>
  <c r="AD144" i="45" s="1"/>
  <c r="AC148" i="45"/>
  <c r="AC146" i="45" s="1"/>
  <c r="AC144" i="45" s="1"/>
  <c r="AB148" i="45"/>
  <c r="AB146" i="45" s="1"/>
  <c r="AA148" i="45"/>
  <c r="AA146" i="45" s="1"/>
  <c r="Z148" i="45"/>
  <c r="Y148" i="45"/>
  <c r="Y146" i="45" s="1"/>
  <c r="X148" i="45"/>
  <c r="X146" i="45" s="1"/>
  <c r="W148" i="45"/>
  <c r="W146" i="45" s="1"/>
  <c r="W144" i="45" s="1"/>
  <c r="V148" i="45"/>
  <c r="V146" i="45" s="1"/>
  <c r="V144" i="45" s="1"/>
  <c r="U148" i="45"/>
  <c r="U146" i="45" s="1"/>
  <c r="T148" i="45"/>
  <c r="T146" i="45" s="1"/>
  <c r="S148" i="45"/>
  <c r="S146" i="45" s="1"/>
  <c r="R148" i="45"/>
  <c r="R146" i="45" s="1"/>
  <c r="R144" i="45" s="1"/>
  <c r="Q148" i="45"/>
  <c r="Q146" i="45" s="1"/>
  <c r="P148" i="45"/>
  <c r="P146" i="45" s="1"/>
  <c r="P144" i="45" s="1"/>
  <c r="O148" i="45"/>
  <c r="O146" i="45" s="1"/>
  <c r="N148" i="45"/>
  <c r="N146" i="45" s="1"/>
  <c r="N144" i="45" s="1"/>
  <c r="M148" i="45"/>
  <c r="M146" i="45" s="1"/>
  <c r="M144" i="45" s="1"/>
  <c r="L148" i="45"/>
  <c r="L146" i="45" s="1"/>
  <c r="K148" i="45"/>
  <c r="K146" i="45" s="1"/>
  <c r="J148" i="45"/>
  <c r="J146" i="45" s="1"/>
  <c r="J144" i="45" s="1"/>
  <c r="I148" i="45"/>
  <c r="I146" i="45" s="1"/>
  <c r="I144" i="45" s="1"/>
  <c r="H148" i="45"/>
  <c r="H146" i="45" s="1"/>
  <c r="G148" i="45"/>
  <c r="G146" i="45" s="1"/>
  <c r="F148" i="45"/>
  <c r="E148" i="45"/>
  <c r="E146" i="45" s="1"/>
  <c r="D148" i="45"/>
  <c r="D146" i="45" s="1"/>
  <c r="C148" i="45"/>
  <c r="C146" i="45" s="1"/>
  <c r="B148" i="45"/>
  <c r="B146" i="45" s="1"/>
  <c r="B144" i="45" s="1"/>
  <c r="AE147" i="45"/>
  <c r="AD147" i="45"/>
  <c r="AC147" i="45"/>
  <c r="AB147" i="45"/>
  <c r="AA147" i="45"/>
  <c r="Z147" i="45"/>
  <c r="Y147" i="45"/>
  <c r="X147" i="45"/>
  <c r="W147" i="45"/>
  <c r="V147" i="45"/>
  <c r="U147" i="45"/>
  <c r="T147" i="45"/>
  <c r="S147" i="45"/>
  <c r="R147" i="45"/>
  <c r="Q147" i="45"/>
  <c r="P147" i="45"/>
  <c r="O147" i="45"/>
  <c r="N147" i="45"/>
  <c r="M147" i="45"/>
  <c r="L147" i="45"/>
  <c r="K147" i="45"/>
  <c r="J147" i="45"/>
  <c r="I147" i="45"/>
  <c r="H147" i="45"/>
  <c r="G147" i="45"/>
  <c r="F147" i="45"/>
  <c r="E147" i="45"/>
  <c r="D147" i="45"/>
  <c r="C147" i="45"/>
  <c r="B147" i="45"/>
  <c r="Z146" i="45"/>
  <c r="Z144" i="45" s="1"/>
  <c r="F146" i="45"/>
  <c r="F144" i="45" s="1"/>
  <c r="AF145" i="45"/>
  <c r="AE145" i="45"/>
  <c r="AD145" i="45"/>
  <c r="AC145" i="45"/>
  <c r="AB145" i="45"/>
  <c r="AA145" i="45"/>
  <c r="Z145" i="45"/>
  <c r="Y145" i="45"/>
  <c r="X145" i="45"/>
  <c r="W145" i="45"/>
  <c r="V145" i="45"/>
  <c r="U145" i="45"/>
  <c r="T145" i="45"/>
  <c r="S145" i="45"/>
  <c r="R145" i="45"/>
  <c r="Q145" i="45"/>
  <c r="P145" i="45"/>
  <c r="O145" i="45"/>
  <c r="N145" i="45"/>
  <c r="M145" i="45"/>
  <c r="L145" i="45"/>
  <c r="K145" i="45"/>
  <c r="J145" i="45"/>
  <c r="I145" i="45"/>
  <c r="H145" i="45"/>
  <c r="G145" i="45"/>
  <c r="F145" i="45"/>
  <c r="E145" i="45"/>
  <c r="D145" i="45"/>
  <c r="C145" i="45"/>
  <c r="B145" i="45"/>
  <c r="AG141" i="45"/>
  <c r="K141" i="25" s="1"/>
  <c r="AG140" i="45"/>
  <c r="K140" i="25" s="1"/>
  <c r="AG139" i="45"/>
  <c r="K139" i="25" s="1"/>
  <c r="AG138" i="45"/>
  <c r="K138" i="25" s="1"/>
  <c r="AG137" i="45"/>
  <c r="K137" i="25" s="1"/>
  <c r="AG136" i="45"/>
  <c r="K136" i="25" s="1"/>
  <c r="AG135" i="45"/>
  <c r="K135" i="25" s="1"/>
  <c r="AG134" i="45"/>
  <c r="K134" i="25" s="1"/>
  <c r="AG133" i="45"/>
  <c r="K133" i="25" s="1"/>
  <c r="AG132" i="45"/>
  <c r="K132" i="25" s="1"/>
  <c r="AG131" i="45"/>
  <c r="K131" i="25" s="1"/>
  <c r="AF130" i="45"/>
  <c r="AE130" i="45"/>
  <c r="AD130" i="45"/>
  <c r="AC130" i="45"/>
  <c r="AB130" i="45"/>
  <c r="AA130" i="45"/>
  <c r="Z130" i="45"/>
  <c r="Y130" i="45"/>
  <c r="X130" i="45"/>
  <c r="W130" i="45"/>
  <c r="V130" i="45"/>
  <c r="U130" i="45"/>
  <c r="T130" i="45"/>
  <c r="S130" i="45"/>
  <c r="R130" i="45"/>
  <c r="Q130" i="45"/>
  <c r="P130" i="45"/>
  <c r="O130" i="45"/>
  <c r="N130" i="45"/>
  <c r="M130" i="45"/>
  <c r="L130" i="45"/>
  <c r="K130" i="45"/>
  <c r="J130" i="45"/>
  <c r="I130" i="45"/>
  <c r="H130" i="45"/>
  <c r="G130" i="45"/>
  <c r="F130" i="45"/>
  <c r="E130" i="45"/>
  <c r="D130" i="45"/>
  <c r="AG128" i="45"/>
  <c r="K128" i="25" s="1"/>
  <c r="AG127" i="45"/>
  <c r="K127" i="25" s="1"/>
  <c r="AG126" i="45"/>
  <c r="K126" i="25" s="1"/>
  <c r="AG125" i="45"/>
  <c r="K125" i="25" s="1"/>
  <c r="AG124" i="45"/>
  <c r="K124" i="25" s="1"/>
  <c r="AG123" i="45"/>
  <c r="K123" i="25" s="1"/>
  <c r="AG122" i="45"/>
  <c r="K122" i="25" s="1"/>
  <c r="AG121" i="45"/>
  <c r="K121" i="25" s="1"/>
  <c r="AG120" i="45"/>
  <c r="K120" i="25" s="1"/>
  <c r="AG119" i="45"/>
  <c r="K119" i="25" s="1"/>
  <c r="AG118" i="45"/>
  <c r="K118" i="25" s="1"/>
  <c r="AG117" i="45"/>
  <c r="K117" i="25" s="1"/>
  <c r="AF116" i="45"/>
  <c r="AE116" i="45"/>
  <c r="AD116" i="45"/>
  <c r="AC116" i="45"/>
  <c r="AB116" i="45"/>
  <c r="AA116" i="45"/>
  <c r="Z116" i="45"/>
  <c r="Y116" i="45"/>
  <c r="X116" i="45"/>
  <c r="W116" i="45"/>
  <c r="V116" i="45"/>
  <c r="U116" i="45"/>
  <c r="T116" i="45"/>
  <c r="S116" i="45"/>
  <c r="R116" i="45"/>
  <c r="Q116" i="45"/>
  <c r="P116" i="45"/>
  <c r="O116" i="45"/>
  <c r="N116" i="45"/>
  <c r="M116" i="45"/>
  <c r="L116" i="45"/>
  <c r="K116" i="45"/>
  <c r="J116" i="45"/>
  <c r="I116" i="45"/>
  <c r="H116" i="45"/>
  <c r="G116" i="45"/>
  <c r="F116" i="45"/>
  <c r="E116" i="45"/>
  <c r="D116" i="45"/>
  <c r="AG115" i="45"/>
  <c r="K115" i="25" s="1"/>
  <c r="AG114" i="45"/>
  <c r="K114" i="25" s="1"/>
  <c r="AG113" i="45"/>
  <c r="K113" i="25" s="1"/>
  <c r="AG112" i="45"/>
  <c r="K112" i="25" s="1"/>
  <c r="AG111" i="45"/>
  <c r="K111" i="25" s="1"/>
  <c r="AG110" i="45"/>
  <c r="K110" i="25" s="1"/>
  <c r="AG109" i="45"/>
  <c r="K109" i="25" s="1"/>
  <c r="AG108" i="45"/>
  <c r="K108" i="25" s="1"/>
  <c r="AG107" i="45"/>
  <c r="K107" i="25" s="1"/>
  <c r="AG106" i="45"/>
  <c r="K106" i="25" s="1"/>
  <c r="AG105" i="45"/>
  <c r="K105" i="25" s="1"/>
  <c r="AG104" i="45"/>
  <c r="K104" i="25" s="1"/>
  <c r="AG103" i="45"/>
  <c r="K103" i="25" s="1"/>
  <c r="AG102" i="45"/>
  <c r="K102" i="25" s="1"/>
  <c r="AG101" i="45"/>
  <c r="K101" i="25" s="1"/>
  <c r="AF100" i="45"/>
  <c r="AE100" i="45"/>
  <c r="AD100" i="45"/>
  <c r="AC100" i="45"/>
  <c r="AB100" i="45"/>
  <c r="AA100" i="45"/>
  <c r="Z100" i="45"/>
  <c r="Y100" i="45"/>
  <c r="X100" i="45"/>
  <c r="W100" i="45"/>
  <c r="V100" i="45"/>
  <c r="U100" i="45"/>
  <c r="T100" i="45"/>
  <c r="S100" i="45"/>
  <c r="R100" i="45"/>
  <c r="Q100" i="45"/>
  <c r="P100" i="45"/>
  <c r="O100" i="45"/>
  <c r="O93" i="45" s="1"/>
  <c r="N100" i="45"/>
  <c r="M100" i="45"/>
  <c r="L100" i="45"/>
  <c r="K100" i="45"/>
  <c r="J100" i="45"/>
  <c r="I100" i="45"/>
  <c r="H100" i="45"/>
  <c r="G100" i="45"/>
  <c r="F100" i="45"/>
  <c r="E100" i="45"/>
  <c r="D100" i="45"/>
  <c r="C100" i="45"/>
  <c r="B100" i="45"/>
  <c r="B93" i="45" s="1"/>
  <c r="AG99" i="45"/>
  <c r="K99" i="25" s="1"/>
  <c r="AG98" i="45"/>
  <c r="K98" i="25" s="1"/>
  <c r="AG97" i="45"/>
  <c r="K97" i="25" s="1"/>
  <c r="AG96" i="45"/>
  <c r="K96" i="25" s="1"/>
  <c r="AG95" i="45"/>
  <c r="K95" i="25" s="1"/>
  <c r="AF94" i="45"/>
  <c r="AE94" i="45"/>
  <c r="AE93" i="45" s="1"/>
  <c r="AD94" i="45"/>
  <c r="AD93" i="45" s="1"/>
  <c r="AC94" i="45"/>
  <c r="AB94" i="45"/>
  <c r="AA94" i="45"/>
  <c r="Z94" i="45"/>
  <c r="Y94" i="45"/>
  <c r="X94" i="45"/>
  <c r="W94" i="45"/>
  <c r="V94" i="45"/>
  <c r="U94" i="45"/>
  <c r="T94" i="45"/>
  <c r="S94" i="45"/>
  <c r="R94" i="45"/>
  <c r="R93" i="45" s="1"/>
  <c r="Q94" i="45"/>
  <c r="P94" i="45"/>
  <c r="O94" i="45"/>
  <c r="N94" i="45"/>
  <c r="M94" i="45"/>
  <c r="L94" i="45"/>
  <c r="K94" i="45"/>
  <c r="J94" i="45"/>
  <c r="J93" i="45" s="1"/>
  <c r="I94" i="45"/>
  <c r="H94" i="45"/>
  <c r="G94" i="45"/>
  <c r="F94" i="45"/>
  <c r="E94" i="45"/>
  <c r="D94" i="45"/>
  <c r="C94" i="45"/>
  <c r="B94" i="45"/>
  <c r="C93" i="45"/>
  <c r="AG92" i="45"/>
  <c r="K92" i="25" s="1"/>
  <c r="AG91" i="45"/>
  <c r="K91" i="25" s="1"/>
  <c r="AG90" i="45"/>
  <c r="K90" i="25" s="1"/>
  <c r="AG89" i="45"/>
  <c r="K89" i="25" s="1"/>
  <c r="AG88" i="45"/>
  <c r="K88" i="25" s="1"/>
  <c r="AF87" i="45"/>
  <c r="AE87" i="45"/>
  <c r="AD87" i="45"/>
  <c r="AC87" i="45"/>
  <c r="AB87" i="45"/>
  <c r="AA87" i="45"/>
  <c r="Z87" i="45"/>
  <c r="Y87" i="45"/>
  <c r="X87" i="45"/>
  <c r="W87" i="45"/>
  <c r="V87" i="45"/>
  <c r="U87" i="45"/>
  <c r="T87" i="45"/>
  <c r="S87" i="45"/>
  <c r="R87" i="45"/>
  <c r="Q87" i="45"/>
  <c r="P87" i="45"/>
  <c r="O87" i="45"/>
  <c r="N87" i="45"/>
  <c r="M87" i="45"/>
  <c r="L87" i="45"/>
  <c r="K87" i="45"/>
  <c r="J87" i="45"/>
  <c r="I87" i="45"/>
  <c r="H87" i="45"/>
  <c r="G87" i="45"/>
  <c r="F87" i="45"/>
  <c r="E87" i="45"/>
  <c r="D87" i="45"/>
  <c r="C87" i="45"/>
  <c r="B87" i="45"/>
  <c r="AG86" i="45"/>
  <c r="K86" i="25" s="1"/>
  <c r="AG85" i="45"/>
  <c r="K85" i="25" s="1"/>
  <c r="AF84" i="45"/>
  <c r="AE84" i="45"/>
  <c r="AD84" i="45"/>
  <c r="AC84" i="45"/>
  <c r="AB84" i="45"/>
  <c r="AA84" i="45"/>
  <c r="Z84" i="45"/>
  <c r="Y84" i="45"/>
  <c r="X84" i="45"/>
  <c r="W84" i="45"/>
  <c r="V84" i="45"/>
  <c r="U84" i="45"/>
  <c r="T84" i="45"/>
  <c r="S84" i="45"/>
  <c r="R84" i="45"/>
  <c r="Q84" i="45"/>
  <c r="P84" i="45"/>
  <c r="O84" i="45"/>
  <c r="N84" i="45"/>
  <c r="M84" i="45"/>
  <c r="L84" i="45"/>
  <c r="K84" i="45"/>
  <c r="J84" i="45"/>
  <c r="I84" i="45"/>
  <c r="H84" i="45"/>
  <c r="G84" i="45"/>
  <c r="F84" i="45"/>
  <c r="E84" i="45"/>
  <c r="D84" i="45"/>
  <c r="C84" i="45"/>
  <c r="B84" i="45"/>
  <c r="S83" i="45"/>
  <c r="K83" i="45"/>
  <c r="AE82" i="45"/>
  <c r="AD82" i="45"/>
  <c r="AD83" i="45" s="1"/>
  <c r="AC82" i="45"/>
  <c r="AC83" i="45" s="1"/>
  <c r="AC81" i="45" s="1"/>
  <c r="AB82" i="45"/>
  <c r="AB83" i="45" s="1"/>
  <c r="AB81" i="45" s="1"/>
  <c r="AA82" i="45"/>
  <c r="AA83" i="45" s="1"/>
  <c r="Z83" i="45"/>
  <c r="Z81" i="45" s="1"/>
  <c r="Y83" i="45"/>
  <c r="X82" i="45"/>
  <c r="W82" i="45"/>
  <c r="W83" i="45" s="1"/>
  <c r="V82" i="45"/>
  <c r="V83" i="45" s="1"/>
  <c r="U82" i="45"/>
  <c r="T82" i="45"/>
  <c r="T83" i="45" s="1"/>
  <c r="R83" i="45"/>
  <c r="R81" i="45" s="1"/>
  <c r="Q82" i="45"/>
  <c r="Q83" i="45" s="1"/>
  <c r="Q81" i="45" s="1"/>
  <c r="P82" i="45"/>
  <c r="O82" i="45"/>
  <c r="N82" i="45"/>
  <c r="N83" i="45" s="1"/>
  <c r="M83" i="45"/>
  <c r="M81" i="45" s="1"/>
  <c r="L83" i="45"/>
  <c r="L81" i="45" s="1"/>
  <c r="J82" i="45"/>
  <c r="J83" i="45" s="1"/>
  <c r="J81" i="45" s="1"/>
  <c r="I82" i="45"/>
  <c r="I83" i="45" s="1"/>
  <c r="H82" i="45"/>
  <c r="H83" i="45" s="1"/>
  <c r="G82" i="45"/>
  <c r="G83" i="45" s="1"/>
  <c r="F82" i="45"/>
  <c r="F83" i="45" s="1"/>
  <c r="D83" i="45"/>
  <c r="C82" i="45"/>
  <c r="C83" i="45" s="1"/>
  <c r="B82" i="45"/>
  <c r="B83" i="45" s="1"/>
  <c r="F81" i="45"/>
  <c r="AF80" i="45"/>
  <c r="AF79" i="45" s="1"/>
  <c r="AF78" i="45" s="1"/>
  <c r="AC80" i="45"/>
  <c r="AC79" i="45" s="1"/>
  <c r="AC78" i="45" s="1"/>
  <c r="AB80" i="45"/>
  <c r="AB79" i="45" s="1"/>
  <c r="AB78" i="45" s="1"/>
  <c r="AA80" i="45"/>
  <c r="AA79" i="45" s="1"/>
  <c r="AA78" i="45" s="1"/>
  <c r="Y80" i="45"/>
  <c r="Y79" i="45" s="1"/>
  <c r="Y78" i="45" s="1"/>
  <c r="V80" i="45"/>
  <c r="V79" i="45" s="1"/>
  <c r="V78" i="45" s="1"/>
  <c r="U80" i="45"/>
  <c r="U79" i="45" s="1"/>
  <c r="U78" i="45" s="1"/>
  <c r="T80" i="45"/>
  <c r="T79" i="45" s="1"/>
  <c r="T78" i="45" s="1"/>
  <c r="S80" i="45"/>
  <c r="S79" i="45" s="1"/>
  <c r="S78" i="45" s="1"/>
  <c r="R80" i="45"/>
  <c r="O80" i="45"/>
  <c r="O79" i="45" s="1"/>
  <c r="O78" i="45" s="1"/>
  <c r="N80" i="45"/>
  <c r="N79" i="45" s="1"/>
  <c r="N78" i="45" s="1"/>
  <c r="M80" i="45"/>
  <c r="M79" i="45" s="1"/>
  <c r="M78" i="45" s="1"/>
  <c r="H80" i="45"/>
  <c r="H79" i="45" s="1"/>
  <c r="H78" i="45" s="1"/>
  <c r="G80" i="45"/>
  <c r="G79" i="45" s="1"/>
  <c r="G78" i="45" s="1"/>
  <c r="F80" i="45"/>
  <c r="F79" i="45" s="1"/>
  <c r="F78" i="45" s="1"/>
  <c r="AE79" i="45"/>
  <c r="AE78" i="45" s="1"/>
  <c r="AD79" i="45"/>
  <c r="AD78" i="45" s="1"/>
  <c r="Z79" i="45"/>
  <c r="Z78" i="45" s="1"/>
  <c r="X79" i="45"/>
  <c r="X78" i="45" s="1"/>
  <c r="W79" i="45"/>
  <c r="W78" i="45" s="1"/>
  <c r="R79" i="45"/>
  <c r="R78" i="45" s="1"/>
  <c r="Q79" i="45"/>
  <c r="Q78" i="45" s="1"/>
  <c r="P79" i="45"/>
  <c r="P78" i="45" s="1"/>
  <c r="L79" i="45"/>
  <c r="L78" i="45" s="1"/>
  <c r="K79" i="45"/>
  <c r="K78" i="45" s="1"/>
  <c r="J79" i="45"/>
  <c r="J78" i="45" s="1"/>
  <c r="I79" i="45"/>
  <c r="E79" i="45"/>
  <c r="E78" i="45" s="1"/>
  <c r="D79" i="45"/>
  <c r="C79" i="45"/>
  <c r="C78" i="45" s="1"/>
  <c r="B79" i="45"/>
  <c r="B78" i="45" s="1"/>
  <c r="I78" i="45"/>
  <c r="D78" i="45"/>
  <c r="AG77" i="45"/>
  <c r="K77" i="25" s="1"/>
  <c r="AG76" i="45"/>
  <c r="K76" i="25" s="1"/>
  <c r="AG75" i="45"/>
  <c r="K75" i="25" s="1"/>
  <c r="AG74" i="45"/>
  <c r="K74" i="25" s="1"/>
  <c r="AG73" i="45"/>
  <c r="K73" i="25" s="1"/>
  <c r="AG72" i="45"/>
  <c r="K72" i="25" s="1"/>
  <c r="AG71" i="45"/>
  <c r="K71" i="25" s="1"/>
  <c r="AG70" i="45"/>
  <c r="K70" i="25" s="1"/>
  <c r="AG69" i="45"/>
  <c r="K69" i="25" s="1"/>
  <c r="AG68" i="45"/>
  <c r="K68" i="25" s="1"/>
  <c r="AG67" i="45"/>
  <c r="K67" i="25" s="1"/>
  <c r="AG66" i="45"/>
  <c r="K66" i="25" s="1"/>
  <c r="AG65" i="45"/>
  <c r="K65" i="25" s="1"/>
  <c r="AG64" i="45"/>
  <c r="K64" i="25" s="1"/>
  <c r="AG63" i="45"/>
  <c r="K63" i="25" s="1"/>
  <c r="AG62" i="45"/>
  <c r="K62" i="25" s="1"/>
  <c r="AG61" i="45"/>
  <c r="K61" i="25" s="1"/>
  <c r="AG60" i="45"/>
  <c r="K60" i="25" s="1"/>
  <c r="AG59" i="45"/>
  <c r="K59" i="25" s="1"/>
  <c r="AG58" i="45"/>
  <c r="K58" i="25" s="1"/>
  <c r="AG57" i="45"/>
  <c r="K57" i="25" s="1"/>
  <c r="AG56" i="45"/>
  <c r="K56" i="25" s="1"/>
  <c r="AG55" i="45"/>
  <c r="K55" i="25" s="1"/>
  <c r="AG54" i="45"/>
  <c r="K54" i="25" s="1"/>
  <c r="AF53" i="45"/>
  <c r="AE53" i="45"/>
  <c r="AD53" i="45"/>
  <c r="AC53" i="45"/>
  <c r="AB53" i="45"/>
  <c r="AA53" i="45"/>
  <c r="Z53" i="45"/>
  <c r="Y53" i="45"/>
  <c r="X53" i="45"/>
  <c r="W53" i="45"/>
  <c r="V53" i="45"/>
  <c r="U53" i="45"/>
  <c r="T53" i="45"/>
  <c r="S53" i="45"/>
  <c r="R53" i="45"/>
  <c r="Q53" i="45"/>
  <c r="P53" i="45"/>
  <c r="O53" i="45"/>
  <c r="N53" i="45"/>
  <c r="M53" i="45"/>
  <c r="L53" i="45"/>
  <c r="K53" i="45"/>
  <c r="J53" i="45"/>
  <c r="I53" i="45"/>
  <c r="H53" i="45"/>
  <c r="G53" i="45"/>
  <c r="F53" i="45"/>
  <c r="E53" i="45"/>
  <c r="D53" i="45"/>
  <c r="C53" i="45"/>
  <c r="B53" i="45"/>
  <c r="AG52" i="45"/>
  <c r="K52" i="25" s="1"/>
  <c r="AG51" i="45"/>
  <c r="K51" i="25" s="1"/>
  <c r="AG50" i="45"/>
  <c r="K50" i="25" s="1"/>
  <c r="AG49" i="45"/>
  <c r="K49" i="25" s="1"/>
  <c r="AG48" i="45"/>
  <c r="K48" i="25" s="1"/>
  <c r="AG47" i="45"/>
  <c r="K47" i="25" s="1"/>
  <c r="AG46" i="45"/>
  <c r="K46" i="25" s="1"/>
  <c r="AG45" i="45"/>
  <c r="K45" i="25" s="1"/>
  <c r="AG44" i="45"/>
  <c r="K44" i="25" s="1"/>
  <c r="AG43" i="45"/>
  <c r="K43" i="25" s="1"/>
  <c r="AG42" i="45"/>
  <c r="K42" i="25" s="1"/>
  <c r="AG41" i="45"/>
  <c r="K41" i="25" s="1"/>
  <c r="AG40" i="45"/>
  <c r="K40" i="25" s="1"/>
  <c r="AG39" i="45"/>
  <c r="K39" i="25" s="1"/>
  <c r="AG38" i="45"/>
  <c r="K38" i="25" s="1"/>
  <c r="AG37" i="45"/>
  <c r="K37" i="25" s="1"/>
  <c r="AG36" i="45"/>
  <c r="K36" i="25" s="1"/>
  <c r="AG35" i="45"/>
  <c r="K35" i="25" s="1"/>
  <c r="AG34" i="45"/>
  <c r="K34" i="25" s="1"/>
  <c r="AG33" i="45"/>
  <c r="K33" i="25" s="1"/>
  <c r="AG32" i="45"/>
  <c r="K32" i="25" s="1"/>
  <c r="AG31" i="45"/>
  <c r="K31" i="25" s="1"/>
  <c r="AG30" i="45"/>
  <c r="K30" i="25" s="1"/>
  <c r="AG29" i="45"/>
  <c r="K29" i="25" s="1"/>
  <c r="AF28" i="45"/>
  <c r="AE28" i="45"/>
  <c r="AD28" i="45"/>
  <c r="AC28" i="45"/>
  <c r="AB28" i="45"/>
  <c r="AA28" i="45"/>
  <c r="Z28" i="45"/>
  <c r="Y28" i="45"/>
  <c r="X28" i="45"/>
  <c r="W28" i="45"/>
  <c r="V28" i="45"/>
  <c r="U28" i="45"/>
  <c r="T28" i="45"/>
  <c r="S28" i="45"/>
  <c r="R28" i="45"/>
  <c r="Q28" i="45"/>
  <c r="P28" i="45"/>
  <c r="O28" i="45"/>
  <c r="N28" i="45"/>
  <c r="M28" i="45"/>
  <c r="L28" i="45"/>
  <c r="K28" i="45"/>
  <c r="J28" i="45"/>
  <c r="I28" i="45"/>
  <c r="H28" i="45"/>
  <c r="G28" i="45"/>
  <c r="F28" i="45"/>
  <c r="E28" i="45"/>
  <c r="D28" i="45"/>
  <c r="C28" i="45"/>
  <c r="B28" i="45"/>
  <c r="AG27" i="45"/>
  <c r="K27" i="25" s="1"/>
  <c r="AG26" i="45"/>
  <c r="K26" i="25" s="1"/>
  <c r="AG25" i="45"/>
  <c r="K25" i="25" s="1"/>
  <c r="AG24" i="45"/>
  <c r="K24" i="25" s="1"/>
  <c r="AG23" i="45"/>
  <c r="K23" i="25" s="1"/>
  <c r="AG22" i="45"/>
  <c r="K22" i="25" s="1"/>
  <c r="AG21" i="45"/>
  <c r="K21" i="25" s="1"/>
  <c r="AG20" i="45"/>
  <c r="K20" i="25" s="1"/>
  <c r="AG19" i="45"/>
  <c r="K19" i="25" s="1"/>
  <c r="AG18" i="45"/>
  <c r="K18" i="25" s="1"/>
  <c r="AG17" i="45"/>
  <c r="K17" i="25" s="1"/>
  <c r="AG16" i="45"/>
  <c r="K16" i="25" s="1"/>
  <c r="AG15" i="45"/>
  <c r="K15" i="25" s="1"/>
  <c r="AG14" i="45"/>
  <c r="K14" i="25" s="1"/>
  <c r="AG13" i="45"/>
  <c r="K13" i="25" s="1"/>
  <c r="AG12" i="45"/>
  <c r="K12" i="25" s="1"/>
  <c r="AG11" i="45"/>
  <c r="K11" i="25" s="1"/>
  <c r="AG10" i="45"/>
  <c r="K10" i="25" s="1"/>
  <c r="AG9" i="45"/>
  <c r="K9" i="25" s="1"/>
  <c r="AG8" i="45"/>
  <c r="K8" i="25" s="1"/>
  <c r="AG7" i="45"/>
  <c r="K7" i="25" s="1"/>
  <c r="AG6" i="45"/>
  <c r="K6" i="25" s="1"/>
  <c r="AG5" i="45"/>
  <c r="K5" i="25" s="1"/>
  <c r="AG4" i="45"/>
  <c r="K4" i="25" s="1"/>
  <c r="AF3" i="45"/>
  <c r="AE3" i="45"/>
  <c r="AD3" i="45"/>
  <c r="AC3" i="45"/>
  <c r="AB3" i="45"/>
  <c r="AA3" i="45"/>
  <c r="Z3" i="45"/>
  <c r="Y3" i="45"/>
  <c r="X3" i="45"/>
  <c r="W3" i="45"/>
  <c r="V3" i="45"/>
  <c r="U3" i="45"/>
  <c r="T3" i="45"/>
  <c r="S3" i="45"/>
  <c r="R3" i="45"/>
  <c r="Q3" i="45"/>
  <c r="P3" i="45"/>
  <c r="O3" i="45"/>
  <c r="N3" i="45"/>
  <c r="M3" i="45"/>
  <c r="L3" i="45"/>
  <c r="K3" i="45"/>
  <c r="J3" i="45"/>
  <c r="I3" i="45"/>
  <c r="H3" i="45"/>
  <c r="G3" i="45"/>
  <c r="F3" i="45"/>
  <c r="E3" i="45"/>
  <c r="D3" i="45"/>
  <c r="C3" i="45"/>
  <c r="B3" i="45"/>
  <c r="AC2" i="45"/>
  <c r="C2" i="45"/>
  <c r="D2" i="45" s="1"/>
  <c r="E2" i="45" s="1"/>
  <c r="F2" i="45" s="1"/>
  <c r="G2" i="45" s="1"/>
  <c r="H2" i="45" s="1"/>
  <c r="I2" i="45" s="1"/>
  <c r="J2" i="45" s="1"/>
  <c r="K2" i="45" s="1"/>
  <c r="L2" i="45" s="1"/>
  <c r="M2" i="45" s="1"/>
  <c r="N2" i="45" s="1"/>
  <c r="O2" i="45" s="1"/>
  <c r="P2" i="45" s="1"/>
  <c r="Q2" i="45" s="1"/>
  <c r="R2" i="45" s="1"/>
  <c r="S2" i="45" s="1"/>
  <c r="T2" i="45" s="1"/>
  <c r="U2" i="45" s="1"/>
  <c r="V2" i="45" s="1"/>
  <c r="W2" i="45" s="1"/>
  <c r="X2" i="45" s="1"/>
  <c r="Y2" i="45" s="1"/>
  <c r="Z2" i="45" s="1"/>
  <c r="AA2" i="45" s="1"/>
  <c r="AE144" i="45" l="1"/>
  <c r="L144" i="45"/>
  <c r="N93" i="45"/>
  <c r="S93" i="45"/>
  <c r="Q144" i="45"/>
  <c r="U93" i="45"/>
  <c r="U144" i="45"/>
  <c r="V93" i="45"/>
  <c r="B130" i="45"/>
  <c r="AG130" i="45" s="1"/>
  <c r="K130" i="25" s="1"/>
  <c r="W93" i="45"/>
  <c r="D144" i="45"/>
  <c r="AG144" i="45" s="1"/>
  <c r="K144" i="25" s="1"/>
  <c r="X144" i="45"/>
  <c r="N81" i="45"/>
  <c r="E93" i="45"/>
  <c r="E144" i="45"/>
  <c r="Y144" i="45"/>
  <c r="F93" i="45"/>
  <c r="T144" i="45"/>
  <c r="G93" i="45"/>
  <c r="AG143" i="45"/>
  <c r="K143" i="25" s="1"/>
  <c r="M93" i="45"/>
  <c r="H144" i="45"/>
  <c r="AB144" i="45"/>
  <c r="C144" i="45"/>
  <c r="K144" i="45"/>
  <c r="S144" i="45"/>
  <c r="AA144" i="45"/>
  <c r="AG241" i="45"/>
  <c r="K243" i="25" s="1"/>
  <c r="AG233" i="45"/>
  <c r="K235" i="25" s="1"/>
  <c r="AG129" i="45"/>
  <c r="K129" i="25" s="1"/>
  <c r="I93" i="45"/>
  <c r="Q93" i="45"/>
  <c r="Y93" i="45"/>
  <c r="K93" i="45"/>
  <c r="AA93" i="45"/>
  <c r="AG237" i="45"/>
  <c r="K239" i="25" s="1"/>
  <c r="AF144" i="45"/>
  <c r="AF93" i="45"/>
  <c r="AD81" i="45"/>
  <c r="AC93" i="45"/>
  <c r="AB93" i="45"/>
  <c r="Z93" i="45"/>
  <c r="X93" i="45"/>
  <c r="V81" i="45"/>
  <c r="U83" i="45"/>
  <c r="U81" i="45" s="1"/>
  <c r="T93" i="45"/>
  <c r="P93" i="45"/>
  <c r="O144" i="45"/>
  <c r="L93" i="45"/>
  <c r="AG158" i="45"/>
  <c r="K158" i="25" s="1"/>
  <c r="H93" i="45"/>
  <c r="G144" i="45"/>
  <c r="AG167" i="45"/>
  <c r="K167" i="25" s="1"/>
  <c r="E83" i="45"/>
  <c r="E81" i="45" s="1"/>
  <c r="AG219" i="45"/>
  <c r="K221" i="25" s="1"/>
  <c r="AG145" i="45"/>
  <c r="K145" i="25" s="1"/>
  <c r="D93" i="45"/>
  <c r="AG206" i="45"/>
  <c r="K206" i="25" s="1"/>
  <c r="AG87" i="45"/>
  <c r="K87" i="25" s="1"/>
  <c r="AG78" i="45"/>
  <c r="K78" i="25" s="1"/>
  <c r="AG179" i="45"/>
  <c r="K179" i="25" s="1"/>
  <c r="AG116" i="45"/>
  <c r="K116" i="25" s="1"/>
  <c r="AG84" i="45"/>
  <c r="K84" i="25" s="1"/>
  <c r="AG53" i="45"/>
  <c r="K53" i="25" s="1"/>
  <c r="B81" i="45"/>
  <c r="AG28" i="45"/>
  <c r="K28" i="25" s="1"/>
  <c r="AG3" i="45"/>
  <c r="K3" i="25" s="1"/>
  <c r="AG79" i="45"/>
  <c r="K79" i="25" s="1"/>
  <c r="AF83" i="45"/>
  <c r="AF81" i="45" s="1"/>
  <c r="H81" i="45"/>
  <c r="AG82" i="45"/>
  <c r="K82" i="25" s="1"/>
  <c r="D81" i="45"/>
  <c r="I81" i="45"/>
  <c r="T81" i="45"/>
  <c r="Y81" i="45"/>
  <c r="X83" i="45"/>
  <c r="X81" i="45" s="1"/>
  <c r="AG100" i="45"/>
  <c r="K100" i="25" s="1"/>
  <c r="AG174" i="45"/>
  <c r="K174" i="25" s="1"/>
  <c r="AG80" i="45"/>
  <c r="K80" i="25" s="1"/>
  <c r="P83" i="45"/>
  <c r="P81" i="45" s="1"/>
  <c r="AG94" i="45"/>
  <c r="K94" i="25" s="1"/>
  <c r="AG147" i="45"/>
  <c r="K147" i="25" s="1"/>
  <c r="C81" i="45"/>
  <c r="G81" i="45"/>
  <c r="K81" i="45"/>
  <c r="S81" i="45"/>
  <c r="W81" i="45"/>
  <c r="AA81" i="45"/>
  <c r="O83" i="45"/>
  <c r="O81" i="45" s="1"/>
  <c r="AE83" i="45"/>
  <c r="AE81" i="45" s="1"/>
  <c r="AG148" i="45"/>
  <c r="AE173" i="44"/>
  <c r="AE143" i="44"/>
  <c r="AE142" i="44"/>
  <c r="AE137" i="44"/>
  <c r="AE129" i="44"/>
  <c r="AG146" i="45" l="1"/>
  <c r="K146" i="25" s="1"/>
  <c r="K148" i="25"/>
  <c r="AG93" i="45"/>
  <c r="AG83" i="45"/>
  <c r="AH87" i="45"/>
  <c r="AG81" i="45"/>
  <c r="AD143" i="44"/>
  <c r="AD142" i="44"/>
  <c r="AD137" i="44"/>
  <c r="AD129" i="44"/>
  <c r="AC143" i="44"/>
  <c r="AC142" i="44"/>
  <c r="AC137" i="44"/>
  <c r="AC129" i="44"/>
  <c r="AB143" i="44"/>
  <c r="AB129" i="44"/>
  <c r="AA143" i="44"/>
  <c r="AA129" i="44"/>
  <c r="Z143" i="44"/>
  <c r="Z142" i="44"/>
  <c r="Z129" i="44"/>
  <c r="Y143" i="44"/>
  <c r="Y142" i="44"/>
  <c r="Y137" i="44"/>
  <c r="Y129" i="44"/>
  <c r="AH206" i="45" l="1"/>
  <c r="K93" i="25"/>
  <c r="AH81" i="45"/>
  <c r="K81" i="25"/>
  <c r="AH84" i="45"/>
  <c r="K83" i="25"/>
  <c r="AH130" i="45"/>
  <c r="AH93" i="45"/>
  <c r="AH144" i="45"/>
  <c r="X143" i="44"/>
  <c r="X142" i="44"/>
  <c r="X129" i="44"/>
  <c r="W134" i="44" l="1"/>
  <c r="W143" i="44"/>
  <c r="W142" i="44"/>
  <c r="W129" i="44"/>
  <c r="V143" i="44" l="1"/>
  <c r="V142" i="44"/>
  <c r="V129" i="44"/>
  <c r="U143" i="44" l="1"/>
  <c r="U142" i="44"/>
  <c r="U134" i="44"/>
  <c r="U137" i="44"/>
  <c r="U129" i="44"/>
  <c r="T143" i="44"/>
  <c r="T142" i="44"/>
  <c r="T137" i="44"/>
  <c r="T129" i="44"/>
  <c r="S134" i="44"/>
  <c r="S143" i="44"/>
  <c r="S142" i="44"/>
  <c r="S137" i="44"/>
  <c r="S129" i="44"/>
  <c r="R143" i="44"/>
  <c r="R142" i="44"/>
  <c r="R134" i="44"/>
  <c r="R137" i="44"/>
  <c r="R129" i="44"/>
  <c r="Q143" i="44"/>
  <c r="Q129" i="44"/>
  <c r="P129" i="44"/>
  <c r="P143" i="44"/>
  <c r="P142" i="44"/>
  <c r="P134" i="44"/>
  <c r="P137" i="44"/>
  <c r="O143" i="44"/>
  <c r="O142" i="44"/>
  <c r="O129" i="44"/>
  <c r="N143" i="44" l="1"/>
  <c r="N142" i="44"/>
  <c r="N129" i="44"/>
  <c r="M143" i="44"/>
  <c r="M134" i="44"/>
  <c r="M142" i="44"/>
  <c r="M129" i="44"/>
  <c r="L143" i="44"/>
  <c r="L142" i="44"/>
  <c r="L134" i="44"/>
  <c r="L129" i="44"/>
  <c r="K171" i="44" l="1"/>
  <c r="K143" i="44"/>
  <c r="K142" i="44"/>
  <c r="K129" i="44"/>
  <c r="J143" i="44" l="1"/>
  <c r="J142" i="44"/>
  <c r="J129" i="44"/>
  <c r="I143" i="44" l="1"/>
  <c r="I142" i="44"/>
  <c r="I134" i="44"/>
  <c r="I129" i="44"/>
  <c r="H143" i="44" l="1"/>
  <c r="H142" i="44"/>
  <c r="H134" i="44"/>
  <c r="H137" i="44"/>
  <c r="H129" i="44"/>
  <c r="G143" i="44" l="1"/>
  <c r="G142" i="44"/>
  <c r="G137" i="44"/>
  <c r="G129" i="44"/>
  <c r="F171" i="44"/>
  <c r="F143" i="44"/>
  <c r="F142" i="44"/>
  <c r="F129" i="44"/>
  <c r="E143" i="44"/>
  <c r="E134" i="44"/>
  <c r="E129" i="44"/>
  <c r="D143" i="44" l="1"/>
  <c r="D134" i="44"/>
  <c r="D142" i="44"/>
  <c r="D129" i="44"/>
  <c r="I246" i="25" l="1"/>
  <c r="I245" i="25"/>
  <c r="I244" i="25"/>
  <c r="I221" i="25"/>
  <c r="C143" i="44" l="1"/>
  <c r="C142" i="44"/>
  <c r="C134" i="44"/>
  <c r="C117" i="44"/>
  <c r="B143" i="44" l="1"/>
  <c r="AG143" i="44" s="1"/>
  <c r="J143" i="25" s="1"/>
  <c r="B134" i="44"/>
  <c r="AG134" i="44" s="1"/>
  <c r="J134" i="25" s="1"/>
  <c r="B142" i="44"/>
  <c r="AG142" i="44" s="1"/>
  <c r="J142" i="25" s="1"/>
  <c r="B129" i="44"/>
  <c r="AG129" i="44" s="1"/>
  <c r="J129" i="25" s="1"/>
  <c r="AG248" i="44"/>
  <c r="J250" i="25" s="1"/>
  <c r="AG247" i="44"/>
  <c r="J249" i="25" s="1"/>
  <c r="AG246" i="44"/>
  <c r="J248" i="25" s="1"/>
  <c r="AG245" i="44"/>
  <c r="J247" i="25" s="1"/>
  <c r="AG241" i="44"/>
  <c r="J243" i="25" s="1"/>
  <c r="AF240" i="44"/>
  <c r="AE240" i="44"/>
  <c r="AD240" i="44"/>
  <c r="AC240" i="44"/>
  <c r="AB240" i="44"/>
  <c r="AA240" i="44"/>
  <c r="Z240" i="44"/>
  <c r="Y240" i="44"/>
  <c r="X240" i="44"/>
  <c r="W240" i="44"/>
  <c r="V240" i="44"/>
  <c r="U240" i="44"/>
  <c r="T240" i="44"/>
  <c r="S240" i="44"/>
  <c r="R240" i="44"/>
  <c r="Q240" i="44"/>
  <c r="P240" i="44"/>
  <c r="O240" i="44"/>
  <c r="N240" i="44"/>
  <c r="M240" i="44"/>
  <c r="L240" i="44"/>
  <c r="K240" i="44"/>
  <c r="J240" i="44"/>
  <c r="I240" i="44"/>
  <c r="H240" i="44"/>
  <c r="G240" i="44"/>
  <c r="F240" i="44"/>
  <c r="E240" i="44"/>
  <c r="D240" i="44"/>
  <c r="C240" i="44"/>
  <c r="B240" i="44"/>
  <c r="AG239" i="44"/>
  <c r="J241" i="25" s="1"/>
  <c r="AG238" i="44"/>
  <c r="J240" i="25" s="1"/>
  <c r="AG237" i="44"/>
  <c r="J239" i="25" s="1"/>
  <c r="AF236" i="44"/>
  <c r="AE236" i="44"/>
  <c r="AD236" i="44"/>
  <c r="AC236" i="44"/>
  <c r="AB236" i="44"/>
  <c r="AA236" i="44"/>
  <c r="Z236" i="44"/>
  <c r="Y236" i="44"/>
  <c r="X236" i="44"/>
  <c r="W236" i="44"/>
  <c r="V236" i="44"/>
  <c r="U236" i="44"/>
  <c r="T236" i="44"/>
  <c r="S236" i="44"/>
  <c r="R236" i="44"/>
  <c r="Q236" i="44"/>
  <c r="P236" i="44"/>
  <c r="O236" i="44"/>
  <c r="N236" i="44"/>
  <c r="M236" i="44"/>
  <c r="L236" i="44"/>
  <c r="K236" i="44"/>
  <c r="J236" i="44"/>
  <c r="I236" i="44"/>
  <c r="H236" i="44"/>
  <c r="G236" i="44"/>
  <c r="F236" i="44"/>
  <c r="E236" i="44"/>
  <c r="D236" i="44"/>
  <c r="C236" i="44"/>
  <c r="B236" i="44"/>
  <c r="AG235" i="44"/>
  <c r="J237" i="25" s="1"/>
  <c r="AG234" i="44"/>
  <c r="J236" i="25" s="1"/>
  <c r="AG233" i="44"/>
  <c r="J235" i="25" s="1"/>
  <c r="AF232" i="44"/>
  <c r="AE232" i="44"/>
  <c r="AD232" i="44"/>
  <c r="AC232" i="44"/>
  <c r="AB232" i="44"/>
  <c r="AA232" i="44"/>
  <c r="Z232" i="44"/>
  <c r="Y232" i="44"/>
  <c r="X232" i="44"/>
  <c r="W232" i="44"/>
  <c r="V232" i="44"/>
  <c r="U232" i="44"/>
  <c r="T232" i="44"/>
  <c r="S232" i="44"/>
  <c r="R232" i="44"/>
  <c r="Q232" i="44"/>
  <c r="P232" i="44"/>
  <c r="O232" i="44"/>
  <c r="N232" i="44"/>
  <c r="M232" i="44"/>
  <c r="L232" i="44"/>
  <c r="K232" i="44"/>
  <c r="J232" i="44"/>
  <c r="I232" i="44"/>
  <c r="H232" i="44"/>
  <c r="G232" i="44"/>
  <c r="F232" i="44"/>
  <c r="E232" i="44"/>
  <c r="D232" i="44"/>
  <c r="C232" i="44"/>
  <c r="B232" i="44"/>
  <c r="AG231" i="44"/>
  <c r="J233" i="25" s="1"/>
  <c r="AG230" i="44"/>
  <c r="J232" i="25" s="1"/>
  <c r="AG229" i="44"/>
  <c r="J231" i="25" s="1"/>
  <c r="AG228" i="44"/>
  <c r="J230" i="25" s="1"/>
  <c r="AG227" i="44"/>
  <c r="J229" i="25" s="1"/>
  <c r="AG226" i="44"/>
  <c r="J228" i="25" s="1"/>
  <c r="AG225" i="44"/>
  <c r="J227" i="25" s="1"/>
  <c r="AG224" i="44"/>
  <c r="J226" i="25" s="1"/>
  <c r="AG223" i="44"/>
  <c r="J225" i="25" s="1"/>
  <c r="AG222" i="44"/>
  <c r="J224" i="25" s="1"/>
  <c r="AG221" i="44"/>
  <c r="J223" i="25" s="1"/>
  <c r="AG220" i="44"/>
  <c r="J222" i="25" s="1"/>
  <c r="AF218" i="44"/>
  <c r="AE218" i="44"/>
  <c r="AD218" i="44"/>
  <c r="AC218" i="44"/>
  <c r="AB218" i="44"/>
  <c r="AA218" i="44"/>
  <c r="Z218" i="44"/>
  <c r="Y218" i="44"/>
  <c r="X218" i="44"/>
  <c r="W218" i="44"/>
  <c r="V218" i="44"/>
  <c r="U218" i="44"/>
  <c r="T218" i="44"/>
  <c r="S218" i="44"/>
  <c r="R218" i="44"/>
  <c r="Q218" i="44"/>
  <c r="P218" i="44"/>
  <c r="O218" i="44"/>
  <c r="N218" i="44"/>
  <c r="M218" i="44"/>
  <c r="L218" i="44"/>
  <c r="K218" i="44"/>
  <c r="J218" i="44"/>
  <c r="I218" i="44"/>
  <c r="H218" i="44"/>
  <c r="G218" i="44"/>
  <c r="F218" i="44"/>
  <c r="E218" i="44"/>
  <c r="D218" i="44"/>
  <c r="C218" i="44"/>
  <c r="B218" i="44"/>
  <c r="AG217" i="44"/>
  <c r="J219" i="25" s="1"/>
  <c r="AG216" i="44"/>
  <c r="J218" i="25" s="1"/>
  <c r="AG215" i="44"/>
  <c r="J217" i="25" s="1"/>
  <c r="AG214" i="44"/>
  <c r="J214" i="25" s="1"/>
  <c r="AG213" i="44"/>
  <c r="J213" i="25" s="1"/>
  <c r="AG212" i="44"/>
  <c r="J212" i="25" s="1"/>
  <c r="AG211" i="44"/>
  <c r="J211" i="25" s="1"/>
  <c r="AG210" i="44"/>
  <c r="J210" i="25" s="1"/>
  <c r="AG209" i="44"/>
  <c r="J209" i="25" s="1"/>
  <c r="AG208" i="44"/>
  <c r="J208" i="25" s="1"/>
  <c r="AG207" i="44"/>
  <c r="J207" i="25" s="1"/>
  <c r="AF206" i="44"/>
  <c r="AE206" i="44"/>
  <c r="AD206" i="44"/>
  <c r="AC206" i="44"/>
  <c r="AB206" i="44"/>
  <c r="AA206" i="44"/>
  <c r="Z206" i="44"/>
  <c r="Y206" i="44"/>
  <c r="X206" i="44"/>
  <c r="W206" i="44"/>
  <c r="V206" i="44"/>
  <c r="U206" i="44"/>
  <c r="T206" i="44"/>
  <c r="S206" i="44"/>
  <c r="R206" i="44"/>
  <c r="Q206" i="44"/>
  <c r="P206" i="44"/>
  <c r="O206" i="44"/>
  <c r="N206" i="44"/>
  <c r="M206" i="44"/>
  <c r="L206" i="44"/>
  <c r="K206" i="44"/>
  <c r="J206" i="44"/>
  <c r="I206" i="44"/>
  <c r="H206" i="44"/>
  <c r="G206" i="44"/>
  <c r="F206" i="44"/>
  <c r="E206" i="44"/>
  <c r="D206" i="44"/>
  <c r="C206" i="44"/>
  <c r="B206" i="44"/>
  <c r="AG205" i="44"/>
  <c r="J205" i="25" s="1"/>
  <c r="AG204" i="44"/>
  <c r="J204" i="25" s="1"/>
  <c r="AG203" i="44"/>
  <c r="J203" i="25" s="1"/>
  <c r="AG202" i="44"/>
  <c r="J202" i="25" s="1"/>
  <c r="AG201" i="44"/>
  <c r="J201" i="25" s="1"/>
  <c r="AG200" i="44"/>
  <c r="J200" i="25" s="1"/>
  <c r="AG199" i="44"/>
  <c r="J199" i="25" s="1"/>
  <c r="AG198" i="44"/>
  <c r="J198" i="25" s="1"/>
  <c r="AG197" i="44"/>
  <c r="J197" i="25" s="1"/>
  <c r="AG196" i="44"/>
  <c r="J196" i="25" s="1"/>
  <c r="AG195" i="44"/>
  <c r="J195" i="25" s="1"/>
  <c r="AG194" i="44"/>
  <c r="J194" i="25" s="1"/>
  <c r="AG193" i="44"/>
  <c r="J193" i="25" s="1"/>
  <c r="AG192" i="44"/>
  <c r="J192" i="25" s="1"/>
  <c r="AG191" i="44"/>
  <c r="J191" i="25" s="1"/>
  <c r="AG190" i="44"/>
  <c r="J190" i="25" s="1"/>
  <c r="AG189" i="44"/>
  <c r="J189" i="25" s="1"/>
  <c r="AG188" i="44"/>
  <c r="J188" i="25" s="1"/>
  <c r="AG187" i="44"/>
  <c r="J187" i="25" s="1"/>
  <c r="AG186" i="44"/>
  <c r="J186" i="25" s="1"/>
  <c r="AG185" i="44"/>
  <c r="J185" i="25" s="1"/>
  <c r="AG184" i="44"/>
  <c r="J184" i="25" s="1"/>
  <c r="AG183" i="44"/>
  <c r="J183" i="25" s="1"/>
  <c r="AG182" i="44"/>
  <c r="J182" i="25" s="1"/>
  <c r="AG181" i="44"/>
  <c r="J181" i="25" s="1"/>
  <c r="AG180" i="44"/>
  <c r="J180" i="25" s="1"/>
  <c r="AF179" i="44"/>
  <c r="AE179" i="44"/>
  <c r="AD179" i="44"/>
  <c r="AC179" i="44"/>
  <c r="AB179" i="44"/>
  <c r="AA179" i="44"/>
  <c r="Z179" i="44"/>
  <c r="Y179" i="44"/>
  <c r="X179" i="44"/>
  <c r="W179" i="44"/>
  <c r="V179" i="44"/>
  <c r="U179" i="44"/>
  <c r="T179" i="44"/>
  <c r="S179" i="44"/>
  <c r="R179" i="44"/>
  <c r="Q179" i="44"/>
  <c r="P179" i="44"/>
  <c r="O179" i="44"/>
  <c r="N179" i="44"/>
  <c r="M179" i="44"/>
  <c r="L179" i="44"/>
  <c r="K179" i="44"/>
  <c r="J179" i="44"/>
  <c r="I179" i="44"/>
  <c r="H179" i="44"/>
  <c r="G179" i="44"/>
  <c r="F179" i="44"/>
  <c r="E179" i="44"/>
  <c r="D179" i="44"/>
  <c r="C179" i="44"/>
  <c r="B179" i="44"/>
  <c r="AG178" i="44"/>
  <c r="J178" i="25" s="1"/>
  <c r="AG177" i="44"/>
  <c r="J177" i="25" s="1"/>
  <c r="AG176" i="44"/>
  <c r="J176" i="25" s="1"/>
  <c r="AG175" i="44"/>
  <c r="J175" i="25" s="1"/>
  <c r="AF174" i="44"/>
  <c r="AE174" i="44"/>
  <c r="AD174" i="44"/>
  <c r="AC174" i="44"/>
  <c r="AB174" i="44"/>
  <c r="AA174" i="44"/>
  <c r="Z174" i="44"/>
  <c r="Y174" i="44"/>
  <c r="X174" i="44"/>
  <c r="W174" i="44"/>
  <c r="V174" i="44"/>
  <c r="U174" i="44"/>
  <c r="T174" i="44"/>
  <c r="S174" i="44"/>
  <c r="R174" i="44"/>
  <c r="Q174" i="44"/>
  <c r="P174" i="44"/>
  <c r="O174" i="44"/>
  <c r="N174" i="44"/>
  <c r="M174" i="44"/>
  <c r="L174" i="44"/>
  <c r="K174" i="44"/>
  <c r="J174" i="44"/>
  <c r="I174" i="44"/>
  <c r="H174" i="44"/>
  <c r="G174" i="44"/>
  <c r="F174" i="44"/>
  <c r="E174" i="44"/>
  <c r="D174" i="44"/>
  <c r="C174" i="44"/>
  <c r="B174" i="44"/>
  <c r="AG173" i="44"/>
  <c r="J173" i="25" s="1"/>
  <c r="AG172" i="44"/>
  <c r="J172" i="25" s="1"/>
  <c r="AG171" i="44"/>
  <c r="J171" i="25" s="1"/>
  <c r="AG170" i="44"/>
  <c r="J170" i="25" s="1"/>
  <c r="AG169" i="44"/>
  <c r="J169" i="25" s="1"/>
  <c r="AG168" i="44"/>
  <c r="J168" i="25" s="1"/>
  <c r="AF167" i="44"/>
  <c r="AE167" i="44"/>
  <c r="AD167" i="44"/>
  <c r="AC167" i="44"/>
  <c r="AB167" i="44"/>
  <c r="AA167" i="44"/>
  <c r="AA144" i="44" s="1"/>
  <c r="Z167" i="44"/>
  <c r="Y167" i="44"/>
  <c r="X167" i="44"/>
  <c r="W167" i="44"/>
  <c r="V167" i="44"/>
  <c r="U167" i="44"/>
  <c r="T167" i="44"/>
  <c r="S167" i="44"/>
  <c r="S144" i="44" s="1"/>
  <c r="R167" i="44"/>
  <c r="Q167" i="44"/>
  <c r="P167" i="44"/>
  <c r="O167" i="44"/>
  <c r="N167" i="44"/>
  <c r="M167" i="44"/>
  <c r="L167" i="44"/>
  <c r="K167" i="44"/>
  <c r="K144" i="44" s="1"/>
  <c r="J167" i="44"/>
  <c r="I167" i="44"/>
  <c r="H167" i="44"/>
  <c r="G167" i="44"/>
  <c r="F167" i="44"/>
  <c r="E167" i="44"/>
  <c r="D167" i="44"/>
  <c r="C167" i="44"/>
  <c r="B167" i="44"/>
  <c r="AG166" i="44"/>
  <c r="J166" i="25" s="1"/>
  <c r="AG165" i="44"/>
  <c r="J165" i="25" s="1"/>
  <c r="AG164" i="44"/>
  <c r="J164" i="25" s="1"/>
  <c r="AG163" i="44"/>
  <c r="J163" i="25" s="1"/>
  <c r="AG162" i="44"/>
  <c r="J162" i="25" s="1"/>
  <c r="AG161" i="44"/>
  <c r="J161" i="25" s="1"/>
  <c r="AG160" i="44"/>
  <c r="J160" i="25" s="1"/>
  <c r="AG159" i="44"/>
  <c r="J159" i="25" s="1"/>
  <c r="AF158" i="44"/>
  <c r="AE158" i="44"/>
  <c r="AD158" i="44"/>
  <c r="AC158" i="44"/>
  <c r="AB158" i="44"/>
  <c r="AA158" i="44"/>
  <c r="Z158" i="44"/>
  <c r="Y158" i="44"/>
  <c r="X158" i="44"/>
  <c r="W158" i="44"/>
  <c r="V158" i="44"/>
  <c r="U158" i="44"/>
  <c r="T158" i="44"/>
  <c r="S158" i="44"/>
  <c r="R158" i="44"/>
  <c r="Q158" i="44"/>
  <c r="P158" i="44"/>
  <c r="O158" i="44"/>
  <c r="N158" i="44"/>
  <c r="M158" i="44"/>
  <c r="L158" i="44"/>
  <c r="K158" i="44"/>
  <c r="J158" i="44"/>
  <c r="I158" i="44"/>
  <c r="H158" i="44"/>
  <c r="G158" i="44"/>
  <c r="F158" i="44"/>
  <c r="E158" i="44"/>
  <c r="D158" i="44"/>
  <c r="C158" i="44"/>
  <c r="B158" i="44"/>
  <c r="AG157" i="44"/>
  <c r="J157" i="25" s="1"/>
  <c r="AG156" i="44"/>
  <c r="J156" i="25" s="1"/>
  <c r="AG155" i="44"/>
  <c r="J155" i="25" s="1"/>
  <c r="AG154" i="44"/>
  <c r="J154" i="25" s="1"/>
  <c r="AG153" i="44"/>
  <c r="J153" i="25" s="1"/>
  <c r="AG152" i="44"/>
  <c r="J152" i="25" s="1"/>
  <c r="AG151" i="44"/>
  <c r="J151" i="25" s="1"/>
  <c r="AG150" i="44"/>
  <c r="J150" i="25" s="1"/>
  <c r="AG149" i="44"/>
  <c r="J149" i="25" s="1"/>
  <c r="AF148" i="44"/>
  <c r="AF146" i="44" s="1"/>
  <c r="AE148" i="44"/>
  <c r="AE146" i="44" s="1"/>
  <c r="AD148" i="44"/>
  <c r="AD146" i="44" s="1"/>
  <c r="AC148" i="44"/>
  <c r="AC146" i="44" s="1"/>
  <c r="AB148" i="44"/>
  <c r="AB146" i="44" s="1"/>
  <c r="AA148" i="44"/>
  <c r="AA146" i="44" s="1"/>
  <c r="Z148" i="44"/>
  <c r="Z146" i="44" s="1"/>
  <c r="Y148" i="44"/>
  <c r="Y146" i="44" s="1"/>
  <c r="X148" i="44"/>
  <c r="X146" i="44" s="1"/>
  <c r="X144" i="44" s="1"/>
  <c r="W148" i="44"/>
  <c r="W146" i="44" s="1"/>
  <c r="V148" i="44"/>
  <c r="U148" i="44"/>
  <c r="U146" i="44" s="1"/>
  <c r="T148" i="44"/>
  <c r="T146" i="44" s="1"/>
  <c r="S148" i="44"/>
  <c r="S146" i="44" s="1"/>
  <c r="R148" i="44"/>
  <c r="R146" i="44" s="1"/>
  <c r="Q148" i="44"/>
  <c r="Q146" i="44" s="1"/>
  <c r="P148" i="44"/>
  <c r="P146" i="44" s="1"/>
  <c r="P144" i="44" s="1"/>
  <c r="O148" i="44"/>
  <c r="O146" i="44" s="1"/>
  <c r="N148" i="44"/>
  <c r="N146" i="44" s="1"/>
  <c r="M148" i="44"/>
  <c r="M146" i="44" s="1"/>
  <c r="L148" i="44"/>
  <c r="L146" i="44" s="1"/>
  <c r="K148" i="44"/>
  <c r="K146" i="44" s="1"/>
  <c r="J148" i="44"/>
  <c r="J146" i="44" s="1"/>
  <c r="J144" i="44" s="1"/>
  <c r="I148" i="44"/>
  <c r="I146" i="44" s="1"/>
  <c r="H148" i="44"/>
  <c r="H146" i="44" s="1"/>
  <c r="G148" i="44"/>
  <c r="G146" i="44" s="1"/>
  <c r="G144" i="44" s="1"/>
  <c r="F148" i="44"/>
  <c r="F146" i="44" s="1"/>
  <c r="E148" i="44"/>
  <c r="E146" i="44" s="1"/>
  <c r="D148" i="44"/>
  <c r="D146" i="44" s="1"/>
  <c r="D144" i="44" s="1"/>
  <c r="C148" i="44"/>
  <c r="C146" i="44" s="1"/>
  <c r="B148" i="44"/>
  <c r="B146" i="44" s="1"/>
  <c r="B144" i="44" s="1"/>
  <c r="AE147" i="44"/>
  <c r="AD147" i="44"/>
  <c r="AC147" i="44"/>
  <c r="AB147" i="44"/>
  <c r="AA147" i="44"/>
  <c r="Z147" i="44"/>
  <c r="Y147" i="44"/>
  <c r="X147" i="44"/>
  <c r="W147" i="44"/>
  <c r="V147" i="44"/>
  <c r="U147" i="44"/>
  <c r="T147" i="44"/>
  <c r="S147" i="44"/>
  <c r="R147" i="44"/>
  <c r="Q147" i="44"/>
  <c r="P147" i="44"/>
  <c r="O147" i="44"/>
  <c r="N147" i="44"/>
  <c r="M147" i="44"/>
  <c r="L147" i="44"/>
  <c r="K147" i="44"/>
  <c r="J147" i="44"/>
  <c r="I147" i="44"/>
  <c r="H147" i="44"/>
  <c r="G147" i="44"/>
  <c r="F147" i="44"/>
  <c r="E147" i="44"/>
  <c r="D147" i="44"/>
  <c r="C147" i="44"/>
  <c r="B147" i="44"/>
  <c r="V146" i="44"/>
  <c r="AF145" i="44"/>
  <c r="AE145" i="44"/>
  <c r="AD145" i="44"/>
  <c r="AC145" i="44"/>
  <c r="AB145" i="44"/>
  <c r="AA145" i="44"/>
  <c r="Z145" i="44"/>
  <c r="Y145" i="44"/>
  <c r="X145" i="44"/>
  <c r="W145" i="44"/>
  <c r="V145" i="44"/>
  <c r="U145" i="44"/>
  <c r="T145" i="44"/>
  <c r="S145" i="44"/>
  <c r="R145" i="44"/>
  <c r="Q145" i="44"/>
  <c r="P145" i="44"/>
  <c r="O145" i="44"/>
  <c r="N145" i="44"/>
  <c r="M145" i="44"/>
  <c r="L145" i="44"/>
  <c r="K145" i="44"/>
  <c r="J145" i="44"/>
  <c r="I145" i="44"/>
  <c r="H145" i="44"/>
  <c r="G145" i="44"/>
  <c r="F145" i="44"/>
  <c r="E145" i="44"/>
  <c r="D145" i="44"/>
  <c r="C145" i="44"/>
  <c r="B145" i="44"/>
  <c r="W144" i="44"/>
  <c r="AG141" i="44"/>
  <c r="J141" i="25" s="1"/>
  <c r="AG140" i="44"/>
  <c r="J140" i="25" s="1"/>
  <c r="AG139" i="44"/>
  <c r="J139" i="25" s="1"/>
  <c r="AG138" i="44"/>
  <c r="J138" i="25" s="1"/>
  <c r="AG137" i="44"/>
  <c r="J137" i="25" s="1"/>
  <c r="AG136" i="44"/>
  <c r="J136" i="25" s="1"/>
  <c r="AG135" i="44"/>
  <c r="J135" i="25" s="1"/>
  <c r="AG133" i="44"/>
  <c r="J133" i="25" s="1"/>
  <c r="AG132" i="44"/>
  <c r="J132" i="25" s="1"/>
  <c r="AG131" i="44"/>
  <c r="J131" i="25" s="1"/>
  <c r="AF130" i="44"/>
  <c r="AE130" i="44"/>
  <c r="AD130" i="44"/>
  <c r="AC130" i="44"/>
  <c r="AB130" i="44"/>
  <c r="AA130" i="44"/>
  <c r="Z130" i="44"/>
  <c r="Y130" i="44"/>
  <c r="X130" i="44"/>
  <c r="W130" i="44"/>
  <c r="V130" i="44"/>
  <c r="U130" i="44"/>
  <c r="T130" i="44"/>
  <c r="S130" i="44"/>
  <c r="R130" i="44"/>
  <c r="Q130" i="44"/>
  <c r="P130" i="44"/>
  <c r="O130" i="44"/>
  <c r="N130" i="44"/>
  <c r="M130" i="44"/>
  <c r="L130" i="44"/>
  <c r="K130" i="44"/>
  <c r="J130" i="44"/>
  <c r="I130" i="44"/>
  <c r="H130" i="44"/>
  <c r="G130" i="44"/>
  <c r="F130" i="44"/>
  <c r="E130" i="44"/>
  <c r="D130" i="44"/>
  <c r="C130" i="44"/>
  <c r="AG128" i="44"/>
  <c r="J128" i="25" s="1"/>
  <c r="AG127" i="44"/>
  <c r="J127" i="25" s="1"/>
  <c r="AG126" i="44"/>
  <c r="J126" i="25" s="1"/>
  <c r="AG125" i="44"/>
  <c r="J125" i="25" s="1"/>
  <c r="AG124" i="44"/>
  <c r="J124" i="25" s="1"/>
  <c r="AG123" i="44"/>
  <c r="J123" i="25" s="1"/>
  <c r="AG122" i="44"/>
  <c r="J122" i="25" s="1"/>
  <c r="AG121" i="44"/>
  <c r="J121" i="25" s="1"/>
  <c r="AG120" i="44"/>
  <c r="J120" i="25" s="1"/>
  <c r="AG119" i="44"/>
  <c r="J119" i="25" s="1"/>
  <c r="AG118" i="44"/>
  <c r="J118" i="25" s="1"/>
  <c r="AG117" i="44"/>
  <c r="J117" i="25" s="1"/>
  <c r="AF116" i="44"/>
  <c r="AE116" i="44"/>
  <c r="AD116" i="44"/>
  <c r="AC116" i="44"/>
  <c r="AB116" i="44"/>
  <c r="AA116" i="44"/>
  <c r="Z116" i="44"/>
  <c r="Y116" i="44"/>
  <c r="X116" i="44"/>
  <c r="W116" i="44"/>
  <c r="V116" i="44"/>
  <c r="U116" i="44"/>
  <c r="T116" i="44"/>
  <c r="S116" i="44"/>
  <c r="R116" i="44"/>
  <c r="Q116" i="44"/>
  <c r="P116" i="44"/>
  <c r="O116" i="44"/>
  <c r="N116" i="44"/>
  <c r="M116" i="44"/>
  <c r="L116" i="44"/>
  <c r="K116" i="44"/>
  <c r="J116" i="44"/>
  <c r="I116" i="44"/>
  <c r="H116" i="44"/>
  <c r="G116" i="44"/>
  <c r="F116" i="44"/>
  <c r="E116" i="44"/>
  <c r="D116" i="44"/>
  <c r="C116" i="44"/>
  <c r="B116" i="44"/>
  <c r="AG115" i="44"/>
  <c r="J115" i="25" s="1"/>
  <c r="AG114" i="44"/>
  <c r="J114" i="25" s="1"/>
  <c r="AG113" i="44"/>
  <c r="J113" i="25" s="1"/>
  <c r="AG112" i="44"/>
  <c r="J112" i="25" s="1"/>
  <c r="AG111" i="44"/>
  <c r="J111" i="25" s="1"/>
  <c r="AG110" i="44"/>
  <c r="J110" i="25" s="1"/>
  <c r="AG109" i="44"/>
  <c r="J109" i="25" s="1"/>
  <c r="AG108" i="44"/>
  <c r="J108" i="25" s="1"/>
  <c r="AG107" i="44"/>
  <c r="J107" i="25" s="1"/>
  <c r="AG106" i="44"/>
  <c r="J106" i="25" s="1"/>
  <c r="AG105" i="44"/>
  <c r="J105" i="25" s="1"/>
  <c r="AG104" i="44"/>
  <c r="J104" i="25" s="1"/>
  <c r="AG103" i="44"/>
  <c r="J103" i="25" s="1"/>
  <c r="AG102" i="44"/>
  <c r="J102" i="25" s="1"/>
  <c r="AG101" i="44"/>
  <c r="J101" i="25" s="1"/>
  <c r="AF100" i="44"/>
  <c r="AE100" i="44"/>
  <c r="AD100" i="44"/>
  <c r="AC100" i="44"/>
  <c r="AB100" i="44"/>
  <c r="AA100" i="44"/>
  <c r="Z100" i="44"/>
  <c r="Y100" i="44"/>
  <c r="X100" i="44"/>
  <c r="W100" i="44"/>
  <c r="V100" i="44"/>
  <c r="U100" i="44"/>
  <c r="T100" i="44"/>
  <c r="S100" i="44"/>
  <c r="R100" i="44"/>
  <c r="Q100" i="44"/>
  <c r="P100" i="44"/>
  <c r="O100" i="44"/>
  <c r="N100" i="44"/>
  <c r="M100" i="44"/>
  <c r="L100" i="44"/>
  <c r="K100" i="44"/>
  <c r="J100" i="44"/>
  <c r="I100" i="44"/>
  <c r="H100" i="44"/>
  <c r="G100" i="44"/>
  <c r="F100" i="44"/>
  <c r="E100" i="44"/>
  <c r="D100" i="44"/>
  <c r="C100" i="44"/>
  <c r="B100" i="44"/>
  <c r="AG99" i="44"/>
  <c r="J99" i="25" s="1"/>
  <c r="AG98" i="44"/>
  <c r="J98" i="25" s="1"/>
  <c r="AG97" i="44"/>
  <c r="J97" i="25" s="1"/>
  <c r="AG96" i="44"/>
  <c r="J96" i="25" s="1"/>
  <c r="AG95" i="44"/>
  <c r="J95" i="25" s="1"/>
  <c r="AF94" i="44"/>
  <c r="AE94" i="44"/>
  <c r="AD94" i="44"/>
  <c r="AC94" i="44"/>
  <c r="AB94" i="44"/>
  <c r="AA94" i="44"/>
  <c r="Z94" i="44"/>
  <c r="Y94" i="44"/>
  <c r="X94" i="44"/>
  <c r="X93" i="44" s="1"/>
  <c r="W94" i="44"/>
  <c r="V94" i="44"/>
  <c r="U94" i="44"/>
  <c r="T94" i="44"/>
  <c r="S94" i="44"/>
  <c r="R94" i="44"/>
  <c r="R93" i="44" s="1"/>
  <c r="Q94" i="44"/>
  <c r="P94" i="44"/>
  <c r="P93" i="44" s="1"/>
  <c r="O94" i="44"/>
  <c r="O93" i="44" s="1"/>
  <c r="N94" i="44"/>
  <c r="M94" i="44"/>
  <c r="L94" i="44"/>
  <c r="K94" i="44"/>
  <c r="J94" i="44"/>
  <c r="I94" i="44"/>
  <c r="H94" i="44"/>
  <c r="G94" i="44"/>
  <c r="F94" i="44"/>
  <c r="E94" i="44"/>
  <c r="D94" i="44"/>
  <c r="C94" i="44"/>
  <c r="B94" i="44"/>
  <c r="AG92" i="44"/>
  <c r="J92" i="25" s="1"/>
  <c r="AG91" i="44"/>
  <c r="J91" i="25" s="1"/>
  <c r="AG90" i="44"/>
  <c r="J90" i="25" s="1"/>
  <c r="AG89" i="44"/>
  <c r="J89" i="25" s="1"/>
  <c r="AG88" i="44"/>
  <c r="J88" i="25" s="1"/>
  <c r="AF87" i="44"/>
  <c r="AE87" i="44"/>
  <c r="AD87" i="44"/>
  <c r="AC87" i="44"/>
  <c r="AB87" i="44"/>
  <c r="AA87" i="44"/>
  <c r="Z87" i="44"/>
  <c r="Y87" i="44"/>
  <c r="X87" i="44"/>
  <c r="W87" i="44"/>
  <c r="V87" i="44"/>
  <c r="U87" i="44"/>
  <c r="T87" i="44"/>
  <c r="S87" i="44"/>
  <c r="R87" i="44"/>
  <c r="Q87" i="44"/>
  <c r="P87" i="44"/>
  <c r="O87" i="44"/>
  <c r="N87" i="44"/>
  <c r="M87" i="44"/>
  <c r="L87" i="44"/>
  <c r="K87" i="44"/>
  <c r="J87" i="44"/>
  <c r="I87" i="44"/>
  <c r="H87" i="44"/>
  <c r="G87" i="44"/>
  <c r="F87" i="44"/>
  <c r="E87" i="44"/>
  <c r="D87" i="44"/>
  <c r="C87" i="44"/>
  <c r="B87" i="44"/>
  <c r="AG86" i="44"/>
  <c r="J86" i="25" s="1"/>
  <c r="AG85" i="44"/>
  <c r="J85" i="25" s="1"/>
  <c r="AF84" i="44"/>
  <c r="AE84" i="44"/>
  <c r="AD84" i="44"/>
  <c r="AC84" i="44"/>
  <c r="AB84" i="44"/>
  <c r="AA84" i="44"/>
  <c r="Z84" i="44"/>
  <c r="Y84" i="44"/>
  <c r="X84" i="44"/>
  <c r="W84" i="44"/>
  <c r="V84" i="44"/>
  <c r="U84" i="44"/>
  <c r="T84" i="44"/>
  <c r="S84" i="44"/>
  <c r="R84" i="44"/>
  <c r="Q84" i="44"/>
  <c r="P84" i="44"/>
  <c r="O84" i="44"/>
  <c r="N84" i="44"/>
  <c r="M84" i="44"/>
  <c r="L84" i="44"/>
  <c r="K84" i="44"/>
  <c r="J84" i="44"/>
  <c r="I84" i="44"/>
  <c r="H84" i="44"/>
  <c r="G84" i="44"/>
  <c r="F84" i="44"/>
  <c r="E84" i="44"/>
  <c r="D84" i="44"/>
  <c r="C84" i="44"/>
  <c r="B84" i="44"/>
  <c r="AB83" i="44"/>
  <c r="T83" i="44"/>
  <c r="AF82" i="44"/>
  <c r="AE82" i="44"/>
  <c r="AE83" i="44" s="1"/>
  <c r="AE81" i="44" s="1"/>
  <c r="AD82" i="44"/>
  <c r="AC82" i="44"/>
  <c r="AC83" i="44" s="1"/>
  <c r="AA83" i="44"/>
  <c r="AA81" i="44" s="1"/>
  <c r="Z82" i="44"/>
  <c r="Y82" i="44"/>
  <c r="Y83" i="44" s="1"/>
  <c r="X82" i="44"/>
  <c r="W82" i="44"/>
  <c r="W83" i="44" s="1"/>
  <c r="W81" i="44" s="1"/>
  <c r="V82" i="44"/>
  <c r="V83" i="44" s="1"/>
  <c r="U83" i="44"/>
  <c r="U81" i="44" s="1"/>
  <c r="S83" i="44"/>
  <c r="S81" i="44" s="1"/>
  <c r="R82" i="44"/>
  <c r="Q82" i="44"/>
  <c r="Q83" i="44" s="1"/>
  <c r="P82" i="44"/>
  <c r="O82" i="44"/>
  <c r="O83" i="44" s="1"/>
  <c r="O81" i="44" s="1"/>
  <c r="M83" i="44"/>
  <c r="M81" i="44" s="1"/>
  <c r="L82" i="44"/>
  <c r="L83" i="44" s="1"/>
  <c r="K82" i="44"/>
  <c r="K83" i="44" s="1"/>
  <c r="J82" i="44"/>
  <c r="I82" i="44"/>
  <c r="I83" i="44" s="1"/>
  <c r="H82" i="44"/>
  <c r="G83" i="44"/>
  <c r="G81" i="44" s="1"/>
  <c r="F83" i="44"/>
  <c r="E82" i="44"/>
  <c r="E83" i="44" s="1"/>
  <c r="D82" i="44"/>
  <c r="D83" i="44" s="1"/>
  <c r="C82" i="44"/>
  <c r="C83" i="44" s="1"/>
  <c r="B82" i="44"/>
  <c r="AC81" i="44"/>
  <c r="AF80" i="44"/>
  <c r="AF79" i="44" s="1"/>
  <c r="AF78" i="44" s="1"/>
  <c r="AC80" i="44"/>
  <c r="AC79" i="44" s="1"/>
  <c r="AC78" i="44" s="1"/>
  <c r="AB80" i="44"/>
  <c r="AB79" i="44" s="1"/>
  <c r="AB78" i="44" s="1"/>
  <c r="AA80" i="44"/>
  <c r="AA79" i="44" s="1"/>
  <c r="AA78" i="44" s="1"/>
  <c r="Y80" i="44"/>
  <c r="Y79" i="44" s="1"/>
  <c r="Y78" i="44" s="1"/>
  <c r="V80" i="44"/>
  <c r="V79" i="44" s="1"/>
  <c r="V78" i="44" s="1"/>
  <c r="U80" i="44"/>
  <c r="U79" i="44" s="1"/>
  <c r="U78" i="44" s="1"/>
  <c r="T80" i="44"/>
  <c r="S80" i="44"/>
  <c r="S79" i="44" s="1"/>
  <c r="S78" i="44" s="1"/>
  <c r="R80" i="44"/>
  <c r="R79" i="44" s="1"/>
  <c r="R78" i="44" s="1"/>
  <c r="O80" i="44"/>
  <c r="O79" i="44" s="1"/>
  <c r="O78" i="44" s="1"/>
  <c r="N80" i="44"/>
  <c r="N79" i="44" s="1"/>
  <c r="N78" i="44" s="1"/>
  <c r="M80" i="44"/>
  <c r="M79" i="44" s="1"/>
  <c r="M78" i="44" s="1"/>
  <c r="H80" i="44"/>
  <c r="H79" i="44" s="1"/>
  <c r="H78" i="44" s="1"/>
  <c r="G80" i="44"/>
  <c r="G79" i="44" s="1"/>
  <c r="G78" i="44" s="1"/>
  <c r="F80" i="44"/>
  <c r="F79" i="44" s="1"/>
  <c r="F78" i="44" s="1"/>
  <c r="AE79" i="44"/>
  <c r="AE78" i="44" s="1"/>
  <c r="AD79" i="44"/>
  <c r="AD78" i="44" s="1"/>
  <c r="Z79" i="44"/>
  <c r="Z78" i="44" s="1"/>
  <c r="X79" i="44"/>
  <c r="X78" i="44" s="1"/>
  <c r="W79" i="44"/>
  <c r="W78" i="44" s="1"/>
  <c r="T79" i="44"/>
  <c r="T78" i="44" s="1"/>
  <c r="Q79" i="44"/>
  <c r="Q78" i="44" s="1"/>
  <c r="P79" i="44"/>
  <c r="L79" i="44"/>
  <c r="L78" i="44" s="1"/>
  <c r="K79" i="44"/>
  <c r="K78" i="44" s="1"/>
  <c r="J79" i="44"/>
  <c r="J78" i="44" s="1"/>
  <c r="I79" i="44"/>
  <c r="I78" i="44" s="1"/>
  <c r="E79" i="44"/>
  <c r="E78" i="44" s="1"/>
  <c r="D79" i="44"/>
  <c r="D78" i="44" s="1"/>
  <c r="C79" i="44"/>
  <c r="C78" i="44" s="1"/>
  <c r="B79" i="44"/>
  <c r="B78" i="44" s="1"/>
  <c r="P78" i="44"/>
  <c r="AG77" i="44"/>
  <c r="J77" i="25" s="1"/>
  <c r="AG76" i="44"/>
  <c r="J76" i="25" s="1"/>
  <c r="AG75" i="44"/>
  <c r="J75" i="25" s="1"/>
  <c r="AG74" i="44"/>
  <c r="J74" i="25" s="1"/>
  <c r="AG73" i="44"/>
  <c r="J73" i="25" s="1"/>
  <c r="AG72" i="44"/>
  <c r="J72" i="25" s="1"/>
  <c r="AG71" i="44"/>
  <c r="J71" i="25" s="1"/>
  <c r="AG70" i="44"/>
  <c r="J70" i="25" s="1"/>
  <c r="AG69" i="44"/>
  <c r="J69" i="25" s="1"/>
  <c r="AG68" i="44"/>
  <c r="J68" i="25" s="1"/>
  <c r="AG67" i="44"/>
  <c r="J67" i="25" s="1"/>
  <c r="AG66" i="44"/>
  <c r="J66" i="25" s="1"/>
  <c r="AG65" i="44"/>
  <c r="J65" i="25" s="1"/>
  <c r="AG64" i="44"/>
  <c r="J64" i="25" s="1"/>
  <c r="AG63" i="44"/>
  <c r="J63" i="25" s="1"/>
  <c r="AG62" i="44"/>
  <c r="J62" i="25" s="1"/>
  <c r="AG61" i="44"/>
  <c r="J61" i="25" s="1"/>
  <c r="AG60" i="44"/>
  <c r="J60" i="25" s="1"/>
  <c r="AG59" i="44"/>
  <c r="J59" i="25" s="1"/>
  <c r="AG58" i="44"/>
  <c r="J58" i="25" s="1"/>
  <c r="AG57" i="44"/>
  <c r="J57" i="25" s="1"/>
  <c r="AG56" i="44"/>
  <c r="J56" i="25" s="1"/>
  <c r="AG55" i="44"/>
  <c r="J55" i="25" s="1"/>
  <c r="AG54" i="44"/>
  <c r="J54" i="25" s="1"/>
  <c r="AF53" i="44"/>
  <c r="AE53" i="44"/>
  <c r="AD53" i="44"/>
  <c r="AC53" i="44"/>
  <c r="AB53" i="44"/>
  <c r="AA53" i="44"/>
  <c r="Z53" i="44"/>
  <c r="Y53" i="44"/>
  <c r="X53" i="44"/>
  <c r="W53" i="44"/>
  <c r="V53" i="44"/>
  <c r="U53" i="44"/>
  <c r="T53" i="44"/>
  <c r="S53" i="44"/>
  <c r="R53" i="44"/>
  <c r="Q53" i="44"/>
  <c r="P53" i="44"/>
  <c r="O53" i="44"/>
  <c r="N53" i="44"/>
  <c r="M53" i="44"/>
  <c r="L53" i="44"/>
  <c r="K53" i="44"/>
  <c r="J53" i="44"/>
  <c r="I53" i="44"/>
  <c r="H53" i="44"/>
  <c r="G53" i="44"/>
  <c r="F53" i="44"/>
  <c r="E53" i="44"/>
  <c r="D53" i="44"/>
  <c r="C53" i="44"/>
  <c r="B53" i="44"/>
  <c r="AG52" i="44"/>
  <c r="J52" i="25" s="1"/>
  <c r="AG51" i="44"/>
  <c r="J51" i="25" s="1"/>
  <c r="AG50" i="44"/>
  <c r="J50" i="25" s="1"/>
  <c r="AG49" i="44"/>
  <c r="J49" i="25" s="1"/>
  <c r="AG48" i="44"/>
  <c r="J48" i="25" s="1"/>
  <c r="AG47" i="44"/>
  <c r="J47" i="25" s="1"/>
  <c r="AG46" i="44"/>
  <c r="J46" i="25" s="1"/>
  <c r="AG45" i="44"/>
  <c r="J45" i="25" s="1"/>
  <c r="AG44" i="44"/>
  <c r="J44" i="25" s="1"/>
  <c r="AG43" i="44"/>
  <c r="J43" i="25" s="1"/>
  <c r="AG42" i="44"/>
  <c r="J42" i="25" s="1"/>
  <c r="AG41" i="44"/>
  <c r="J41" i="25" s="1"/>
  <c r="AG40" i="44"/>
  <c r="J40" i="25" s="1"/>
  <c r="AG39" i="44"/>
  <c r="J39" i="25" s="1"/>
  <c r="AG38" i="44"/>
  <c r="J38" i="25" s="1"/>
  <c r="AG37" i="44"/>
  <c r="J37" i="25" s="1"/>
  <c r="AG36" i="44"/>
  <c r="J36" i="25" s="1"/>
  <c r="AG35" i="44"/>
  <c r="J35" i="25" s="1"/>
  <c r="AG34" i="44"/>
  <c r="J34" i="25" s="1"/>
  <c r="AG33" i="44"/>
  <c r="J33" i="25" s="1"/>
  <c r="AG32" i="44"/>
  <c r="J32" i="25" s="1"/>
  <c r="AG31" i="44"/>
  <c r="J31" i="25" s="1"/>
  <c r="AG30" i="44"/>
  <c r="J30" i="25" s="1"/>
  <c r="AG29" i="44"/>
  <c r="J29" i="25" s="1"/>
  <c r="AF28" i="44"/>
  <c r="AE28" i="44"/>
  <c r="AD28" i="44"/>
  <c r="AC28" i="44"/>
  <c r="AB28" i="44"/>
  <c r="AA28" i="44"/>
  <c r="Z28" i="44"/>
  <c r="Y28" i="44"/>
  <c r="X28" i="44"/>
  <c r="W28" i="44"/>
  <c r="V28" i="44"/>
  <c r="U28" i="44"/>
  <c r="T28" i="44"/>
  <c r="S28" i="44"/>
  <c r="R28" i="44"/>
  <c r="Q28" i="44"/>
  <c r="P28" i="44"/>
  <c r="O28" i="44"/>
  <c r="N28" i="44"/>
  <c r="M28" i="44"/>
  <c r="L28" i="44"/>
  <c r="K28" i="44"/>
  <c r="J28" i="44"/>
  <c r="I28" i="44"/>
  <c r="H28" i="44"/>
  <c r="G28" i="44"/>
  <c r="F28" i="44"/>
  <c r="E28" i="44"/>
  <c r="D28" i="44"/>
  <c r="C28" i="44"/>
  <c r="B28" i="44"/>
  <c r="AG27" i="44"/>
  <c r="J27" i="25" s="1"/>
  <c r="AG26" i="44"/>
  <c r="J26" i="25" s="1"/>
  <c r="AG25" i="44"/>
  <c r="J25" i="25" s="1"/>
  <c r="AG24" i="44"/>
  <c r="J24" i="25" s="1"/>
  <c r="AG23" i="44"/>
  <c r="J23" i="25" s="1"/>
  <c r="AG22" i="44"/>
  <c r="J22" i="25" s="1"/>
  <c r="AG21" i="44"/>
  <c r="J21" i="25" s="1"/>
  <c r="AG20" i="44"/>
  <c r="J20" i="25" s="1"/>
  <c r="AG19" i="44"/>
  <c r="J19" i="25" s="1"/>
  <c r="AG18" i="44"/>
  <c r="J18" i="25" s="1"/>
  <c r="AG17" i="44"/>
  <c r="J17" i="25" s="1"/>
  <c r="AG16" i="44"/>
  <c r="J16" i="25" s="1"/>
  <c r="AG15" i="44"/>
  <c r="J15" i="25" s="1"/>
  <c r="AG14" i="44"/>
  <c r="J14" i="25" s="1"/>
  <c r="AG13" i="44"/>
  <c r="J13" i="25" s="1"/>
  <c r="AG12" i="44"/>
  <c r="J12" i="25" s="1"/>
  <c r="AG11" i="44"/>
  <c r="J11" i="25" s="1"/>
  <c r="AG10" i="44"/>
  <c r="J10" i="25" s="1"/>
  <c r="AG9" i="44"/>
  <c r="J9" i="25" s="1"/>
  <c r="AG8" i="44"/>
  <c r="J8" i="25" s="1"/>
  <c r="AG7" i="44"/>
  <c r="J7" i="25" s="1"/>
  <c r="AG6" i="44"/>
  <c r="J6" i="25" s="1"/>
  <c r="AG5" i="44"/>
  <c r="J5" i="25" s="1"/>
  <c r="AG4" i="44"/>
  <c r="J4" i="25" s="1"/>
  <c r="AF3" i="44"/>
  <c r="AE3" i="44"/>
  <c r="AD3" i="44"/>
  <c r="AC3" i="44"/>
  <c r="AB3" i="44"/>
  <c r="AA3" i="44"/>
  <c r="Z3" i="44"/>
  <c r="Y3" i="44"/>
  <c r="X3" i="44"/>
  <c r="W3" i="44"/>
  <c r="V3" i="44"/>
  <c r="U3" i="44"/>
  <c r="T3" i="44"/>
  <c r="S3" i="44"/>
  <c r="R3" i="44"/>
  <c r="Q3" i="44"/>
  <c r="P3" i="44"/>
  <c r="O3" i="44"/>
  <c r="N3" i="44"/>
  <c r="M3" i="44"/>
  <c r="L3" i="44"/>
  <c r="K3" i="44"/>
  <c r="J3" i="44"/>
  <c r="I3" i="44"/>
  <c r="H3" i="44"/>
  <c r="G3" i="44"/>
  <c r="F3" i="44"/>
  <c r="E3" i="44"/>
  <c r="D3" i="44"/>
  <c r="C3" i="44"/>
  <c r="B3" i="44"/>
  <c r="AC2" i="44"/>
  <c r="C2" i="44"/>
  <c r="D2" i="44" s="1"/>
  <c r="E2" i="44" s="1"/>
  <c r="F2" i="44" s="1"/>
  <c r="G2" i="44" s="1"/>
  <c r="H2" i="44" s="1"/>
  <c r="I2" i="44" s="1"/>
  <c r="J2" i="44" s="1"/>
  <c r="K2" i="44" s="1"/>
  <c r="L2" i="44" s="1"/>
  <c r="M2" i="44" s="1"/>
  <c r="N2" i="44" s="1"/>
  <c r="O2" i="44" s="1"/>
  <c r="P2" i="44" s="1"/>
  <c r="Q2" i="44" s="1"/>
  <c r="R2" i="44" s="1"/>
  <c r="S2" i="44" s="1"/>
  <c r="T2" i="44" s="1"/>
  <c r="U2" i="44" s="1"/>
  <c r="V2" i="44" s="1"/>
  <c r="W2" i="44" s="1"/>
  <c r="X2" i="44" s="1"/>
  <c r="Y2" i="44" s="1"/>
  <c r="Z2" i="44" s="1"/>
  <c r="AA2" i="44" s="1"/>
  <c r="H144" i="44" l="1"/>
  <c r="Y81" i="44"/>
  <c r="W93" i="44"/>
  <c r="Z93" i="44"/>
  <c r="G93" i="44"/>
  <c r="H93" i="44"/>
  <c r="AF144" i="44"/>
  <c r="AD93" i="44"/>
  <c r="R144" i="44"/>
  <c r="Z144" i="44"/>
  <c r="AE93" i="44"/>
  <c r="AF93" i="44"/>
  <c r="V93" i="44"/>
  <c r="F93" i="44"/>
  <c r="N93" i="44"/>
  <c r="C144" i="44"/>
  <c r="AG147" i="44"/>
  <c r="J147" i="25" s="1"/>
  <c r="K93" i="44"/>
  <c r="S93" i="44"/>
  <c r="AA93" i="44"/>
  <c r="D93" i="44"/>
  <c r="L93" i="44"/>
  <c r="T93" i="44"/>
  <c r="AB93" i="44"/>
  <c r="AE144" i="44"/>
  <c r="AB144" i="44"/>
  <c r="T144" i="44"/>
  <c r="C81" i="44"/>
  <c r="U93" i="44"/>
  <c r="Y93" i="44"/>
  <c r="AC93" i="44"/>
  <c r="E144" i="44"/>
  <c r="I144" i="44"/>
  <c r="Q144" i="44"/>
  <c r="U144" i="44"/>
  <c r="Y144" i="44"/>
  <c r="AC144" i="44"/>
  <c r="Q81" i="44"/>
  <c r="N144" i="44"/>
  <c r="V144" i="44"/>
  <c r="AD144" i="44"/>
  <c r="AG236" i="44"/>
  <c r="J238" i="25" s="1"/>
  <c r="C93" i="44"/>
  <c r="O144" i="44"/>
  <c r="AG232" i="44"/>
  <c r="J234" i="25" s="1"/>
  <c r="AG240" i="44"/>
  <c r="J242" i="25" s="1"/>
  <c r="Q93" i="44"/>
  <c r="M144" i="44"/>
  <c r="M93" i="44"/>
  <c r="L144" i="44"/>
  <c r="AG167" i="44"/>
  <c r="J167" i="25" s="1"/>
  <c r="K81" i="44"/>
  <c r="J93" i="44"/>
  <c r="AG158" i="44"/>
  <c r="J158" i="25" s="1"/>
  <c r="I93" i="44"/>
  <c r="I81" i="44"/>
  <c r="AG80" i="44"/>
  <c r="J80" i="25" s="1"/>
  <c r="AG218" i="44"/>
  <c r="J220" i="25" s="1"/>
  <c r="AG206" i="44"/>
  <c r="J206" i="25" s="1"/>
  <c r="F144" i="44"/>
  <c r="E93" i="44"/>
  <c r="E81" i="44"/>
  <c r="AG145" i="44"/>
  <c r="J145" i="25" s="1"/>
  <c r="AG179" i="44"/>
  <c r="J179" i="25" s="1"/>
  <c r="AG174" i="44"/>
  <c r="J174" i="25" s="1"/>
  <c r="AG116" i="44"/>
  <c r="J116" i="25" s="1"/>
  <c r="AG53" i="44"/>
  <c r="J53" i="25" s="1"/>
  <c r="B130" i="44"/>
  <c r="AG130" i="44" s="1"/>
  <c r="J130" i="25" s="1"/>
  <c r="AG87" i="44"/>
  <c r="J87" i="25" s="1"/>
  <c r="AG82" i="44"/>
  <c r="J82" i="25" s="1"/>
  <c r="AG94" i="44"/>
  <c r="J94" i="25" s="1"/>
  <c r="B93" i="44"/>
  <c r="AG78" i="44"/>
  <c r="J78" i="25" s="1"/>
  <c r="AG79" i="44"/>
  <c r="J79" i="25" s="1"/>
  <c r="B83" i="44"/>
  <c r="J83" i="44"/>
  <c r="J81" i="44" s="1"/>
  <c r="R83" i="44"/>
  <c r="R81" i="44" s="1"/>
  <c r="Z83" i="44"/>
  <c r="Z81" i="44" s="1"/>
  <c r="AG84" i="44"/>
  <c r="J84" i="25" s="1"/>
  <c r="F81" i="44"/>
  <c r="V81" i="44"/>
  <c r="AG100" i="44"/>
  <c r="J100" i="25" s="1"/>
  <c r="AG28" i="44"/>
  <c r="J28" i="25" s="1"/>
  <c r="N83" i="44"/>
  <c r="N81" i="44" s="1"/>
  <c r="AD83" i="44"/>
  <c r="AD81" i="44" s="1"/>
  <c r="AG3" i="44"/>
  <c r="J3" i="25" s="1"/>
  <c r="D81" i="44"/>
  <c r="L81" i="44"/>
  <c r="T81" i="44"/>
  <c r="AB81" i="44"/>
  <c r="H83" i="44"/>
  <c r="H81" i="44" s="1"/>
  <c r="P83" i="44"/>
  <c r="P81" i="44" s="1"/>
  <c r="X83" i="44"/>
  <c r="X81" i="44" s="1"/>
  <c r="AF83" i="44"/>
  <c r="AF81" i="44" s="1"/>
  <c r="AG148" i="44"/>
  <c r="AF143" i="43"/>
  <c r="AF142" i="43"/>
  <c r="AF134" i="43"/>
  <c r="AF129" i="43"/>
  <c r="AE143" i="43"/>
  <c r="AE142" i="43"/>
  <c r="AE134" i="43"/>
  <c r="AE129" i="43"/>
  <c r="AD143" i="43"/>
  <c r="AD142" i="43"/>
  <c r="AD129" i="43"/>
  <c r="AG146" i="44" l="1"/>
  <c r="J146" i="25" s="1"/>
  <c r="J148" i="25"/>
  <c r="AG144" i="44"/>
  <c r="J144" i="25" s="1"/>
  <c r="AG93" i="44"/>
  <c r="AG83" i="44"/>
  <c r="B81" i="44"/>
  <c r="AG81" i="44" s="1"/>
  <c r="AH87" i="44"/>
  <c r="AC143" i="43"/>
  <c r="AC134" i="43"/>
  <c r="AC139" i="43"/>
  <c r="AC137" i="43"/>
  <c r="AC129" i="43"/>
  <c r="AH206" i="44" l="1"/>
  <c r="J93" i="25"/>
  <c r="AH81" i="44"/>
  <c r="J81" i="25"/>
  <c r="AH84" i="44"/>
  <c r="J83" i="25"/>
  <c r="AH93" i="44"/>
  <c r="AH130" i="44"/>
  <c r="AH144" i="44"/>
  <c r="AB143" i="43"/>
  <c r="AB142" i="43"/>
  <c r="AB129" i="43"/>
  <c r="AA143" i="43" l="1"/>
  <c r="AA142" i="43"/>
  <c r="AA137" i="43"/>
  <c r="AA129" i="43"/>
  <c r="Z143" i="43" l="1"/>
  <c r="Z129" i="43"/>
  <c r="Y143" i="43" l="1"/>
  <c r="Y142" i="43"/>
  <c r="Y129" i="43"/>
  <c r="X143" i="43" l="1"/>
  <c r="X142" i="43"/>
  <c r="X139" i="43"/>
  <c r="X129" i="43"/>
  <c r="W143" i="43"/>
  <c r="W142" i="43"/>
  <c r="W139" i="43"/>
  <c r="W129" i="43"/>
  <c r="V143" i="43"/>
  <c r="V142" i="43"/>
  <c r="V129" i="43"/>
  <c r="U143" i="43" l="1"/>
  <c r="U142" i="43"/>
  <c r="U134" i="43"/>
  <c r="U137" i="43"/>
  <c r="U129" i="43"/>
  <c r="T143" i="43"/>
  <c r="T142" i="43"/>
  <c r="T137" i="43"/>
  <c r="T129" i="43"/>
  <c r="S143" i="43"/>
  <c r="S142" i="43"/>
  <c r="S134" i="43"/>
  <c r="S129" i="43"/>
  <c r="R143" i="43"/>
  <c r="R142" i="43"/>
  <c r="R129" i="43"/>
  <c r="Q143" i="43"/>
  <c r="Q142" i="43"/>
  <c r="Q137" i="43"/>
  <c r="Q129" i="43"/>
  <c r="P143" i="43"/>
  <c r="P134" i="43"/>
  <c r="P142" i="43"/>
  <c r="P129" i="43"/>
  <c r="O143" i="43"/>
  <c r="O129" i="43"/>
  <c r="N143" i="43" l="1"/>
  <c r="N142" i="43"/>
  <c r="N129" i="43"/>
  <c r="M143" i="43" l="1"/>
  <c r="M142" i="43"/>
  <c r="M129" i="43"/>
  <c r="L143" i="43" l="1"/>
  <c r="L142" i="43"/>
  <c r="L129" i="43"/>
  <c r="K143" i="43" l="1"/>
  <c r="K142" i="43"/>
  <c r="K134" i="43"/>
  <c r="K129" i="43"/>
  <c r="J143" i="43" l="1"/>
  <c r="J142" i="43"/>
  <c r="J137" i="43"/>
  <c r="J129" i="43"/>
  <c r="I143" i="43" l="1"/>
  <c r="I142" i="43"/>
  <c r="I129" i="43"/>
  <c r="H143" i="43"/>
  <c r="H142" i="43"/>
  <c r="H129" i="43"/>
  <c r="G143" i="43"/>
  <c r="G134" i="43"/>
  <c r="G129" i="43"/>
  <c r="F143" i="43" l="1"/>
  <c r="F142" i="43"/>
  <c r="F129" i="43"/>
  <c r="E143" i="43" l="1"/>
  <c r="E142" i="43"/>
  <c r="E137" i="43"/>
  <c r="E129" i="43"/>
  <c r="D143" i="43"/>
  <c r="D142" i="43"/>
  <c r="D137" i="43"/>
  <c r="D129" i="43"/>
  <c r="C143" i="43" l="1"/>
  <c r="C139" i="43"/>
  <c r="C137" i="43"/>
  <c r="C129" i="43"/>
  <c r="C116" i="43" s="1"/>
  <c r="B143" i="43"/>
  <c r="B134" i="43"/>
  <c r="AG134" i="43" s="1"/>
  <c r="I134" i="25" s="1"/>
  <c r="B137" i="43"/>
  <c r="B129" i="43"/>
  <c r="B116" i="43" s="1"/>
  <c r="AG248" i="43"/>
  <c r="I250" i="25" s="1"/>
  <c r="AG247" i="43"/>
  <c r="I249" i="25" s="1"/>
  <c r="AG246" i="43"/>
  <c r="I248" i="25" s="1"/>
  <c r="AG245" i="43"/>
  <c r="I247" i="25" s="1"/>
  <c r="AG241" i="43"/>
  <c r="I243" i="25" s="1"/>
  <c r="AF240" i="43"/>
  <c r="AE240" i="43"/>
  <c r="AD240" i="43"/>
  <c r="AC240" i="43"/>
  <c r="AB240" i="43"/>
  <c r="AA240" i="43"/>
  <c r="Z240" i="43"/>
  <c r="Y240" i="43"/>
  <c r="X240" i="43"/>
  <c r="W240" i="43"/>
  <c r="V240" i="43"/>
  <c r="U240" i="43"/>
  <c r="T240" i="43"/>
  <c r="S240" i="43"/>
  <c r="R240" i="43"/>
  <c r="Q240" i="43"/>
  <c r="P240" i="43"/>
  <c r="O240" i="43"/>
  <c r="N240" i="43"/>
  <c r="M240" i="43"/>
  <c r="L240" i="43"/>
  <c r="K240" i="43"/>
  <c r="J240" i="43"/>
  <c r="I240" i="43"/>
  <c r="H240" i="43"/>
  <c r="G240" i="43"/>
  <c r="F240" i="43"/>
  <c r="E240" i="43"/>
  <c r="D240" i="43"/>
  <c r="C240" i="43"/>
  <c r="B240" i="43"/>
  <c r="AG239" i="43"/>
  <c r="I241" i="25" s="1"/>
  <c r="AG238" i="43"/>
  <c r="I240" i="25" s="1"/>
  <c r="AG237" i="43"/>
  <c r="I239" i="25" s="1"/>
  <c r="AF236" i="43"/>
  <c r="AE236" i="43"/>
  <c r="AD236" i="43"/>
  <c r="AC236" i="43"/>
  <c r="AB236" i="43"/>
  <c r="AA236" i="43"/>
  <c r="Z236" i="43"/>
  <c r="Y236" i="43"/>
  <c r="X236" i="43"/>
  <c r="W236" i="43"/>
  <c r="V236" i="43"/>
  <c r="U236" i="43"/>
  <c r="T236" i="43"/>
  <c r="S236" i="43"/>
  <c r="R236" i="43"/>
  <c r="Q236" i="43"/>
  <c r="P236" i="43"/>
  <c r="O236" i="43"/>
  <c r="N236" i="43"/>
  <c r="M236" i="43"/>
  <c r="L236" i="43"/>
  <c r="K236" i="43"/>
  <c r="J236" i="43"/>
  <c r="I236" i="43"/>
  <c r="H236" i="43"/>
  <c r="G236" i="43"/>
  <c r="F236" i="43"/>
  <c r="E236" i="43"/>
  <c r="D236" i="43"/>
  <c r="C236" i="43"/>
  <c r="B236" i="43"/>
  <c r="AG235" i="43"/>
  <c r="I237" i="25" s="1"/>
  <c r="AG234" i="43"/>
  <c r="I236" i="25" s="1"/>
  <c r="AG233" i="43"/>
  <c r="I235" i="25" s="1"/>
  <c r="AF232" i="43"/>
  <c r="AE232" i="43"/>
  <c r="AD232" i="43"/>
  <c r="AC232" i="43"/>
  <c r="AB232" i="43"/>
  <c r="AA232" i="43"/>
  <c r="Z232" i="43"/>
  <c r="Y232" i="43"/>
  <c r="X232" i="43"/>
  <c r="W232" i="43"/>
  <c r="V232" i="43"/>
  <c r="U232" i="43"/>
  <c r="T232" i="43"/>
  <c r="S232" i="43"/>
  <c r="R232" i="43"/>
  <c r="Q232" i="43"/>
  <c r="P232" i="43"/>
  <c r="O232" i="43"/>
  <c r="N232" i="43"/>
  <c r="M232" i="43"/>
  <c r="L232" i="43"/>
  <c r="K232" i="43"/>
  <c r="J232" i="43"/>
  <c r="I232" i="43"/>
  <c r="H232" i="43"/>
  <c r="G232" i="43"/>
  <c r="F232" i="43"/>
  <c r="E232" i="43"/>
  <c r="D232" i="43"/>
  <c r="C232" i="43"/>
  <c r="B232" i="43"/>
  <c r="AG231" i="43"/>
  <c r="I233" i="25" s="1"/>
  <c r="AG230" i="43"/>
  <c r="I232" i="25" s="1"/>
  <c r="AG229" i="43"/>
  <c r="I231" i="25" s="1"/>
  <c r="AG228" i="43"/>
  <c r="I230" i="25" s="1"/>
  <c r="AG227" i="43"/>
  <c r="I229" i="25" s="1"/>
  <c r="AG226" i="43"/>
  <c r="I228" i="25" s="1"/>
  <c r="AG225" i="43"/>
  <c r="I227" i="25" s="1"/>
  <c r="AG224" i="43"/>
  <c r="I226" i="25" s="1"/>
  <c r="AG223" i="43"/>
  <c r="I225" i="25" s="1"/>
  <c r="AG222" i="43"/>
  <c r="I224" i="25" s="1"/>
  <c r="AG221" i="43"/>
  <c r="I223" i="25" s="1"/>
  <c r="AG220" i="43"/>
  <c r="I222" i="25" s="1"/>
  <c r="AF218" i="43"/>
  <c r="AE218" i="43"/>
  <c r="AD218" i="43"/>
  <c r="AC218" i="43"/>
  <c r="AB218" i="43"/>
  <c r="AA218" i="43"/>
  <c r="Z218" i="43"/>
  <c r="Y218" i="43"/>
  <c r="X218" i="43"/>
  <c r="W218" i="43"/>
  <c r="V218" i="43"/>
  <c r="U218" i="43"/>
  <c r="T218" i="43"/>
  <c r="S218" i="43"/>
  <c r="R218" i="43"/>
  <c r="Q218" i="43"/>
  <c r="P218" i="43"/>
  <c r="O218" i="43"/>
  <c r="N218" i="43"/>
  <c r="M218" i="43"/>
  <c r="L218" i="43"/>
  <c r="K218" i="43"/>
  <c r="J218" i="43"/>
  <c r="I218" i="43"/>
  <c r="H218" i="43"/>
  <c r="G218" i="43"/>
  <c r="F218" i="43"/>
  <c r="E218" i="43"/>
  <c r="D218" i="43"/>
  <c r="C218" i="43"/>
  <c r="B218" i="43"/>
  <c r="AG217" i="43"/>
  <c r="I219" i="25" s="1"/>
  <c r="AG216" i="43"/>
  <c r="I218" i="25" s="1"/>
  <c r="AG215" i="43"/>
  <c r="I217" i="25" s="1"/>
  <c r="AG214" i="43"/>
  <c r="I214" i="25" s="1"/>
  <c r="AG213" i="43"/>
  <c r="I213" i="25" s="1"/>
  <c r="AG212" i="43"/>
  <c r="I212" i="25" s="1"/>
  <c r="AG211" i="43"/>
  <c r="I211" i="25" s="1"/>
  <c r="AG210" i="43"/>
  <c r="I210" i="25" s="1"/>
  <c r="AG209" i="43"/>
  <c r="I209" i="25" s="1"/>
  <c r="AG208" i="43"/>
  <c r="I208" i="25" s="1"/>
  <c r="AG207" i="43"/>
  <c r="I207" i="25" s="1"/>
  <c r="AF206" i="43"/>
  <c r="AE206" i="43"/>
  <c r="AD206" i="43"/>
  <c r="AC206" i="43"/>
  <c r="AB206" i="43"/>
  <c r="AA206" i="43"/>
  <c r="Z206" i="43"/>
  <c r="Y206" i="43"/>
  <c r="X206" i="43"/>
  <c r="W206" i="43"/>
  <c r="V206" i="43"/>
  <c r="U206" i="43"/>
  <c r="T206" i="43"/>
  <c r="S206" i="43"/>
  <c r="R206" i="43"/>
  <c r="Q206" i="43"/>
  <c r="P206" i="43"/>
  <c r="O206" i="43"/>
  <c r="N206" i="43"/>
  <c r="M206" i="43"/>
  <c r="L206" i="43"/>
  <c r="K206" i="43"/>
  <c r="J206" i="43"/>
  <c r="I206" i="43"/>
  <c r="H206" i="43"/>
  <c r="G206" i="43"/>
  <c r="F206" i="43"/>
  <c r="E206" i="43"/>
  <c r="D206" i="43"/>
  <c r="C206" i="43"/>
  <c r="B206" i="43"/>
  <c r="AG205" i="43"/>
  <c r="I205" i="25" s="1"/>
  <c r="AG204" i="43"/>
  <c r="I204" i="25" s="1"/>
  <c r="AG203" i="43"/>
  <c r="I203" i="25" s="1"/>
  <c r="AG202" i="43"/>
  <c r="I202" i="25" s="1"/>
  <c r="AG201" i="43"/>
  <c r="I201" i="25" s="1"/>
  <c r="AG200" i="43"/>
  <c r="I200" i="25" s="1"/>
  <c r="AG199" i="43"/>
  <c r="I199" i="25" s="1"/>
  <c r="AG198" i="43"/>
  <c r="I198" i="25" s="1"/>
  <c r="AG197" i="43"/>
  <c r="I197" i="25" s="1"/>
  <c r="AG196" i="43"/>
  <c r="I196" i="25" s="1"/>
  <c r="AG195" i="43"/>
  <c r="I195" i="25" s="1"/>
  <c r="AG194" i="43"/>
  <c r="I194" i="25" s="1"/>
  <c r="AG193" i="43"/>
  <c r="I193" i="25" s="1"/>
  <c r="AG192" i="43"/>
  <c r="I192" i="25" s="1"/>
  <c r="AG191" i="43"/>
  <c r="I191" i="25" s="1"/>
  <c r="AG190" i="43"/>
  <c r="I190" i="25" s="1"/>
  <c r="AG189" i="43"/>
  <c r="I189" i="25" s="1"/>
  <c r="AG188" i="43"/>
  <c r="I188" i="25" s="1"/>
  <c r="AG187" i="43"/>
  <c r="I187" i="25" s="1"/>
  <c r="AG186" i="43"/>
  <c r="I186" i="25" s="1"/>
  <c r="AG185" i="43"/>
  <c r="I185" i="25" s="1"/>
  <c r="AG184" i="43"/>
  <c r="I184" i="25" s="1"/>
  <c r="AG183" i="43"/>
  <c r="I183" i="25" s="1"/>
  <c r="AG182" i="43"/>
  <c r="I182" i="25" s="1"/>
  <c r="AG181" i="43"/>
  <c r="I181" i="25" s="1"/>
  <c r="AG180" i="43"/>
  <c r="I180" i="25" s="1"/>
  <c r="AF179" i="43"/>
  <c r="AE179" i="43"/>
  <c r="AD179" i="43"/>
  <c r="AC179" i="43"/>
  <c r="AB179" i="43"/>
  <c r="AA179" i="43"/>
  <c r="Z179" i="43"/>
  <c r="Y179" i="43"/>
  <c r="X179" i="43"/>
  <c r="W179" i="43"/>
  <c r="V179" i="43"/>
  <c r="U179" i="43"/>
  <c r="T179" i="43"/>
  <c r="S179" i="43"/>
  <c r="R179" i="43"/>
  <c r="Q179" i="43"/>
  <c r="P179" i="43"/>
  <c r="O179" i="43"/>
  <c r="N179" i="43"/>
  <c r="M179" i="43"/>
  <c r="L179" i="43"/>
  <c r="K179" i="43"/>
  <c r="J179" i="43"/>
  <c r="I179" i="43"/>
  <c r="H179" i="43"/>
  <c r="G179" i="43"/>
  <c r="F179" i="43"/>
  <c r="E179" i="43"/>
  <c r="D179" i="43"/>
  <c r="C179" i="43"/>
  <c r="B179" i="43"/>
  <c r="AG178" i="43"/>
  <c r="I178" i="25" s="1"/>
  <c r="AG177" i="43"/>
  <c r="I177" i="25" s="1"/>
  <c r="AG176" i="43"/>
  <c r="I176" i="25" s="1"/>
  <c r="AG175" i="43"/>
  <c r="I175" i="25" s="1"/>
  <c r="AF174" i="43"/>
  <c r="AE174" i="43"/>
  <c r="AD174" i="43"/>
  <c r="AC174" i="43"/>
  <c r="AB174" i="43"/>
  <c r="AA174" i="43"/>
  <c r="Z174" i="43"/>
  <c r="Y174" i="43"/>
  <c r="X174" i="43"/>
  <c r="W174" i="43"/>
  <c r="V174" i="43"/>
  <c r="U174" i="43"/>
  <c r="T174" i="43"/>
  <c r="S174" i="43"/>
  <c r="R174" i="43"/>
  <c r="Q174" i="43"/>
  <c r="P174" i="43"/>
  <c r="O174" i="43"/>
  <c r="N174" i="43"/>
  <c r="M174" i="43"/>
  <c r="L174" i="43"/>
  <c r="K174" i="43"/>
  <c r="J174" i="43"/>
  <c r="I174" i="43"/>
  <c r="H174" i="43"/>
  <c r="G174" i="43"/>
  <c r="F174" i="43"/>
  <c r="E174" i="43"/>
  <c r="D174" i="43"/>
  <c r="C174" i="43"/>
  <c r="B174" i="43"/>
  <c r="AG173" i="43"/>
  <c r="I173" i="25" s="1"/>
  <c r="AG172" i="43"/>
  <c r="I172" i="25" s="1"/>
  <c r="AG171" i="43"/>
  <c r="I171" i="25" s="1"/>
  <c r="AG170" i="43"/>
  <c r="I170" i="25" s="1"/>
  <c r="AG169" i="43"/>
  <c r="I169" i="25" s="1"/>
  <c r="AG168" i="43"/>
  <c r="I168" i="25" s="1"/>
  <c r="AF167" i="43"/>
  <c r="AE167" i="43"/>
  <c r="AD167" i="43"/>
  <c r="AC167" i="43"/>
  <c r="AB167" i="43"/>
  <c r="AA167" i="43"/>
  <c r="Z167" i="43"/>
  <c r="Y167" i="43"/>
  <c r="X167" i="43"/>
  <c r="W167" i="43"/>
  <c r="V167" i="43"/>
  <c r="U167" i="43"/>
  <c r="T167" i="43"/>
  <c r="S167" i="43"/>
  <c r="R167" i="43"/>
  <c r="Q167" i="43"/>
  <c r="P167" i="43"/>
  <c r="O167" i="43"/>
  <c r="N167" i="43"/>
  <c r="M167" i="43"/>
  <c r="L167" i="43"/>
  <c r="K167" i="43"/>
  <c r="J167" i="43"/>
  <c r="I167" i="43"/>
  <c r="H167" i="43"/>
  <c r="G167" i="43"/>
  <c r="F167" i="43"/>
  <c r="E167" i="43"/>
  <c r="D167" i="43"/>
  <c r="C167" i="43"/>
  <c r="B167" i="43"/>
  <c r="AG166" i="43"/>
  <c r="I166" i="25" s="1"/>
  <c r="AG165" i="43"/>
  <c r="I165" i="25" s="1"/>
  <c r="AG164" i="43"/>
  <c r="I164" i="25" s="1"/>
  <c r="AG163" i="43"/>
  <c r="I163" i="25" s="1"/>
  <c r="AG162" i="43"/>
  <c r="I162" i="25" s="1"/>
  <c r="AG161" i="43"/>
  <c r="I161" i="25" s="1"/>
  <c r="AG160" i="43"/>
  <c r="I160" i="25" s="1"/>
  <c r="AG159" i="43"/>
  <c r="I159" i="25" s="1"/>
  <c r="AF158" i="43"/>
  <c r="AE158" i="43"/>
  <c r="AD158" i="43"/>
  <c r="AC158" i="43"/>
  <c r="AB158" i="43"/>
  <c r="AA158" i="43"/>
  <c r="Z158" i="43"/>
  <c r="Y158" i="43"/>
  <c r="X158" i="43"/>
  <c r="W158" i="43"/>
  <c r="V158" i="43"/>
  <c r="U158" i="43"/>
  <c r="T158" i="43"/>
  <c r="S158" i="43"/>
  <c r="R158" i="43"/>
  <c r="Q158" i="43"/>
  <c r="P158" i="43"/>
  <c r="O158" i="43"/>
  <c r="N158" i="43"/>
  <c r="M158" i="43"/>
  <c r="L158" i="43"/>
  <c r="K158" i="43"/>
  <c r="J158" i="43"/>
  <c r="I158" i="43"/>
  <c r="H158" i="43"/>
  <c r="G158" i="43"/>
  <c r="F158" i="43"/>
  <c r="E158" i="43"/>
  <c r="D158" i="43"/>
  <c r="C158" i="43"/>
  <c r="B158" i="43"/>
  <c r="AG157" i="43"/>
  <c r="I157" i="25" s="1"/>
  <c r="AG156" i="43"/>
  <c r="I156" i="25" s="1"/>
  <c r="AG155" i="43"/>
  <c r="I155" i="25" s="1"/>
  <c r="AG154" i="43"/>
  <c r="I154" i="25" s="1"/>
  <c r="AG153" i="43"/>
  <c r="I153" i="25" s="1"/>
  <c r="AG152" i="43"/>
  <c r="I152" i="25" s="1"/>
  <c r="AG151" i="43"/>
  <c r="I151" i="25" s="1"/>
  <c r="AG150" i="43"/>
  <c r="I150" i="25" s="1"/>
  <c r="AG149" i="43"/>
  <c r="I149" i="25" s="1"/>
  <c r="AF148" i="43"/>
  <c r="AF146" i="43" s="1"/>
  <c r="AE148" i="43"/>
  <c r="AE146" i="43" s="1"/>
  <c r="AD148" i="43"/>
  <c r="AD146" i="43" s="1"/>
  <c r="AD144" i="43" s="1"/>
  <c r="AC148" i="43"/>
  <c r="AC146" i="43" s="1"/>
  <c r="AB148" i="43"/>
  <c r="AB146" i="43" s="1"/>
  <c r="AA148" i="43"/>
  <c r="AA146" i="43" s="1"/>
  <c r="AA144" i="43" s="1"/>
  <c r="Z148" i="43"/>
  <c r="Z146" i="43" s="1"/>
  <c r="Y148" i="43"/>
  <c r="X148" i="43"/>
  <c r="X146" i="43" s="1"/>
  <c r="W148" i="43"/>
  <c r="W146" i="43" s="1"/>
  <c r="V148" i="43"/>
  <c r="V146" i="43" s="1"/>
  <c r="U148" i="43"/>
  <c r="U146" i="43" s="1"/>
  <c r="T148" i="43"/>
  <c r="T146" i="43" s="1"/>
  <c r="S148" i="43"/>
  <c r="S146" i="43" s="1"/>
  <c r="R148" i="43"/>
  <c r="R146" i="43" s="1"/>
  <c r="Q148" i="43"/>
  <c r="Q146" i="43" s="1"/>
  <c r="P148" i="43"/>
  <c r="P146" i="43" s="1"/>
  <c r="O148" i="43"/>
  <c r="O146" i="43" s="1"/>
  <c r="N148" i="43"/>
  <c r="N146" i="43" s="1"/>
  <c r="M148" i="43"/>
  <c r="L148" i="43"/>
  <c r="L146" i="43" s="1"/>
  <c r="K148" i="43"/>
  <c r="K146" i="43" s="1"/>
  <c r="J148" i="43"/>
  <c r="J146" i="43" s="1"/>
  <c r="J144" i="43" s="1"/>
  <c r="I148" i="43"/>
  <c r="H148" i="43"/>
  <c r="H146" i="43" s="1"/>
  <c r="G148" i="43"/>
  <c r="G146" i="43" s="1"/>
  <c r="G144" i="43" s="1"/>
  <c r="F148" i="43"/>
  <c r="F146" i="43" s="1"/>
  <c r="E148" i="43"/>
  <c r="D148" i="43"/>
  <c r="D146" i="43" s="1"/>
  <c r="C148" i="43"/>
  <c r="C146" i="43" s="1"/>
  <c r="B148" i="43"/>
  <c r="AE147" i="43"/>
  <c r="AD147" i="43"/>
  <c r="AC147" i="43"/>
  <c r="AB147" i="43"/>
  <c r="AA147" i="43"/>
  <c r="Z147" i="43"/>
  <c r="Y147" i="43"/>
  <c r="X147" i="43"/>
  <c r="W147" i="43"/>
  <c r="V147" i="43"/>
  <c r="U147" i="43"/>
  <c r="T147" i="43"/>
  <c r="S147" i="43"/>
  <c r="R147" i="43"/>
  <c r="Q147" i="43"/>
  <c r="P147" i="43"/>
  <c r="O147" i="43"/>
  <c r="N147" i="43"/>
  <c r="M147" i="43"/>
  <c r="L147" i="43"/>
  <c r="K147" i="43"/>
  <c r="J147" i="43"/>
  <c r="I147" i="43"/>
  <c r="H147" i="43"/>
  <c r="G147" i="43"/>
  <c r="F147" i="43"/>
  <c r="E147" i="43"/>
  <c r="D147" i="43"/>
  <c r="C147" i="43"/>
  <c r="B147" i="43"/>
  <c r="Y146" i="43"/>
  <c r="Y144" i="43" s="1"/>
  <c r="M146" i="43"/>
  <c r="I146" i="43"/>
  <c r="I144" i="43" s="1"/>
  <c r="E146" i="43"/>
  <c r="AF145" i="43"/>
  <c r="AE145" i="43"/>
  <c r="AD145" i="43"/>
  <c r="AC145" i="43"/>
  <c r="AB145" i="43"/>
  <c r="AA145" i="43"/>
  <c r="Z145" i="43"/>
  <c r="Y145" i="43"/>
  <c r="X145" i="43"/>
  <c r="W145" i="43"/>
  <c r="V145" i="43"/>
  <c r="U145" i="43"/>
  <c r="T145" i="43"/>
  <c r="S145" i="43"/>
  <c r="R145" i="43"/>
  <c r="Q145" i="43"/>
  <c r="P145" i="43"/>
  <c r="O145" i="43"/>
  <c r="N145" i="43"/>
  <c r="M145" i="43"/>
  <c r="L145" i="43"/>
  <c r="K145" i="43"/>
  <c r="J145" i="43"/>
  <c r="I145" i="43"/>
  <c r="H145" i="43"/>
  <c r="G145" i="43"/>
  <c r="F145" i="43"/>
  <c r="E145" i="43"/>
  <c r="D145" i="43"/>
  <c r="C145" i="43"/>
  <c r="B145" i="43"/>
  <c r="AG143" i="43"/>
  <c r="I143" i="25" s="1"/>
  <c r="AG142" i="43"/>
  <c r="I142" i="25" s="1"/>
  <c r="AG141" i="43"/>
  <c r="I141" i="25" s="1"/>
  <c r="AG140" i="43"/>
  <c r="I140" i="25" s="1"/>
  <c r="AG139" i="43"/>
  <c r="I139" i="25" s="1"/>
  <c r="AG138" i="43"/>
  <c r="I138" i="25" s="1"/>
  <c r="AG137" i="43"/>
  <c r="I137" i="25" s="1"/>
  <c r="AG136" i="43"/>
  <c r="I136" i="25" s="1"/>
  <c r="AG135" i="43"/>
  <c r="I135" i="25" s="1"/>
  <c r="AG133" i="43"/>
  <c r="I133" i="25" s="1"/>
  <c r="AG132" i="43"/>
  <c r="I132" i="25" s="1"/>
  <c r="AG131" i="43"/>
  <c r="I131" i="25" s="1"/>
  <c r="AF130" i="43"/>
  <c r="AE130" i="43"/>
  <c r="AD130" i="43"/>
  <c r="AC130" i="43"/>
  <c r="AB130" i="43"/>
  <c r="AA130" i="43"/>
  <c r="Z130" i="43"/>
  <c r="Y130" i="43"/>
  <c r="X130" i="43"/>
  <c r="W130" i="43"/>
  <c r="V130" i="43"/>
  <c r="U130" i="43"/>
  <c r="T130" i="43"/>
  <c r="S130" i="43"/>
  <c r="R130" i="43"/>
  <c r="Q130" i="43"/>
  <c r="P130" i="43"/>
  <c r="O130" i="43"/>
  <c r="N130" i="43"/>
  <c r="M130" i="43"/>
  <c r="L130" i="43"/>
  <c r="K130" i="43"/>
  <c r="J130" i="43"/>
  <c r="I130" i="43"/>
  <c r="H130" i="43"/>
  <c r="G130" i="43"/>
  <c r="F130" i="43"/>
  <c r="E130" i="43"/>
  <c r="D130" i="43"/>
  <c r="AG129" i="43"/>
  <c r="I129" i="25" s="1"/>
  <c r="AG128" i="43"/>
  <c r="I128" i="25" s="1"/>
  <c r="AG127" i="43"/>
  <c r="I127" i="25" s="1"/>
  <c r="AG126" i="43"/>
  <c r="I126" i="25" s="1"/>
  <c r="AG125" i="43"/>
  <c r="I125" i="25" s="1"/>
  <c r="AG124" i="43"/>
  <c r="I124" i="25" s="1"/>
  <c r="AG123" i="43"/>
  <c r="I123" i="25" s="1"/>
  <c r="AG122" i="43"/>
  <c r="I122" i="25" s="1"/>
  <c r="AG121" i="43"/>
  <c r="I121" i="25" s="1"/>
  <c r="AG120" i="43"/>
  <c r="I120" i="25" s="1"/>
  <c r="AG119" i="43"/>
  <c r="I119" i="25" s="1"/>
  <c r="AG118" i="43"/>
  <c r="I118" i="25" s="1"/>
  <c r="AG117" i="43"/>
  <c r="I117" i="25" s="1"/>
  <c r="AF116" i="43"/>
  <c r="AE116" i="43"/>
  <c r="AD116" i="43"/>
  <c r="AC116" i="43"/>
  <c r="AB116" i="43"/>
  <c r="AA116" i="43"/>
  <c r="Z116" i="43"/>
  <c r="Y116" i="43"/>
  <c r="X116" i="43"/>
  <c r="W116" i="43"/>
  <c r="V116" i="43"/>
  <c r="U116" i="43"/>
  <c r="T116" i="43"/>
  <c r="S116" i="43"/>
  <c r="R116" i="43"/>
  <c r="Q116" i="43"/>
  <c r="P116" i="43"/>
  <c r="O116" i="43"/>
  <c r="N116" i="43"/>
  <c r="M116" i="43"/>
  <c r="L116" i="43"/>
  <c r="K116" i="43"/>
  <c r="J116" i="43"/>
  <c r="I116" i="43"/>
  <c r="H116" i="43"/>
  <c r="G116" i="43"/>
  <c r="F116" i="43"/>
  <c r="E116" i="43"/>
  <c r="D116" i="43"/>
  <c r="AG115" i="43"/>
  <c r="I115" i="25" s="1"/>
  <c r="AG114" i="43"/>
  <c r="I114" i="25" s="1"/>
  <c r="AG113" i="43"/>
  <c r="I113" i="25" s="1"/>
  <c r="AG112" i="43"/>
  <c r="I112" i="25" s="1"/>
  <c r="AG111" i="43"/>
  <c r="I111" i="25" s="1"/>
  <c r="AG110" i="43"/>
  <c r="I110" i="25" s="1"/>
  <c r="AG109" i="43"/>
  <c r="I109" i="25" s="1"/>
  <c r="AG108" i="43"/>
  <c r="I108" i="25" s="1"/>
  <c r="AG107" i="43"/>
  <c r="I107" i="25" s="1"/>
  <c r="AG106" i="43"/>
  <c r="I106" i="25" s="1"/>
  <c r="AG105" i="43"/>
  <c r="I105" i="25" s="1"/>
  <c r="AG104" i="43"/>
  <c r="I104" i="25" s="1"/>
  <c r="AG103" i="43"/>
  <c r="I103" i="25" s="1"/>
  <c r="AG102" i="43"/>
  <c r="I102" i="25" s="1"/>
  <c r="AG101" i="43"/>
  <c r="I101" i="25" s="1"/>
  <c r="AF100" i="43"/>
  <c r="AE100" i="43"/>
  <c r="AD100" i="43"/>
  <c r="AC100" i="43"/>
  <c r="AB100" i="43"/>
  <c r="AA100" i="43"/>
  <c r="Z100" i="43"/>
  <c r="Y100" i="43"/>
  <c r="X100" i="43"/>
  <c r="W100" i="43"/>
  <c r="V100" i="43"/>
  <c r="U100" i="43"/>
  <c r="T100" i="43"/>
  <c r="S100" i="43"/>
  <c r="R100" i="43"/>
  <c r="Q100" i="43"/>
  <c r="P100" i="43"/>
  <c r="O100" i="43"/>
  <c r="N100" i="43"/>
  <c r="M100" i="43"/>
  <c r="L100" i="43"/>
  <c r="K100" i="43"/>
  <c r="J100" i="43"/>
  <c r="I100" i="43"/>
  <c r="H100" i="43"/>
  <c r="G100" i="43"/>
  <c r="F100" i="43"/>
  <c r="E100" i="43"/>
  <c r="D100" i="43"/>
  <c r="C100" i="43"/>
  <c r="B100" i="43"/>
  <c r="AG99" i="43"/>
  <c r="I99" i="25" s="1"/>
  <c r="AG98" i="43"/>
  <c r="I98" i="25" s="1"/>
  <c r="AG97" i="43"/>
  <c r="I97" i="25" s="1"/>
  <c r="AG96" i="43"/>
  <c r="I96" i="25" s="1"/>
  <c r="AG95" i="43"/>
  <c r="I95" i="25" s="1"/>
  <c r="AF94" i="43"/>
  <c r="AE94" i="43"/>
  <c r="AD94" i="43"/>
  <c r="AC94" i="43"/>
  <c r="AB94" i="43"/>
  <c r="AA94" i="43"/>
  <c r="Z94" i="43"/>
  <c r="Y94" i="43"/>
  <c r="X94" i="43"/>
  <c r="W94" i="43"/>
  <c r="V94" i="43"/>
  <c r="V93" i="43" s="1"/>
  <c r="U94" i="43"/>
  <c r="U93" i="43" s="1"/>
  <c r="T94" i="43"/>
  <c r="S94" i="43"/>
  <c r="R94" i="43"/>
  <c r="Q94" i="43"/>
  <c r="P94" i="43"/>
  <c r="O94" i="43"/>
  <c r="N94" i="43"/>
  <c r="M94" i="43"/>
  <c r="L94" i="43"/>
  <c r="K94" i="43"/>
  <c r="K93" i="43" s="1"/>
  <c r="J94" i="43"/>
  <c r="I94" i="43"/>
  <c r="H94" i="43"/>
  <c r="G94" i="43"/>
  <c r="F94" i="43"/>
  <c r="E94" i="43"/>
  <c r="D94" i="43"/>
  <c r="C94" i="43"/>
  <c r="C93" i="43" s="1"/>
  <c r="B94" i="43"/>
  <c r="B93" i="43" s="1"/>
  <c r="AG92" i="43"/>
  <c r="I92" i="25" s="1"/>
  <c r="AG91" i="43"/>
  <c r="I91" i="25" s="1"/>
  <c r="AG90" i="43"/>
  <c r="I90" i="25" s="1"/>
  <c r="AG89" i="43"/>
  <c r="I89" i="25" s="1"/>
  <c r="AG88" i="43"/>
  <c r="I88" i="25" s="1"/>
  <c r="AF87" i="43"/>
  <c r="AE87" i="43"/>
  <c r="AD87" i="43"/>
  <c r="AC87" i="43"/>
  <c r="AB87" i="43"/>
  <c r="AA87" i="43"/>
  <c r="Z87" i="43"/>
  <c r="Y87" i="43"/>
  <c r="X87" i="43"/>
  <c r="W87" i="43"/>
  <c r="V87" i="43"/>
  <c r="U87" i="43"/>
  <c r="T87" i="43"/>
  <c r="S87" i="43"/>
  <c r="R87" i="43"/>
  <c r="Q87" i="43"/>
  <c r="P87" i="43"/>
  <c r="O87" i="43"/>
  <c r="N87" i="43"/>
  <c r="M87" i="43"/>
  <c r="L87" i="43"/>
  <c r="K87" i="43"/>
  <c r="J87" i="43"/>
  <c r="I87" i="43"/>
  <c r="H87" i="43"/>
  <c r="G87" i="43"/>
  <c r="F87" i="43"/>
  <c r="E87" i="43"/>
  <c r="D87" i="43"/>
  <c r="C87" i="43"/>
  <c r="B87" i="43"/>
  <c r="AG86" i="43"/>
  <c r="I86" i="25" s="1"/>
  <c r="AG85" i="43"/>
  <c r="I85" i="25" s="1"/>
  <c r="AF84" i="43"/>
  <c r="AE84" i="43"/>
  <c r="AD84" i="43"/>
  <c r="AC84" i="43"/>
  <c r="AB84" i="43"/>
  <c r="AA84" i="43"/>
  <c r="Z84" i="43"/>
  <c r="Y84" i="43"/>
  <c r="X84" i="43"/>
  <c r="W84" i="43"/>
  <c r="V84" i="43"/>
  <c r="U84" i="43"/>
  <c r="T84" i="43"/>
  <c r="S84" i="43"/>
  <c r="R84" i="43"/>
  <c r="Q84" i="43"/>
  <c r="P84" i="43"/>
  <c r="O84" i="43"/>
  <c r="N84" i="43"/>
  <c r="M84" i="43"/>
  <c r="L84" i="43"/>
  <c r="K84" i="43"/>
  <c r="J84" i="43"/>
  <c r="I84" i="43"/>
  <c r="H84" i="43"/>
  <c r="G84" i="43"/>
  <c r="F84" i="43"/>
  <c r="E84" i="43"/>
  <c r="D84" i="43"/>
  <c r="C84" i="43"/>
  <c r="B84" i="43"/>
  <c r="AF82" i="43"/>
  <c r="AF83" i="43" s="1"/>
  <c r="AD83" i="43"/>
  <c r="AD81" i="43" s="1"/>
  <c r="AC82" i="43"/>
  <c r="AB82" i="43"/>
  <c r="AB83" i="43" s="1"/>
  <c r="AB81" i="43" s="1"/>
  <c r="AA82" i="43"/>
  <c r="Z82" i="43"/>
  <c r="Z83" i="43" s="1"/>
  <c r="Y82" i="43"/>
  <c r="X83" i="43"/>
  <c r="X81" i="43" s="1"/>
  <c r="V82" i="43"/>
  <c r="V83" i="43" s="1"/>
  <c r="V81" i="43" s="1"/>
  <c r="T82" i="43"/>
  <c r="T83" i="43" s="1"/>
  <c r="T81" i="43" s="1"/>
  <c r="S82" i="43"/>
  <c r="R82" i="43"/>
  <c r="R83" i="43" s="1"/>
  <c r="P83" i="43"/>
  <c r="P81" i="43" s="1"/>
  <c r="O82" i="43"/>
  <c r="N82" i="43"/>
  <c r="N83" i="43" s="1"/>
  <c r="M82" i="43"/>
  <c r="L82" i="43"/>
  <c r="L83" i="43" s="1"/>
  <c r="L81" i="43" s="1"/>
  <c r="K82" i="43"/>
  <c r="J83" i="43"/>
  <c r="J81" i="43" s="1"/>
  <c r="H82" i="43"/>
  <c r="H83" i="43" s="1"/>
  <c r="G82" i="43"/>
  <c r="F82" i="43"/>
  <c r="F83" i="43" s="1"/>
  <c r="E82" i="43"/>
  <c r="D82" i="43"/>
  <c r="D83" i="43" s="1"/>
  <c r="D81" i="43" s="1"/>
  <c r="B83" i="43"/>
  <c r="Z81" i="43"/>
  <c r="N81" i="43"/>
  <c r="B81" i="43"/>
  <c r="AF80" i="43"/>
  <c r="AF79" i="43" s="1"/>
  <c r="AF78" i="43" s="1"/>
  <c r="AC80" i="43"/>
  <c r="AC79" i="43" s="1"/>
  <c r="AC78" i="43" s="1"/>
  <c r="AB80" i="43"/>
  <c r="AB79" i="43" s="1"/>
  <c r="AB78" i="43" s="1"/>
  <c r="AA80" i="43"/>
  <c r="AA79" i="43" s="1"/>
  <c r="AA78" i="43" s="1"/>
  <c r="Y80" i="43"/>
  <c r="Y79" i="43" s="1"/>
  <c r="Y78" i="43" s="1"/>
  <c r="V80" i="43"/>
  <c r="V79" i="43" s="1"/>
  <c r="V78" i="43" s="1"/>
  <c r="U80" i="43"/>
  <c r="T80" i="43"/>
  <c r="T79" i="43" s="1"/>
  <c r="T78" i="43" s="1"/>
  <c r="S80" i="43"/>
  <c r="S79" i="43" s="1"/>
  <c r="S78" i="43" s="1"/>
  <c r="R80" i="43"/>
  <c r="R79" i="43" s="1"/>
  <c r="R78" i="43" s="1"/>
  <c r="O80" i="43"/>
  <c r="N80" i="43"/>
  <c r="N79" i="43" s="1"/>
  <c r="N78" i="43" s="1"/>
  <c r="M80" i="43"/>
  <c r="M79" i="43" s="1"/>
  <c r="M78" i="43" s="1"/>
  <c r="H80" i="43"/>
  <c r="H79" i="43" s="1"/>
  <c r="H78" i="43" s="1"/>
  <c r="G80" i="43"/>
  <c r="G79" i="43" s="1"/>
  <c r="G78" i="43" s="1"/>
  <c r="F80" i="43"/>
  <c r="F79" i="43" s="1"/>
  <c r="F78" i="43" s="1"/>
  <c r="AE79" i="43"/>
  <c r="AE78" i="43" s="1"/>
  <c r="AD79" i="43"/>
  <c r="AD78" i="43" s="1"/>
  <c r="Z79" i="43"/>
  <c r="Z78" i="43" s="1"/>
  <c r="X79" i="43"/>
  <c r="X78" i="43" s="1"/>
  <c r="W79" i="43"/>
  <c r="W78" i="43" s="1"/>
  <c r="U79" i="43"/>
  <c r="U78" i="43" s="1"/>
  <c r="Q79" i="43"/>
  <c r="Q78" i="43" s="1"/>
  <c r="P79" i="43"/>
  <c r="P78" i="43" s="1"/>
  <c r="O79" i="43"/>
  <c r="O78" i="43" s="1"/>
  <c r="L79" i="43"/>
  <c r="L78" i="43" s="1"/>
  <c r="K79" i="43"/>
  <c r="K78" i="43" s="1"/>
  <c r="J79" i="43"/>
  <c r="J78" i="43" s="1"/>
  <c r="I79" i="43"/>
  <c r="I78" i="43" s="1"/>
  <c r="E79" i="43"/>
  <c r="E78" i="43" s="1"/>
  <c r="D79" i="43"/>
  <c r="C79" i="43"/>
  <c r="C78" i="43" s="1"/>
  <c r="B79" i="43"/>
  <c r="B78" i="43" s="1"/>
  <c r="D78" i="43"/>
  <c r="AG77" i="43"/>
  <c r="I77" i="25" s="1"/>
  <c r="AG76" i="43"/>
  <c r="I76" i="25" s="1"/>
  <c r="AG75" i="43"/>
  <c r="I75" i="25" s="1"/>
  <c r="AG74" i="43"/>
  <c r="I74" i="25" s="1"/>
  <c r="AG73" i="43"/>
  <c r="I73" i="25" s="1"/>
  <c r="AG72" i="43"/>
  <c r="I72" i="25" s="1"/>
  <c r="AG71" i="43"/>
  <c r="I71" i="25" s="1"/>
  <c r="AG70" i="43"/>
  <c r="I70" i="25" s="1"/>
  <c r="AG69" i="43"/>
  <c r="I69" i="25" s="1"/>
  <c r="AG68" i="43"/>
  <c r="I68" i="25" s="1"/>
  <c r="AG67" i="43"/>
  <c r="I67" i="25" s="1"/>
  <c r="AG66" i="43"/>
  <c r="I66" i="25" s="1"/>
  <c r="AG65" i="43"/>
  <c r="I65" i="25" s="1"/>
  <c r="AG64" i="43"/>
  <c r="I64" i="25" s="1"/>
  <c r="AG63" i="43"/>
  <c r="I63" i="25" s="1"/>
  <c r="AG62" i="43"/>
  <c r="I62" i="25" s="1"/>
  <c r="AG61" i="43"/>
  <c r="I61" i="25" s="1"/>
  <c r="AG60" i="43"/>
  <c r="I60" i="25" s="1"/>
  <c r="AG59" i="43"/>
  <c r="I59" i="25" s="1"/>
  <c r="AG58" i="43"/>
  <c r="I58" i="25" s="1"/>
  <c r="AG57" i="43"/>
  <c r="I57" i="25" s="1"/>
  <c r="AG56" i="43"/>
  <c r="I56" i="25" s="1"/>
  <c r="AG55" i="43"/>
  <c r="I55" i="25" s="1"/>
  <c r="AG54" i="43"/>
  <c r="I54" i="25" s="1"/>
  <c r="AF53" i="43"/>
  <c r="AE53" i="43"/>
  <c r="AD53" i="43"/>
  <c r="AC53" i="43"/>
  <c r="AB53" i="43"/>
  <c r="AA53" i="43"/>
  <c r="Z53" i="43"/>
  <c r="Y53" i="43"/>
  <c r="X53" i="43"/>
  <c r="W53" i="43"/>
  <c r="V53" i="43"/>
  <c r="U53" i="43"/>
  <c r="T53" i="43"/>
  <c r="S53" i="43"/>
  <c r="R53" i="43"/>
  <c r="Q53" i="43"/>
  <c r="P53" i="43"/>
  <c r="O53" i="43"/>
  <c r="N53" i="43"/>
  <c r="M53" i="43"/>
  <c r="L53" i="43"/>
  <c r="K53" i="43"/>
  <c r="J53" i="43"/>
  <c r="I53" i="43"/>
  <c r="H53" i="43"/>
  <c r="G53" i="43"/>
  <c r="F53" i="43"/>
  <c r="E53" i="43"/>
  <c r="D53" i="43"/>
  <c r="C53" i="43"/>
  <c r="B53" i="43"/>
  <c r="AG52" i="43"/>
  <c r="I52" i="25" s="1"/>
  <c r="AG51" i="43"/>
  <c r="I51" i="25" s="1"/>
  <c r="AG50" i="43"/>
  <c r="I50" i="25" s="1"/>
  <c r="AG49" i="43"/>
  <c r="I49" i="25" s="1"/>
  <c r="AG48" i="43"/>
  <c r="I48" i="25" s="1"/>
  <c r="AG47" i="43"/>
  <c r="I47" i="25" s="1"/>
  <c r="AG46" i="43"/>
  <c r="I46" i="25" s="1"/>
  <c r="AG45" i="43"/>
  <c r="I45" i="25" s="1"/>
  <c r="AG44" i="43"/>
  <c r="I44" i="25" s="1"/>
  <c r="AG43" i="43"/>
  <c r="I43" i="25" s="1"/>
  <c r="AG42" i="43"/>
  <c r="I42" i="25" s="1"/>
  <c r="AG41" i="43"/>
  <c r="I41" i="25" s="1"/>
  <c r="AG40" i="43"/>
  <c r="I40" i="25" s="1"/>
  <c r="AG39" i="43"/>
  <c r="I39" i="25" s="1"/>
  <c r="AG38" i="43"/>
  <c r="I38" i="25" s="1"/>
  <c r="AG37" i="43"/>
  <c r="I37" i="25" s="1"/>
  <c r="AG36" i="43"/>
  <c r="I36" i="25" s="1"/>
  <c r="AG35" i="43"/>
  <c r="I35" i="25" s="1"/>
  <c r="AG34" i="43"/>
  <c r="I34" i="25" s="1"/>
  <c r="AG33" i="43"/>
  <c r="I33" i="25" s="1"/>
  <c r="AG32" i="43"/>
  <c r="I32" i="25" s="1"/>
  <c r="AG31" i="43"/>
  <c r="I31" i="25" s="1"/>
  <c r="AG30" i="43"/>
  <c r="I30" i="25" s="1"/>
  <c r="AG29" i="43"/>
  <c r="I29" i="25" s="1"/>
  <c r="AF28" i="43"/>
  <c r="AE28" i="43"/>
  <c r="AD28" i="43"/>
  <c r="AC28" i="43"/>
  <c r="AB28" i="43"/>
  <c r="AA28" i="43"/>
  <c r="Z28" i="43"/>
  <c r="Y28" i="43"/>
  <c r="X28" i="43"/>
  <c r="W28" i="43"/>
  <c r="V28" i="43"/>
  <c r="U28" i="43"/>
  <c r="T28" i="43"/>
  <c r="S28" i="43"/>
  <c r="R28" i="43"/>
  <c r="Q28" i="43"/>
  <c r="P28" i="43"/>
  <c r="O28" i="43"/>
  <c r="N28" i="43"/>
  <c r="M28" i="43"/>
  <c r="L28" i="43"/>
  <c r="K28" i="43"/>
  <c r="J28" i="43"/>
  <c r="I28" i="43"/>
  <c r="H28" i="43"/>
  <c r="G28" i="43"/>
  <c r="F28" i="43"/>
  <c r="E28" i="43"/>
  <c r="D28" i="43"/>
  <c r="C28" i="43"/>
  <c r="B28" i="43"/>
  <c r="AG27" i="43"/>
  <c r="I27" i="25" s="1"/>
  <c r="AG26" i="43"/>
  <c r="I26" i="25" s="1"/>
  <c r="AG25" i="43"/>
  <c r="I25" i="25" s="1"/>
  <c r="AG24" i="43"/>
  <c r="I24" i="25" s="1"/>
  <c r="AG23" i="43"/>
  <c r="I23" i="25" s="1"/>
  <c r="AG22" i="43"/>
  <c r="I22" i="25" s="1"/>
  <c r="AG21" i="43"/>
  <c r="I21" i="25" s="1"/>
  <c r="AG20" i="43"/>
  <c r="I20" i="25" s="1"/>
  <c r="AG19" i="43"/>
  <c r="I19" i="25" s="1"/>
  <c r="AG18" i="43"/>
  <c r="I18" i="25" s="1"/>
  <c r="AG17" i="43"/>
  <c r="I17" i="25" s="1"/>
  <c r="AG16" i="43"/>
  <c r="I16" i="25" s="1"/>
  <c r="AG15" i="43"/>
  <c r="I15" i="25" s="1"/>
  <c r="AG14" i="43"/>
  <c r="I14" i="25" s="1"/>
  <c r="AG13" i="43"/>
  <c r="I13" i="25" s="1"/>
  <c r="AG12" i="43"/>
  <c r="I12" i="25" s="1"/>
  <c r="AG11" i="43"/>
  <c r="I11" i="25" s="1"/>
  <c r="AG10" i="43"/>
  <c r="I10" i="25" s="1"/>
  <c r="AG9" i="43"/>
  <c r="I9" i="25" s="1"/>
  <c r="AG8" i="43"/>
  <c r="I8" i="25" s="1"/>
  <c r="AG7" i="43"/>
  <c r="I7" i="25" s="1"/>
  <c r="AG6" i="43"/>
  <c r="I6" i="25" s="1"/>
  <c r="AG5" i="43"/>
  <c r="I5" i="25" s="1"/>
  <c r="AG4" i="43"/>
  <c r="I4" i="25" s="1"/>
  <c r="AF3" i="43"/>
  <c r="AE3" i="43"/>
  <c r="AD3" i="43"/>
  <c r="AC3" i="43"/>
  <c r="AB3" i="43"/>
  <c r="AA3" i="43"/>
  <c r="Z3" i="43"/>
  <c r="Y3" i="43"/>
  <c r="X3" i="43"/>
  <c r="W3" i="43"/>
  <c r="V3" i="43"/>
  <c r="U3" i="43"/>
  <c r="T3" i="43"/>
  <c r="S3" i="43"/>
  <c r="R3" i="43"/>
  <c r="Q3" i="43"/>
  <c r="P3" i="43"/>
  <c r="O3" i="43"/>
  <c r="N3" i="43"/>
  <c r="M3" i="43"/>
  <c r="L3" i="43"/>
  <c r="K3" i="43"/>
  <c r="J3" i="43"/>
  <c r="I3" i="43"/>
  <c r="H3" i="43"/>
  <c r="G3" i="43"/>
  <c r="F3" i="43"/>
  <c r="E3" i="43"/>
  <c r="D3" i="43"/>
  <c r="C3" i="43"/>
  <c r="B3" i="43"/>
  <c r="AC2" i="43"/>
  <c r="C2" i="43"/>
  <c r="D2" i="43" s="1"/>
  <c r="E2" i="43" s="1"/>
  <c r="F2" i="43" s="1"/>
  <c r="G2" i="43" s="1"/>
  <c r="H2" i="43" s="1"/>
  <c r="I2" i="43" s="1"/>
  <c r="J2" i="43" s="1"/>
  <c r="K2" i="43" s="1"/>
  <c r="L2" i="43" s="1"/>
  <c r="M2" i="43" s="1"/>
  <c r="N2" i="43" s="1"/>
  <c r="O2" i="43" s="1"/>
  <c r="P2" i="43" s="1"/>
  <c r="Q2" i="43" s="1"/>
  <c r="R2" i="43" s="1"/>
  <c r="S2" i="43" s="1"/>
  <c r="T2" i="43" s="1"/>
  <c r="U2" i="43" s="1"/>
  <c r="V2" i="43" s="1"/>
  <c r="W2" i="43" s="1"/>
  <c r="X2" i="43" s="1"/>
  <c r="Y2" i="43" s="1"/>
  <c r="Z2" i="43" s="1"/>
  <c r="AA2" i="43" s="1"/>
  <c r="AF143" i="42"/>
  <c r="AF142" i="42"/>
  <c r="AF134" i="42"/>
  <c r="AF137" i="42"/>
  <c r="AF129" i="42"/>
  <c r="F93" i="43" l="1"/>
  <c r="Z93" i="43"/>
  <c r="AA93" i="43"/>
  <c r="N144" i="43"/>
  <c r="AD93" i="43"/>
  <c r="Q144" i="43"/>
  <c r="AC93" i="43"/>
  <c r="M93" i="43"/>
  <c r="S144" i="43"/>
  <c r="AE144" i="43"/>
  <c r="K144" i="43"/>
  <c r="N93" i="43"/>
  <c r="V144" i="43"/>
  <c r="C144" i="43"/>
  <c r="W144" i="43"/>
  <c r="R93" i="43"/>
  <c r="E93" i="43"/>
  <c r="J93" i="43"/>
  <c r="S93" i="43"/>
  <c r="F144" i="43"/>
  <c r="G93" i="43"/>
  <c r="O93" i="43"/>
  <c r="W93" i="43"/>
  <c r="AE93" i="43"/>
  <c r="Z144" i="43"/>
  <c r="Q93" i="43"/>
  <c r="Y93" i="43"/>
  <c r="I93" i="43"/>
  <c r="R144" i="43"/>
  <c r="O144" i="43"/>
  <c r="AG218" i="43"/>
  <c r="I220" i="25" s="1"/>
  <c r="D144" i="43"/>
  <c r="L144" i="43"/>
  <c r="P144" i="43"/>
  <c r="T144" i="43"/>
  <c r="X144" i="43"/>
  <c r="AB144" i="43"/>
  <c r="AF144" i="43"/>
  <c r="AG240" i="43"/>
  <c r="I242" i="25" s="1"/>
  <c r="L93" i="43"/>
  <c r="P93" i="43"/>
  <c r="T93" i="43"/>
  <c r="X93" i="43"/>
  <c r="AB93" i="43"/>
  <c r="AF93" i="43"/>
  <c r="E144" i="43"/>
  <c r="M144" i="43"/>
  <c r="U144" i="43"/>
  <c r="AC144" i="43"/>
  <c r="AG236" i="43"/>
  <c r="I238" i="25" s="1"/>
  <c r="R81" i="43"/>
  <c r="AF81" i="43"/>
  <c r="AG148" i="43"/>
  <c r="AG232" i="43"/>
  <c r="I234" i="25" s="1"/>
  <c r="C130" i="43"/>
  <c r="H144" i="43"/>
  <c r="H93" i="43"/>
  <c r="H81" i="43"/>
  <c r="AG206" i="43"/>
  <c r="I206" i="25" s="1"/>
  <c r="AG167" i="43"/>
  <c r="I167" i="25" s="1"/>
  <c r="F81" i="43"/>
  <c r="AG174" i="43"/>
  <c r="I174" i="25" s="1"/>
  <c r="AG158" i="43"/>
  <c r="I158" i="25" s="1"/>
  <c r="AG100" i="43"/>
  <c r="I100" i="25" s="1"/>
  <c r="D93" i="43"/>
  <c r="AG145" i="43"/>
  <c r="I145" i="25" s="1"/>
  <c r="AG53" i="43"/>
  <c r="I53" i="25" s="1"/>
  <c r="AG28" i="43"/>
  <c r="I28" i="25" s="1"/>
  <c r="AG179" i="43"/>
  <c r="I179" i="25" s="1"/>
  <c r="B130" i="43"/>
  <c r="AG116" i="43"/>
  <c r="I116" i="25" s="1"/>
  <c r="AG84" i="43"/>
  <c r="I84" i="25" s="1"/>
  <c r="AG3" i="43"/>
  <c r="I3" i="25" s="1"/>
  <c r="AG78" i="43"/>
  <c r="I78" i="25" s="1"/>
  <c r="AG79" i="43"/>
  <c r="I79" i="25" s="1"/>
  <c r="AG82" i="43"/>
  <c r="I82" i="25" s="1"/>
  <c r="K83" i="43"/>
  <c r="K81" i="43" s="1"/>
  <c r="AA83" i="43"/>
  <c r="AA81" i="43" s="1"/>
  <c r="O83" i="43"/>
  <c r="O81" i="43" s="1"/>
  <c r="AE83" i="43"/>
  <c r="AE81" i="43" s="1"/>
  <c r="AG80" i="43"/>
  <c r="I80" i="25" s="1"/>
  <c r="E83" i="43"/>
  <c r="E81" i="43" s="1"/>
  <c r="I83" i="43"/>
  <c r="I81" i="43" s="1"/>
  <c r="M83" i="43"/>
  <c r="M81" i="43" s="1"/>
  <c r="Q83" i="43"/>
  <c r="Q81" i="43" s="1"/>
  <c r="U83" i="43"/>
  <c r="U81" i="43" s="1"/>
  <c r="Y83" i="43"/>
  <c r="Y81" i="43"/>
  <c r="AC83" i="43"/>
  <c r="AC81" i="43" s="1"/>
  <c r="C83" i="43"/>
  <c r="C81" i="43" s="1"/>
  <c r="S83" i="43"/>
  <c r="S81" i="43" s="1"/>
  <c r="AG147" i="43"/>
  <c r="I147" i="25" s="1"/>
  <c r="G83" i="43"/>
  <c r="G81" i="43" s="1"/>
  <c r="W83" i="43"/>
  <c r="W81" i="43" s="1"/>
  <c r="AG87" i="43"/>
  <c r="I87" i="25" s="1"/>
  <c r="AG94" i="43"/>
  <c r="I94" i="25" s="1"/>
  <c r="B146" i="43"/>
  <c r="B144" i="43" s="1"/>
  <c r="AE143" i="42"/>
  <c r="AE142" i="42"/>
  <c r="AE134" i="42"/>
  <c r="AE137" i="42"/>
  <c r="AE129" i="42"/>
  <c r="AG130" i="43" l="1"/>
  <c r="I130" i="25" s="1"/>
  <c r="AG146" i="43"/>
  <c r="I146" i="25" s="1"/>
  <c r="I148" i="25"/>
  <c r="AG93" i="43"/>
  <c r="AG144" i="43"/>
  <c r="I144" i="25" s="1"/>
  <c r="AH87" i="43"/>
  <c r="AG83" i="43"/>
  <c r="AG81" i="43"/>
  <c r="AD143" i="42"/>
  <c r="AD142" i="42"/>
  <c r="AD129" i="42"/>
  <c r="AH81" i="43" l="1"/>
  <c r="I81" i="25"/>
  <c r="AH84" i="43"/>
  <c r="I83" i="25"/>
  <c r="AH206" i="43"/>
  <c r="I93" i="25"/>
  <c r="AH93" i="43"/>
  <c r="AH144" i="43"/>
  <c r="AH130" i="43"/>
  <c r="AC143" i="42"/>
  <c r="AC142" i="42"/>
  <c r="AC134" i="42"/>
  <c r="AC129" i="42"/>
  <c r="AB143" i="42" l="1"/>
  <c r="AB142" i="42"/>
  <c r="AB137" i="42"/>
  <c r="AB129" i="42"/>
  <c r="M142" i="42" l="1"/>
  <c r="M134" i="42"/>
  <c r="M130" i="42" s="1"/>
  <c r="L130" i="42"/>
  <c r="AA143" i="42"/>
  <c r="AA129" i="42"/>
  <c r="Z143" i="42"/>
  <c r="Z142" i="42"/>
  <c r="Z129" i="42"/>
  <c r="Y143" i="42" l="1"/>
  <c r="Y142" i="42"/>
  <c r="Y134" i="42"/>
  <c r="Y137" i="42"/>
  <c r="Y129" i="42"/>
  <c r="X143" i="42"/>
  <c r="X142" i="42"/>
  <c r="X129" i="42"/>
  <c r="W143" i="42"/>
  <c r="W142" i="42"/>
  <c r="W129" i="42"/>
  <c r="V143" i="42"/>
  <c r="V142" i="42"/>
  <c r="V129" i="42"/>
  <c r="U143" i="42"/>
  <c r="U142" i="42"/>
  <c r="U129" i="42"/>
  <c r="T143" i="42"/>
  <c r="T142" i="42"/>
  <c r="T137" i="42"/>
  <c r="T129" i="42"/>
  <c r="S143" i="42"/>
  <c r="S142" i="42"/>
  <c r="S129" i="42"/>
  <c r="R143" i="42"/>
  <c r="R142" i="42"/>
  <c r="R129" i="42"/>
  <c r="Q143" i="42"/>
  <c r="Q142" i="42"/>
  <c r="Q129" i="42"/>
  <c r="P143" i="42"/>
  <c r="P142" i="42"/>
  <c r="P134" i="42"/>
  <c r="P129" i="42"/>
  <c r="O143" i="42"/>
  <c r="O142" i="42"/>
  <c r="O137" i="42"/>
  <c r="O129" i="42"/>
  <c r="N142" i="42" l="1"/>
  <c r="N137" i="42"/>
  <c r="N143" i="42"/>
  <c r="K134" i="42" l="1"/>
  <c r="J218" i="42" l="1"/>
  <c r="I218" i="42"/>
  <c r="J143" i="42" l="1"/>
  <c r="J142" i="42"/>
  <c r="J137" i="42"/>
  <c r="J129" i="42"/>
  <c r="I143" i="42" l="1"/>
  <c r="I142" i="42"/>
  <c r="I129" i="42"/>
  <c r="H246" i="25" l="1"/>
  <c r="H245" i="25"/>
  <c r="H244" i="25"/>
  <c r="H221" i="25"/>
  <c r="G246" i="25"/>
  <c r="G245" i="25"/>
  <c r="G244" i="25"/>
  <c r="G221" i="25"/>
  <c r="AF220" i="22"/>
  <c r="AE220" i="22"/>
  <c r="AD220" i="22"/>
  <c r="AC220" i="22"/>
  <c r="AB220" i="22"/>
  <c r="AA220" i="22"/>
  <c r="Z220" i="22"/>
  <c r="Y220" i="22"/>
  <c r="X220" i="22"/>
  <c r="W220" i="22"/>
  <c r="V220" i="22"/>
  <c r="U220" i="22"/>
  <c r="T220" i="22"/>
  <c r="S220" i="22"/>
  <c r="R220" i="22"/>
  <c r="Q220" i="22"/>
  <c r="P220" i="22"/>
  <c r="O220" i="22"/>
  <c r="N220" i="22"/>
  <c r="M220" i="22"/>
  <c r="L220" i="22"/>
  <c r="K220" i="22"/>
  <c r="J220" i="22"/>
  <c r="I220" i="22"/>
  <c r="H220" i="22"/>
  <c r="G220" i="22"/>
  <c r="F220" i="22"/>
  <c r="E220" i="22"/>
  <c r="D220" i="22"/>
  <c r="C220" i="22"/>
  <c r="B220" i="22"/>
  <c r="AG219" i="22"/>
  <c r="AF218" i="36"/>
  <c r="AE218" i="36"/>
  <c r="AD218" i="36"/>
  <c r="AC218" i="36"/>
  <c r="AB218" i="36"/>
  <c r="AA218" i="36"/>
  <c r="Z218" i="36"/>
  <c r="Y218" i="36"/>
  <c r="X218" i="36"/>
  <c r="W218" i="36"/>
  <c r="V218" i="36"/>
  <c r="U218" i="36"/>
  <c r="T218" i="36"/>
  <c r="S218" i="36"/>
  <c r="R218" i="36"/>
  <c r="Q218" i="36"/>
  <c r="P218" i="36"/>
  <c r="O218" i="36"/>
  <c r="N218" i="36"/>
  <c r="M218" i="36"/>
  <c r="L218" i="36"/>
  <c r="K218" i="36"/>
  <c r="J218" i="36"/>
  <c r="I218" i="36"/>
  <c r="H218" i="36"/>
  <c r="G218" i="36"/>
  <c r="F218" i="36"/>
  <c r="E218" i="36"/>
  <c r="D218" i="36"/>
  <c r="C218" i="36"/>
  <c r="B218" i="36"/>
  <c r="AG217" i="36"/>
  <c r="B219" i="25" s="1"/>
  <c r="AF218" i="37"/>
  <c r="AE218" i="37"/>
  <c r="AD218" i="37"/>
  <c r="AC218" i="37"/>
  <c r="AB218" i="37"/>
  <c r="AA218" i="37"/>
  <c r="Z218" i="37"/>
  <c r="Y218" i="37"/>
  <c r="X218" i="37"/>
  <c r="W218" i="37"/>
  <c r="V218" i="37"/>
  <c r="U218" i="37"/>
  <c r="T218" i="37"/>
  <c r="S218" i="37"/>
  <c r="R218" i="37"/>
  <c r="Q218" i="37"/>
  <c r="P218" i="37"/>
  <c r="O218" i="37"/>
  <c r="N218" i="37"/>
  <c r="M218" i="37"/>
  <c r="L218" i="37"/>
  <c r="K218" i="37"/>
  <c r="J218" i="37"/>
  <c r="I218" i="37"/>
  <c r="H218" i="37"/>
  <c r="G218" i="37"/>
  <c r="F218" i="37"/>
  <c r="E218" i="37"/>
  <c r="D218" i="37"/>
  <c r="C218" i="37"/>
  <c r="B218" i="37"/>
  <c r="AG217" i="37"/>
  <c r="C219" i="25" s="1"/>
  <c r="AF218" i="38"/>
  <c r="AE218" i="38"/>
  <c r="AD218" i="38"/>
  <c r="AC218" i="38"/>
  <c r="AB218" i="38"/>
  <c r="AA218" i="38"/>
  <c r="Z218" i="38"/>
  <c r="Y218" i="38"/>
  <c r="X218" i="38"/>
  <c r="W218" i="38"/>
  <c r="V218" i="38"/>
  <c r="U218" i="38"/>
  <c r="T218" i="38"/>
  <c r="S218" i="38"/>
  <c r="R218" i="38"/>
  <c r="Q218" i="38"/>
  <c r="P218" i="38"/>
  <c r="O218" i="38"/>
  <c r="N218" i="38"/>
  <c r="M218" i="38"/>
  <c r="L218" i="38"/>
  <c r="K218" i="38"/>
  <c r="J218" i="38"/>
  <c r="I218" i="38"/>
  <c r="H218" i="38"/>
  <c r="G218" i="38"/>
  <c r="F218" i="38"/>
  <c r="E218" i="38"/>
  <c r="D218" i="38"/>
  <c r="C218" i="38"/>
  <c r="B218" i="38"/>
  <c r="AG217" i="38"/>
  <c r="D219" i="25" s="1"/>
  <c r="AF218" i="39"/>
  <c r="AE218" i="39"/>
  <c r="AD218" i="39"/>
  <c r="AC218" i="39"/>
  <c r="AB218" i="39"/>
  <c r="AA218" i="39"/>
  <c r="Z218" i="39"/>
  <c r="Y218" i="39"/>
  <c r="X218" i="39"/>
  <c r="W218" i="39"/>
  <c r="V218" i="39"/>
  <c r="U218" i="39"/>
  <c r="T218" i="39"/>
  <c r="S218" i="39"/>
  <c r="R218" i="39"/>
  <c r="Q218" i="39"/>
  <c r="P218" i="39"/>
  <c r="O218" i="39"/>
  <c r="N218" i="39"/>
  <c r="M218" i="39"/>
  <c r="L218" i="39"/>
  <c r="K218" i="39"/>
  <c r="J218" i="39"/>
  <c r="I218" i="39"/>
  <c r="H218" i="39"/>
  <c r="G218" i="39"/>
  <c r="F218" i="39"/>
  <c r="E218" i="39"/>
  <c r="D218" i="39"/>
  <c r="C218" i="39"/>
  <c r="B218" i="39"/>
  <c r="AG217" i="39"/>
  <c r="E219" i="25" s="1"/>
  <c r="AF218" i="40"/>
  <c r="AE218" i="40"/>
  <c r="AD218" i="40"/>
  <c r="AC218" i="40"/>
  <c r="AB218" i="40"/>
  <c r="AA218" i="40"/>
  <c r="Z218" i="40"/>
  <c r="Y218" i="40"/>
  <c r="X218" i="40"/>
  <c r="W218" i="40"/>
  <c r="V218" i="40"/>
  <c r="U218" i="40"/>
  <c r="T218" i="40"/>
  <c r="S218" i="40"/>
  <c r="R218" i="40"/>
  <c r="Q218" i="40"/>
  <c r="P218" i="40"/>
  <c r="O218" i="40"/>
  <c r="N218" i="40"/>
  <c r="M218" i="40"/>
  <c r="L218" i="40"/>
  <c r="K218" i="40"/>
  <c r="J218" i="40"/>
  <c r="I218" i="40"/>
  <c r="H218" i="40"/>
  <c r="G218" i="40"/>
  <c r="F218" i="40"/>
  <c r="E218" i="40"/>
  <c r="D218" i="40"/>
  <c r="C218" i="40"/>
  <c r="B218" i="40"/>
  <c r="AG217" i="40"/>
  <c r="F219" i="25" s="1"/>
  <c r="AF218" i="41"/>
  <c r="AE218" i="41"/>
  <c r="AD218" i="41"/>
  <c r="AC218" i="41"/>
  <c r="AB218" i="41"/>
  <c r="AA218" i="41"/>
  <c r="Z218" i="41"/>
  <c r="Y218" i="41"/>
  <c r="X218" i="41"/>
  <c r="W218" i="41"/>
  <c r="V218" i="41"/>
  <c r="U218" i="41"/>
  <c r="T218" i="41"/>
  <c r="S218" i="41"/>
  <c r="R218" i="41"/>
  <c r="Q218" i="41"/>
  <c r="P218" i="41"/>
  <c r="O218" i="41"/>
  <c r="N218" i="41"/>
  <c r="M218" i="41"/>
  <c r="L218" i="41"/>
  <c r="K218" i="41"/>
  <c r="J218" i="41"/>
  <c r="I218" i="41"/>
  <c r="H218" i="41"/>
  <c r="G218" i="41"/>
  <c r="F218" i="41"/>
  <c r="E218" i="41"/>
  <c r="D218" i="41"/>
  <c r="C218" i="41"/>
  <c r="B218" i="41"/>
  <c r="AG217" i="41"/>
  <c r="G219" i="25" s="1"/>
  <c r="AG218" i="39" l="1"/>
  <c r="E220" i="25" s="1"/>
  <c r="AG218" i="37"/>
  <c r="C220" i="25" s="1"/>
  <c r="AG218" i="41"/>
  <c r="G220" i="25" s="1"/>
  <c r="AG218" i="40"/>
  <c r="F220" i="25" s="1"/>
  <c r="AG218" i="38"/>
  <c r="D220" i="25" s="1"/>
  <c r="AG218" i="36"/>
  <c r="B220" i="25" s="1"/>
  <c r="AG220" i="22"/>
  <c r="AG217" i="42"/>
  <c r="H219" i="25" s="1"/>
  <c r="N219" i="25" s="1"/>
  <c r="AF218" i="42"/>
  <c r="AE218" i="42"/>
  <c r="AD218" i="42"/>
  <c r="AC218" i="42"/>
  <c r="AB218" i="42"/>
  <c r="AA218" i="42"/>
  <c r="Z218" i="42"/>
  <c r="Y218" i="42"/>
  <c r="X218" i="42"/>
  <c r="W218" i="42"/>
  <c r="V218" i="42"/>
  <c r="U218" i="42"/>
  <c r="T218" i="42"/>
  <c r="S218" i="42"/>
  <c r="R218" i="42"/>
  <c r="Q218" i="42"/>
  <c r="P218" i="42"/>
  <c r="O218" i="42"/>
  <c r="N218" i="42"/>
  <c r="M218" i="42"/>
  <c r="L218" i="42"/>
  <c r="K218" i="42"/>
  <c r="H218" i="42"/>
  <c r="G218" i="42"/>
  <c r="F218" i="42"/>
  <c r="E218" i="42"/>
  <c r="D218" i="42"/>
  <c r="C218" i="42"/>
  <c r="B218" i="42"/>
  <c r="AG218" i="42" l="1"/>
  <c r="H220" i="25" s="1"/>
  <c r="N220" i="25" s="1"/>
  <c r="H171" i="42"/>
  <c r="H143" i="42"/>
  <c r="H142" i="42"/>
  <c r="H139" i="42"/>
  <c r="H137" i="42"/>
  <c r="H129" i="42"/>
  <c r="H53" i="42"/>
  <c r="G143" i="42" l="1"/>
  <c r="G134" i="42"/>
  <c r="G142" i="42"/>
  <c r="G139" i="42"/>
  <c r="G137" i="42"/>
  <c r="G129" i="42"/>
  <c r="F143" i="42" l="1"/>
  <c r="F142" i="42"/>
  <c r="F129" i="42"/>
  <c r="E143" i="42" l="1"/>
  <c r="E142" i="42"/>
  <c r="E139" i="42"/>
  <c r="E137" i="42"/>
  <c r="E129" i="42"/>
  <c r="D139" i="42" l="1"/>
  <c r="D129" i="42"/>
  <c r="C143" i="42" l="1"/>
  <c r="C139" i="42"/>
  <c r="C129" i="42"/>
  <c r="B142" i="42" l="1"/>
  <c r="AG142" i="42" s="1"/>
  <c r="H142" i="25" s="1"/>
  <c r="B137" i="42"/>
  <c r="B143" i="42"/>
  <c r="B129" i="42"/>
  <c r="AG129" i="42" s="1"/>
  <c r="H129" i="25" s="1"/>
  <c r="AG248" i="42"/>
  <c r="H250" i="25" s="1"/>
  <c r="AG247" i="42"/>
  <c r="H249" i="25" s="1"/>
  <c r="AG246" i="42"/>
  <c r="H248" i="25" s="1"/>
  <c r="AG245" i="42"/>
  <c r="H247" i="25" s="1"/>
  <c r="AG241" i="42"/>
  <c r="H243" i="25" s="1"/>
  <c r="AF240" i="42"/>
  <c r="AE240" i="42"/>
  <c r="AD240" i="42"/>
  <c r="AC240" i="42"/>
  <c r="AB240" i="42"/>
  <c r="AA240" i="42"/>
  <c r="Z240" i="42"/>
  <c r="Y240" i="42"/>
  <c r="X240" i="42"/>
  <c r="W240" i="42"/>
  <c r="V240" i="42"/>
  <c r="U240" i="42"/>
  <c r="T240" i="42"/>
  <c r="S240" i="42"/>
  <c r="R240" i="42"/>
  <c r="Q240" i="42"/>
  <c r="P240" i="42"/>
  <c r="O240" i="42"/>
  <c r="N240" i="42"/>
  <c r="M240" i="42"/>
  <c r="L240" i="42"/>
  <c r="K240" i="42"/>
  <c r="J240" i="42"/>
  <c r="I240" i="42"/>
  <c r="H240" i="42"/>
  <c r="G240" i="42"/>
  <c r="F240" i="42"/>
  <c r="E240" i="42"/>
  <c r="D240" i="42"/>
  <c r="C240" i="42"/>
  <c r="B240" i="42"/>
  <c r="AG239" i="42"/>
  <c r="H241" i="25" s="1"/>
  <c r="AG238" i="42"/>
  <c r="H240" i="25" s="1"/>
  <c r="AG237" i="42"/>
  <c r="H239" i="25" s="1"/>
  <c r="AF236" i="42"/>
  <c r="AE236" i="42"/>
  <c r="AD236" i="42"/>
  <c r="AC236" i="42"/>
  <c r="AB236" i="42"/>
  <c r="AA236" i="42"/>
  <c r="Z236" i="42"/>
  <c r="Y236" i="42"/>
  <c r="X236" i="42"/>
  <c r="W236" i="42"/>
  <c r="V236" i="42"/>
  <c r="U236" i="42"/>
  <c r="T236" i="42"/>
  <c r="S236" i="42"/>
  <c r="R236" i="42"/>
  <c r="Q236" i="42"/>
  <c r="P236" i="42"/>
  <c r="O236" i="42"/>
  <c r="N236" i="42"/>
  <c r="M236" i="42"/>
  <c r="L236" i="42"/>
  <c r="K236" i="42"/>
  <c r="J236" i="42"/>
  <c r="I236" i="42"/>
  <c r="H236" i="42"/>
  <c r="G236" i="42"/>
  <c r="F236" i="42"/>
  <c r="E236" i="42"/>
  <c r="D236" i="42"/>
  <c r="C236" i="42"/>
  <c r="B236" i="42"/>
  <c r="AG235" i="42"/>
  <c r="H237" i="25" s="1"/>
  <c r="AG234" i="42"/>
  <c r="H236" i="25" s="1"/>
  <c r="AG233" i="42"/>
  <c r="H235" i="25" s="1"/>
  <c r="AF232" i="42"/>
  <c r="AE232" i="42"/>
  <c r="AD232" i="42"/>
  <c r="AC232" i="42"/>
  <c r="AB232" i="42"/>
  <c r="AA232" i="42"/>
  <c r="Z232" i="42"/>
  <c r="Y232" i="42"/>
  <c r="X232" i="42"/>
  <c r="W232" i="42"/>
  <c r="V232" i="42"/>
  <c r="U232" i="42"/>
  <c r="T232" i="42"/>
  <c r="S232" i="42"/>
  <c r="R232" i="42"/>
  <c r="Q232" i="42"/>
  <c r="P232" i="42"/>
  <c r="O232" i="42"/>
  <c r="N232" i="42"/>
  <c r="M232" i="42"/>
  <c r="L232" i="42"/>
  <c r="K232" i="42"/>
  <c r="J232" i="42"/>
  <c r="I232" i="42"/>
  <c r="H232" i="42"/>
  <c r="G232" i="42"/>
  <c r="F232" i="42"/>
  <c r="E232" i="42"/>
  <c r="D232" i="42"/>
  <c r="C232" i="42"/>
  <c r="B232" i="42"/>
  <c r="AG231" i="42"/>
  <c r="H233" i="25" s="1"/>
  <c r="AG230" i="42"/>
  <c r="H232" i="25" s="1"/>
  <c r="AG229" i="42"/>
  <c r="H231" i="25" s="1"/>
  <c r="AG228" i="42"/>
  <c r="H230" i="25" s="1"/>
  <c r="AG227" i="42"/>
  <c r="H229" i="25" s="1"/>
  <c r="AG226" i="42"/>
  <c r="H228" i="25" s="1"/>
  <c r="AG225" i="42"/>
  <c r="H227" i="25" s="1"/>
  <c r="AG224" i="42"/>
  <c r="H226" i="25" s="1"/>
  <c r="AG223" i="42"/>
  <c r="H225" i="25" s="1"/>
  <c r="AG222" i="42"/>
  <c r="H224" i="25" s="1"/>
  <c r="AG221" i="42"/>
  <c r="H223" i="25" s="1"/>
  <c r="AG220" i="42"/>
  <c r="H222" i="25" s="1"/>
  <c r="AG216" i="42"/>
  <c r="H218" i="25" s="1"/>
  <c r="AG215" i="42"/>
  <c r="H217" i="25" s="1"/>
  <c r="AG214" i="42"/>
  <c r="H214" i="25" s="1"/>
  <c r="AG213" i="42"/>
  <c r="H213" i="25" s="1"/>
  <c r="AG212" i="42"/>
  <c r="H212" i="25" s="1"/>
  <c r="AG211" i="42"/>
  <c r="H211" i="25" s="1"/>
  <c r="AG210" i="42"/>
  <c r="H210" i="25" s="1"/>
  <c r="AG209" i="42"/>
  <c r="H209" i="25" s="1"/>
  <c r="AG208" i="42"/>
  <c r="H208" i="25" s="1"/>
  <c r="AG207" i="42"/>
  <c r="H207" i="25" s="1"/>
  <c r="AF206" i="42"/>
  <c r="AE206" i="42"/>
  <c r="AD206" i="42"/>
  <c r="AC206" i="42"/>
  <c r="AB206" i="42"/>
  <c r="AA206" i="42"/>
  <c r="Z206" i="42"/>
  <c r="Y206" i="42"/>
  <c r="X206" i="42"/>
  <c r="W206" i="42"/>
  <c r="V206" i="42"/>
  <c r="U206" i="42"/>
  <c r="T206" i="42"/>
  <c r="S206" i="42"/>
  <c r="R206" i="42"/>
  <c r="Q206" i="42"/>
  <c r="P206" i="42"/>
  <c r="O206" i="42"/>
  <c r="N206" i="42"/>
  <c r="M206" i="42"/>
  <c r="L206" i="42"/>
  <c r="K206" i="42"/>
  <c r="J206" i="42"/>
  <c r="I206" i="42"/>
  <c r="H206" i="42"/>
  <c r="G206" i="42"/>
  <c r="F206" i="42"/>
  <c r="E206" i="42"/>
  <c r="D206" i="42"/>
  <c r="C206" i="42"/>
  <c r="B206" i="42"/>
  <c r="AG205" i="42"/>
  <c r="H205" i="25" s="1"/>
  <c r="AG204" i="42"/>
  <c r="H204" i="25" s="1"/>
  <c r="AG203" i="42"/>
  <c r="H203" i="25" s="1"/>
  <c r="AG202" i="42"/>
  <c r="H202" i="25" s="1"/>
  <c r="AG201" i="42"/>
  <c r="H201" i="25" s="1"/>
  <c r="AG200" i="42"/>
  <c r="H200" i="25" s="1"/>
  <c r="AG199" i="42"/>
  <c r="H199" i="25" s="1"/>
  <c r="AG198" i="42"/>
  <c r="H198" i="25" s="1"/>
  <c r="AG197" i="42"/>
  <c r="H197" i="25" s="1"/>
  <c r="AG196" i="42"/>
  <c r="H196" i="25" s="1"/>
  <c r="AG195" i="42"/>
  <c r="H195" i="25" s="1"/>
  <c r="AG194" i="42"/>
  <c r="H194" i="25" s="1"/>
  <c r="AG193" i="42"/>
  <c r="H193" i="25" s="1"/>
  <c r="AG192" i="42"/>
  <c r="H192" i="25" s="1"/>
  <c r="AG191" i="42"/>
  <c r="H191" i="25" s="1"/>
  <c r="AG190" i="42"/>
  <c r="H190" i="25" s="1"/>
  <c r="AG189" i="42"/>
  <c r="H189" i="25" s="1"/>
  <c r="AG188" i="42"/>
  <c r="H188" i="25" s="1"/>
  <c r="AG187" i="42"/>
  <c r="H187" i="25" s="1"/>
  <c r="AG186" i="42"/>
  <c r="H186" i="25" s="1"/>
  <c r="AG185" i="42"/>
  <c r="H185" i="25" s="1"/>
  <c r="AG184" i="42"/>
  <c r="H184" i="25" s="1"/>
  <c r="AG183" i="42"/>
  <c r="H183" i="25" s="1"/>
  <c r="AG182" i="42"/>
  <c r="H182" i="25" s="1"/>
  <c r="AG181" i="42"/>
  <c r="H181" i="25" s="1"/>
  <c r="AG180" i="42"/>
  <c r="H180" i="25" s="1"/>
  <c r="AF179" i="42"/>
  <c r="AE179" i="42"/>
  <c r="AD179" i="42"/>
  <c r="AC179" i="42"/>
  <c r="AB179" i="42"/>
  <c r="AA179" i="42"/>
  <c r="Z179" i="42"/>
  <c r="Y179" i="42"/>
  <c r="X179" i="42"/>
  <c r="W179" i="42"/>
  <c r="V179" i="42"/>
  <c r="U179" i="42"/>
  <c r="T179" i="42"/>
  <c r="S179" i="42"/>
  <c r="R179" i="42"/>
  <c r="Q179" i="42"/>
  <c r="P179" i="42"/>
  <c r="O179" i="42"/>
  <c r="N179" i="42"/>
  <c r="M179" i="42"/>
  <c r="L179" i="42"/>
  <c r="K179" i="42"/>
  <c r="J179" i="42"/>
  <c r="I179" i="42"/>
  <c r="H179" i="42"/>
  <c r="G179" i="42"/>
  <c r="F179" i="42"/>
  <c r="E179" i="42"/>
  <c r="D179" i="42"/>
  <c r="C179" i="42"/>
  <c r="B179" i="42"/>
  <c r="AG178" i="42"/>
  <c r="H178" i="25" s="1"/>
  <c r="AG177" i="42"/>
  <c r="H177" i="25" s="1"/>
  <c r="AG176" i="42"/>
  <c r="H176" i="25" s="1"/>
  <c r="AG175" i="42"/>
  <c r="H175" i="25" s="1"/>
  <c r="AF174" i="42"/>
  <c r="AE174" i="42"/>
  <c r="AD174" i="42"/>
  <c r="AC174" i="42"/>
  <c r="AB174" i="42"/>
  <c r="AA174" i="42"/>
  <c r="Z174" i="42"/>
  <c r="Y174" i="42"/>
  <c r="X174" i="42"/>
  <c r="W174" i="42"/>
  <c r="V174" i="42"/>
  <c r="U174" i="42"/>
  <c r="T174" i="42"/>
  <c r="S174" i="42"/>
  <c r="R174" i="42"/>
  <c r="Q174" i="42"/>
  <c r="P174" i="42"/>
  <c r="O174" i="42"/>
  <c r="N174" i="42"/>
  <c r="M174" i="42"/>
  <c r="L174" i="42"/>
  <c r="K174" i="42"/>
  <c r="J174" i="42"/>
  <c r="I174" i="42"/>
  <c r="H174" i="42"/>
  <c r="G174" i="42"/>
  <c r="F174" i="42"/>
  <c r="E174" i="42"/>
  <c r="D174" i="42"/>
  <c r="C174" i="42"/>
  <c r="B174" i="42"/>
  <c r="AG173" i="42"/>
  <c r="H173" i="25" s="1"/>
  <c r="AG172" i="42"/>
  <c r="H172" i="25" s="1"/>
  <c r="AG171" i="42"/>
  <c r="H171" i="25" s="1"/>
  <c r="AG170" i="42"/>
  <c r="H170" i="25" s="1"/>
  <c r="AG169" i="42"/>
  <c r="H169" i="25" s="1"/>
  <c r="AG168" i="42"/>
  <c r="H168" i="25" s="1"/>
  <c r="AF167" i="42"/>
  <c r="AE167" i="42"/>
  <c r="AD167" i="42"/>
  <c r="AC167" i="42"/>
  <c r="AB167" i="42"/>
  <c r="AA167" i="42"/>
  <c r="Z167" i="42"/>
  <c r="Y167" i="42"/>
  <c r="X167" i="42"/>
  <c r="W167" i="42"/>
  <c r="V167" i="42"/>
  <c r="U167" i="42"/>
  <c r="T167" i="42"/>
  <c r="S167" i="42"/>
  <c r="R167" i="42"/>
  <c r="Q167" i="42"/>
  <c r="P167" i="42"/>
  <c r="O167" i="42"/>
  <c r="N167" i="42"/>
  <c r="M167" i="42"/>
  <c r="L167" i="42"/>
  <c r="K167" i="42"/>
  <c r="J167" i="42"/>
  <c r="I167" i="42"/>
  <c r="H167" i="42"/>
  <c r="G167" i="42"/>
  <c r="F167" i="42"/>
  <c r="E167" i="42"/>
  <c r="D167" i="42"/>
  <c r="C167" i="42"/>
  <c r="B167" i="42"/>
  <c r="AG166" i="42"/>
  <c r="H166" i="25" s="1"/>
  <c r="AG165" i="42"/>
  <c r="H165" i="25" s="1"/>
  <c r="AG164" i="42"/>
  <c r="H164" i="25" s="1"/>
  <c r="AG163" i="42"/>
  <c r="H163" i="25" s="1"/>
  <c r="AG162" i="42"/>
  <c r="H162" i="25" s="1"/>
  <c r="AG161" i="42"/>
  <c r="H161" i="25" s="1"/>
  <c r="AG160" i="42"/>
  <c r="H160" i="25" s="1"/>
  <c r="AG159" i="42"/>
  <c r="H159" i="25" s="1"/>
  <c r="AF158" i="42"/>
  <c r="AE158" i="42"/>
  <c r="AD158" i="42"/>
  <c r="AC158" i="42"/>
  <c r="AB158" i="42"/>
  <c r="AA158" i="42"/>
  <c r="Z158" i="42"/>
  <c r="Y158" i="42"/>
  <c r="X158" i="42"/>
  <c r="W158" i="42"/>
  <c r="V158" i="42"/>
  <c r="U158" i="42"/>
  <c r="T158" i="42"/>
  <c r="S158" i="42"/>
  <c r="R158" i="42"/>
  <c r="Q158" i="42"/>
  <c r="P158" i="42"/>
  <c r="O158" i="42"/>
  <c r="N158" i="42"/>
  <c r="M158" i="42"/>
  <c r="L158" i="42"/>
  <c r="K158" i="42"/>
  <c r="J158" i="42"/>
  <c r="I158" i="42"/>
  <c r="H158" i="42"/>
  <c r="G158" i="42"/>
  <c r="F158" i="42"/>
  <c r="E158" i="42"/>
  <c r="D158" i="42"/>
  <c r="C158" i="42"/>
  <c r="B158" i="42"/>
  <c r="AG157" i="42"/>
  <c r="H157" i="25" s="1"/>
  <c r="AG156" i="42"/>
  <c r="H156" i="25" s="1"/>
  <c r="AG155" i="42"/>
  <c r="H155" i="25" s="1"/>
  <c r="AG154" i="42"/>
  <c r="H154" i="25" s="1"/>
  <c r="AG153" i="42"/>
  <c r="H153" i="25" s="1"/>
  <c r="AG152" i="42"/>
  <c r="H152" i="25" s="1"/>
  <c r="AG151" i="42"/>
  <c r="H151" i="25" s="1"/>
  <c r="AG150" i="42"/>
  <c r="H150" i="25" s="1"/>
  <c r="AG149" i="42"/>
  <c r="H149" i="25" s="1"/>
  <c r="AF148" i="42"/>
  <c r="AF146" i="42" s="1"/>
  <c r="AE148" i="42"/>
  <c r="AE146" i="42" s="1"/>
  <c r="AE144" i="42" s="1"/>
  <c r="AD148" i="42"/>
  <c r="AD146" i="42" s="1"/>
  <c r="AC148" i="42"/>
  <c r="AC146" i="42" s="1"/>
  <c r="AB148" i="42"/>
  <c r="AB146" i="42" s="1"/>
  <c r="AB144" i="42" s="1"/>
  <c r="AA148" i="42"/>
  <c r="AA146" i="42" s="1"/>
  <c r="Z148" i="42"/>
  <c r="Z146" i="42" s="1"/>
  <c r="Y148" i="42"/>
  <c r="Y146" i="42" s="1"/>
  <c r="X148" i="42"/>
  <c r="X146" i="42" s="1"/>
  <c r="X144" i="42" s="1"/>
  <c r="W148" i="42"/>
  <c r="W146" i="42" s="1"/>
  <c r="V148" i="42"/>
  <c r="V146" i="42" s="1"/>
  <c r="U148" i="42"/>
  <c r="U146" i="42" s="1"/>
  <c r="T148" i="42"/>
  <c r="T146" i="42" s="1"/>
  <c r="T144" i="42" s="1"/>
  <c r="S148" i="42"/>
  <c r="S146" i="42" s="1"/>
  <c r="R148" i="42"/>
  <c r="R146" i="42" s="1"/>
  <c r="R144" i="42" s="1"/>
  <c r="Q148" i="42"/>
  <c r="Q146" i="42" s="1"/>
  <c r="P148" i="42"/>
  <c r="P146" i="42" s="1"/>
  <c r="O148" i="42"/>
  <c r="O146" i="42" s="1"/>
  <c r="O144" i="42" s="1"/>
  <c r="N148" i="42"/>
  <c r="N146" i="42" s="1"/>
  <c r="M148" i="42"/>
  <c r="M146" i="42" s="1"/>
  <c r="L148" i="42"/>
  <c r="L146" i="42" s="1"/>
  <c r="L144" i="42" s="1"/>
  <c r="K148" i="42"/>
  <c r="K146" i="42" s="1"/>
  <c r="K144" i="42" s="1"/>
  <c r="J148" i="42"/>
  <c r="J146" i="42" s="1"/>
  <c r="I148" i="42"/>
  <c r="I146" i="42" s="1"/>
  <c r="H148" i="42"/>
  <c r="G148" i="42"/>
  <c r="G146" i="42" s="1"/>
  <c r="F148" i="42"/>
  <c r="F146" i="42" s="1"/>
  <c r="E148" i="42"/>
  <c r="E146" i="42" s="1"/>
  <c r="D148" i="42"/>
  <c r="C148" i="42"/>
  <c r="B148" i="42"/>
  <c r="B146" i="42" s="1"/>
  <c r="AE147" i="42"/>
  <c r="AD147" i="42"/>
  <c r="AC147" i="42"/>
  <c r="AB147" i="42"/>
  <c r="AA147" i="42"/>
  <c r="Z147" i="42"/>
  <c r="Y147" i="42"/>
  <c r="X147" i="42"/>
  <c r="W147" i="42"/>
  <c r="V147" i="42"/>
  <c r="U147" i="42"/>
  <c r="T147" i="42"/>
  <c r="S147" i="42"/>
  <c r="R147" i="42"/>
  <c r="Q147" i="42"/>
  <c r="P147" i="42"/>
  <c r="O147" i="42"/>
  <c r="N147" i="42"/>
  <c r="M147" i="42"/>
  <c r="L147" i="42"/>
  <c r="K147" i="42"/>
  <c r="J147" i="42"/>
  <c r="I147" i="42"/>
  <c r="H147" i="42"/>
  <c r="G147" i="42"/>
  <c r="F147" i="42"/>
  <c r="E147" i="42"/>
  <c r="D147" i="42"/>
  <c r="C147" i="42"/>
  <c r="B147" i="42"/>
  <c r="H146" i="42"/>
  <c r="D146" i="42"/>
  <c r="C146" i="42"/>
  <c r="AF145" i="42"/>
  <c r="AE145" i="42"/>
  <c r="AD145" i="42"/>
  <c r="AC145" i="42"/>
  <c r="AB145" i="42"/>
  <c r="AA145" i="42"/>
  <c r="Z145" i="42"/>
  <c r="Y145" i="42"/>
  <c r="X145" i="42"/>
  <c r="W145" i="42"/>
  <c r="V145" i="42"/>
  <c r="U145" i="42"/>
  <c r="T145" i="42"/>
  <c r="S145" i="42"/>
  <c r="R145" i="42"/>
  <c r="Q145" i="42"/>
  <c r="P145" i="42"/>
  <c r="O145" i="42"/>
  <c r="N145" i="42"/>
  <c r="M145" i="42"/>
  <c r="L145" i="42"/>
  <c r="K145" i="42"/>
  <c r="J145" i="42"/>
  <c r="I145" i="42"/>
  <c r="H145" i="42"/>
  <c r="G145" i="42"/>
  <c r="F145" i="42"/>
  <c r="E145" i="42"/>
  <c r="D145" i="42"/>
  <c r="C145" i="42"/>
  <c r="B145" i="42"/>
  <c r="AG143" i="42"/>
  <c r="H143" i="25" s="1"/>
  <c r="AG141" i="42"/>
  <c r="H141" i="25" s="1"/>
  <c r="AG140" i="42"/>
  <c r="H140" i="25" s="1"/>
  <c r="AG139" i="42"/>
  <c r="H139" i="25" s="1"/>
  <c r="AG138" i="42"/>
  <c r="H138" i="25" s="1"/>
  <c r="AG137" i="42"/>
  <c r="H137" i="25" s="1"/>
  <c r="AG136" i="42"/>
  <c r="H136" i="25" s="1"/>
  <c r="AG135" i="42"/>
  <c r="H135" i="25" s="1"/>
  <c r="AG134" i="42"/>
  <c r="H134" i="25" s="1"/>
  <c r="AG133" i="42"/>
  <c r="H133" i="25" s="1"/>
  <c r="AG132" i="42"/>
  <c r="H132" i="25" s="1"/>
  <c r="AG131" i="42"/>
  <c r="H131" i="25" s="1"/>
  <c r="AF130" i="42"/>
  <c r="AE130" i="42"/>
  <c r="AD130" i="42"/>
  <c r="AC130" i="42"/>
  <c r="AB130" i="42"/>
  <c r="AA130" i="42"/>
  <c r="Z130" i="42"/>
  <c r="Y130" i="42"/>
  <c r="X130" i="42"/>
  <c r="W130" i="42"/>
  <c r="V130" i="42"/>
  <c r="U130" i="42"/>
  <c r="T130" i="42"/>
  <c r="S130" i="42"/>
  <c r="R130" i="42"/>
  <c r="Q130" i="42"/>
  <c r="P130" i="42"/>
  <c r="O130" i="42"/>
  <c r="N130" i="42"/>
  <c r="K130" i="42"/>
  <c r="J130" i="42"/>
  <c r="I130" i="42"/>
  <c r="H130" i="42"/>
  <c r="G130" i="42"/>
  <c r="F130" i="42"/>
  <c r="E130" i="42"/>
  <c r="D130" i="42"/>
  <c r="C130" i="42"/>
  <c r="AG128" i="42"/>
  <c r="H128" i="25" s="1"/>
  <c r="AG127" i="42"/>
  <c r="H127" i="25" s="1"/>
  <c r="AG126" i="42"/>
  <c r="H126" i="25" s="1"/>
  <c r="AG125" i="42"/>
  <c r="H125" i="25" s="1"/>
  <c r="AG124" i="42"/>
  <c r="H124" i="25" s="1"/>
  <c r="AG123" i="42"/>
  <c r="H123" i="25" s="1"/>
  <c r="AG122" i="42"/>
  <c r="H122" i="25" s="1"/>
  <c r="AG121" i="42"/>
  <c r="H121" i="25" s="1"/>
  <c r="AG120" i="42"/>
  <c r="H120" i="25" s="1"/>
  <c r="AG119" i="42"/>
  <c r="H119" i="25" s="1"/>
  <c r="AG118" i="42"/>
  <c r="H118" i="25" s="1"/>
  <c r="AG117" i="42"/>
  <c r="H117" i="25" s="1"/>
  <c r="AF116" i="42"/>
  <c r="AE116" i="42"/>
  <c r="AD116" i="42"/>
  <c r="AC116" i="42"/>
  <c r="AB116" i="42"/>
  <c r="AA116" i="42"/>
  <c r="Z116" i="42"/>
  <c r="Y116" i="42"/>
  <c r="X116" i="42"/>
  <c r="W116" i="42"/>
  <c r="V116" i="42"/>
  <c r="U116" i="42"/>
  <c r="T116" i="42"/>
  <c r="S116" i="42"/>
  <c r="R116" i="42"/>
  <c r="Q116" i="42"/>
  <c r="P116" i="42"/>
  <c r="O116" i="42"/>
  <c r="N116" i="42"/>
  <c r="M116" i="42"/>
  <c r="L116" i="42"/>
  <c r="K116" i="42"/>
  <c r="J116" i="42"/>
  <c r="I116" i="42"/>
  <c r="H116" i="42"/>
  <c r="G116" i="42"/>
  <c r="F116" i="42"/>
  <c r="E116" i="42"/>
  <c r="D116" i="42"/>
  <c r="C116" i="42"/>
  <c r="AG115" i="42"/>
  <c r="H115" i="25" s="1"/>
  <c r="AG114" i="42"/>
  <c r="H114" i="25" s="1"/>
  <c r="AG113" i="42"/>
  <c r="H113" i="25" s="1"/>
  <c r="AG112" i="42"/>
  <c r="H112" i="25" s="1"/>
  <c r="AG111" i="42"/>
  <c r="H111" i="25" s="1"/>
  <c r="AG110" i="42"/>
  <c r="H110" i="25" s="1"/>
  <c r="AG109" i="42"/>
  <c r="H109" i="25" s="1"/>
  <c r="AG108" i="42"/>
  <c r="H108" i="25" s="1"/>
  <c r="AG107" i="42"/>
  <c r="H107" i="25" s="1"/>
  <c r="AG106" i="42"/>
  <c r="H106" i="25" s="1"/>
  <c r="AG105" i="42"/>
  <c r="H105" i="25" s="1"/>
  <c r="AG104" i="42"/>
  <c r="H104" i="25" s="1"/>
  <c r="AG103" i="42"/>
  <c r="H103" i="25" s="1"/>
  <c r="AG102" i="42"/>
  <c r="H102" i="25" s="1"/>
  <c r="AG101" i="42"/>
  <c r="H101" i="25" s="1"/>
  <c r="AF100" i="42"/>
  <c r="AE100" i="42"/>
  <c r="AD100" i="42"/>
  <c r="AC100" i="42"/>
  <c r="AB100" i="42"/>
  <c r="AA100" i="42"/>
  <c r="Z100" i="42"/>
  <c r="Y100" i="42"/>
  <c r="Y93" i="42" s="1"/>
  <c r="X100" i="42"/>
  <c r="W100" i="42"/>
  <c r="V100" i="42"/>
  <c r="V93" i="42" s="1"/>
  <c r="U100" i="42"/>
  <c r="T100" i="42"/>
  <c r="S100" i="42"/>
  <c r="R100" i="42"/>
  <c r="Q100" i="42"/>
  <c r="P100" i="42"/>
  <c r="O100" i="42"/>
  <c r="N100" i="42"/>
  <c r="M100" i="42"/>
  <c r="L100" i="42"/>
  <c r="K100" i="42"/>
  <c r="J100" i="42"/>
  <c r="I100" i="42"/>
  <c r="H100" i="42"/>
  <c r="G100" i="42"/>
  <c r="F100" i="42"/>
  <c r="E100" i="42"/>
  <c r="D100" i="42"/>
  <c r="C100" i="42"/>
  <c r="B100" i="42"/>
  <c r="AG99" i="42"/>
  <c r="H99" i="25" s="1"/>
  <c r="AG98" i="42"/>
  <c r="H98" i="25" s="1"/>
  <c r="AG97" i="42"/>
  <c r="H97" i="25" s="1"/>
  <c r="AG96" i="42"/>
  <c r="H96" i="25" s="1"/>
  <c r="AG95" i="42"/>
  <c r="H95" i="25" s="1"/>
  <c r="AF94" i="42"/>
  <c r="AF93" i="42" s="1"/>
  <c r="AE94" i="42"/>
  <c r="AD94" i="42"/>
  <c r="AC94" i="42"/>
  <c r="AB94" i="42"/>
  <c r="AA94" i="42"/>
  <c r="Z94" i="42"/>
  <c r="Y94" i="42"/>
  <c r="X94" i="42"/>
  <c r="W94" i="42"/>
  <c r="V94" i="42"/>
  <c r="U94" i="42"/>
  <c r="U93" i="42" s="1"/>
  <c r="T94" i="42"/>
  <c r="S94" i="42"/>
  <c r="R94" i="42"/>
  <c r="Q94" i="42"/>
  <c r="P94" i="42"/>
  <c r="O94" i="42"/>
  <c r="N94" i="42"/>
  <c r="N93" i="42" s="1"/>
  <c r="M94" i="42"/>
  <c r="M93" i="42" s="1"/>
  <c r="L94" i="42"/>
  <c r="K94" i="42"/>
  <c r="J94" i="42"/>
  <c r="I94" i="42"/>
  <c r="H94" i="42"/>
  <c r="G94" i="42"/>
  <c r="F94" i="42"/>
  <c r="E94" i="42"/>
  <c r="D94" i="42"/>
  <c r="C94" i="42"/>
  <c r="B94" i="42"/>
  <c r="F93" i="42"/>
  <c r="AG92" i="42"/>
  <c r="H92" i="25" s="1"/>
  <c r="AG91" i="42"/>
  <c r="H91" i="25" s="1"/>
  <c r="AG90" i="42"/>
  <c r="H90" i="25" s="1"/>
  <c r="AG89" i="42"/>
  <c r="H89" i="25" s="1"/>
  <c r="AG88" i="42"/>
  <c r="H88" i="25" s="1"/>
  <c r="AF87" i="42"/>
  <c r="AE87" i="42"/>
  <c r="AD87" i="42"/>
  <c r="AC87" i="42"/>
  <c r="AB87" i="42"/>
  <c r="AA87" i="42"/>
  <c r="Z87" i="42"/>
  <c r="Y87" i="42"/>
  <c r="X87" i="42"/>
  <c r="W87" i="42"/>
  <c r="V87" i="42"/>
  <c r="U87" i="42"/>
  <c r="T87" i="42"/>
  <c r="S87" i="42"/>
  <c r="R87" i="42"/>
  <c r="Q87" i="42"/>
  <c r="P87" i="42"/>
  <c r="O87" i="42"/>
  <c r="N87" i="42"/>
  <c r="M87" i="42"/>
  <c r="L87" i="42"/>
  <c r="K87" i="42"/>
  <c r="J87" i="42"/>
  <c r="I87" i="42"/>
  <c r="H87" i="42"/>
  <c r="G87" i="42"/>
  <c r="F87" i="42"/>
  <c r="E87" i="42"/>
  <c r="D87" i="42"/>
  <c r="C87" i="42"/>
  <c r="B87" i="42"/>
  <c r="AG86" i="42"/>
  <c r="H86" i="25" s="1"/>
  <c r="AG85" i="42"/>
  <c r="H85" i="25" s="1"/>
  <c r="AF84" i="42"/>
  <c r="AE84" i="42"/>
  <c r="AD84" i="42"/>
  <c r="AC84" i="42"/>
  <c r="AB84" i="42"/>
  <c r="AA84" i="42"/>
  <c r="Z84" i="42"/>
  <c r="Y84" i="42"/>
  <c r="X84" i="42"/>
  <c r="W84" i="42"/>
  <c r="V84" i="42"/>
  <c r="U84" i="42"/>
  <c r="T84" i="42"/>
  <c r="S84" i="42"/>
  <c r="R84" i="42"/>
  <c r="Q84" i="42"/>
  <c r="P84" i="42"/>
  <c r="O84" i="42"/>
  <c r="N84" i="42"/>
  <c r="M84" i="42"/>
  <c r="L84" i="42"/>
  <c r="K84" i="42"/>
  <c r="J84" i="42"/>
  <c r="I84" i="42"/>
  <c r="H84" i="42"/>
  <c r="G84" i="42"/>
  <c r="F84" i="42"/>
  <c r="E84" i="42"/>
  <c r="D84" i="42"/>
  <c r="C84" i="42"/>
  <c r="B84" i="42"/>
  <c r="AF82" i="42"/>
  <c r="AF83" i="42" s="1"/>
  <c r="AF81" i="42" s="1"/>
  <c r="AE82" i="42"/>
  <c r="AE83" i="42" s="1"/>
  <c r="AE81" i="42" s="1"/>
  <c r="AD82" i="42"/>
  <c r="AC82" i="42"/>
  <c r="AC83" i="42" s="1"/>
  <c r="AC81" i="42" s="1"/>
  <c r="AB82" i="42"/>
  <c r="AB83" i="42" s="1"/>
  <c r="AB81" i="42" s="1"/>
  <c r="AA82" i="42"/>
  <c r="AA83" i="42" s="1"/>
  <c r="AA81" i="42" s="1"/>
  <c r="Z82" i="42"/>
  <c r="Y82" i="42"/>
  <c r="Y83" i="42" s="1"/>
  <c r="Y81" i="42" s="1"/>
  <c r="X82" i="42"/>
  <c r="X83" i="42" s="1"/>
  <c r="X81" i="42" s="1"/>
  <c r="W82" i="42"/>
  <c r="W83" i="42" s="1"/>
  <c r="V82" i="42"/>
  <c r="U82" i="42"/>
  <c r="U83" i="42" s="1"/>
  <c r="U81" i="42" s="1"/>
  <c r="T82" i="42"/>
  <c r="T83" i="42" s="1"/>
  <c r="T81" i="42" s="1"/>
  <c r="S82" i="42"/>
  <c r="S83" i="42" s="1"/>
  <c r="R82" i="42"/>
  <c r="Q82" i="42"/>
  <c r="Q83" i="42" s="1"/>
  <c r="Q81" i="42" s="1"/>
  <c r="P82" i="42"/>
  <c r="P83" i="42" s="1"/>
  <c r="P81" i="42" s="1"/>
  <c r="O82" i="42"/>
  <c r="O83" i="42" s="1"/>
  <c r="O81" i="42" s="1"/>
  <c r="N82" i="42"/>
  <c r="M82" i="42"/>
  <c r="M83" i="42" s="1"/>
  <c r="M81" i="42" s="1"/>
  <c r="L82" i="42"/>
  <c r="L83" i="42" s="1"/>
  <c r="L81" i="42" s="1"/>
  <c r="K82" i="42"/>
  <c r="K83" i="42" s="1"/>
  <c r="K81" i="42" s="1"/>
  <c r="J82" i="42"/>
  <c r="I82" i="42"/>
  <c r="I83" i="42" s="1"/>
  <c r="I81" i="42" s="1"/>
  <c r="H82" i="42"/>
  <c r="H83" i="42" s="1"/>
  <c r="H81" i="42" s="1"/>
  <c r="G82" i="42"/>
  <c r="G83" i="42" s="1"/>
  <c r="F82" i="42"/>
  <c r="E82" i="42"/>
  <c r="E83" i="42" s="1"/>
  <c r="E81" i="42" s="1"/>
  <c r="D82" i="42"/>
  <c r="D83" i="42" s="1"/>
  <c r="D81" i="42" s="1"/>
  <c r="C82" i="42"/>
  <c r="C83" i="42" s="1"/>
  <c r="B82" i="42"/>
  <c r="AF80" i="42"/>
  <c r="AF79" i="42" s="1"/>
  <c r="AF78" i="42" s="1"/>
  <c r="AC80" i="42"/>
  <c r="AC79" i="42" s="1"/>
  <c r="AC78" i="42" s="1"/>
  <c r="AB80" i="42"/>
  <c r="AB79" i="42" s="1"/>
  <c r="AB78" i="42" s="1"/>
  <c r="AA80" i="42"/>
  <c r="AA79" i="42" s="1"/>
  <c r="AA78" i="42" s="1"/>
  <c r="Y80" i="42"/>
  <c r="Y79" i="42" s="1"/>
  <c r="Y78" i="42" s="1"/>
  <c r="V80" i="42"/>
  <c r="V79" i="42" s="1"/>
  <c r="V78" i="42" s="1"/>
  <c r="U80" i="42"/>
  <c r="U79" i="42" s="1"/>
  <c r="U78" i="42" s="1"/>
  <c r="T80" i="42"/>
  <c r="T79" i="42" s="1"/>
  <c r="T78" i="42" s="1"/>
  <c r="S80" i="42"/>
  <c r="S79" i="42" s="1"/>
  <c r="S78" i="42" s="1"/>
  <c r="R80" i="42"/>
  <c r="R79" i="42" s="1"/>
  <c r="R78" i="42" s="1"/>
  <c r="O80" i="42"/>
  <c r="O79" i="42" s="1"/>
  <c r="O78" i="42" s="1"/>
  <c r="N80" i="42"/>
  <c r="N79" i="42" s="1"/>
  <c r="N78" i="42" s="1"/>
  <c r="M80" i="42"/>
  <c r="H80" i="42"/>
  <c r="H79" i="42" s="1"/>
  <c r="H78" i="42" s="1"/>
  <c r="G80" i="42"/>
  <c r="G79" i="42" s="1"/>
  <c r="G78" i="42" s="1"/>
  <c r="F80" i="42"/>
  <c r="F79" i="42" s="1"/>
  <c r="F78" i="42" s="1"/>
  <c r="AE79" i="42"/>
  <c r="AE78" i="42" s="1"/>
  <c r="AD79" i="42"/>
  <c r="AD78" i="42" s="1"/>
  <c r="Z79" i="42"/>
  <c r="Z78" i="42" s="1"/>
  <c r="X79" i="42"/>
  <c r="X78" i="42" s="1"/>
  <c r="W79" i="42"/>
  <c r="W78" i="42" s="1"/>
  <c r="Q79" i="42"/>
  <c r="Q78" i="42" s="1"/>
  <c r="P79" i="42"/>
  <c r="P78" i="42" s="1"/>
  <c r="M79" i="42"/>
  <c r="M78" i="42" s="1"/>
  <c r="L79" i="42"/>
  <c r="L78" i="42" s="1"/>
  <c r="K79" i="42"/>
  <c r="K78" i="42" s="1"/>
  <c r="J79" i="42"/>
  <c r="J78" i="42" s="1"/>
  <c r="I79" i="42"/>
  <c r="I78" i="42" s="1"/>
  <c r="E79" i="42"/>
  <c r="E78" i="42" s="1"/>
  <c r="D79" i="42"/>
  <c r="D78" i="42" s="1"/>
  <c r="C79" i="42"/>
  <c r="C78" i="42" s="1"/>
  <c r="B79" i="42"/>
  <c r="B78" i="42" s="1"/>
  <c r="AG77" i="42"/>
  <c r="H77" i="25" s="1"/>
  <c r="AG76" i="42"/>
  <c r="H76" i="25" s="1"/>
  <c r="AG75" i="42"/>
  <c r="H75" i="25" s="1"/>
  <c r="AG74" i="42"/>
  <c r="H74" i="25" s="1"/>
  <c r="AG73" i="42"/>
  <c r="H73" i="25" s="1"/>
  <c r="AG72" i="42"/>
  <c r="H72" i="25" s="1"/>
  <c r="AG71" i="42"/>
  <c r="H71" i="25" s="1"/>
  <c r="AG70" i="42"/>
  <c r="H70" i="25" s="1"/>
  <c r="AG69" i="42"/>
  <c r="H69" i="25" s="1"/>
  <c r="AG68" i="42"/>
  <c r="H68" i="25" s="1"/>
  <c r="AG67" i="42"/>
  <c r="H67" i="25" s="1"/>
  <c r="AG66" i="42"/>
  <c r="H66" i="25" s="1"/>
  <c r="AG65" i="42"/>
  <c r="H65" i="25" s="1"/>
  <c r="AG64" i="42"/>
  <c r="H64" i="25" s="1"/>
  <c r="AG63" i="42"/>
  <c r="H63" i="25" s="1"/>
  <c r="AG62" i="42"/>
  <c r="H62" i="25" s="1"/>
  <c r="AG61" i="42"/>
  <c r="H61" i="25" s="1"/>
  <c r="AG60" i="42"/>
  <c r="H60" i="25" s="1"/>
  <c r="AG59" i="42"/>
  <c r="H59" i="25" s="1"/>
  <c r="AG58" i="42"/>
  <c r="H58" i="25" s="1"/>
  <c r="AG57" i="42"/>
  <c r="H57" i="25" s="1"/>
  <c r="AG56" i="42"/>
  <c r="H56" i="25" s="1"/>
  <c r="AG55" i="42"/>
  <c r="H55" i="25" s="1"/>
  <c r="AG54" i="42"/>
  <c r="H54" i="25" s="1"/>
  <c r="AF53" i="42"/>
  <c r="AE53" i="42"/>
  <c r="AD53" i="42"/>
  <c r="AC53" i="42"/>
  <c r="AB53" i="42"/>
  <c r="AA53" i="42"/>
  <c r="Z53" i="42"/>
  <c r="Y53" i="42"/>
  <c r="X53" i="42"/>
  <c r="W53" i="42"/>
  <c r="V53" i="42"/>
  <c r="U53" i="42"/>
  <c r="T53" i="42"/>
  <c r="S53" i="42"/>
  <c r="R53" i="42"/>
  <c r="Q53" i="42"/>
  <c r="P53" i="42"/>
  <c r="O53" i="42"/>
  <c r="N53" i="42"/>
  <c r="M53" i="42"/>
  <c r="L53" i="42"/>
  <c r="K53" i="42"/>
  <c r="J53" i="42"/>
  <c r="I53" i="42"/>
  <c r="G53" i="42"/>
  <c r="F53" i="42"/>
  <c r="E53" i="42"/>
  <c r="D53" i="42"/>
  <c r="C53" i="42"/>
  <c r="B53" i="42"/>
  <c r="AG52" i="42"/>
  <c r="H52" i="25" s="1"/>
  <c r="AG51" i="42"/>
  <c r="H51" i="25" s="1"/>
  <c r="AG50" i="42"/>
  <c r="H50" i="25" s="1"/>
  <c r="AG49" i="42"/>
  <c r="H49" i="25" s="1"/>
  <c r="AG48" i="42"/>
  <c r="H48" i="25" s="1"/>
  <c r="AG47" i="42"/>
  <c r="H47" i="25" s="1"/>
  <c r="AG46" i="42"/>
  <c r="H46" i="25" s="1"/>
  <c r="AG45" i="42"/>
  <c r="H45" i="25" s="1"/>
  <c r="AG44" i="42"/>
  <c r="H44" i="25" s="1"/>
  <c r="AG43" i="42"/>
  <c r="H43" i="25" s="1"/>
  <c r="AG42" i="42"/>
  <c r="H42" i="25" s="1"/>
  <c r="AG41" i="42"/>
  <c r="H41" i="25" s="1"/>
  <c r="AG40" i="42"/>
  <c r="H40" i="25" s="1"/>
  <c r="AG39" i="42"/>
  <c r="H39" i="25" s="1"/>
  <c r="AG38" i="42"/>
  <c r="H38" i="25" s="1"/>
  <c r="AG37" i="42"/>
  <c r="H37" i="25" s="1"/>
  <c r="AG36" i="42"/>
  <c r="H36" i="25" s="1"/>
  <c r="AG35" i="42"/>
  <c r="H35" i="25" s="1"/>
  <c r="AG34" i="42"/>
  <c r="H34" i="25" s="1"/>
  <c r="AG33" i="42"/>
  <c r="H33" i="25" s="1"/>
  <c r="AG32" i="42"/>
  <c r="H32" i="25" s="1"/>
  <c r="AG31" i="42"/>
  <c r="H31" i="25" s="1"/>
  <c r="AG30" i="42"/>
  <c r="H30" i="25" s="1"/>
  <c r="AG29" i="42"/>
  <c r="H29" i="25" s="1"/>
  <c r="AF28" i="42"/>
  <c r="AE28" i="42"/>
  <c r="AD28" i="42"/>
  <c r="AC28" i="42"/>
  <c r="AB28" i="42"/>
  <c r="AA28" i="42"/>
  <c r="Z28" i="42"/>
  <c r="Y28" i="42"/>
  <c r="X28" i="42"/>
  <c r="W28" i="42"/>
  <c r="V28" i="42"/>
  <c r="U28" i="42"/>
  <c r="T28" i="42"/>
  <c r="S28" i="42"/>
  <c r="R28" i="42"/>
  <c r="Q28" i="42"/>
  <c r="P28" i="42"/>
  <c r="O28" i="42"/>
  <c r="N28" i="42"/>
  <c r="M28" i="42"/>
  <c r="L28" i="42"/>
  <c r="K28" i="42"/>
  <c r="J28" i="42"/>
  <c r="I28" i="42"/>
  <c r="H28" i="42"/>
  <c r="G28" i="42"/>
  <c r="F28" i="42"/>
  <c r="E28" i="42"/>
  <c r="D28" i="42"/>
  <c r="C28" i="42"/>
  <c r="B28" i="42"/>
  <c r="AG27" i="42"/>
  <c r="H27" i="25" s="1"/>
  <c r="AG26" i="42"/>
  <c r="H26" i="25" s="1"/>
  <c r="AG25" i="42"/>
  <c r="H25" i="25" s="1"/>
  <c r="AG24" i="42"/>
  <c r="H24" i="25" s="1"/>
  <c r="AG23" i="42"/>
  <c r="H23" i="25" s="1"/>
  <c r="AG22" i="42"/>
  <c r="H22" i="25" s="1"/>
  <c r="AG21" i="42"/>
  <c r="H21" i="25" s="1"/>
  <c r="AG20" i="42"/>
  <c r="H20" i="25" s="1"/>
  <c r="AG19" i="42"/>
  <c r="H19" i="25" s="1"/>
  <c r="AG18" i="42"/>
  <c r="H18" i="25" s="1"/>
  <c r="AG17" i="42"/>
  <c r="H17" i="25" s="1"/>
  <c r="AG16" i="42"/>
  <c r="H16" i="25" s="1"/>
  <c r="AG15" i="42"/>
  <c r="H15" i="25" s="1"/>
  <c r="AG14" i="42"/>
  <c r="H14" i="25" s="1"/>
  <c r="AG13" i="42"/>
  <c r="H13" i="25" s="1"/>
  <c r="AG12" i="42"/>
  <c r="H12" i="25" s="1"/>
  <c r="AG11" i="42"/>
  <c r="H11" i="25" s="1"/>
  <c r="AG10" i="42"/>
  <c r="H10" i="25" s="1"/>
  <c r="AG9" i="42"/>
  <c r="H9" i="25" s="1"/>
  <c r="AG8" i="42"/>
  <c r="H8" i="25" s="1"/>
  <c r="AG7" i="42"/>
  <c r="H7" i="25" s="1"/>
  <c r="AG6" i="42"/>
  <c r="H6" i="25" s="1"/>
  <c r="AG5" i="42"/>
  <c r="H5" i="25" s="1"/>
  <c r="AG4" i="42"/>
  <c r="H4" i="25" s="1"/>
  <c r="AF3" i="42"/>
  <c r="AE3" i="42"/>
  <c r="AD3" i="42"/>
  <c r="AC3" i="42"/>
  <c r="AB3" i="42"/>
  <c r="AA3" i="42"/>
  <c r="Z3" i="42"/>
  <c r="Y3" i="42"/>
  <c r="X3" i="42"/>
  <c r="W3" i="42"/>
  <c r="V3" i="42"/>
  <c r="U3" i="42"/>
  <c r="T3" i="42"/>
  <c r="S3" i="42"/>
  <c r="R3" i="42"/>
  <c r="Q3" i="42"/>
  <c r="P3" i="42"/>
  <c r="O3" i="42"/>
  <c r="N3" i="42"/>
  <c r="M3" i="42"/>
  <c r="L3" i="42"/>
  <c r="K3" i="42"/>
  <c r="J3" i="42"/>
  <c r="I3" i="42"/>
  <c r="H3" i="42"/>
  <c r="G3" i="42"/>
  <c r="F3" i="42"/>
  <c r="E3" i="42"/>
  <c r="D3" i="42"/>
  <c r="C3" i="42"/>
  <c r="B3" i="42"/>
  <c r="AC2" i="42"/>
  <c r="C2" i="42"/>
  <c r="D2" i="42" s="1"/>
  <c r="E2" i="42" s="1"/>
  <c r="F2" i="42" s="1"/>
  <c r="G2" i="42" s="1"/>
  <c r="H2" i="42" s="1"/>
  <c r="I2" i="42" s="1"/>
  <c r="J2" i="42" s="1"/>
  <c r="K2" i="42" s="1"/>
  <c r="L2" i="42" s="1"/>
  <c r="M2" i="42" s="1"/>
  <c r="N2" i="42" s="1"/>
  <c r="O2" i="42" s="1"/>
  <c r="P2" i="42" s="1"/>
  <c r="Q2" i="42" s="1"/>
  <c r="R2" i="42" s="1"/>
  <c r="S2" i="42" s="1"/>
  <c r="T2" i="42" s="1"/>
  <c r="U2" i="42" s="1"/>
  <c r="V2" i="42" s="1"/>
  <c r="W2" i="42" s="1"/>
  <c r="X2" i="42" s="1"/>
  <c r="Y2" i="42" s="1"/>
  <c r="Z2" i="42" s="1"/>
  <c r="AA2" i="42" s="1"/>
  <c r="Q144" i="42" l="1"/>
  <c r="P93" i="42"/>
  <c r="B93" i="42"/>
  <c r="M144" i="42"/>
  <c r="X93" i="42"/>
  <c r="R93" i="42"/>
  <c r="E93" i="42"/>
  <c r="Y144" i="42"/>
  <c r="Z93" i="42"/>
  <c r="Z144" i="42"/>
  <c r="AG232" i="42"/>
  <c r="H234" i="25" s="1"/>
  <c r="H93" i="42"/>
  <c r="N144" i="42"/>
  <c r="AC93" i="42"/>
  <c r="AC144" i="42"/>
  <c r="J93" i="42"/>
  <c r="AD93" i="42"/>
  <c r="J144" i="42"/>
  <c r="AD144" i="42"/>
  <c r="I93" i="42"/>
  <c r="Q93" i="42"/>
  <c r="P144" i="42"/>
  <c r="AF144" i="42"/>
  <c r="C144" i="42"/>
  <c r="AG240" i="42"/>
  <c r="H242" i="25" s="1"/>
  <c r="C81" i="42"/>
  <c r="D93" i="42"/>
  <c r="L93" i="42"/>
  <c r="T93" i="42"/>
  <c r="AB93" i="42"/>
  <c r="B116" i="42"/>
  <c r="AG116" i="42" s="1"/>
  <c r="H116" i="25" s="1"/>
  <c r="G144" i="42"/>
  <c r="W144" i="42"/>
  <c r="AG236" i="42"/>
  <c r="H238" i="25" s="1"/>
  <c r="AE93" i="42"/>
  <c r="AA144" i="42"/>
  <c r="AA93" i="42"/>
  <c r="W93" i="42"/>
  <c r="W81" i="42"/>
  <c r="V144" i="42"/>
  <c r="U144" i="42"/>
  <c r="S144" i="42"/>
  <c r="S93" i="42"/>
  <c r="S81" i="42"/>
  <c r="AG80" i="42"/>
  <c r="H80" i="25" s="1"/>
  <c r="O93" i="42"/>
  <c r="K93" i="42"/>
  <c r="I144" i="42"/>
  <c r="AG147" i="42"/>
  <c r="H147" i="25" s="1"/>
  <c r="H144" i="42"/>
  <c r="G93" i="42"/>
  <c r="G81" i="42"/>
  <c r="F144" i="42"/>
  <c r="E144" i="42"/>
  <c r="AG179" i="42"/>
  <c r="H179" i="25" s="1"/>
  <c r="D144" i="42"/>
  <c r="AG87" i="42"/>
  <c r="H87" i="25" s="1"/>
  <c r="AG174" i="42"/>
  <c r="H174" i="25" s="1"/>
  <c r="AG158" i="42"/>
  <c r="H158" i="25" s="1"/>
  <c r="AG167" i="42"/>
  <c r="H167" i="25" s="1"/>
  <c r="AG100" i="42"/>
  <c r="H100" i="25" s="1"/>
  <c r="C93" i="42"/>
  <c r="AG84" i="42"/>
  <c r="H84" i="25" s="1"/>
  <c r="AG53" i="42"/>
  <c r="H53" i="25" s="1"/>
  <c r="AG206" i="42"/>
  <c r="H206" i="25" s="1"/>
  <c r="AG145" i="42"/>
  <c r="H145" i="25" s="1"/>
  <c r="B144" i="42"/>
  <c r="B130" i="42"/>
  <c r="AG130" i="42" s="1"/>
  <c r="H130" i="25" s="1"/>
  <c r="AG28" i="42"/>
  <c r="H28" i="25" s="1"/>
  <c r="AG3" i="42"/>
  <c r="H3" i="25" s="1"/>
  <c r="AG82" i="42"/>
  <c r="H82" i="25" s="1"/>
  <c r="B83" i="42"/>
  <c r="J83" i="42"/>
  <c r="J81" i="42" s="1"/>
  <c r="R83" i="42"/>
  <c r="R81" i="42" s="1"/>
  <c r="V83" i="42"/>
  <c r="V81" i="42" s="1"/>
  <c r="AD83" i="42"/>
  <c r="AD81" i="42" s="1"/>
  <c r="AG79" i="42"/>
  <c r="H79" i="25" s="1"/>
  <c r="AG78" i="42"/>
  <c r="H78" i="25" s="1"/>
  <c r="F83" i="42"/>
  <c r="F81" i="42" s="1"/>
  <c r="N83" i="42"/>
  <c r="N81" i="42" s="1"/>
  <c r="Z83" i="42"/>
  <c r="Z81" i="42" s="1"/>
  <c r="AG148" i="42"/>
  <c r="AG94" i="42"/>
  <c r="H94" i="25" s="1"/>
  <c r="AE143" i="41"/>
  <c r="AE134" i="41"/>
  <c r="AE142" i="41"/>
  <c r="AE139" i="41"/>
  <c r="AE129" i="41"/>
  <c r="AG146" i="42" l="1"/>
  <c r="H146" i="25" s="1"/>
  <c r="H148" i="25"/>
  <c r="AG93" i="42"/>
  <c r="H93" i="25" s="1"/>
  <c r="AG144" i="42"/>
  <c r="AH87" i="42"/>
  <c r="AG83" i="42"/>
  <c r="B81" i="42"/>
  <c r="AG81" i="42" s="1"/>
  <c r="Z171" i="41"/>
  <c r="Z143" i="41"/>
  <c r="Z142" i="41"/>
  <c r="Z137" i="41"/>
  <c r="Z129" i="41"/>
  <c r="Y142" i="41"/>
  <c r="Y139" i="41"/>
  <c r="Y137" i="41"/>
  <c r="Y129" i="41"/>
  <c r="Y143" i="41"/>
  <c r="X143" i="41"/>
  <c r="X142" i="41"/>
  <c r="X134" i="41"/>
  <c r="X137" i="41"/>
  <c r="X129" i="41"/>
  <c r="AH130" i="42" l="1"/>
  <c r="AH93" i="42"/>
  <c r="AH206" i="42"/>
  <c r="AH144" i="42"/>
  <c r="H144" i="25"/>
  <c r="AH81" i="42"/>
  <c r="H81" i="25"/>
  <c r="AH84" i="42"/>
  <c r="H83" i="25"/>
  <c r="W142" i="41"/>
  <c r="W139" i="41"/>
  <c r="W134" i="41"/>
  <c r="W137" i="41"/>
  <c r="W129" i="41"/>
  <c r="V142" i="41"/>
  <c r="V139" i="41"/>
  <c r="V143" i="41"/>
  <c r="V129" i="41"/>
  <c r="U143" i="41" l="1"/>
  <c r="U137" i="41"/>
  <c r="U142" i="41"/>
  <c r="AD142" i="41"/>
  <c r="AD137" i="41"/>
  <c r="AD143" i="41"/>
  <c r="AD129" i="41"/>
  <c r="AC143" i="41" l="1"/>
  <c r="AC142" i="41"/>
  <c r="AC139" i="41"/>
  <c r="AC137" i="41"/>
  <c r="AC129" i="41"/>
  <c r="AB142" i="41" l="1"/>
  <c r="AB139" i="41"/>
  <c r="AB143" i="41"/>
  <c r="AB129" i="41"/>
  <c r="AA171" i="41" l="1"/>
  <c r="AA143" i="41"/>
  <c r="AA142" i="41"/>
  <c r="AA134" i="41"/>
  <c r="AA129" i="41"/>
  <c r="U129" i="41" l="1"/>
  <c r="T143" i="41"/>
  <c r="T142" i="41"/>
  <c r="T139" i="41"/>
  <c r="T134" i="41"/>
  <c r="T137" i="41"/>
  <c r="T129" i="41"/>
  <c r="S143" i="41" l="1"/>
  <c r="S142" i="41"/>
  <c r="S137" i="41"/>
  <c r="S129" i="41"/>
  <c r="R171" i="41" l="1"/>
  <c r="R143" i="41"/>
  <c r="R142" i="41"/>
  <c r="R129" i="41"/>
  <c r="Q143" i="41" l="1"/>
  <c r="Q129" i="41"/>
  <c r="P143" i="41" l="1"/>
  <c r="P142" i="41"/>
  <c r="P137" i="41"/>
  <c r="P129" i="41"/>
  <c r="O143" i="41" l="1"/>
  <c r="O142" i="41"/>
  <c r="O129" i="41"/>
  <c r="N143" i="41" l="1"/>
  <c r="N142" i="41"/>
  <c r="N139" i="41"/>
  <c r="N137" i="41"/>
  <c r="N129" i="41"/>
  <c r="M143" i="41" l="1"/>
  <c r="M142" i="41"/>
  <c r="M139" i="41"/>
  <c r="M137" i="41"/>
  <c r="M129" i="41"/>
  <c r="L143" i="41" l="1"/>
  <c r="L142" i="41"/>
  <c r="L139" i="41"/>
  <c r="L129" i="41"/>
  <c r="K143" i="41"/>
  <c r="K142" i="41"/>
  <c r="K139" i="41"/>
  <c r="K137" i="41"/>
  <c r="K129" i="41"/>
  <c r="J139" i="41"/>
  <c r="J129" i="41"/>
  <c r="I137" i="41"/>
  <c r="I129" i="41"/>
  <c r="H143" i="41"/>
  <c r="H137" i="41"/>
  <c r="H129" i="41"/>
  <c r="G142" i="41"/>
  <c r="F134" i="41"/>
  <c r="F143" i="41"/>
  <c r="F142" i="41"/>
  <c r="F137" i="41"/>
  <c r="F129" i="41"/>
  <c r="E143" i="41" l="1"/>
  <c r="E142" i="41"/>
  <c r="E129" i="41"/>
  <c r="D143" i="41" l="1"/>
  <c r="D142" i="41"/>
  <c r="D129" i="41"/>
  <c r="D87" i="41"/>
  <c r="C143" i="41" l="1"/>
  <c r="C129" i="41"/>
  <c r="B158" i="41" l="1"/>
  <c r="B143" i="41"/>
  <c r="B142" i="41"/>
  <c r="B139" i="41"/>
  <c r="B129" i="41"/>
  <c r="B82" i="41" l="1"/>
  <c r="C82" i="41"/>
  <c r="C83" i="41" s="1"/>
  <c r="C81" i="41" s="1"/>
  <c r="AG248" i="41"/>
  <c r="G250" i="25" s="1"/>
  <c r="AG247" i="41"/>
  <c r="G249" i="25" s="1"/>
  <c r="AG246" i="41"/>
  <c r="G248" i="25" s="1"/>
  <c r="AG245" i="41"/>
  <c r="G247" i="25" s="1"/>
  <c r="AG241" i="41"/>
  <c r="G243" i="25" s="1"/>
  <c r="AF240" i="41"/>
  <c r="AE240" i="41"/>
  <c r="AD240" i="41"/>
  <c r="AC240" i="41"/>
  <c r="AB240" i="41"/>
  <c r="AA240" i="41"/>
  <c r="Z240" i="41"/>
  <c r="Y240" i="41"/>
  <c r="X240" i="41"/>
  <c r="W240" i="41"/>
  <c r="V240" i="41"/>
  <c r="U240" i="41"/>
  <c r="T240" i="41"/>
  <c r="S240" i="41"/>
  <c r="R240" i="41"/>
  <c r="Q240" i="41"/>
  <c r="P240" i="41"/>
  <c r="O240" i="41"/>
  <c r="N240" i="41"/>
  <c r="M240" i="41"/>
  <c r="L240" i="41"/>
  <c r="K240" i="41"/>
  <c r="J240" i="41"/>
  <c r="I240" i="41"/>
  <c r="H240" i="41"/>
  <c r="G240" i="41"/>
  <c r="F240" i="41"/>
  <c r="E240" i="41"/>
  <c r="D240" i="41"/>
  <c r="C240" i="41"/>
  <c r="B240" i="41"/>
  <c r="AG239" i="41"/>
  <c r="G241" i="25" s="1"/>
  <c r="AG238" i="41"/>
  <c r="G240" i="25" s="1"/>
  <c r="AG237" i="41"/>
  <c r="G239" i="25" s="1"/>
  <c r="AF236" i="41"/>
  <c r="AE236" i="41"/>
  <c r="AD236" i="41"/>
  <c r="AC236" i="41"/>
  <c r="AB236" i="41"/>
  <c r="AA236" i="41"/>
  <c r="Z236" i="41"/>
  <c r="Y236" i="41"/>
  <c r="X236" i="41"/>
  <c r="W236" i="41"/>
  <c r="V236" i="41"/>
  <c r="U236" i="41"/>
  <c r="T236" i="41"/>
  <c r="S236" i="41"/>
  <c r="R236" i="41"/>
  <c r="Q236" i="41"/>
  <c r="P236" i="41"/>
  <c r="O236" i="41"/>
  <c r="N236" i="41"/>
  <c r="M236" i="41"/>
  <c r="L236" i="41"/>
  <c r="K236" i="41"/>
  <c r="J236" i="41"/>
  <c r="I236" i="41"/>
  <c r="H236" i="41"/>
  <c r="G236" i="41"/>
  <c r="F236" i="41"/>
  <c r="E236" i="41"/>
  <c r="D236" i="41"/>
  <c r="C236" i="41"/>
  <c r="B236" i="41"/>
  <c r="AG235" i="41"/>
  <c r="G237" i="25" s="1"/>
  <c r="AG234" i="41"/>
  <c r="G236" i="25" s="1"/>
  <c r="AG233" i="41"/>
  <c r="G235" i="25" s="1"/>
  <c r="AF232" i="41"/>
  <c r="AE232" i="41"/>
  <c r="AD232" i="41"/>
  <c r="AC232" i="41"/>
  <c r="AB232" i="41"/>
  <c r="AA232" i="41"/>
  <c r="Z232" i="41"/>
  <c r="Y232" i="41"/>
  <c r="X232" i="41"/>
  <c r="W232" i="41"/>
  <c r="V232" i="41"/>
  <c r="U232" i="41"/>
  <c r="T232" i="41"/>
  <c r="S232" i="41"/>
  <c r="R232" i="41"/>
  <c r="Q232" i="41"/>
  <c r="P232" i="41"/>
  <c r="O232" i="41"/>
  <c r="N232" i="41"/>
  <c r="M232" i="41"/>
  <c r="L232" i="41"/>
  <c r="K232" i="41"/>
  <c r="J232" i="41"/>
  <c r="I232" i="41"/>
  <c r="H232" i="41"/>
  <c r="G232" i="41"/>
  <c r="F232" i="41"/>
  <c r="E232" i="41"/>
  <c r="D232" i="41"/>
  <c r="C232" i="41"/>
  <c r="B232" i="41"/>
  <c r="AG231" i="41"/>
  <c r="G233" i="25" s="1"/>
  <c r="AG230" i="41"/>
  <c r="G232" i="25" s="1"/>
  <c r="AG229" i="41"/>
  <c r="G231" i="25" s="1"/>
  <c r="AG228" i="41"/>
  <c r="G230" i="25" s="1"/>
  <c r="AG227" i="41"/>
  <c r="G229" i="25" s="1"/>
  <c r="AG226" i="41"/>
  <c r="G228" i="25" s="1"/>
  <c r="AG225" i="41"/>
  <c r="G227" i="25" s="1"/>
  <c r="AG224" i="41"/>
  <c r="G226" i="25" s="1"/>
  <c r="AG223" i="41"/>
  <c r="G225" i="25" s="1"/>
  <c r="AG222" i="41"/>
  <c r="G224" i="25" s="1"/>
  <c r="AG221" i="41"/>
  <c r="G223" i="25" s="1"/>
  <c r="AG220" i="41"/>
  <c r="G222" i="25" s="1"/>
  <c r="AG216" i="41"/>
  <c r="G218" i="25" s="1"/>
  <c r="AG215" i="41"/>
  <c r="G217" i="25" s="1"/>
  <c r="AG214" i="41"/>
  <c r="G214" i="25" s="1"/>
  <c r="AG213" i="41"/>
  <c r="G213" i="25" s="1"/>
  <c r="AG212" i="41"/>
  <c r="G212" i="25" s="1"/>
  <c r="AG211" i="41"/>
  <c r="G211" i="25" s="1"/>
  <c r="AG210" i="41"/>
  <c r="G210" i="25" s="1"/>
  <c r="AG209" i="41"/>
  <c r="G209" i="25" s="1"/>
  <c r="AG208" i="41"/>
  <c r="G208" i="25" s="1"/>
  <c r="AG207" i="41"/>
  <c r="G207" i="25" s="1"/>
  <c r="AF206" i="41"/>
  <c r="AE206" i="41"/>
  <c r="AD206" i="41"/>
  <c r="AC206" i="41"/>
  <c r="AB206" i="41"/>
  <c r="AA206" i="41"/>
  <c r="Z206" i="41"/>
  <c r="Y206" i="41"/>
  <c r="X206" i="41"/>
  <c r="W206" i="41"/>
  <c r="V206" i="41"/>
  <c r="U206" i="41"/>
  <c r="T206" i="41"/>
  <c r="S206" i="41"/>
  <c r="R206" i="41"/>
  <c r="Q206" i="41"/>
  <c r="P206" i="41"/>
  <c r="O206" i="41"/>
  <c r="N206" i="41"/>
  <c r="M206" i="41"/>
  <c r="L206" i="41"/>
  <c r="K206" i="41"/>
  <c r="J206" i="41"/>
  <c r="I206" i="41"/>
  <c r="H206" i="41"/>
  <c r="G206" i="41"/>
  <c r="F206" i="41"/>
  <c r="E206" i="41"/>
  <c r="D206" i="41"/>
  <c r="C206" i="41"/>
  <c r="B206" i="41"/>
  <c r="AG205" i="41"/>
  <c r="G205" i="25" s="1"/>
  <c r="AG204" i="41"/>
  <c r="G204" i="25" s="1"/>
  <c r="AG203" i="41"/>
  <c r="G203" i="25" s="1"/>
  <c r="AG202" i="41"/>
  <c r="G202" i="25" s="1"/>
  <c r="AG201" i="41"/>
  <c r="G201" i="25" s="1"/>
  <c r="AG200" i="41"/>
  <c r="G200" i="25" s="1"/>
  <c r="AG199" i="41"/>
  <c r="G199" i="25" s="1"/>
  <c r="AG198" i="41"/>
  <c r="G198" i="25" s="1"/>
  <c r="AG197" i="41"/>
  <c r="G197" i="25" s="1"/>
  <c r="AG196" i="41"/>
  <c r="G196" i="25" s="1"/>
  <c r="AG195" i="41"/>
  <c r="G195" i="25" s="1"/>
  <c r="AG194" i="41"/>
  <c r="G194" i="25" s="1"/>
  <c r="AG193" i="41"/>
  <c r="G193" i="25" s="1"/>
  <c r="AG192" i="41"/>
  <c r="G192" i="25" s="1"/>
  <c r="AG191" i="41"/>
  <c r="G191" i="25" s="1"/>
  <c r="AG190" i="41"/>
  <c r="G190" i="25" s="1"/>
  <c r="AG189" i="41"/>
  <c r="G189" i="25" s="1"/>
  <c r="AG188" i="41"/>
  <c r="G188" i="25" s="1"/>
  <c r="AG187" i="41"/>
  <c r="G187" i="25" s="1"/>
  <c r="AG186" i="41"/>
  <c r="G186" i="25" s="1"/>
  <c r="AG185" i="41"/>
  <c r="G185" i="25" s="1"/>
  <c r="AG184" i="41"/>
  <c r="G184" i="25" s="1"/>
  <c r="AG183" i="41"/>
  <c r="G183" i="25" s="1"/>
  <c r="AG182" i="41"/>
  <c r="G182" i="25" s="1"/>
  <c r="AG181" i="41"/>
  <c r="G181" i="25" s="1"/>
  <c r="AG180" i="41"/>
  <c r="G180" i="25" s="1"/>
  <c r="AF179" i="41"/>
  <c r="AE179" i="41"/>
  <c r="AD179" i="41"/>
  <c r="AC179" i="41"/>
  <c r="AB179" i="41"/>
  <c r="AA179" i="41"/>
  <c r="Z179" i="41"/>
  <c r="Y179" i="41"/>
  <c r="X179" i="41"/>
  <c r="W179" i="41"/>
  <c r="V179" i="41"/>
  <c r="U179" i="41"/>
  <c r="T179" i="41"/>
  <c r="S179" i="41"/>
  <c r="R179" i="41"/>
  <c r="Q179" i="41"/>
  <c r="P179" i="41"/>
  <c r="O179" i="41"/>
  <c r="N179" i="41"/>
  <c r="M179" i="41"/>
  <c r="L179" i="41"/>
  <c r="K179" i="41"/>
  <c r="J179" i="41"/>
  <c r="I179" i="41"/>
  <c r="H179" i="41"/>
  <c r="G179" i="41"/>
  <c r="F179" i="41"/>
  <c r="E179" i="41"/>
  <c r="D179" i="41"/>
  <c r="C179" i="41"/>
  <c r="B179" i="41"/>
  <c r="AG178" i="41"/>
  <c r="G178" i="25" s="1"/>
  <c r="AG177" i="41"/>
  <c r="G177" i="25" s="1"/>
  <c r="AG176" i="41"/>
  <c r="G176" i="25" s="1"/>
  <c r="AG175" i="41"/>
  <c r="G175" i="25" s="1"/>
  <c r="AF174" i="41"/>
  <c r="AE174" i="41"/>
  <c r="AD174" i="41"/>
  <c r="AC174" i="41"/>
  <c r="AB174" i="41"/>
  <c r="AA174" i="41"/>
  <c r="Z174" i="41"/>
  <c r="Y174" i="41"/>
  <c r="X174" i="41"/>
  <c r="W174" i="41"/>
  <c r="V174" i="41"/>
  <c r="U174" i="41"/>
  <c r="T174" i="41"/>
  <c r="S174" i="41"/>
  <c r="R174" i="41"/>
  <c r="Q174" i="41"/>
  <c r="P174" i="41"/>
  <c r="O174" i="41"/>
  <c r="N174" i="41"/>
  <c r="M174" i="41"/>
  <c r="L174" i="41"/>
  <c r="K174" i="41"/>
  <c r="J174" i="41"/>
  <c r="I174" i="41"/>
  <c r="H174" i="41"/>
  <c r="G174" i="41"/>
  <c r="F174" i="41"/>
  <c r="E174" i="41"/>
  <c r="D174" i="41"/>
  <c r="C174" i="41"/>
  <c r="B174" i="41"/>
  <c r="AG173" i="41"/>
  <c r="G173" i="25" s="1"/>
  <c r="AG172" i="41"/>
  <c r="G172" i="25" s="1"/>
  <c r="AG171" i="41"/>
  <c r="G171" i="25" s="1"/>
  <c r="AG170" i="41"/>
  <c r="G170" i="25" s="1"/>
  <c r="AG169" i="41"/>
  <c r="G169" i="25" s="1"/>
  <c r="AG168" i="41"/>
  <c r="G168" i="25" s="1"/>
  <c r="AF167" i="41"/>
  <c r="AE167" i="41"/>
  <c r="AD167" i="41"/>
  <c r="AC167" i="41"/>
  <c r="AB167" i="41"/>
  <c r="AA167" i="41"/>
  <c r="Z167" i="41"/>
  <c r="Y167" i="41"/>
  <c r="X167" i="41"/>
  <c r="W167" i="41"/>
  <c r="V167" i="41"/>
  <c r="U167" i="41"/>
  <c r="T167" i="41"/>
  <c r="S167" i="41"/>
  <c r="R167" i="41"/>
  <c r="Q167" i="41"/>
  <c r="P167" i="41"/>
  <c r="O167" i="41"/>
  <c r="N167" i="41"/>
  <c r="M167" i="41"/>
  <c r="L167" i="41"/>
  <c r="K167" i="41"/>
  <c r="J167" i="41"/>
  <c r="I167" i="41"/>
  <c r="H167" i="41"/>
  <c r="G167" i="41"/>
  <c r="F167" i="41"/>
  <c r="E167" i="41"/>
  <c r="D167" i="41"/>
  <c r="C167" i="41"/>
  <c r="B167" i="41"/>
  <c r="AG166" i="41"/>
  <c r="G166" i="25" s="1"/>
  <c r="AG165" i="41"/>
  <c r="G165" i="25" s="1"/>
  <c r="AG164" i="41"/>
  <c r="G164" i="25" s="1"/>
  <c r="AG163" i="41"/>
  <c r="G163" i="25" s="1"/>
  <c r="AG162" i="41"/>
  <c r="G162" i="25" s="1"/>
  <c r="AG161" i="41"/>
  <c r="G161" i="25" s="1"/>
  <c r="AG160" i="41"/>
  <c r="G160" i="25" s="1"/>
  <c r="AG159" i="41"/>
  <c r="G159" i="25" s="1"/>
  <c r="AF158" i="41"/>
  <c r="AE158" i="41"/>
  <c r="AD158" i="41"/>
  <c r="AC158" i="41"/>
  <c r="AB158" i="41"/>
  <c r="AA158" i="41"/>
  <c r="Z158" i="41"/>
  <c r="Y158" i="41"/>
  <c r="X158" i="41"/>
  <c r="W158" i="41"/>
  <c r="V158" i="41"/>
  <c r="U158" i="41"/>
  <c r="T158" i="41"/>
  <c r="S158" i="41"/>
  <c r="R158" i="41"/>
  <c r="Q158" i="41"/>
  <c r="P158" i="41"/>
  <c r="O158" i="41"/>
  <c r="N158" i="41"/>
  <c r="M158" i="41"/>
  <c r="L158" i="41"/>
  <c r="K158" i="41"/>
  <c r="J158" i="41"/>
  <c r="I158" i="41"/>
  <c r="H158" i="41"/>
  <c r="G158" i="41"/>
  <c r="F158" i="41"/>
  <c r="E158" i="41"/>
  <c r="D158" i="41"/>
  <c r="C158" i="41"/>
  <c r="AG157" i="41"/>
  <c r="G157" i="25" s="1"/>
  <c r="AG156" i="41"/>
  <c r="G156" i="25" s="1"/>
  <c r="AG155" i="41"/>
  <c r="G155" i="25" s="1"/>
  <c r="AG154" i="41"/>
  <c r="G154" i="25" s="1"/>
  <c r="AG153" i="41"/>
  <c r="G153" i="25" s="1"/>
  <c r="AG152" i="41"/>
  <c r="G152" i="25" s="1"/>
  <c r="AG151" i="41"/>
  <c r="G151" i="25" s="1"/>
  <c r="AG150" i="41"/>
  <c r="G150" i="25" s="1"/>
  <c r="AG149" i="41"/>
  <c r="G149" i="25" s="1"/>
  <c r="AF148" i="41"/>
  <c r="AE148" i="41"/>
  <c r="AE146" i="41" s="1"/>
  <c r="AD148" i="41"/>
  <c r="AD146" i="41" s="1"/>
  <c r="AC148" i="41"/>
  <c r="AC146" i="41" s="1"/>
  <c r="AB148" i="41"/>
  <c r="AB146" i="41" s="1"/>
  <c r="AA148" i="41"/>
  <c r="AA146" i="41" s="1"/>
  <c r="Z148" i="41"/>
  <c r="Z146" i="41" s="1"/>
  <c r="Y148" i="41"/>
  <c r="Y146" i="41" s="1"/>
  <c r="X148" i="41"/>
  <c r="W148" i="41"/>
  <c r="W146" i="41" s="1"/>
  <c r="V148" i="41"/>
  <c r="V146" i="41" s="1"/>
  <c r="U148" i="41"/>
  <c r="U146" i="41" s="1"/>
  <c r="T148" i="41"/>
  <c r="S148" i="41"/>
  <c r="S146" i="41" s="1"/>
  <c r="R148" i="41"/>
  <c r="R146" i="41" s="1"/>
  <c r="Q148" i="41"/>
  <c r="Q146" i="41" s="1"/>
  <c r="P148" i="41"/>
  <c r="P146" i="41" s="1"/>
  <c r="O148" i="41"/>
  <c r="O146" i="41" s="1"/>
  <c r="N148" i="41"/>
  <c r="N146" i="41" s="1"/>
  <c r="M148" i="41"/>
  <c r="M146" i="41" s="1"/>
  <c r="L148" i="41"/>
  <c r="L146" i="41" s="1"/>
  <c r="K148" i="41"/>
  <c r="K146" i="41" s="1"/>
  <c r="J148" i="41"/>
  <c r="J146" i="41" s="1"/>
  <c r="I148" i="41"/>
  <c r="I146" i="41" s="1"/>
  <c r="H148" i="41"/>
  <c r="H146" i="41" s="1"/>
  <c r="G148" i="41"/>
  <c r="G146" i="41" s="1"/>
  <c r="F148" i="41"/>
  <c r="F146" i="41" s="1"/>
  <c r="E148" i="41"/>
  <c r="D148" i="41"/>
  <c r="C148" i="41"/>
  <c r="C146" i="41" s="1"/>
  <c r="B148" i="41"/>
  <c r="B146" i="41" s="1"/>
  <c r="AE147" i="41"/>
  <c r="AD147" i="41"/>
  <c r="AC147" i="41"/>
  <c r="AB147" i="41"/>
  <c r="AA147" i="41"/>
  <c r="Z147" i="41"/>
  <c r="Y147" i="41"/>
  <c r="X147" i="41"/>
  <c r="W147" i="41"/>
  <c r="V147" i="41"/>
  <c r="U147" i="41"/>
  <c r="T147" i="41"/>
  <c r="S147" i="41"/>
  <c r="R147" i="41"/>
  <c r="Q147" i="41"/>
  <c r="P147" i="41"/>
  <c r="O147" i="41"/>
  <c r="N147" i="41"/>
  <c r="M147" i="41"/>
  <c r="L147" i="41"/>
  <c r="K147" i="41"/>
  <c r="J147" i="41"/>
  <c r="I147" i="41"/>
  <c r="H147" i="41"/>
  <c r="G147" i="41"/>
  <c r="F147" i="41"/>
  <c r="E147" i="41"/>
  <c r="D147" i="41"/>
  <c r="C147" i="41"/>
  <c r="B147" i="41"/>
  <c r="AF146" i="41"/>
  <c r="X146" i="41"/>
  <c r="T146" i="41"/>
  <c r="D146" i="41"/>
  <c r="AF145" i="41"/>
  <c r="AE145" i="41"/>
  <c r="AD145" i="41"/>
  <c r="AC145" i="41"/>
  <c r="AB145" i="41"/>
  <c r="AA145" i="41"/>
  <c r="Z145" i="41"/>
  <c r="Y145" i="41"/>
  <c r="X145" i="41"/>
  <c r="W145" i="41"/>
  <c r="V145" i="41"/>
  <c r="U145" i="41"/>
  <c r="T145" i="41"/>
  <c r="S145" i="41"/>
  <c r="R145" i="41"/>
  <c r="Q145" i="41"/>
  <c r="P145" i="41"/>
  <c r="O145" i="41"/>
  <c r="N145" i="41"/>
  <c r="M145" i="41"/>
  <c r="L145" i="41"/>
  <c r="K145" i="41"/>
  <c r="J145" i="41"/>
  <c r="I145" i="41"/>
  <c r="H145" i="41"/>
  <c r="G145" i="41"/>
  <c r="F145" i="41"/>
  <c r="E145" i="41"/>
  <c r="D145" i="41"/>
  <c r="C145" i="41"/>
  <c r="B145" i="41"/>
  <c r="AG143" i="41"/>
  <c r="G143" i="25" s="1"/>
  <c r="AG142" i="41"/>
  <c r="G142" i="25" s="1"/>
  <c r="AG141" i="41"/>
  <c r="G141" i="25" s="1"/>
  <c r="AG140" i="41"/>
  <c r="G140" i="25" s="1"/>
  <c r="AG139" i="41"/>
  <c r="G139" i="25" s="1"/>
  <c r="AG138" i="41"/>
  <c r="G138" i="25" s="1"/>
  <c r="AG137" i="41"/>
  <c r="G137" i="25" s="1"/>
  <c r="AG136" i="41"/>
  <c r="G136" i="25" s="1"/>
  <c r="AG135" i="41"/>
  <c r="G135" i="25" s="1"/>
  <c r="AG134" i="41"/>
  <c r="G134" i="25" s="1"/>
  <c r="AG133" i="41"/>
  <c r="G133" i="25" s="1"/>
  <c r="AG132" i="41"/>
  <c r="G132" i="25" s="1"/>
  <c r="AG131" i="41"/>
  <c r="G131" i="25" s="1"/>
  <c r="AF130" i="41"/>
  <c r="AE130" i="41"/>
  <c r="AD130" i="41"/>
  <c r="AC130" i="41"/>
  <c r="AB130" i="41"/>
  <c r="AA130" i="41"/>
  <c r="Z130" i="41"/>
  <c r="Y130" i="41"/>
  <c r="X130" i="41"/>
  <c r="W130" i="41"/>
  <c r="V130" i="41"/>
  <c r="U130" i="41"/>
  <c r="T130" i="41"/>
  <c r="S130" i="41"/>
  <c r="R130" i="41"/>
  <c r="Q130" i="41"/>
  <c r="P130" i="41"/>
  <c r="O130" i="41"/>
  <c r="N130" i="41"/>
  <c r="M130" i="41"/>
  <c r="L130" i="41"/>
  <c r="K130" i="41"/>
  <c r="J130" i="41"/>
  <c r="I130" i="41"/>
  <c r="H130" i="41"/>
  <c r="G130" i="41"/>
  <c r="F130" i="41"/>
  <c r="E130" i="41"/>
  <c r="D130" i="41"/>
  <c r="C130" i="41"/>
  <c r="B130" i="41"/>
  <c r="AG129" i="41"/>
  <c r="G129" i="25" s="1"/>
  <c r="AG128" i="41"/>
  <c r="G128" i="25" s="1"/>
  <c r="AG127" i="41"/>
  <c r="G127" i="25" s="1"/>
  <c r="AG126" i="41"/>
  <c r="G126" i="25" s="1"/>
  <c r="AG125" i="41"/>
  <c r="G125" i="25" s="1"/>
  <c r="AG124" i="41"/>
  <c r="G124" i="25" s="1"/>
  <c r="AG123" i="41"/>
  <c r="G123" i="25" s="1"/>
  <c r="AG122" i="41"/>
  <c r="G122" i="25" s="1"/>
  <c r="AG121" i="41"/>
  <c r="G121" i="25" s="1"/>
  <c r="AG120" i="41"/>
  <c r="G120" i="25" s="1"/>
  <c r="AG119" i="41"/>
  <c r="G119" i="25" s="1"/>
  <c r="AG118" i="41"/>
  <c r="G118" i="25" s="1"/>
  <c r="AG117" i="41"/>
  <c r="G117" i="25" s="1"/>
  <c r="AF116" i="41"/>
  <c r="AE116" i="41"/>
  <c r="AD116" i="41"/>
  <c r="AC116" i="41"/>
  <c r="AB116" i="41"/>
  <c r="AA116" i="41"/>
  <c r="Z116" i="41"/>
  <c r="Y116" i="41"/>
  <c r="X116" i="41"/>
  <c r="W116" i="41"/>
  <c r="V116" i="41"/>
  <c r="U116" i="41"/>
  <c r="T116" i="41"/>
  <c r="S116" i="41"/>
  <c r="R116" i="41"/>
  <c r="Q116" i="41"/>
  <c r="P116" i="41"/>
  <c r="O116" i="41"/>
  <c r="N116" i="41"/>
  <c r="M116" i="41"/>
  <c r="L116" i="41"/>
  <c r="K116" i="41"/>
  <c r="J116" i="41"/>
  <c r="I116" i="41"/>
  <c r="H116" i="41"/>
  <c r="G116" i="41"/>
  <c r="F116" i="41"/>
  <c r="E116" i="41"/>
  <c r="D116" i="41"/>
  <c r="C116" i="41"/>
  <c r="B116" i="41"/>
  <c r="AG115" i="41"/>
  <c r="G115" i="25" s="1"/>
  <c r="AG114" i="41"/>
  <c r="G114" i="25" s="1"/>
  <c r="AG113" i="41"/>
  <c r="G113" i="25" s="1"/>
  <c r="AG112" i="41"/>
  <c r="G112" i="25" s="1"/>
  <c r="AG111" i="41"/>
  <c r="G111" i="25" s="1"/>
  <c r="AG110" i="41"/>
  <c r="G110" i="25" s="1"/>
  <c r="AG109" i="41"/>
  <c r="G109" i="25" s="1"/>
  <c r="AG108" i="41"/>
  <c r="G108" i="25" s="1"/>
  <c r="AG107" i="41"/>
  <c r="G107" i="25" s="1"/>
  <c r="AG106" i="41"/>
  <c r="G106" i="25" s="1"/>
  <c r="AG105" i="41"/>
  <c r="G105" i="25" s="1"/>
  <c r="AG104" i="41"/>
  <c r="G104" i="25" s="1"/>
  <c r="AG103" i="41"/>
  <c r="G103" i="25" s="1"/>
  <c r="AG102" i="41"/>
  <c r="G102" i="25" s="1"/>
  <c r="AG101" i="41"/>
  <c r="G101" i="25" s="1"/>
  <c r="AF100" i="41"/>
  <c r="AE100" i="41"/>
  <c r="AD100" i="41"/>
  <c r="AC100" i="41"/>
  <c r="AB100" i="41"/>
  <c r="AA100" i="41"/>
  <c r="Z100" i="41"/>
  <c r="Y100" i="41"/>
  <c r="X100" i="41"/>
  <c r="W100" i="41"/>
  <c r="V100" i="41"/>
  <c r="U100" i="41"/>
  <c r="T100" i="41"/>
  <c r="S100" i="41"/>
  <c r="R100" i="41"/>
  <c r="Q100" i="41"/>
  <c r="P100" i="41"/>
  <c r="O100" i="41"/>
  <c r="N100" i="41"/>
  <c r="M100" i="41"/>
  <c r="M93" i="41" s="1"/>
  <c r="L100" i="41"/>
  <c r="K100" i="41"/>
  <c r="J100" i="41"/>
  <c r="I100" i="41"/>
  <c r="H100" i="41"/>
  <c r="G100" i="41"/>
  <c r="F100" i="41"/>
  <c r="E100" i="41"/>
  <c r="D100" i="41"/>
  <c r="C100" i="41"/>
  <c r="B100" i="41"/>
  <c r="AG99" i="41"/>
  <c r="G99" i="25" s="1"/>
  <c r="AG98" i="41"/>
  <c r="G98" i="25" s="1"/>
  <c r="AG97" i="41"/>
  <c r="G97" i="25" s="1"/>
  <c r="AG96" i="41"/>
  <c r="G96" i="25" s="1"/>
  <c r="AG95" i="41"/>
  <c r="G95" i="25" s="1"/>
  <c r="AF94" i="41"/>
  <c r="AE94" i="41"/>
  <c r="AD94" i="41"/>
  <c r="AD93" i="41" s="1"/>
  <c r="AC94" i="41"/>
  <c r="AC93" i="41" s="1"/>
  <c r="AB94" i="41"/>
  <c r="AB93" i="41" s="1"/>
  <c r="AA94" i="41"/>
  <c r="AA93" i="41" s="1"/>
  <c r="Z94" i="41"/>
  <c r="Y94" i="41"/>
  <c r="X94" i="41"/>
  <c r="W94" i="41"/>
  <c r="V94" i="41"/>
  <c r="V93" i="41" s="1"/>
  <c r="U94" i="41"/>
  <c r="T94" i="41"/>
  <c r="T93" i="41" s="1"/>
  <c r="S94" i="41"/>
  <c r="R94" i="41"/>
  <c r="Q94" i="41"/>
  <c r="Q93" i="41" s="1"/>
  <c r="P94" i="41"/>
  <c r="O94" i="41"/>
  <c r="N94" i="41"/>
  <c r="M94" i="41"/>
  <c r="L94" i="41"/>
  <c r="K94" i="41"/>
  <c r="J94" i="41"/>
  <c r="J93" i="41" s="1"/>
  <c r="I94" i="41"/>
  <c r="I93" i="41" s="1"/>
  <c r="H94" i="41"/>
  <c r="H93" i="41" s="1"/>
  <c r="G94" i="41"/>
  <c r="G93" i="41" s="1"/>
  <c r="F94" i="41"/>
  <c r="E94" i="41"/>
  <c r="D94" i="41"/>
  <c r="C94" i="41"/>
  <c r="B94" i="41"/>
  <c r="B93" i="41" s="1"/>
  <c r="E93" i="41"/>
  <c r="AG92" i="41"/>
  <c r="G92" i="25" s="1"/>
  <c r="AG91" i="41"/>
  <c r="G91" i="25" s="1"/>
  <c r="AG90" i="41"/>
  <c r="G90" i="25" s="1"/>
  <c r="AG89" i="41"/>
  <c r="G89" i="25" s="1"/>
  <c r="AG88" i="41"/>
  <c r="G88" i="25" s="1"/>
  <c r="AF87" i="41"/>
  <c r="AE87" i="41"/>
  <c r="AD87" i="41"/>
  <c r="AC87" i="41"/>
  <c r="AB87" i="41"/>
  <c r="AA87" i="41"/>
  <c r="Z87" i="41"/>
  <c r="Y87" i="41"/>
  <c r="X87" i="41"/>
  <c r="W87" i="41"/>
  <c r="V87" i="41"/>
  <c r="U87" i="41"/>
  <c r="T87" i="41"/>
  <c r="S87" i="41"/>
  <c r="R87" i="41"/>
  <c r="Q87" i="41"/>
  <c r="P87" i="41"/>
  <c r="O87" i="41"/>
  <c r="N87" i="41"/>
  <c r="M87" i="41"/>
  <c r="L87" i="41"/>
  <c r="K87" i="41"/>
  <c r="J87" i="41"/>
  <c r="I87" i="41"/>
  <c r="H87" i="41"/>
  <c r="G87" i="41"/>
  <c r="F87" i="41"/>
  <c r="E87" i="41"/>
  <c r="C87" i="41"/>
  <c r="B87" i="41"/>
  <c r="AG86" i="41"/>
  <c r="G86" i="25" s="1"/>
  <c r="AG85" i="41"/>
  <c r="G85" i="25" s="1"/>
  <c r="AF84" i="41"/>
  <c r="AE84" i="41"/>
  <c r="AD84" i="41"/>
  <c r="AC84" i="41"/>
  <c r="AB84" i="41"/>
  <c r="AA84" i="41"/>
  <c r="Z84" i="41"/>
  <c r="Y84" i="41"/>
  <c r="X84" i="41"/>
  <c r="W84" i="41"/>
  <c r="V84" i="41"/>
  <c r="U84" i="41"/>
  <c r="T84" i="41"/>
  <c r="S84" i="41"/>
  <c r="R84" i="41"/>
  <c r="Q84" i="41"/>
  <c r="P84" i="41"/>
  <c r="O84" i="41"/>
  <c r="N84" i="41"/>
  <c r="M84" i="41"/>
  <c r="L84" i="41"/>
  <c r="K84" i="41"/>
  <c r="J84" i="41"/>
  <c r="I84" i="41"/>
  <c r="H84" i="41"/>
  <c r="G84" i="41"/>
  <c r="F84" i="41"/>
  <c r="E84" i="41"/>
  <c r="D84" i="41"/>
  <c r="C84" i="41"/>
  <c r="B84" i="41"/>
  <c r="AD83" i="41"/>
  <c r="N83" i="41"/>
  <c r="B83" i="41"/>
  <c r="AF82" i="41"/>
  <c r="AF83" i="41" s="1"/>
  <c r="AF81" i="41" s="1"/>
  <c r="AE82" i="41"/>
  <c r="AE83" i="41" s="1"/>
  <c r="AC83" i="41"/>
  <c r="AB83" i="41"/>
  <c r="AB81" i="41" s="1"/>
  <c r="AA82" i="41"/>
  <c r="AA83" i="41" s="1"/>
  <c r="Z82" i="41"/>
  <c r="Z83" i="41" s="1"/>
  <c r="Y82" i="41"/>
  <c r="Y83" i="41" s="1"/>
  <c r="X82" i="41"/>
  <c r="X83" i="41" s="1"/>
  <c r="X81" i="41" s="1"/>
  <c r="W82" i="41"/>
  <c r="W83" i="41" s="1"/>
  <c r="U83" i="41"/>
  <c r="T82" i="41"/>
  <c r="T83" i="41" s="1"/>
  <c r="T81" i="41" s="1"/>
  <c r="S82" i="41"/>
  <c r="S83" i="41" s="1"/>
  <c r="S81" i="41" s="1"/>
  <c r="R82" i="41"/>
  <c r="R83" i="41" s="1"/>
  <c r="Q82" i="41"/>
  <c r="Q83" i="41" s="1"/>
  <c r="P82" i="41"/>
  <c r="P83" i="41" s="1"/>
  <c r="P81" i="41" s="1"/>
  <c r="O83" i="41"/>
  <c r="O81" i="41" s="1"/>
  <c r="M82" i="41"/>
  <c r="M83" i="41" s="1"/>
  <c r="L82" i="41"/>
  <c r="L83" i="41" s="1"/>
  <c r="L81" i="41" s="1"/>
  <c r="K82" i="41"/>
  <c r="K83" i="41" s="1"/>
  <c r="J82" i="41"/>
  <c r="J83" i="41" s="1"/>
  <c r="I82" i="41"/>
  <c r="I83" i="41" s="1"/>
  <c r="H83" i="41"/>
  <c r="H81" i="41" s="1"/>
  <c r="G83" i="41"/>
  <c r="F82" i="41"/>
  <c r="E82" i="41"/>
  <c r="E83" i="41" s="1"/>
  <c r="D82" i="41"/>
  <c r="D83" i="41" s="1"/>
  <c r="D81" i="41" s="1"/>
  <c r="G81" i="41"/>
  <c r="AF80" i="41"/>
  <c r="AF79" i="41" s="1"/>
  <c r="AF78" i="41" s="1"/>
  <c r="AC80" i="41"/>
  <c r="AC79" i="41" s="1"/>
  <c r="AC78" i="41" s="1"/>
  <c r="AB80" i="41"/>
  <c r="AB79" i="41" s="1"/>
  <c r="AB78" i="41" s="1"/>
  <c r="AA80" i="41"/>
  <c r="Y80" i="41"/>
  <c r="Y79" i="41" s="1"/>
  <c r="Y78" i="41" s="1"/>
  <c r="V80" i="41"/>
  <c r="V79" i="41" s="1"/>
  <c r="V78" i="41" s="1"/>
  <c r="U80" i="41"/>
  <c r="U79" i="41" s="1"/>
  <c r="U78" i="41" s="1"/>
  <c r="T80" i="41"/>
  <c r="T79" i="41" s="1"/>
  <c r="T78" i="41" s="1"/>
  <c r="S80" i="41"/>
  <c r="S79" i="41" s="1"/>
  <c r="S78" i="41" s="1"/>
  <c r="R80" i="41"/>
  <c r="R79" i="41" s="1"/>
  <c r="R78" i="41" s="1"/>
  <c r="O80" i="41"/>
  <c r="O79" i="41" s="1"/>
  <c r="O78" i="41" s="1"/>
  <c r="N80" i="41"/>
  <c r="N79" i="41" s="1"/>
  <c r="N78" i="41" s="1"/>
  <c r="M80" i="41"/>
  <c r="M79" i="41" s="1"/>
  <c r="M78" i="41" s="1"/>
  <c r="H80" i="41"/>
  <c r="H79" i="41" s="1"/>
  <c r="H78" i="41" s="1"/>
  <c r="G80" i="41"/>
  <c r="G79" i="41" s="1"/>
  <c r="G78" i="41" s="1"/>
  <c r="F80" i="41"/>
  <c r="F79" i="41" s="1"/>
  <c r="F78" i="41" s="1"/>
  <c r="AE79" i="41"/>
  <c r="AE78" i="41" s="1"/>
  <c r="AD79" i="41"/>
  <c r="AD78" i="41" s="1"/>
  <c r="AA79" i="41"/>
  <c r="AA78" i="41" s="1"/>
  <c r="Z79" i="41"/>
  <c r="Z78" i="41" s="1"/>
  <c r="X79" i="41"/>
  <c r="X78" i="41" s="1"/>
  <c r="W79" i="41"/>
  <c r="W78" i="41" s="1"/>
  <c r="Q79" i="41"/>
  <c r="Q78" i="41" s="1"/>
  <c r="P79" i="41"/>
  <c r="P78" i="41" s="1"/>
  <c r="L79" i="41"/>
  <c r="L78" i="41" s="1"/>
  <c r="K79" i="41"/>
  <c r="K78" i="41" s="1"/>
  <c r="J79" i="41"/>
  <c r="J78" i="41" s="1"/>
  <c r="I79" i="41"/>
  <c r="I78" i="41" s="1"/>
  <c r="E79" i="41"/>
  <c r="E78" i="41" s="1"/>
  <c r="D79" i="41"/>
  <c r="C79" i="41"/>
  <c r="C78" i="41" s="1"/>
  <c r="B79" i="41"/>
  <c r="B78" i="41" s="1"/>
  <c r="AG77" i="41"/>
  <c r="G77" i="25" s="1"/>
  <c r="AG76" i="41"/>
  <c r="G76" i="25" s="1"/>
  <c r="AG75" i="41"/>
  <c r="G75" i="25" s="1"/>
  <c r="AG74" i="41"/>
  <c r="G74" i="25" s="1"/>
  <c r="AG73" i="41"/>
  <c r="G73" i="25" s="1"/>
  <c r="AG72" i="41"/>
  <c r="G72" i="25" s="1"/>
  <c r="AG71" i="41"/>
  <c r="G71" i="25" s="1"/>
  <c r="AG70" i="41"/>
  <c r="G70" i="25" s="1"/>
  <c r="AG69" i="41"/>
  <c r="G69" i="25" s="1"/>
  <c r="AG68" i="41"/>
  <c r="G68" i="25" s="1"/>
  <c r="AG67" i="41"/>
  <c r="G67" i="25" s="1"/>
  <c r="AG66" i="41"/>
  <c r="G66" i="25" s="1"/>
  <c r="AG65" i="41"/>
  <c r="G65" i="25" s="1"/>
  <c r="AG64" i="41"/>
  <c r="G64" i="25" s="1"/>
  <c r="AG63" i="41"/>
  <c r="G63" i="25" s="1"/>
  <c r="AG62" i="41"/>
  <c r="G62" i="25" s="1"/>
  <c r="AG61" i="41"/>
  <c r="G61" i="25" s="1"/>
  <c r="AG60" i="41"/>
  <c r="G60" i="25" s="1"/>
  <c r="AG59" i="41"/>
  <c r="G59" i="25" s="1"/>
  <c r="AG58" i="41"/>
  <c r="G58" i="25" s="1"/>
  <c r="AG57" i="41"/>
  <c r="G57" i="25" s="1"/>
  <c r="AG56" i="41"/>
  <c r="G56" i="25" s="1"/>
  <c r="AG55" i="41"/>
  <c r="G55" i="25" s="1"/>
  <c r="AG54" i="41"/>
  <c r="G54" i="25" s="1"/>
  <c r="AF53" i="41"/>
  <c r="AE53" i="41"/>
  <c r="AD53" i="41"/>
  <c r="AC53" i="41"/>
  <c r="AB53" i="41"/>
  <c r="AA53" i="41"/>
  <c r="Z53" i="41"/>
  <c r="Y53" i="41"/>
  <c r="X53" i="41"/>
  <c r="W53" i="41"/>
  <c r="V53" i="41"/>
  <c r="U53" i="41"/>
  <c r="T53" i="41"/>
  <c r="S53" i="41"/>
  <c r="R53" i="41"/>
  <c r="Q53" i="41"/>
  <c r="P53" i="41"/>
  <c r="O53" i="41"/>
  <c r="N53" i="41"/>
  <c r="M53" i="41"/>
  <c r="L53" i="41"/>
  <c r="K53" i="41"/>
  <c r="J53" i="41"/>
  <c r="I53" i="41"/>
  <c r="H53" i="41"/>
  <c r="G53" i="41"/>
  <c r="F53" i="41"/>
  <c r="E53" i="41"/>
  <c r="D53" i="41"/>
  <c r="C53" i="41"/>
  <c r="B53" i="41"/>
  <c r="AG52" i="41"/>
  <c r="G52" i="25" s="1"/>
  <c r="AG51" i="41"/>
  <c r="G51" i="25" s="1"/>
  <c r="AG50" i="41"/>
  <c r="G50" i="25" s="1"/>
  <c r="AG49" i="41"/>
  <c r="G49" i="25" s="1"/>
  <c r="AG48" i="41"/>
  <c r="G48" i="25" s="1"/>
  <c r="AG47" i="41"/>
  <c r="G47" i="25" s="1"/>
  <c r="AG46" i="41"/>
  <c r="G46" i="25" s="1"/>
  <c r="AG45" i="41"/>
  <c r="G45" i="25" s="1"/>
  <c r="AG44" i="41"/>
  <c r="G44" i="25" s="1"/>
  <c r="AG43" i="41"/>
  <c r="G43" i="25" s="1"/>
  <c r="AG42" i="41"/>
  <c r="G42" i="25" s="1"/>
  <c r="AG41" i="41"/>
  <c r="G41" i="25" s="1"/>
  <c r="AG40" i="41"/>
  <c r="G40" i="25" s="1"/>
  <c r="AG39" i="41"/>
  <c r="G39" i="25" s="1"/>
  <c r="AG38" i="41"/>
  <c r="G38" i="25" s="1"/>
  <c r="AG37" i="41"/>
  <c r="G37" i="25" s="1"/>
  <c r="AG36" i="41"/>
  <c r="G36" i="25" s="1"/>
  <c r="AG35" i="41"/>
  <c r="G35" i="25" s="1"/>
  <c r="AG34" i="41"/>
  <c r="G34" i="25" s="1"/>
  <c r="AG33" i="41"/>
  <c r="G33" i="25" s="1"/>
  <c r="AG32" i="41"/>
  <c r="G32" i="25" s="1"/>
  <c r="AG31" i="41"/>
  <c r="G31" i="25" s="1"/>
  <c r="AG30" i="41"/>
  <c r="G30" i="25" s="1"/>
  <c r="AG29" i="41"/>
  <c r="G29" i="25" s="1"/>
  <c r="AF28" i="41"/>
  <c r="AE28" i="41"/>
  <c r="AD28" i="41"/>
  <c r="AC28" i="41"/>
  <c r="AB28" i="41"/>
  <c r="AA28" i="41"/>
  <c r="Z28" i="41"/>
  <c r="Y28" i="41"/>
  <c r="X28" i="41"/>
  <c r="W28" i="41"/>
  <c r="V28" i="41"/>
  <c r="U28" i="41"/>
  <c r="T28" i="41"/>
  <c r="S28" i="41"/>
  <c r="R28" i="41"/>
  <c r="Q28" i="41"/>
  <c r="P28" i="41"/>
  <c r="O28" i="41"/>
  <c r="N28" i="41"/>
  <c r="M28" i="41"/>
  <c r="L28" i="41"/>
  <c r="K28" i="41"/>
  <c r="J28" i="41"/>
  <c r="I28" i="41"/>
  <c r="H28" i="41"/>
  <c r="G28" i="41"/>
  <c r="F28" i="41"/>
  <c r="E28" i="41"/>
  <c r="D28" i="41"/>
  <c r="C28" i="41"/>
  <c r="B28" i="41"/>
  <c r="AG27" i="41"/>
  <c r="G27" i="25" s="1"/>
  <c r="AG26" i="41"/>
  <c r="G26" i="25" s="1"/>
  <c r="AG25" i="41"/>
  <c r="G25" i="25" s="1"/>
  <c r="AG24" i="41"/>
  <c r="G24" i="25" s="1"/>
  <c r="AG23" i="41"/>
  <c r="G23" i="25" s="1"/>
  <c r="AG22" i="41"/>
  <c r="G22" i="25" s="1"/>
  <c r="AG21" i="41"/>
  <c r="G21" i="25" s="1"/>
  <c r="AG20" i="41"/>
  <c r="G20" i="25" s="1"/>
  <c r="AG19" i="41"/>
  <c r="G19" i="25" s="1"/>
  <c r="AG18" i="41"/>
  <c r="G18" i="25" s="1"/>
  <c r="AG17" i="41"/>
  <c r="G17" i="25" s="1"/>
  <c r="AG16" i="41"/>
  <c r="G16" i="25" s="1"/>
  <c r="AG15" i="41"/>
  <c r="G15" i="25" s="1"/>
  <c r="AG14" i="41"/>
  <c r="G14" i="25" s="1"/>
  <c r="AG13" i="41"/>
  <c r="G13" i="25" s="1"/>
  <c r="AG12" i="41"/>
  <c r="G12" i="25" s="1"/>
  <c r="AG11" i="41"/>
  <c r="G11" i="25" s="1"/>
  <c r="AG10" i="41"/>
  <c r="G10" i="25" s="1"/>
  <c r="AG9" i="41"/>
  <c r="G9" i="25" s="1"/>
  <c r="AG8" i="41"/>
  <c r="G8" i="25" s="1"/>
  <c r="AG7" i="41"/>
  <c r="G7" i="25" s="1"/>
  <c r="AG6" i="41"/>
  <c r="G6" i="25" s="1"/>
  <c r="AG5" i="41"/>
  <c r="G5" i="25" s="1"/>
  <c r="AG4" i="41"/>
  <c r="G4" i="25" s="1"/>
  <c r="AF3" i="41"/>
  <c r="AE3" i="41"/>
  <c r="AD3" i="41"/>
  <c r="AC3" i="41"/>
  <c r="AB3" i="41"/>
  <c r="AA3" i="41"/>
  <c r="Z3" i="41"/>
  <c r="Y3" i="41"/>
  <c r="X3" i="41"/>
  <c r="W3" i="41"/>
  <c r="V3" i="41"/>
  <c r="U3" i="41"/>
  <c r="T3" i="41"/>
  <c r="S3" i="41"/>
  <c r="R3" i="41"/>
  <c r="Q3" i="41"/>
  <c r="P3" i="41"/>
  <c r="O3" i="41"/>
  <c r="N3" i="41"/>
  <c r="M3" i="41"/>
  <c r="L3" i="41"/>
  <c r="K3" i="41"/>
  <c r="J3" i="41"/>
  <c r="I3" i="41"/>
  <c r="H3" i="41"/>
  <c r="G3" i="41"/>
  <c r="F3" i="41"/>
  <c r="E3" i="41"/>
  <c r="D3" i="41"/>
  <c r="C3" i="41"/>
  <c r="B3" i="41"/>
  <c r="AC2" i="41"/>
  <c r="C2" i="41"/>
  <c r="D2" i="41" s="1"/>
  <c r="E2" i="41" s="1"/>
  <c r="F2" i="41" s="1"/>
  <c r="G2" i="41" s="1"/>
  <c r="H2" i="41" s="1"/>
  <c r="I2" i="41" s="1"/>
  <c r="J2" i="41" s="1"/>
  <c r="K2" i="41" s="1"/>
  <c r="L2" i="41" s="1"/>
  <c r="M2" i="41" s="1"/>
  <c r="N2" i="41" s="1"/>
  <c r="O2" i="41" s="1"/>
  <c r="P2" i="41" s="1"/>
  <c r="Q2" i="41" s="1"/>
  <c r="R2" i="41" s="1"/>
  <c r="S2" i="41" s="1"/>
  <c r="T2" i="41" s="1"/>
  <c r="U2" i="41" s="1"/>
  <c r="V2" i="41" s="1"/>
  <c r="W2" i="41" s="1"/>
  <c r="X2" i="41" s="1"/>
  <c r="Y2" i="41" s="1"/>
  <c r="Z2" i="41" s="1"/>
  <c r="AA2" i="41" s="1"/>
  <c r="AE93" i="41" l="1"/>
  <c r="L93" i="41"/>
  <c r="AF93" i="41"/>
  <c r="P93" i="41"/>
  <c r="K93" i="41"/>
  <c r="N93" i="41"/>
  <c r="R93" i="41"/>
  <c r="S144" i="41"/>
  <c r="U93" i="41"/>
  <c r="W144" i="41"/>
  <c r="C93" i="41"/>
  <c r="AF144" i="41"/>
  <c r="X93" i="41"/>
  <c r="F93" i="41"/>
  <c r="Z93" i="41"/>
  <c r="G144" i="41"/>
  <c r="AA144" i="41"/>
  <c r="AG236" i="41"/>
  <c r="G238" i="25" s="1"/>
  <c r="L144" i="41"/>
  <c r="AG232" i="41"/>
  <c r="G234" i="25" s="1"/>
  <c r="AE81" i="41"/>
  <c r="AG240" i="41"/>
  <c r="G242" i="25" s="1"/>
  <c r="AG148" i="41"/>
  <c r="AG147" i="41"/>
  <c r="G147" i="25" s="1"/>
  <c r="AE144" i="41"/>
  <c r="Z144" i="41"/>
  <c r="Y144" i="41"/>
  <c r="Y93" i="41"/>
  <c r="X144" i="41"/>
  <c r="W93" i="41"/>
  <c r="W81" i="41"/>
  <c r="V144" i="41"/>
  <c r="U144" i="41"/>
  <c r="AD144" i="41"/>
  <c r="AC144" i="41"/>
  <c r="AB144" i="41"/>
  <c r="AA81" i="41"/>
  <c r="T144" i="41"/>
  <c r="S93" i="41"/>
  <c r="R144" i="41"/>
  <c r="Q144" i="41"/>
  <c r="P144" i="41"/>
  <c r="O144" i="41"/>
  <c r="O93" i="41"/>
  <c r="N144" i="41"/>
  <c r="M144" i="41"/>
  <c r="K144" i="41"/>
  <c r="K81" i="41"/>
  <c r="J144" i="41"/>
  <c r="I144" i="41"/>
  <c r="H144" i="41"/>
  <c r="F144" i="41"/>
  <c r="AG174" i="41"/>
  <c r="G174" i="25" s="1"/>
  <c r="AG84" i="41"/>
  <c r="G84" i="25" s="1"/>
  <c r="AG179" i="41"/>
  <c r="G179" i="25" s="1"/>
  <c r="D144" i="41"/>
  <c r="C144" i="41"/>
  <c r="AG158" i="41"/>
  <c r="G158" i="25" s="1"/>
  <c r="AG130" i="41"/>
  <c r="G130" i="25" s="1"/>
  <c r="AG116" i="41"/>
  <c r="G116" i="25" s="1"/>
  <c r="AG206" i="41"/>
  <c r="G206" i="25" s="1"/>
  <c r="AG145" i="41"/>
  <c r="G145" i="25" s="1"/>
  <c r="B144" i="41"/>
  <c r="AG167" i="41"/>
  <c r="G167" i="25" s="1"/>
  <c r="AG53" i="41"/>
  <c r="G53" i="25" s="1"/>
  <c r="AG28" i="41"/>
  <c r="G28" i="25" s="1"/>
  <c r="AG3" i="41"/>
  <c r="G3" i="25" s="1"/>
  <c r="AG79" i="41"/>
  <c r="G79" i="25" s="1"/>
  <c r="D78" i="41"/>
  <c r="AG78" i="41" s="1"/>
  <c r="G78" i="25" s="1"/>
  <c r="AG80" i="41"/>
  <c r="G80" i="25" s="1"/>
  <c r="AG82" i="41"/>
  <c r="G82" i="25" s="1"/>
  <c r="B81" i="41"/>
  <c r="J81" i="41"/>
  <c r="N81" i="41"/>
  <c r="R81" i="41"/>
  <c r="Z81" i="41"/>
  <c r="AD81" i="41"/>
  <c r="F83" i="41"/>
  <c r="F81" i="41" s="1"/>
  <c r="V83" i="41"/>
  <c r="V81" i="41" s="1"/>
  <c r="D93" i="41"/>
  <c r="AG94" i="41"/>
  <c r="G94" i="25" s="1"/>
  <c r="AG87" i="41"/>
  <c r="G87" i="25" s="1"/>
  <c r="AG100" i="41"/>
  <c r="G100" i="25" s="1"/>
  <c r="E146" i="41"/>
  <c r="E144" i="41" s="1"/>
  <c r="E81" i="41"/>
  <c r="I81" i="41"/>
  <c r="M81" i="41"/>
  <c r="Q81" i="41"/>
  <c r="U81" i="41"/>
  <c r="Y81" i="41"/>
  <c r="AC81" i="41"/>
  <c r="AF143" i="40"/>
  <c r="AF142" i="40"/>
  <c r="AF134" i="40"/>
  <c r="AF129" i="40"/>
  <c r="AE143" i="40"/>
  <c r="AE142" i="40"/>
  <c r="AE137" i="40"/>
  <c r="AE129" i="40"/>
  <c r="AD143" i="40"/>
  <c r="AD142" i="40"/>
  <c r="AD139" i="40"/>
  <c r="AD129" i="40"/>
  <c r="AC143" i="40"/>
  <c r="AC142" i="40"/>
  <c r="AC137" i="40"/>
  <c r="AC129" i="40"/>
  <c r="AB143" i="40"/>
  <c r="AB142" i="40"/>
  <c r="AB137" i="40"/>
  <c r="AB129" i="40"/>
  <c r="AA143" i="40"/>
  <c r="AA129" i="40"/>
  <c r="Z143" i="40"/>
  <c r="Z142" i="40"/>
  <c r="Z137" i="40"/>
  <c r="Z129" i="40"/>
  <c r="Y143" i="40"/>
  <c r="Y129" i="40"/>
  <c r="X137" i="40"/>
  <c r="X129" i="40"/>
  <c r="W143" i="40"/>
  <c r="W142" i="40"/>
  <c r="W129" i="40"/>
  <c r="AG146" i="41" l="1"/>
  <c r="G146" i="25" s="1"/>
  <c r="G148" i="25"/>
  <c r="AG93" i="41"/>
  <c r="AH87" i="41"/>
  <c r="AG144" i="41"/>
  <c r="G144" i="25" s="1"/>
  <c r="AG83" i="41"/>
  <c r="AH93" i="41"/>
  <c r="AG81" i="41"/>
  <c r="F246" i="25"/>
  <c r="F245" i="25"/>
  <c r="F244" i="25"/>
  <c r="F221" i="25"/>
  <c r="AG218" i="22"/>
  <c r="AG217" i="22"/>
  <c r="AG214" i="22"/>
  <c r="AG213" i="22"/>
  <c r="AG216" i="36"/>
  <c r="B218" i="25" s="1"/>
  <c r="AG215" i="36"/>
  <c r="B217" i="25" s="1"/>
  <c r="AG214" i="36"/>
  <c r="B214" i="25" s="1"/>
  <c r="AG213" i="36"/>
  <c r="B213" i="25" s="1"/>
  <c r="AG216" i="37"/>
  <c r="C218" i="25" s="1"/>
  <c r="AG215" i="37"/>
  <c r="C217" i="25" s="1"/>
  <c r="AG214" i="37"/>
  <c r="C214" i="25" s="1"/>
  <c r="AG213" i="37"/>
  <c r="C213" i="25" s="1"/>
  <c r="AG215" i="38"/>
  <c r="D217" i="25" s="1"/>
  <c r="AG215" i="39"/>
  <c r="E217" i="25" s="1"/>
  <c r="AG215" i="40"/>
  <c r="F217" i="25" s="1"/>
  <c r="AG212" i="40"/>
  <c r="F212" i="25" s="1"/>
  <c r="AG216" i="40"/>
  <c r="F218" i="25" s="1"/>
  <c r="AG214" i="40"/>
  <c r="F214" i="25" s="1"/>
  <c r="AG213" i="40"/>
  <c r="F213" i="25" s="1"/>
  <c r="AG216" i="39"/>
  <c r="E218" i="25" s="1"/>
  <c r="AG214" i="39"/>
  <c r="E214" i="25" s="1"/>
  <c r="AG213" i="39"/>
  <c r="E213" i="25" s="1"/>
  <c r="AG214" i="38"/>
  <c r="D214" i="25" s="1"/>
  <c r="AG213" i="38"/>
  <c r="D213" i="25" s="1"/>
  <c r="AG216" i="38"/>
  <c r="D218" i="25" s="1"/>
  <c r="AG212" i="39"/>
  <c r="E212" i="25" s="1"/>
  <c r="AG212" i="37"/>
  <c r="C212" i="25" s="1"/>
  <c r="AG212" i="36"/>
  <c r="B212" i="25" s="1"/>
  <c r="AG212" i="22"/>
  <c r="AG212" i="38"/>
  <c r="D212" i="25" s="1"/>
  <c r="AH81" i="41" l="1"/>
  <c r="G81" i="25"/>
  <c r="AH84" i="41"/>
  <c r="G83" i="25"/>
  <c r="AH206" i="41"/>
  <c r="G93" i="25"/>
  <c r="AH130" i="41"/>
  <c r="AH144" i="41"/>
  <c r="N217" i="25"/>
  <c r="N218" i="25"/>
  <c r="N213" i="25"/>
  <c r="N214" i="25"/>
  <c r="N212" i="25"/>
  <c r="V143" i="40"/>
  <c r="V142" i="40"/>
  <c r="V129" i="40"/>
  <c r="U143" i="40" l="1"/>
  <c r="U139" i="40"/>
  <c r="U129" i="40"/>
  <c r="T129" i="40" l="1"/>
  <c r="S143" i="40" l="1"/>
  <c r="S142" i="40"/>
  <c r="S129" i="40"/>
  <c r="R143" i="40" l="1"/>
  <c r="R142" i="40"/>
  <c r="R134" i="40"/>
  <c r="R129" i="40"/>
  <c r="Q142" i="40"/>
  <c r="Q134" i="40"/>
  <c r="Q137" i="40"/>
  <c r="Q129" i="40"/>
  <c r="P171" i="40" l="1"/>
  <c r="P143" i="40"/>
  <c r="P142" i="40"/>
  <c r="P139" i="40"/>
  <c r="P137" i="40"/>
  <c r="P129" i="40"/>
  <c r="O142" i="40" l="1"/>
  <c r="O143" i="40"/>
  <c r="O141" i="40"/>
  <c r="O129" i="40"/>
  <c r="O53" i="40"/>
  <c r="N143" i="40"/>
  <c r="N139" i="40"/>
  <c r="N134" i="40"/>
  <c r="N129" i="40"/>
  <c r="M143" i="40" l="1"/>
  <c r="M142" i="40"/>
  <c r="M129" i="40"/>
  <c r="L143" i="40"/>
  <c r="L134" i="40"/>
  <c r="L142" i="40"/>
  <c r="L139" i="40"/>
  <c r="L129" i="40"/>
  <c r="K143" i="40" l="1"/>
  <c r="K142" i="40"/>
  <c r="K137" i="40"/>
  <c r="K129" i="40"/>
  <c r="J143" i="40"/>
  <c r="J142" i="40"/>
  <c r="J129" i="40"/>
  <c r="I143" i="40"/>
  <c r="I142" i="40"/>
  <c r="I134" i="40"/>
  <c r="I129" i="40"/>
  <c r="H143" i="40" l="1"/>
  <c r="H142" i="40"/>
  <c r="H129" i="40"/>
  <c r="G129" i="40" l="1"/>
  <c r="G143" i="40"/>
  <c r="G134" i="40"/>
  <c r="G142" i="40"/>
  <c r="F143" i="40" l="1"/>
  <c r="F129" i="40"/>
  <c r="E143" i="40"/>
  <c r="E142" i="40"/>
  <c r="E139" i="40"/>
  <c r="E137" i="40"/>
  <c r="E129" i="40"/>
  <c r="AG184" i="22" l="1"/>
  <c r="AG184" i="36"/>
  <c r="B184" i="25" s="1"/>
  <c r="AG184" i="37"/>
  <c r="C184" i="25" s="1"/>
  <c r="AG184" i="38"/>
  <c r="D184" i="25" s="1"/>
  <c r="AG184" i="39"/>
  <c r="E184" i="25" s="1"/>
  <c r="AG184" i="40"/>
  <c r="F184" i="25" s="1"/>
  <c r="AG183" i="40"/>
  <c r="F183" i="25" s="1"/>
  <c r="D143" i="40"/>
  <c r="D129" i="40"/>
  <c r="C143" i="40"/>
  <c r="C139" i="40"/>
  <c r="C129" i="40"/>
  <c r="B143" i="40"/>
  <c r="B129" i="40"/>
  <c r="N184" i="25" l="1"/>
  <c r="AG248" i="40"/>
  <c r="F250" i="25" s="1"/>
  <c r="AG247" i="40"/>
  <c r="F249" i="25" s="1"/>
  <c r="AG246" i="40"/>
  <c r="F248" i="25" s="1"/>
  <c r="AG245" i="40"/>
  <c r="F247" i="25" s="1"/>
  <c r="AG241" i="40"/>
  <c r="F243" i="25" s="1"/>
  <c r="AF240" i="40"/>
  <c r="AE240" i="40"/>
  <c r="AD240" i="40"/>
  <c r="AC240" i="40"/>
  <c r="AB240" i="40"/>
  <c r="AA240" i="40"/>
  <c r="Z240" i="40"/>
  <c r="Y240" i="40"/>
  <c r="X240" i="40"/>
  <c r="W240" i="40"/>
  <c r="V240" i="40"/>
  <c r="U240" i="40"/>
  <c r="T240" i="40"/>
  <c r="S240" i="40"/>
  <c r="R240" i="40"/>
  <c r="Q240" i="40"/>
  <c r="P240" i="40"/>
  <c r="O240" i="40"/>
  <c r="N240" i="40"/>
  <c r="M240" i="40"/>
  <c r="L240" i="40"/>
  <c r="K240" i="40"/>
  <c r="J240" i="40"/>
  <c r="I240" i="40"/>
  <c r="H240" i="40"/>
  <c r="G240" i="40"/>
  <c r="F240" i="40"/>
  <c r="E240" i="40"/>
  <c r="D240" i="40"/>
  <c r="C240" i="40"/>
  <c r="B240" i="40"/>
  <c r="AG239" i="40"/>
  <c r="F241" i="25" s="1"/>
  <c r="AG238" i="40"/>
  <c r="F240" i="25" s="1"/>
  <c r="AG237" i="40"/>
  <c r="F239" i="25" s="1"/>
  <c r="AF236" i="40"/>
  <c r="AE236" i="40"/>
  <c r="AD236" i="40"/>
  <c r="AC236" i="40"/>
  <c r="AB236" i="40"/>
  <c r="AA236" i="40"/>
  <c r="Z236" i="40"/>
  <c r="Y236" i="40"/>
  <c r="X236" i="40"/>
  <c r="W236" i="40"/>
  <c r="V236" i="40"/>
  <c r="U236" i="40"/>
  <c r="T236" i="40"/>
  <c r="S236" i="40"/>
  <c r="R236" i="40"/>
  <c r="Q236" i="40"/>
  <c r="P236" i="40"/>
  <c r="O236" i="40"/>
  <c r="N236" i="40"/>
  <c r="M236" i="40"/>
  <c r="L236" i="40"/>
  <c r="K236" i="40"/>
  <c r="J236" i="40"/>
  <c r="I236" i="40"/>
  <c r="H236" i="40"/>
  <c r="G236" i="40"/>
  <c r="F236" i="40"/>
  <c r="E236" i="40"/>
  <c r="D236" i="40"/>
  <c r="C236" i="40"/>
  <c r="B236" i="40"/>
  <c r="AG235" i="40"/>
  <c r="F237" i="25" s="1"/>
  <c r="AG234" i="40"/>
  <c r="F236" i="25" s="1"/>
  <c r="AG233" i="40"/>
  <c r="F235" i="25" s="1"/>
  <c r="AF232" i="40"/>
  <c r="AE232" i="40"/>
  <c r="AD232" i="40"/>
  <c r="AC232" i="40"/>
  <c r="AB232" i="40"/>
  <c r="AA232" i="40"/>
  <c r="Z232" i="40"/>
  <c r="Y232" i="40"/>
  <c r="X232" i="40"/>
  <c r="W232" i="40"/>
  <c r="V232" i="40"/>
  <c r="U232" i="40"/>
  <c r="T232" i="40"/>
  <c r="S232" i="40"/>
  <c r="R232" i="40"/>
  <c r="Q232" i="40"/>
  <c r="P232" i="40"/>
  <c r="O232" i="40"/>
  <c r="N232" i="40"/>
  <c r="M232" i="40"/>
  <c r="L232" i="40"/>
  <c r="K232" i="40"/>
  <c r="J232" i="40"/>
  <c r="I232" i="40"/>
  <c r="H232" i="40"/>
  <c r="G232" i="40"/>
  <c r="F232" i="40"/>
  <c r="E232" i="40"/>
  <c r="D232" i="40"/>
  <c r="C232" i="40"/>
  <c r="B232" i="40"/>
  <c r="AG231" i="40"/>
  <c r="F233" i="25" s="1"/>
  <c r="AG230" i="40"/>
  <c r="F232" i="25" s="1"/>
  <c r="AG229" i="40"/>
  <c r="F231" i="25" s="1"/>
  <c r="AG228" i="40"/>
  <c r="F230" i="25" s="1"/>
  <c r="AG227" i="40"/>
  <c r="F229" i="25" s="1"/>
  <c r="AG226" i="40"/>
  <c r="F228" i="25" s="1"/>
  <c r="AG225" i="40"/>
  <c r="F227" i="25" s="1"/>
  <c r="AG224" i="40"/>
  <c r="F226" i="25" s="1"/>
  <c r="AG223" i="40"/>
  <c r="F225" i="25" s="1"/>
  <c r="AG222" i="40"/>
  <c r="F224" i="25" s="1"/>
  <c r="AG221" i="40"/>
  <c r="F223" i="25" s="1"/>
  <c r="AG220" i="40"/>
  <c r="F222" i="25" s="1"/>
  <c r="AG211" i="40"/>
  <c r="F211" i="25" s="1"/>
  <c r="AG210" i="40"/>
  <c r="F210" i="25" s="1"/>
  <c r="AG209" i="40"/>
  <c r="F209" i="25" s="1"/>
  <c r="AG208" i="40"/>
  <c r="F208" i="25" s="1"/>
  <c r="AG207" i="40"/>
  <c r="F207" i="25" s="1"/>
  <c r="AF206" i="40"/>
  <c r="AE206" i="40"/>
  <c r="AD206" i="40"/>
  <c r="AC206" i="40"/>
  <c r="AB206" i="40"/>
  <c r="AA206" i="40"/>
  <c r="Z206" i="40"/>
  <c r="Y206" i="40"/>
  <c r="X206" i="40"/>
  <c r="W206" i="40"/>
  <c r="V206" i="40"/>
  <c r="U206" i="40"/>
  <c r="T206" i="40"/>
  <c r="S206" i="40"/>
  <c r="R206" i="40"/>
  <c r="Q206" i="40"/>
  <c r="P206" i="40"/>
  <c r="O206" i="40"/>
  <c r="N206" i="40"/>
  <c r="M206" i="40"/>
  <c r="L206" i="40"/>
  <c r="K206" i="40"/>
  <c r="J206" i="40"/>
  <c r="I206" i="40"/>
  <c r="H206" i="40"/>
  <c r="G206" i="40"/>
  <c r="F206" i="40"/>
  <c r="E206" i="40"/>
  <c r="D206" i="40"/>
  <c r="C206" i="40"/>
  <c r="B206" i="40"/>
  <c r="AG205" i="40"/>
  <c r="F205" i="25" s="1"/>
  <c r="AG204" i="40"/>
  <c r="F204" i="25" s="1"/>
  <c r="AG203" i="40"/>
  <c r="F203" i="25" s="1"/>
  <c r="AG202" i="40"/>
  <c r="F202" i="25" s="1"/>
  <c r="AG201" i="40"/>
  <c r="F201" i="25" s="1"/>
  <c r="AG200" i="40"/>
  <c r="F200" i="25" s="1"/>
  <c r="AG199" i="40"/>
  <c r="F199" i="25" s="1"/>
  <c r="AG198" i="40"/>
  <c r="F198" i="25" s="1"/>
  <c r="AG197" i="40"/>
  <c r="F197" i="25" s="1"/>
  <c r="AG196" i="40"/>
  <c r="F196" i="25" s="1"/>
  <c r="AG195" i="40"/>
  <c r="F195" i="25" s="1"/>
  <c r="AG194" i="40"/>
  <c r="F194" i="25" s="1"/>
  <c r="AG193" i="40"/>
  <c r="F193" i="25" s="1"/>
  <c r="AG192" i="40"/>
  <c r="F192" i="25" s="1"/>
  <c r="AG191" i="40"/>
  <c r="F191" i="25" s="1"/>
  <c r="AG190" i="40"/>
  <c r="F190" i="25" s="1"/>
  <c r="AG189" i="40"/>
  <c r="F189" i="25" s="1"/>
  <c r="AG188" i="40"/>
  <c r="F188" i="25" s="1"/>
  <c r="AG187" i="40"/>
  <c r="F187" i="25" s="1"/>
  <c r="AG186" i="40"/>
  <c r="F186" i="25" s="1"/>
  <c r="AG185" i="40"/>
  <c r="F185" i="25" s="1"/>
  <c r="AG182" i="40"/>
  <c r="F182" i="25" s="1"/>
  <c r="AG181" i="40"/>
  <c r="F181" i="25" s="1"/>
  <c r="AG180" i="40"/>
  <c r="F180" i="25" s="1"/>
  <c r="AF179" i="40"/>
  <c r="AE179" i="40"/>
  <c r="AD179" i="40"/>
  <c r="AC179" i="40"/>
  <c r="AB179" i="40"/>
  <c r="AA179" i="40"/>
  <c r="Z179" i="40"/>
  <c r="Y179" i="40"/>
  <c r="X179" i="40"/>
  <c r="W179" i="40"/>
  <c r="V179" i="40"/>
  <c r="U179" i="40"/>
  <c r="T179" i="40"/>
  <c r="S179" i="40"/>
  <c r="R179" i="40"/>
  <c r="Q179" i="40"/>
  <c r="P179" i="40"/>
  <c r="O179" i="40"/>
  <c r="N179" i="40"/>
  <c r="M179" i="40"/>
  <c r="L179" i="40"/>
  <c r="K179" i="40"/>
  <c r="J179" i="40"/>
  <c r="I179" i="40"/>
  <c r="H179" i="40"/>
  <c r="G179" i="40"/>
  <c r="F179" i="40"/>
  <c r="E179" i="40"/>
  <c r="D179" i="40"/>
  <c r="C179" i="40"/>
  <c r="B179" i="40"/>
  <c r="AG178" i="40"/>
  <c r="F178" i="25" s="1"/>
  <c r="AG177" i="40"/>
  <c r="F177" i="25" s="1"/>
  <c r="AG176" i="40"/>
  <c r="F176" i="25" s="1"/>
  <c r="AG175" i="40"/>
  <c r="F175" i="25" s="1"/>
  <c r="AF174" i="40"/>
  <c r="AE174" i="40"/>
  <c r="AD174" i="40"/>
  <c r="AC174" i="40"/>
  <c r="AB174" i="40"/>
  <c r="AA174" i="40"/>
  <c r="Z174" i="40"/>
  <c r="Y174" i="40"/>
  <c r="X174" i="40"/>
  <c r="W174" i="40"/>
  <c r="V174" i="40"/>
  <c r="U174" i="40"/>
  <c r="T174" i="40"/>
  <c r="S174" i="40"/>
  <c r="R174" i="40"/>
  <c r="Q174" i="40"/>
  <c r="P174" i="40"/>
  <c r="O174" i="40"/>
  <c r="N174" i="40"/>
  <c r="M174" i="40"/>
  <c r="L174" i="40"/>
  <c r="K174" i="40"/>
  <c r="J174" i="40"/>
  <c r="I174" i="40"/>
  <c r="H174" i="40"/>
  <c r="G174" i="40"/>
  <c r="F174" i="40"/>
  <c r="E174" i="40"/>
  <c r="D174" i="40"/>
  <c r="C174" i="40"/>
  <c r="B174" i="40"/>
  <c r="AG173" i="40"/>
  <c r="F173" i="25" s="1"/>
  <c r="AG172" i="40"/>
  <c r="F172" i="25" s="1"/>
  <c r="AG171" i="40"/>
  <c r="F171" i="25" s="1"/>
  <c r="AG170" i="40"/>
  <c r="F170" i="25" s="1"/>
  <c r="AG169" i="40"/>
  <c r="F169" i="25" s="1"/>
  <c r="AG168" i="40"/>
  <c r="F168" i="25" s="1"/>
  <c r="AF167" i="40"/>
  <c r="AE167" i="40"/>
  <c r="AD167" i="40"/>
  <c r="AC167" i="40"/>
  <c r="AB167" i="40"/>
  <c r="AA167" i="40"/>
  <c r="Z167" i="40"/>
  <c r="Y167" i="40"/>
  <c r="X167" i="40"/>
  <c r="W167" i="40"/>
  <c r="V167" i="40"/>
  <c r="U167" i="40"/>
  <c r="T167" i="40"/>
  <c r="S167" i="40"/>
  <c r="R167" i="40"/>
  <c r="Q167" i="40"/>
  <c r="P167" i="40"/>
  <c r="O167" i="40"/>
  <c r="N167" i="40"/>
  <c r="M167" i="40"/>
  <c r="L167" i="40"/>
  <c r="K167" i="40"/>
  <c r="J167" i="40"/>
  <c r="I167" i="40"/>
  <c r="H167" i="40"/>
  <c r="G167" i="40"/>
  <c r="F167" i="40"/>
  <c r="E167" i="40"/>
  <c r="D167" i="40"/>
  <c r="C167" i="40"/>
  <c r="AG166" i="40"/>
  <c r="F166" i="25" s="1"/>
  <c r="AG165" i="40"/>
  <c r="F165" i="25" s="1"/>
  <c r="AG164" i="40"/>
  <c r="F164" i="25" s="1"/>
  <c r="AG163" i="40"/>
  <c r="F163" i="25" s="1"/>
  <c r="AG162" i="40"/>
  <c r="F162" i="25" s="1"/>
  <c r="AG161" i="40"/>
  <c r="F161" i="25" s="1"/>
  <c r="AG160" i="40"/>
  <c r="F160" i="25" s="1"/>
  <c r="AG159" i="40"/>
  <c r="F159" i="25" s="1"/>
  <c r="AF158" i="40"/>
  <c r="AE158" i="40"/>
  <c r="AD158" i="40"/>
  <c r="AC158" i="40"/>
  <c r="AB158" i="40"/>
  <c r="AA158" i="40"/>
  <c r="Z158" i="40"/>
  <c r="Y158" i="40"/>
  <c r="X158" i="40"/>
  <c r="W158" i="40"/>
  <c r="V158" i="40"/>
  <c r="U158" i="40"/>
  <c r="T158" i="40"/>
  <c r="S158" i="40"/>
  <c r="R158" i="40"/>
  <c r="Q158" i="40"/>
  <c r="P158" i="40"/>
  <c r="O158" i="40"/>
  <c r="N158" i="40"/>
  <c r="M158" i="40"/>
  <c r="L158" i="40"/>
  <c r="K158" i="40"/>
  <c r="J158" i="40"/>
  <c r="I158" i="40"/>
  <c r="H158" i="40"/>
  <c r="G158" i="40"/>
  <c r="F158" i="40"/>
  <c r="E158" i="40"/>
  <c r="D158" i="40"/>
  <c r="C158" i="40"/>
  <c r="B158" i="40"/>
  <c r="AG157" i="40"/>
  <c r="F157" i="25" s="1"/>
  <c r="AG156" i="40"/>
  <c r="F156" i="25" s="1"/>
  <c r="AG155" i="40"/>
  <c r="F155" i="25" s="1"/>
  <c r="AG154" i="40"/>
  <c r="F154" i="25" s="1"/>
  <c r="AG153" i="40"/>
  <c r="F153" i="25" s="1"/>
  <c r="AG152" i="40"/>
  <c r="F152" i="25" s="1"/>
  <c r="AG151" i="40"/>
  <c r="F151" i="25" s="1"/>
  <c r="AG150" i="40"/>
  <c r="F150" i="25" s="1"/>
  <c r="AG149" i="40"/>
  <c r="F149" i="25" s="1"/>
  <c r="AF148" i="40"/>
  <c r="AE148" i="40"/>
  <c r="AE146" i="40" s="1"/>
  <c r="AD148" i="40"/>
  <c r="AD146" i="40" s="1"/>
  <c r="AC148" i="40"/>
  <c r="AC146" i="40" s="1"/>
  <c r="AB148" i="40"/>
  <c r="AA148" i="40"/>
  <c r="AA146" i="40" s="1"/>
  <c r="Z148" i="40"/>
  <c r="Z146" i="40" s="1"/>
  <c r="Y148" i="40"/>
  <c r="Y146" i="40" s="1"/>
  <c r="Y144" i="40" s="1"/>
  <c r="X148" i="40"/>
  <c r="X146" i="40" s="1"/>
  <c r="W148" i="40"/>
  <c r="W146" i="40" s="1"/>
  <c r="V148" i="40"/>
  <c r="V146" i="40" s="1"/>
  <c r="U148" i="40"/>
  <c r="U146" i="40" s="1"/>
  <c r="T148" i="40"/>
  <c r="T146" i="40" s="1"/>
  <c r="S148" i="40"/>
  <c r="S146" i="40" s="1"/>
  <c r="R148" i="40"/>
  <c r="R146" i="40" s="1"/>
  <c r="Q148" i="40"/>
  <c r="Q146" i="40" s="1"/>
  <c r="P148" i="40"/>
  <c r="O148" i="40"/>
  <c r="O146" i="40" s="1"/>
  <c r="N148" i="40"/>
  <c r="M148" i="40"/>
  <c r="M146" i="40" s="1"/>
  <c r="L148" i="40"/>
  <c r="K148" i="40"/>
  <c r="K146" i="40" s="1"/>
  <c r="J148" i="40"/>
  <c r="I148" i="40"/>
  <c r="I146" i="40" s="1"/>
  <c r="H148" i="40"/>
  <c r="G148" i="40"/>
  <c r="G146" i="40" s="1"/>
  <c r="F148" i="40"/>
  <c r="F146" i="40" s="1"/>
  <c r="E148" i="40"/>
  <c r="E146" i="40" s="1"/>
  <c r="D148" i="40"/>
  <c r="D146" i="40" s="1"/>
  <c r="C148" i="40"/>
  <c r="C146" i="40" s="1"/>
  <c r="B148" i="40"/>
  <c r="B146" i="40" s="1"/>
  <c r="AE147" i="40"/>
  <c r="AD147" i="40"/>
  <c r="AC147" i="40"/>
  <c r="AB147" i="40"/>
  <c r="AA147" i="40"/>
  <c r="Z147" i="40"/>
  <c r="Y147" i="40"/>
  <c r="X147" i="40"/>
  <c r="W147" i="40"/>
  <c r="V147" i="40"/>
  <c r="U147" i="40"/>
  <c r="T147" i="40"/>
  <c r="S147" i="40"/>
  <c r="R147" i="40"/>
  <c r="Q147" i="40"/>
  <c r="P147" i="40"/>
  <c r="O147" i="40"/>
  <c r="N147" i="40"/>
  <c r="M147" i="40"/>
  <c r="L147" i="40"/>
  <c r="K147" i="40"/>
  <c r="J147" i="40"/>
  <c r="I147" i="40"/>
  <c r="H147" i="40"/>
  <c r="G147" i="40"/>
  <c r="F147" i="40"/>
  <c r="E147" i="40"/>
  <c r="D147" i="40"/>
  <c r="C147" i="40"/>
  <c r="B147" i="40"/>
  <c r="AF146" i="40"/>
  <c r="AB146" i="40"/>
  <c r="P146" i="40"/>
  <c r="N146" i="40"/>
  <c r="L146" i="40"/>
  <c r="J146" i="40"/>
  <c r="H146" i="40"/>
  <c r="AF145" i="40"/>
  <c r="AE145" i="40"/>
  <c r="AD145" i="40"/>
  <c r="AC145" i="40"/>
  <c r="AB145" i="40"/>
  <c r="AA145" i="40"/>
  <c r="Z145" i="40"/>
  <c r="Y145" i="40"/>
  <c r="X145" i="40"/>
  <c r="W145" i="40"/>
  <c r="V145" i="40"/>
  <c r="U145" i="40"/>
  <c r="T145" i="40"/>
  <c r="S145" i="40"/>
  <c r="R145" i="40"/>
  <c r="Q145" i="40"/>
  <c r="P145" i="40"/>
  <c r="O145" i="40"/>
  <c r="N145" i="40"/>
  <c r="M145" i="40"/>
  <c r="L145" i="40"/>
  <c r="K145" i="40"/>
  <c r="J145" i="40"/>
  <c r="I145" i="40"/>
  <c r="H145" i="40"/>
  <c r="G145" i="40"/>
  <c r="F145" i="40"/>
  <c r="E145" i="40"/>
  <c r="D145" i="40"/>
  <c r="C145" i="40"/>
  <c r="B145" i="40"/>
  <c r="AG143" i="40"/>
  <c r="F143" i="25" s="1"/>
  <c r="AG142" i="40"/>
  <c r="F142" i="25" s="1"/>
  <c r="AG141" i="40"/>
  <c r="F141" i="25" s="1"/>
  <c r="AG140" i="40"/>
  <c r="F140" i="25" s="1"/>
  <c r="AG139" i="40"/>
  <c r="F139" i="25" s="1"/>
  <c r="AG138" i="40"/>
  <c r="F138" i="25" s="1"/>
  <c r="AG137" i="40"/>
  <c r="F137" i="25" s="1"/>
  <c r="AG136" i="40"/>
  <c r="F136" i="25" s="1"/>
  <c r="AG135" i="40"/>
  <c r="F135" i="25" s="1"/>
  <c r="AG134" i="40"/>
  <c r="F134" i="25" s="1"/>
  <c r="AG133" i="40"/>
  <c r="F133" i="25" s="1"/>
  <c r="AG132" i="40"/>
  <c r="F132" i="25" s="1"/>
  <c r="AG131" i="40"/>
  <c r="F131" i="25" s="1"/>
  <c r="AF130" i="40"/>
  <c r="AE130" i="40"/>
  <c r="AD130" i="40"/>
  <c r="AC130" i="40"/>
  <c r="AB130" i="40"/>
  <c r="AA130" i="40"/>
  <c r="Z130" i="40"/>
  <c r="Y130" i="40"/>
  <c r="X130" i="40"/>
  <c r="W130" i="40"/>
  <c r="V130" i="40"/>
  <c r="U130" i="40"/>
  <c r="T130" i="40"/>
  <c r="S130" i="40"/>
  <c r="R130" i="40"/>
  <c r="Q130" i="40"/>
  <c r="P130" i="40"/>
  <c r="O130" i="40"/>
  <c r="N130" i="40"/>
  <c r="M130" i="40"/>
  <c r="L130" i="40"/>
  <c r="K130" i="40"/>
  <c r="J130" i="40"/>
  <c r="I130" i="40"/>
  <c r="H130" i="40"/>
  <c r="G130" i="40"/>
  <c r="F130" i="40"/>
  <c r="E130" i="40"/>
  <c r="D130" i="40"/>
  <c r="C130" i="40"/>
  <c r="B130" i="40"/>
  <c r="AG129" i="40"/>
  <c r="F129" i="25" s="1"/>
  <c r="AG128" i="40"/>
  <c r="F128" i="25" s="1"/>
  <c r="AG127" i="40"/>
  <c r="F127" i="25" s="1"/>
  <c r="AG126" i="40"/>
  <c r="F126" i="25" s="1"/>
  <c r="AG125" i="40"/>
  <c r="F125" i="25" s="1"/>
  <c r="AG124" i="40"/>
  <c r="F124" i="25" s="1"/>
  <c r="AG123" i="40"/>
  <c r="F123" i="25" s="1"/>
  <c r="AG122" i="40"/>
  <c r="F122" i="25" s="1"/>
  <c r="AG121" i="40"/>
  <c r="F121" i="25" s="1"/>
  <c r="AG120" i="40"/>
  <c r="F120" i="25" s="1"/>
  <c r="AG119" i="40"/>
  <c r="F119" i="25" s="1"/>
  <c r="AG118" i="40"/>
  <c r="F118" i="25" s="1"/>
  <c r="AG117" i="40"/>
  <c r="F117" i="25" s="1"/>
  <c r="AF116" i="40"/>
  <c r="AE116" i="40"/>
  <c r="AD116" i="40"/>
  <c r="AC116" i="40"/>
  <c r="AB116" i="40"/>
  <c r="AA116" i="40"/>
  <c r="Z116" i="40"/>
  <c r="Y116" i="40"/>
  <c r="X116" i="40"/>
  <c r="W116" i="40"/>
  <c r="V116" i="40"/>
  <c r="U116" i="40"/>
  <c r="T116" i="40"/>
  <c r="S116" i="40"/>
  <c r="R116" i="40"/>
  <c r="Q116" i="40"/>
  <c r="P116" i="40"/>
  <c r="O116" i="40"/>
  <c r="N116" i="40"/>
  <c r="M116" i="40"/>
  <c r="L116" i="40"/>
  <c r="K116" i="40"/>
  <c r="J116" i="40"/>
  <c r="I116" i="40"/>
  <c r="H116" i="40"/>
  <c r="G116" i="40"/>
  <c r="F116" i="40"/>
  <c r="E116" i="40"/>
  <c r="D116" i="40"/>
  <c r="C116" i="40"/>
  <c r="B116" i="40"/>
  <c r="AG115" i="40"/>
  <c r="F115" i="25" s="1"/>
  <c r="AG114" i="40"/>
  <c r="F114" i="25" s="1"/>
  <c r="AG113" i="40"/>
  <c r="F113" i="25" s="1"/>
  <c r="AG112" i="40"/>
  <c r="F112" i="25" s="1"/>
  <c r="AG111" i="40"/>
  <c r="F111" i="25" s="1"/>
  <c r="AG110" i="40"/>
  <c r="F110" i="25" s="1"/>
  <c r="AG109" i="40"/>
  <c r="F109" i="25" s="1"/>
  <c r="AG108" i="40"/>
  <c r="F108" i="25" s="1"/>
  <c r="AG107" i="40"/>
  <c r="F107" i="25" s="1"/>
  <c r="AG106" i="40"/>
  <c r="F106" i="25" s="1"/>
  <c r="AG105" i="40"/>
  <c r="F105" i="25" s="1"/>
  <c r="AG104" i="40"/>
  <c r="F104" i="25" s="1"/>
  <c r="AG103" i="40"/>
  <c r="F103" i="25" s="1"/>
  <c r="AG102" i="40"/>
  <c r="F102" i="25" s="1"/>
  <c r="AG101" i="40"/>
  <c r="F101" i="25" s="1"/>
  <c r="AF100" i="40"/>
  <c r="AE100" i="40"/>
  <c r="AD100" i="40"/>
  <c r="AC100" i="40"/>
  <c r="AB100" i="40"/>
  <c r="AA100" i="40"/>
  <c r="Z100" i="40"/>
  <c r="Y100" i="40"/>
  <c r="X100" i="40"/>
  <c r="W100" i="40"/>
  <c r="V100" i="40"/>
  <c r="U100" i="40"/>
  <c r="T100" i="40"/>
  <c r="S100" i="40"/>
  <c r="R100" i="40"/>
  <c r="Q100" i="40"/>
  <c r="P100" i="40"/>
  <c r="O100" i="40"/>
  <c r="N100" i="40"/>
  <c r="M100" i="40"/>
  <c r="L100" i="40"/>
  <c r="K100" i="40"/>
  <c r="J100" i="40"/>
  <c r="I100" i="40"/>
  <c r="H100" i="40"/>
  <c r="G100" i="40"/>
  <c r="F100" i="40"/>
  <c r="E100" i="40"/>
  <c r="D100" i="40"/>
  <c r="C100" i="40"/>
  <c r="B100" i="40"/>
  <c r="AG99" i="40"/>
  <c r="F99" i="25" s="1"/>
  <c r="AG98" i="40"/>
  <c r="F98" i="25" s="1"/>
  <c r="AG97" i="40"/>
  <c r="F97" i="25" s="1"/>
  <c r="AG96" i="40"/>
  <c r="F96" i="25" s="1"/>
  <c r="AG95" i="40"/>
  <c r="F95" i="25" s="1"/>
  <c r="AF94" i="40"/>
  <c r="AE94" i="40"/>
  <c r="AD94" i="40"/>
  <c r="AC94" i="40"/>
  <c r="AB94" i="40"/>
  <c r="AB93" i="40" s="1"/>
  <c r="AA94" i="40"/>
  <c r="Z94" i="40"/>
  <c r="Z93" i="40" s="1"/>
  <c r="Y94" i="40"/>
  <c r="X94" i="40"/>
  <c r="W94" i="40"/>
  <c r="V94" i="40"/>
  <c r="U94" i="40"/>
  <c r="T94" i="40"/>
  <c r="S94" i="40"/>
  <c r="R94" i="40"/>
  <c r="R93" i="40" s="1"/>
  <c r="Q94" i="40"/>
  <c r="P94" i="40"/>
  <c r="P93" i="40" s="1"/>
  <c r="O94" i="40"/>
  <c r="N94" i="40"/>
  <c r="M94" i="40"/>
  <c r="M93" i="40" s="1"/>
  <c r="L94" i="40"/>
  <c r="K94" i="40"/>
  <c r="J94" i="40"/>
  <c r="I94" i="40"/>
  <c r="I93" i="40" s="1"/>
  <c r="H94" i="40"/>
  <c r="H93" i="40" s="1"/>
  <c r="G94" i="40"/>
  <c r="F94" i="40"/>
  <c r="F93" i="40" s="1"/>
  <c r="E94" i="40"/>
  <c r="D94" i="40"/>
  <c r="C94" i="40"/>
  <c r="B94" i="40"/>
  <c r="AG92" i="40"/>
  <c r="F92" i="25" s="1"/>
  <c r="AG91" i="40"/>
  <c r="F91" i="25" s="1"/>
  <c r="AG90" i="40"/>
  <c r="F90" i="25" s="1"/>
  <c r="AG89" i="40"/>
  <c r="F89" i="25" s="1"/>
  <c r="AG88" i="40"/>
  <c r="F88" i="25" s="1"/>
  <c r="AF87" i="40"/>
  <c r="AE87" i="40"/>
  <c r="AD87" i="40"/>
  <c r="AC87" i="40"/>
  <c r="AB87" i="40"/>
  <c r="AA87" i="40"/>
  <c r="Z87" i="40"/>
  <c r="Y87" i="40"/>
  <c r="X87" i="40"/>
  <c r="W87" i="40"/>
  <c r="V87" i="40"/>
  <c r="U87" i="40"/>
  <c r="T87" i="40"/>
  <c r="S87" i="40"/>
  <c r="R87" i="40"/>
  <c r="Q87" i="40"/>
  <c r="P87" i="40"/>
  <c r="O87" i="40"/>
  <c r="N87" i="40"/>
  <c r="M87" i="40"/>
  <c r="L87" i="40"/>
  <c r="K87" i="40"/>
  <c r="J87" i="40"/>
  <c r="I87" i="40"/>
  <c r="H87" i="40"/>
  <c r="G87" i="40"/>
  <c r="F87" i="40"/>
  <c r="E87" i="40"/>
  <c r="D87" i="40"/>
  <c r="C87" i="40"/>
  <c r="B87" i="40"/>
  <c r="AG86" i="40"/>
  <c r="F86" i="25" s="1"/>
  <c r="AG85" i="40"/>
  <c r="F85" i="25" s="1"/>
  <c r="AF84" i="40"/>
  <c r="AE84" i="40"/>
  <c r="AD84" i="40"/>
  <c r="AC84" i="40"/>
  <c r="AB84" i="40"/>
  <c r="AA84" i="40"/>
  <c r="Z84" i="40"/>
  <c r="Y84" i="40"/>
  <c r="X84" i="40"/>
  <c r="W84" i="40"/>
  <c r="V84" i="40"/>
  <c r="U84" i="40"/>
  <c r="T84" i="40"/>
  <c r="S84" i="40"/>
  <c r="R84" i="40"/>
  <c r="Q84" i="40"/>
  <c r="P84" i="40"/>
  <c r="O84" i="40"/>
  <c r="N84" i="40"/>
  <c r="M84" i="40"/>
  <c r="L84" i="40"/>
  <c r="K84" i="40"/>
  <c r="J84" i="40"/>
  <c r="I84" i="40"/>
  <c r="H84" i="40"/>
  <c r="G84" i="40"/>
  <c r="F84" i="40"/>
  <c r="E84" i="40"/>
  <c r="D84" i="40"/>
  <c r="C84" i="40"/>
  <c r="B84" i="40"/>
  <c r="Z83" i="40"/>
  <c r="R83" i="40"/>
  <c r="J83" i="40"/>
  <c r="B83" i="40"/>
  <c r="AE83" i="40"/>
  <c r="AE81" i="40" s="1"/>
  <c r="AD82" i="40"/>
  <c r="AD83" i="40" s="1"/>
  <c r="AC82" i="40"/>
  <c r="AC83" i="40" s="1"/>
  <c r="AC81" i="40" s="1"/>
  <c r="AB82" i="40"/>
  <c r="AA82" i="40"/>
  <c r="AA83" i="40" s="1"/>
  <c r="AA81" i="40" s="1"/>
  <c r="Z82" i="40"/>
  <c r="Y83" i="40"/>
  <c r="Y81" i="40" s="1"/>
  <c r="W82" i="40"/>
  <c r="W83" i="40" s="1"/>
  <c r="W81" i="40" s="1"/>
  <c r="U82" i="40"/>
  <c r="U83" i="40" s="1"/>
  <c r="U81" i="40" s="1"/>
  <c r="T82" i="40"/>
  <c r="S82" i="40"/>
  <c r="S83" i="40" s="1"/>
  <c r="S81" i="40" s="1"/>
  <c r="Q83" i="40"/>
  <c r="Q81" i="40" s="1"/>
  <c r="P82" i="40"/>
  <c r="O82" i="40"/>
  <c r="O83" i="40" s="1"/>
  <c r="O81" i="40" s="1"/>
  <c r="N82" i="40"/>
  <c r="N83" i="40" s="1"/>
  <c r="M82" i="40"/>
  <c r="M83" i="40" s="1"/>
  <c r="M81" i="40" s="1"/>
  <c r="L82" i="40"/>
  <c r="K83" i="40"/>
  <c r="K81" i="40" s="1"/>
  <c r="I82" i="40"/>
  <c r="I83" i="40" s="1"/>
  <c r="I81" i="40" s="1"/>
  <c r="H82" i="40"/>
  <c r="G82" i="40"/>
  <c r="G83" i="40" s="1"/>
  <c r="G81" i="40" s="1"/>
  <c r="F82" i="40"/>
  <c r="E82" i="40"/>
  <c r="E83" i="40" s="1"/>
  <c r="E81" i="40" s="1"/>
  <c r="C83" i="40"/>
  <c r="C81" i="40" s="1"/>
  <c r="AF80" i="40"/>
  <c r="AC80" i="40"/>
  <c r="AC79" i="40" s="1"/>
  <c r="AC78" i="40" s="1"/>
  <c r="AB80" i="40"/>
  <c r="AB79" i="40" s="1"/>
  <c r="AB78" i="40" s="1"/>
  <c r="AA80" i="40"/>
  <c r="AA79" i="40" s="1"/>
  <c r="AA78" i="40" s="1"/>
  <c r="Y80" i="40"/>
  <c r="Y79" i="40" s="1"/>
  <c r="Y78" i="40" s="1"/>
  <c r="V80" i="40"/>
  <c r="V79" i="40" s="1"/>
  <c r="V78" i="40" s="1"/>
  <c r="U80" i="40"/>
  <c r="U79" i="40" s="1"/>
  <c r="U78" i="40" s="1"/>
  <c r="T80" i="40"/>
  <c r="T79" i="40" s="1"/>
  <c r="T78" i="40" s="1"/>
  <c r="S80" i="40"/>
  <c r="S79" i="40" s="1"/>
  <c r="S78" i="40" s="1"/>
  <c r="R80" i="40"/>
  <c r="R79" i="40" s="1"/>
  <c r="R78" i="40" s="1"/>
  <c r="O80" i="40"/>
  <c r="O79" i="40" s="1"/>
  <c r="O78" i="40" s="1"/>
  <c r="N80" i="40"/>
  <c r="M80" i="40"/>
  <c r="M79" i="40" s="1"/>
  <c r="M78" i="40" s="1"/>
  <c r="H80" i="40"/>
  <c r="H79" i="40" s="1"/>
  <c r="H78" i="40" s="1"/>
  <c r="G80" i="40"/>
  <c r="G79" i="40" s="1"/>
  <c r="G78" i="40" s="1"/>
  <c r="F80" i="40"/>
  <c r="AF79" i="40"/>
  <c r="AF78" i="40" s="1"/>
  <c r="AE79" i="40"/>
  <c r="AE78" i="40" s="1"/>
  <c r="AD79" i="40"/>
  <c r="Z79" i="40"/>
  <c r="Z78" i="40" s="1"/>
  <c r="X79" i="40"/>
  <c r="W79" i="40"/>
  <c r="Q79" i="40"/>
  <c r="Q78" i="40" s="1"/>
  <c r="P79" i="40"/>
  <c r="P78" i="40" s="1"/>
  <c r="N79" i="40"/>
  <c r="N78" i="40" s="1"/>
  <c r="L79" i="40"/>
  <c r="L78" i="40" s="1"/>
  <c r="K79" i="40"/>
  <c r="K78" i="40" s="1"/>
  <c r="J79" i="40"/>
  <c r="I79" i="40"/>
  <c r="I78" i="40" s="1"/>
  <c r="F79" i="40"/>
  <c r="F78" i="40" s="1"/>
  <c r="E79" i="40"/>
  <c r="E78" i="40" s="1"/>
  <c r="D79" i="40"/>
  <c r="D78" i="40" s="1"/>
  <c r="C79" i="40"/>
  <c r="C78" i="40" s="1"/>
  <c r="B79" i="40"/>
  <c r="B78" i="40" s="1"/>
  <c r="AD78" i="40"/>
  <c r="X78" i="40"/>
  <c r="W78" i="40"/>
  <c r="J78" i="40"/>
  <c r="AG77" i="40"/>
  <c r="F77" i="25" s="1"/>
  <c r="AG76" i="40"/>
  <c r="F76" i="25" s="1"/>
  <c r="AG75" i="40"/>
  <c r="F75" i="25" s="1"/>
  <c r="AG74" i="40"/>
  <c r="F74" i="25" s="1"/>
  <c r="AG73" i="40"/>
  <c r="F73" i="25" s="1"/>
  <c r="AG72" i="40"/>
  <c r="F72" i="25" s="1"/>
  <c r="AG71" i="40"/>
  <c r="F71" i="25" s="1"/>
  <c r="AG70" i="40"/>
  <c r="F70" i="25" s="1"/>
  <c r="AG69" i="40"/>
  <c r="F69" i="25" s="1"/>
  <c r="AG68" i="40"/>
  <c r="F68" i="25" s="1"/>
  <c r="AG67" i="40"/>
  <c r="F67" i="25" s="1"/>
  <c r="AG66" i="40"/>
  <c r="F66" i="25" s="1"/>
  <c r="AG65" i="40"/>
  <c r="F65" i="25" s="1"/>
  <c r="AG64" i="40"/>
  <c r="F64" i="25" s="1"/>
  <c r="AG63" i="40"/>
  <c r="F63" i="25" s="1"/>
  <c r="AG62" i="40"/>
  <c r="F62" i="25" s="1"/>
  <c r="AG61" i="40"/>
  <c r="F61" i="25" s="1"/>
  <c r="AG60" i="40"/>
  <c r="F60" i="25" s="1"/>
  <c r="AG59" i="40"/>
  <c r="F59" i="25" s="1"/>
  <c r="AG58" i="40"/>
  <c r="F58" i="25" s="1"/>
  <c r="AG57" i="40"/>
  <c r="F57" i="25" s="1"/>
  <c r="AG56" i="40"/>
  <c r="F56" i="25" s="1"/>
  <c r="AG55" i="40"/>
  <c r="F55" i="25" s="1"/>
  <c r="AG54" i="40"/>
  <c r="F54" i="25" s="1"/>
  <c r="AF53" i="40"/>
  <c r="AE53" i="40"/>
  <c r="AD53" i="40"/>
  <c r="AC53" i="40"/>
  <c r="AB53" i="40"/>
  <c r="AA53" i="40"/>
  <c r="Z53" i="40"/>
  <c r="Y53" i="40"/>
  <c r="X53" i="40"/>
  <c r="W53" i="40"/>
  <c r="V53" i="40"/>
  <c r="U53" i="40"/>
  <c r="T53" i="40"/>
  <c r="S53" i="40"/>
  <c r="R53" i="40"/>
  <c r="Q53" i="40"/>
  <c r="P53" i="40"/>
  <c r="N53" i="40"/>
  <c r="M53" i="40"/>
  <c r="L53" i="40"/>
  <c r="K53" i="40"/>
  <c r="J53" i="40"/>
  <c r="I53" i="40"/>
  <c r="H53" i="40"/>
  <c r="G53" i="40"/>
  <c r="F53" i="40"/>
  <c r="E53" i="40"/>
  <c r="D53" i="40"/>
  <c r="C53" i="40"/>
  <c r="B53" i="40"/>
  <c r="AG52" i="40"/>
  <c r="F52" i="25" s="1"/>
  <c r="AG51" i="40"/>
  <c r="F51" i="25" s="1"/>
  <c r="AG50" i="40"/>
  <c r="F50" i="25" s="1"/>
  <c r="AG49" i="40"/>
  <c r="F49" i="25" s="1"/>
  <c r="AG48" i="40"/>
  <c r="F48" i="25" s="1"/>
  <c r="AG47" i="40"/>
  <c r="F47" i="25" s="1"/>
  <c r="AG46" i="40"/>
  <c r="F46" i="25" s="1"/>
  <c r="AG45" i="40"/>
  <c r="F45" i="25" s="1"/>
  <c r="AG44" i="40"/>
  <c r="F44" i="25" s="1"/>
  <c r="AG43" i="40"/>
  <c r="F43" i="25" s="1"/>
  <c r="AG42" i="40"/>
  <c r="F42" i="25" s="1"/>
  <c r="AG41" i="40"/>
  <c r="F41" i="25" s="1"/>
  <c r="AG40" i="40"/>
  <c r="F40" i="25" s="1"/>
  <c r="AG39" i="40"/>
  <c r="F39" i="25" s="1"/>
  <c r="AG38" i="40"/>
  <c r="F38" i="25" s="1"/>
  <c r="AG37" i="40"/>
  <c r="F37" i="25" s="1"/>
  <c r="AG36" i="40"/>
  <c r="F36" i="25" s="1"/>
  <c r="AG35" i="40"/>
  <c r="F35" i="25" s="1"/>
  <c r="AG34" i="40"/>
  <c r="F34" i="25" s="1"/>
  <c r="AG33" i="40"/>
  <c r="F33" i="25" s="1"/>
  <c r="AG32" i="40"/>
  <c r="F32" i="25" s="1"/>
  <c r="AG31" i="40"/>
  <c r="F31" i="25" s="1"/>
  <c r="AG30" i="40"/>
  <c r="F30" i="25" s="1"/>
  <c r="AG29" i="40"/>
  <c r="F29" i="25" s="1"/>
  <c r="AF28" i="40"/>
  <c r="AE28" i="40"/>
  <c r="AD28" i="40"/>
  <c r="AC28" i="40"/>
  <c r="AB28" i="40"/>
  <c r="AA28" i="40"/>
  <c r="Z28" i="40"/>
  <c r="Y28" i="40"/>
  <c r="X28" i="40"/>
  <c r="W28" i="40"/>
  <c r="V28" i="40"/>
  <c r="U28" i="40"/>
  <c r="T28" i="40"/>
  <c r="S28" i="40"/>
  <c r="R28" i="40"/>
  <c r="Q28" i="40"/>
  <c r="P28" i="40"/>
  <c r="O28" i="40"/>
  <c r="N28" i="40"/>
  <c r="M28" i="40"/>
  <c r="L28" i="40"/>
  <c r="K28" i="40"/>
  <c r="J28" i="40"/>
  <c r="I28" i="40"/>
  <c r="H28" i="40"/>
  <c r="G28" i="40"/>
  <c r="F28" i="40"/>
  <c r="E28" i="40"/>
  <c r="D28" i="40"/>
  <c r="C28" i="40"/>
  <c r="B28" i="40"/>
  <c r="AG27" i="40"/>
  <c r="F27" i="25" s="1"/>
  <c r="AG26" i="40"/>
  <c r="F26" i="25" s="1"/>
  <c r="AG25" i="40"/>
  <c r="F25" i="25" s="1"/>
  <c r="AG24" i="40"/>
  <c r="F24" i="25" s="1"/>
  <c r="AG23" i="40"/>
  <c r="F23" i="25" s="1"/>
  <c r="AG22" i="40"/>
  <c r="F22" i="25" s="1"/>
  <c r="AG21" i="40"/>
  <c r="F21" i="25" s="1"/>
  <c r="AG20" i="40"/>
  <c r="F20" i="25" s="1"/>
  <c r="AG19" i="40"/>
  <c r="F19" i="25" s="1"/>
  <c r="AG18" i="40"/>
  <c r="F18" i="25" s="1"/>
  <c r="AG17" i="40"/>
  <c r="F17" i="25" s="1"/>
  <c r="AG16" i="40"/>
  <c r="F16" i="25" s="1"/>
  <c r="AG15" i="40"/>
  <c r="F15" i="25" s="1"/>
  <c r="AG14" i="40"/>
  <c r="F14" i="25" s="1"/>
  <c r="AG13" i="40"/>
  <c r="F13" i="25" s="1"/>
  <c r="AG12" i="40"/>
  <c r="F12" i="25" s="1"/>
  <c r="AG11" i="40"/>
  <c r="F11" i="25" s="1"/>
  <c r="AG10" i="40"/>
  <c r="F10" i="25" s="1"/>
  <c r="AG9" i="40"/>
  <c r="F9" i="25" s="1"/>
  <c r="AG8" i="40"/>
  <c r="F8" i="25" s="1"/>
  <c r="AG7" i="40"/>
  <c r="F7" i="25" s="1"/>
  <c r="AG6" i="40"/>
  <c r="F6" i="25" s="1"/>
  <c r="AG5" i="40"/>
  <c r="F5" i="25" s="1"/>
  <c r="AG4" i="40"/>
  <c r="F4" i="25" s="1"/>
  <c r="AF3" i="40"/>
  <c r="AE3" i="40"/>
  <c r="AD3" i="40"/>
  <c r="AC3" i="40"/>
  <c r="AB3" i="40"/>
  <c r="AA3" i="40"/>
  <c r="Z3" i="40"/>
  <c r="Y3" i="40"/>
  <c r="X3" i="40"/>
  <c r="W3" i="40"/>
  <c r="V3" i="40"/>
  <c r="U3" i="40"/>
  <c r="T3" i="40"/>
  <c r="S3" i="40"/>
  <c r="R3" i="40"/>
  <c r="Q3" i="40"/>
  <c r="P3" i="40"/>
  <c r="O3" i="40"/>
  <c r="N3" i="40"/>
  <c r="M3" i="40"/>
  <c r="L3" i="40"/>
  <c r="K3" i="40"/>
  <c r="J3" i="40"/>
  <c r="I3" i="40"/>
  <c r="H3" i="40"/>
  <c r="G3" i="40"/>
  <c r="F3" i="40"/>
  <c r="E3" i="40"/>
  <c r="D3" i="40"/>
  <c r="C3" i="40"/>
  <c r="B3" i="40"/>
  <c r="AC2" i="40"/>
  <c r="C2" i="40"/>
  <c r="D2" i="40" s="1"/>
  <c r="E2" i="40" s="1"/>
  <c r="F2" i="40" s="1"/>
  <c r="G2" i="40" s="1"/>
  <c r="H2" i="40" s="1"/>
  <c r="I2" i="40" s="1"/>
  <c r="J2" i="40" s="1"/>
  <c r="K2" i="40" s="1"/>
  <c r="L2" i="40" s="1"/>
  <c r="M2" i="40" s="1"/>
  <c r="N2" i="40" s="1"/>
  <c r="O2" i="40" s="1"/>
  <c r="P2" i="40" s="1"/>
  <c r="Q2" i="40" s="1"/>
  <c r="R2" i="40" s="1"/>
  <c r="S2" i="40" s="1"/>
  <c r="T2" i="40" s="1"/>
  <c r="U2" i="40" s="1"/>
  <c r="V2" i="40" s="1"/>
  <c r="W2" i="40" s="1"/>
  <c r="X2" i="40" s="1"/>
  <c r="Y2" i="40" s="1"/>
  <c r="Z2" i="40" s="1"/>
  <c r="AA2" i="40" s="1"/>
  <c r="C144" i="40" l="1"/>
  <c r="J93" i="40"/>
  <c r="AD93" i="40"/>
  <c r="L93" i="40"/>
  <c r="AF93" i="40"/>
  <c r="G144" i="40"/>
  <c r="N93" i="40"/>
  <c r="Q93" i="40"/>
  <c r="T93" i="40"/>
  <c r="U93" i="40"/>
  <c r="V93" i="40"/>
  <c r="D93" i="40"/>
  <c r="X93" i="40"/>
  <c r="E93" i="40"/>
  <c r="Y93" i="40"/>
  <c r="AG232" i="40"/>
  <c r="F234" i="25" s="1"/>
  <c r="AC93" i="40"/>
  <c r="AG236" i="40"/>
  <c r="F238" i="25" s="1"/>
  <c r="AG240" i="40"/>
  <c r="F242" i="25" s="1"/>
  <c r="AG147" i="40"/>
  <c r="F147" i="25" s="1"/>
  <c r="M144" i="40"/>
  <c r="AF144" i="40"/>
  <c r="AE144" i="40"/>
  <c r="AE93" i="40"/>
  <c r="AD144" i="40"/>
  <c r="AC144" i="40"/>
  <c r="AB144" i="40"/>
  <c r="AA144" i="40"/>
  <c r="AA93" i="40"/>
  <c r="Z144" i="40"/>
  <c r="W144" i="40"/>
  <c r="W93" i="40"/>
  <c r="E144" i="40"/>
  <c r="I144" i="40"/>
  <c r="V144" i="40"/>
  <c r="U144" i="40"/>
  <c r="T144" i="40"/>
  <c r="S144" i="40"/>
  <c r="S93" i="40"/>
  <c r="R144" i="40"/>
  <c r="Q144" i="40"/>
  <c r="O144" i="40"/>
  <c r="O93" i="40"/>
  <c r="N144" i="40"/>
  <c r="L144" i="40"/>
  <c r="K144" i="40"/>
  <c r="K93" i="40"/>
  <c r="J144" i="40"/>
  <c r="AG80" i="40"/>
  <c r="F80" i="25" s="1"/>
  <c r="G93" i="40"/>
  <c r="F144" i="40"/>
  <c r="AG87" i="40"/>
  <c r="F87" i="25" s="1"/>
  <c r="AG84" i="40"/>
  <c r="F84" i="25" s="1"/>
  <c r="AG179" i="40"/>
  <c r="F179" i="25" s="1"/>
  <c r="AG206" i="40"/>
  <c r="F206" i="25" s="1"/>
  <c r="D144" i="40"/>
  <c r="AG116" i="40"/>
  <c r="F116" i="25" s="1"/>
  <c r="AG174" i="40"/>
  <c r="F174" i="25" s="1"/>
  <c r="AG145" i="40"/>
  <c r="F145" i="25" s="1"/>
  <c r="AG53" i="40"/>
  <c r="F53" i="25" s="1"/>
  <c r="B144" i="40"/>
  <c r="AG130" i="40"/>
  <c r="F130" i="25" s="1"/>
  <c r="AG78" i="40"/>
  <c r="F78" i="25" s="1"/>
  <c r="AG28" i="40"/>
  <c r="F28" i="25" s="1"/>
  <c r="AG94" i="40"/>
  <c r="F94" i="25" s="1"/>
  <c r="H144" i="40"/>
  <c r="P144" i="40"/>
  <c r="X144" i="40"/>
  <c r="AG167" i="40"/>
  <c r="F167" i="25" s="1"/>
  <c r="AG3" i="40"/>
  <c r="F3" i="25" s="1"/>
  <c r="D83" i="40"/>
  <c r="D81" i="40" s="1"/>
  <c r="H83" i="40"/>
  <c r="H81" i="40" s="1"/>
  <c r="L83" i="40"/>
  <c r="L81" i="40" s="1"/>
  <c r="P83" i="40"/>
  <c r="P81" i="40" s="1"/>
  <c r="T83" i="40"/>
  <c r="T81" i="40" s="1"/>
  <c r="X83" i="40"/>
  <c r="X81" i="40" s="1"/>
  <c r="AB83" i="40"/>
  <c r="AB81" i="40" s="1"/>
  <c r="AF83" i="40"/>
  <c r="AF81" i="40" s="1"/>
  <c r="AG100" i="40"/>
  <c r="F100" i="25" s="1"/>
  <c r="C93" i="40"/>
  <c r="AG158" i="40"/>
  <c r="F158" i="25" s="1"/>
  <c r="AG79" i="40"/>
  <c r="F79" i="25" s="1"/>
  <c r="AG82" i="40"/>
  <c r="F82" i="25" s="1"/>
  <c r="B81" i="40"/>
  <c r="J81" i="40"/>
  <c r="N81" i="40"/>
  <c r="R81" i="40"/>
  <c r="Z81" i="40"/>
  <c r="AD81" i="40"/>
  <c r="F83" i="40"/>
  <c r="F81" i="40" s="1"/>
  <c r="V83" i="40"/>
  <c r="V81" i="40" s="1"/>
  <c r="AG148" i="40"/>
  <c r="B93" i="40"/>
  <c r="E246" i="25"/>
  <c r="E245" i="25"/>
  <c r="E244" i="25"/>
  <c r="E221" i="25"/>
  <c r="AG146" i="40" l="1"/>
  <c r="F146" i="25" s="1"/>
  <c r="F148" i="25"/>
  <c r="AH87" i="40"/>
  <c r="AG144" i="40"/>
  <c r="F144" i="25" s="1"/>
  <c r="AG83" i="40"/>
  <c r="AG93" i="40"/>
  <c r="F93" i="25" s="1"/>
  <c r="AG81" i="40"/>
  <c r="AE143" i="39"/>
  <c r="AE142" i="39"/>
  <c r="AE139" i="39"/>
  <c r="AE129" i="39"/>
  <c r="AD143" i="39"/>
  <c r="AD142" i="39"/>
  <c r="AD129" i="39"/>
  <c r="AA143" i="39"/>
  <c r="AA142" i="39"/>
  <c r="AA129" i="39"/>
  <c r="Z143" i="39"/>
  <c r="Z137" i="39"/>
  <c r="Z129" i="39"/>
  <c r="B129" i="39"/>
  <c r="Y143" i="39"/>
  <c r="Y142" i="39"/>
  <c r="Y137" i="39"/>
  <c r="Y129" i="39"/>
  <c r="AH84" i="40" l="1"/>
  <c r="F83" i="25"/>
  <c r="AH81" i="40"/>
  <c r="F81" i="25"/>
  <c r="AH93" i="40"/>
  <c r="AH206" i="40"/>
  <c r="AH130" i="40"/>
  <c r="AH144" i="40"/>
  <c r="X173" i="39"/>
  <c r="X143" i="39"/>
  <c r="X129" i="39"/>
  <c r="D246" i="25" l="1"/>
  <c r="D245" i="25"/>
  <c r="D244" i="25"/>
  <c r="D221" i="25"/>
  <c r="W143" i="39"/>
  <c r="W142" i="39"/>
  <c r="W129" i="39"/>
  <c r="V143" i="39" l="1"/>
  <c r="V142" i="39"/>
  <c r="V129" i="39"/>
  <c r="U143" i="39" l="1"/>
  <c r="U142" i="39"/>
  <c r="U139" i="39"/>
  <c r="U134" i="39"/>
  <c r="U129" i="39"/>
  <c r="T143" i="39" l="1"/>
  <c r="T142" i="39"/>
  <c r="T134" i="39"/>
  <c r="T137" i="39"/>
  <c r="T129" i="39"/>
  <c r="S142" i="39" l="1"/>
  <c r="S137" i="39" l="1"/>
  <c r="S129" i="39"/>
  <c r="R134" i="39" l="1"/>
  <c r="R142" i="39"/>
  <c r="R139" i="39"/>
  <c r="R137" i="39"/>
  <c r="R129" i="39"/>
  <c r="Q143" i="39" l="1"/>
  <c r="Q142" i="39"/>
  <c r="Q129" i="39"/>
  <c r="P173" i="39" l="1"/>
  <c r="P143" i="39" l="1"/>
  <c r="P142" i="39"/>
  <c r="P129" i="39"/>
  <c r="O211" i="39"/>
  <c r="O143" i="39"/>
  <c r="O142" i="39"/>
  <c r="O139" i="39"/>
  <c r="O134" i="39"/>
  <c r="O129" i="39"/>
  <c r="N143" i="39"/>
  <c r="N134" i="39"/>
  <c r="N129" i="39"/>
  <c r="M143" i="39" l="1"/>
  <c r="M129" i="39"/>
  <c r="L143" i="39"/>
  <c r="L142" i="39"/>
  <c r="L134" i="39"/>
  <c r="L129" i="39"/>
  <c r="K137" i="39" l="1"/>
  <c r="K129" i="39"/>
  <c r="J143" i="39"/>
  <c r="J139" i="39"/>
  <c r="J129" i="39"/>
  <c r="I143" i="39"/>
  <c r="I134" i="39"/>
  <c r="I129" i="39"/>
  <c r="H143" i="39"/>
  <c r="H139" i="39"/>
  <c r="H129" i="39"/>
  <c r="G143" i="39"/>
  <c r="G134" i="39"/>
  <c r="G129" i="39"/>
  <c r="F143" i="39"/>
  <c r="F142" i="39"/>
  <c r="F129" i="39"/>
  <c r="E143" i="39"/>
  <c r="E142" i="39"/>
  <c r="E129" i="39"/>
  <c r="D134" i="39"/>
  <c r="D143" i="39"/>
  <c r="D142" i="39"/>
  <c r="D129" i="39"/>
  <c r="C143" i="39" l="1"/>
  <c r="C142" i="39"/>
  <c r="C129" i="39"/>
  <c r="B143" i="39" l="1"/>
  <c r="B142" i="39"/>
  <c r="AG248" i="39" l="1"/>
  <c r="E250" i="25" s="1"/>
  <c r="AG247" i="39"/>
  <c r="E249" i="25" s="1"/>
  <c r="AG246" i="39"/>
  <c r="E248" i="25" s="1"/>
  <c r="AG245" i="39"/>
  <c r="E247" i="25" s="1"/>
  <c r="AG241" i="39"/>
  <c r="E243" i="25" s="1"/>
  <c r="AF240" i="39"/>
  <c r="AE240" i="39"/>
  <c r="AD240" i="39"/>
  <c r="AC240" i="39"/>
  <c r="AB240" i="39"/>
  <c r="AA240" i="39"/>
  <c r="Z240" i="39"/>
  <c r="Y240" i="39"/>
  <c r="X240" i="39"/>
  <c r="W240" i="39"/>
  <c r="V240" i="39"/>
  <c r="U240" i="39"/>
  <c r="T240" i="39"/>
  <c r="S240" i="39"/>
  <c r="R240" i="39"/>
  <c r="Q240" i="39"/>
  <c r="P240" i="39"/>
  <c r="O240" i="39"/>
  <c r="N240" i="39"/>
  <c r="M240" i="39"/>
  <c r="L240" i="39"/>
  <c r="K240" i="39"/>
  <c r="J240" i="39"/>
  <c r="I240" i="39"/>
  <c r="H240" i="39"/>
  <c r="G240" i="39"/>
  <c r="F240" i="39"/>
  <c r="E240" i="39"/>
  <c r="D240" i="39"/>
  <c r="C240" i="39"/>
  <c r="B240" i="39"/>
  <c r="AG239" i="39"/>
  <c r="E241" i="25" s="1"/>
  <c r="AG238" i="39"/>
  <c r="E240" i="25" s="1"/>
  <c r="AG237" i="39"/>
  <c r="E239" i="25" s="1"/>
  <c r="AF236" i="39"/>
  <c r="AE236" i="39"/>
  <c r="AD236" i="39"/>
  <c r="AC236" i="39"/>
  <c r="AB236" i="39"/>
  <c r="AA236" i="39"/>
  <c r="Z236" i="39"/>
  <c r="Y236" i="39"/>
  <c r="X236" i="39"/>
  <c r="W236" i="39"/>
  <c r="V236" i="39"/>
  <c r="U236" i="39"/>
  <c r="T236" i="39"/>
  <c r="S236" i="39"/>
  <c r="R236" i="39"/>
  <c r="Q236" i="39"/>
  <c r="P236" i="39"/>
  <c r="O236" i="39"/>
  <c r="N236" i="39"/>
  <c r="M236" i="39"/>
  <c r="L236" i="39"/>
  <c r="K236" i="39"/>
  <c r="J236" i="39"/>
  <c r="I236" i="39"/>
  <c r="H236" i="39"/>
  <c r="G236" i="39"/>
  <c r="F236" i="39"/>
  <c r="E236" i="39"/>
  <c r="D236" i="39"/>
  <c r="C236" i="39"/>
  <c r="B236" i="39"/>
  <c r="AG235" i="39"/>
  <c r="E237" i="25" s="1"/>
  <c r="AG234" i="39"/>
  <c r="E236" i="25" s="1"/>
  <c r="AG233" i="39"/>
  <c r="E235" i="25" s="1"/>
  <c r="AF232" i="39"/>
  <c r="AE232" i="39"/>
  <c r="AD232" i="39"/>
  <c r="AC232" i="39"/>
  <c r="AB232" i="39"/>
  <c r="AA232" i="39"/>
  <c r="Z232" i="39"/>
  <c r="Y232" i="39"/>
  <c r="X232" i="39"/>
  <c r="W232" i="39"/>
  <c r="V232" i="39"/>
  <c r="U232" i="39"/>
  <c r="T232" i="39"/>
  <c r="S232" i="39"/>
  <c r="R232" i="39"/>
  <c r="Q232" i="39"/>
  <c r="P232" i="39"/>
  <c r="O232" i="39"/>
  <c r="N232" i="39"/>
  <c r="M232" i="39"/>
  <c r="L232" i="39"/>
  <c r="K232" i="39"/>
  <c r="J232" i="39"/>
  <c r="I232" i="39"/>
  <c r="H232" i="39"/>
  <c r="G232" i="39"/>
  <c r="F232" i="39"/>
  <c r="E232" i="39"/>
  <c r="D232" i="39"/>
  <c r="C232" i="39"/>
  <c r="B232" i="39"/>
  <c r="AG231" i="39"/>
  <c r="E233" i="25" s="1"/>
  <c r="AG230" i="39"/>
  <c r="E232" i="25" s="1"/>
  <c r="AG229" i="39"/>
  <c r="E231" i="25" s="1"/>
  <c r="AG228" i="39"/>
  <c r="E230" i="25" s="1"/>
  <c r="AG227" i="39"/>
  <c r="E229" i="25" s="1"/>
  <c r="AG226" i="39"/>
  <c r="E228" i="25" s="1"/>
  <c r="AG225" i="39"/>
  <c r="E227" i="25" s="1"/>
  <c r="AG224" i="39"/>
  <c r="E226" i="25" s="1"/>
  <c r="AG223" i="39"/>
  <c r="E225" i="25" s="1"/>
  <c r="AG222" i="39"/>
  <c r="E224" i="25" s="1"/>
  <c r="AG221" i="39"/>
  <c r="E223" i="25" s="1"/>
  <c r="AG220" i="39"/>
  <c r="E222" i="25" s="1"/>
  <c r="AG211" i="39"/>
  <c r="E211" i="25" s="1"/>
  <c r="AG210" i="39"/>
  <c r="E210" i="25" s="1"/>
  <c r="AG209" i="39"/>
  <c r="E209" i="25" s="1"/>
  <c r="AG208" i="39"/>
  <c r="E208" i="25" s="1"/>
  <c r="AG207" i="39"/>
  <c r="E207" i="25" s="1"/>
  <c r="AF206" i="39"/>
  <c r="AE206" i="39"/>
  <c r="AD206" i="39"/>
  <c r="AC206" i="39"/>
  <c r="AB206" i="39"/>
  <c r="AA206" i="39"/>
  <c r="Z206" i="39"/>
  <c r="Y206" i="39"/>
  <c r="X206" i="39"/>
  <c r="W206" i="39"/>
  <c r="V206" i="39"/>
  <c r="U206" i="39"/>
  <c r="T206" i="39"/>
  <c r="S206" i="39"/>
  <c r="R206" i="39"/>
  <c r="Q206" i="39"/>
  <c r="P206" i="39"/>
  <c r="O206" i="39"/>
  <c r="N206" i="39"/>
  <c r="M206" i="39"/>
  <c r="L206" i="39"/>
  <c r="K206" i="39"/>
  <c r="J206" i="39"/>
  <c r="I206" i="39"/>
  <c r="H206" i="39"/>
  <c r="G206" i="39"/>
  <c r="F206" i="39"/>
  <c r="E206" i="39"/>
  <c r="D206" i="39"/>
  <c r="C206" i="39"/>
  <c r="B206" i="39"/>
  <c r="AG205" i="39"/>
  <c r="E205" i="25" s="1"/>
  <c r="AG204" i="39"/>
  <c r="E204" i="25" s="1"/>
  <c r="AG203" i="39"/>
  <c r="E203" i="25" s="1"/>
  <c r="AG202" i="39"/>
  <c r="E202" i="25" s="1"/>
  <c r="AG201" i="39"/>
  <c r="E201" i="25" s="1"/>
  <c r="AG200" i="39"/>
  <c r="E200" i="25" s="1"/>
  <c r="AG199" i="39"/>
  <c r="E199" i="25" s="1"/>
  <c r="AG198" i="39"/>
  <c r="E198" i="25" s="1"/>
  <c r="AG197" i="39"/>
  <c r="E197" i="25" s="1"/>
  <c r="AG196" i="39"/>
  <c r="E196" i="25" s="1"/>
  <c r="AG195" i="39"/>
  <c r="E195" i="25" s="1"/>
  <c r="AG194" i="39"/>
  <c r="E194" i="25" s="1"/>
  <c r="AG193" i="39"/>
  <c r="E193" i="25" s="1"/>
  <c r="AG192" i="39"/>
  <c r="E192" i="25" s="1"/>
  <c r="AG191" i="39"/>
  <c r="E191" i="25" s="1"/>
  <c r="AG190" i="39"/>
  <c r="E190" i="25" s="1"/>
  <c r="AG189" i="39"/>
  <c r="E189" i="25" s="1"/>
  <c r="AG188" i="39"/>
  <c r="E188" i="25" s="1"/>
  <c r="AG187" i="39"/>
  <c r="E187" i="25" s="1"/>
  <c r="AG186" i="39"/>
  <c r="E186" i="25" s="1"/>
  <c r="AG185" i="39"/>
  <c r="E185" i="25" s="1"/>
  <c r="AG183" i="39"/>
  <c r="E183" i="25" s="1"/>
  <c r="AG182" i="39"/>
  <c r="E182" i="25" s="1"/>
  <c r="AG181" i="39"/>
  <c r="E181" i="25" s="1"/>
  <c r="AG180" i="39"/>
  <c r="E180" i="25" s="1"/>
  <c r="AF179" i="39"/>
  <c r="AE179" i="39"/>
  <c r="AD179" i="39"/>
  <c r="AC179" i="39"/>
  <c r="AB179" i="39"/>
  <c r="AA179" i="39"/>
  <c r="Z179" i="39"/>
  <c r="Y179" i="39"/>
  <c r="X179" i="39"/>
  <c r="W179" i="39"/>
  <c r="V179" i="39"/>
  <c r="U179" i="39"/>
  <c r="T179" i="39"/>
  <c r="S179" i="39"/>
  <c r="R179" i="39"/>
  <c r="Q179" i="39"/>
  <c r="P179" i="39"/>
  <c r="O179" i="39"/>
  <c r="N179" i="39"/>
  <c r="M179" i="39"/>
  <c r="L179" i="39"/>
  <c r="K179" i="39"/>
  <c r="J179" i="39"/>
  <c r="I179" i="39"/>
  <c r="H179" i="39"/>
  <c r="G179" i="39"/>
  <c r="F179" i="39"/>
  <c r="E179" i="39"/>
  <c r="D179" i="39"/>
  <c r="C179" i="39"/>
  <c r="B179" i="39"/>
  <c r="AG178" i="39"/>
  <c r="E178" i="25" s="1"/>
  <c r="AG177" i="39"/>
  <c r="E177" i="25" s="1"/>
  <c r="AG176" i="39"/>
  <c r="E176" i="25" s="1"/>
  <c r="AG175" i="39"/>
  <c r="E175" i="25" s="1"/>
  <c r="AF174" i="39"/>
  <c r="AE174" i="39"/>
  <c r="AD174" i="39"/>
  <c r="AC174" i="39"/>
  <c r="AB174" i="39"/>
  <c r="AA174" i="39"/>
  <c r="Z174" i="39"/>
  <c r="Y174" i="39"/>
  <c r="X174" i="39"/>
  <c r="W174" i="39"/>
  <c r="V174" i="39"/>
  <c r="U174" i="39"/>
  <c r="T174" i="39"/>
  <c r="S174" i="39"/>
  <c r="R174" i="39"/>
  <c r="Q174" i="39"/>
  <c r="P174" i="39"/>
  <c r="O174" i="39"/>
  <c r="N174" i="39"/>
  <c r="M174" i="39"/>
  <c r="L174" i="39"/>
  <c r="K174" i="39"/>
  <c r="J174" i="39"/>
  <c r="I174" i="39"/>
  <c r="H174" i="39"/>
  <c r="G174" i="39"/>
  <c r="F174" i="39"/>
  <c r="E174" i="39"/>
  <c r="D174" i="39"/>
  <c r="C174" i="39"/>
  <c r="B174" i="39"/>
  <c r="AG173" i="39"/>
  <c r="E173" i="25" s="1"/>
  <c r="AG172" i="39"/>
  <c r="E172" i="25" s="1"/>
  <c r="AG171" i="39"/>
  <c r="E171" i="25" s="1"/>
  <c r="AG170" i="39"/>
  <c r="E170" i="25" s="1"/>
  <c r="AG169" i="39"/>
  <c r="E169" i="25" s="1"/>
  <c r="AG168" i="39"/>
  <c r="E168" i="25" s="1"/>
  <c r="AF167" i="39"/>
  <c r="AE167" i="39"/>
  <c r="AD167" i="39"/>
  <c r="AC167" i="39"/>
  <c r="AB167" i="39"/>
  <c r="AA167" i="39"/>
  <c r="Z167" i="39"/>
  <c r="Y167" i="39"/>
  <c r="X167" i="39"/>
  <c r="W167" i="39"/>
  <c r="V167" i="39"/>
  <c r="U167" i="39"/>
  <c r="T167" i="39"/>
  <c r="S167" i="39"/>
  <c r="R167" i="39"/>
  <c r="Q167" i="39"/>
  <c r="P167" i="39"/>
  <c r="O167" i="39"/>
  <c r="N167" i="39"/>
  <c r="M167" i="39"/>
  <c r="L167" i="39"/>
  <c r="K167" i="39"/>
  <c r="J167" i="39"/>
  <c r="I167" i="39"/>
  <c r="H167" i="39"/>
  <c r="G167" i="39"/>
  <c r="F167" i="39"/>
  <c r="E167" i="39"/>
  <c r="D167" i="39"/>
  <c r="C167" i="39"/>
  <c r="B167" i="39"/>
  <c r="AG166" i="39"/>
  <c r="E166" i="25" s="1"/>
  <c r="AG165" i="39"/>
  <c r="E165" i="25" s="1"/>
  <c r="AG164" i="39"/>
  <c r="E164" i="25" s="1"/>
  <c r="AG163" i="39"/>
  <c r="E163" i="25" s="1"/>
  <c r="AG162" i="39"/>
  <c r="E162" i="25" s="1"/>
  <c r="AG161" i="39"/>
  <c r="E161" i="25" s="1"/>
  <c r="AG160" i="39"/>
  <c r="E160" i="25" s="1"/>
  <c r="AG159" i="39"/>
  <c r="E159" i="25" s="1"/>
  <c r="AF158" i="39"/>
  <c r="AE158" i="39"/>
  <c r="AD158" i="39"/>
  <c r="AC158" i="39"/>
  <c r="AB158" i="39"/>
  <c r="AA158" i="39"/>
  <c r="Z158" i="39"/>
  <c r="Y158" i="39"/>
  <c r="X158" i="39"/>
  <c r="W158" i="39"/>
  <c r="V158" i="39"/>
  <c r="U158" i="39"/>
  <c r="T158" i="39"/>
  <c r="S158" i="39"/>
  <c r="R158" i="39"/>
  <c r="Q158" i="39"/>
  <c r="P158" i="39"/>
  <c r="O158" i="39"/>
  <c r="N158" i="39"/>
  <c r="M158" i="39"/>
  <c r="L158" i="39"/>
  <c r="K158" i="39"/>
  <c r="J158" i="39"/>
  <c r="I158" i="39"/>
  <c r="H158" i="39"/>
  <c r="G158" i="39"/>
  <c r="F158" i="39"/>
  <c r="E158" i="39"/>
  <c r="D158" i="39"/>
  <c r="C158" i="39"/>
  <c r="B158" i="39"/>
  <c r="AG157" i="39"/>
  <c r="E157" i="25" s="1"/>
  <c r="AG156" i="39"/>
  <c r="E156" i="25" s="1"/>
  <c r="AG155" i="39"/>
  <c r="E155" i="25" s="1"/>
  <c r="AG154" i="39"/>
  <c r="E154" i="25" s="1"/>
  <c r="AG153" i="39"/>
  <c r="E153" i="25" s="1"/>
  <c r="AG152" i="39"/>
  <c r="E152" i="25" s="1"/>
  <c r="AG151" i="39"/>
  <c r="E151" i="25" s="1"/>
  <c r="AG150" i="39"/>
  <c r="E150" i="25" s="1"/>
  <c r="AG149" i="39"/>
  <c r="E149" i="25" s="1"/>
  <c r="AF148" i="39"/>
  <c r="AE148" i="39"/>
  <c r="AE146" i="39" s="1"/>
  <c r="AD148" i="39"/>
  <c r="AC148" i="39"/>
  <c r="AC146" i="39" s="1"/>
  <c r="AB148" i="39"/>
  <c r="AB146" i="39" s="1"/>
  <c r="AA148" i="39"/>
  <c r="AA146" i="39" s="1"/>
  <c r="Z148" i="39"/>
  <c r="Z146" i="39" s="1"/>
  <c r="Y148" i="39"/>
  <c r="Y146" i="39" s="1"/>
  <c r="Y144" i="39" s="1"/>
  <c r="X148" i="39"/>
  <c r="X146" i="39" s="1"/>
  <c r="X144" i="39" s="1"/>
  <c r="W148" i="39"/>
  <c r="W146" i="39" s="1"/>
  <c r="V148" i="39"/>
  <c r="V146" i="39" s="1"/>
  <c r="U148" i="39"/>
  <c r="U146" i="39" s="1"/>
  <c r="T148" i="39"/>
  <c r="S148" i="39"/>
  <c r="S146" i="39" s="1"/>
  <c r="R148" i="39"/>
  <c r="Q148" i="39"/>
  <c r="Q146" i="39" s="1"/>
  <c r="P148" i="39"/>
  <c r="O148" i="39"/>
  <c r="O146" i="39" s="1"/>
  <c r="N148" i="39"/>
  <c r="M148" i="39"/>
  <c r="M146" i="39" s="1"/>
  <c r="M144" i="39" s="1"/>
  <c r="L148" i="39"/>
  <c r="K148" i="39"/>
  <c r="K146" i="39" s="1"/>
  <c r="K144" i="39" s="1"/>
  <c r="J148" i="39"/>
  <c r="J146" i="39" s="1"/>
  <c r="I148" i="39"/>
  <c r="I146" i="39" s="1"/>
  <c r="H148" i="39"/>
  <c r="G148" i="39"/>
  <c r="G146" i="39" s="1"/>
  <c r="F148" i="39"/>
  <c r="F146" i="39" s="1"/>
  <c r="E148" i="39"/>
  <c r="E146" i="39" s="1"/>
  <c r="D148" i="39"/>
  <c r="D146" i="39" s="1"/>
  <c r="C148" i="39"/>
  <c r="B148" i="39"/>
  <c r="B146" i="39" s="1"/>
  <c r="AE147" i="39"/>
  <c r="AD147" i="39"/>
  <c r="AC147" i="39"/>
  <c r="AB147" i="39"/>
  <c r="AA147" i="39"/>
  <c r="Z147" i="39"/>
  <c r="Y147" i="39"/>
  <c r="X147" i="39"/>
  <c r="W147" i="39"/>
  <c r="V147" i="39"/>
  <c r="U147" i="39"/>
  <c r="T147" i="39"/>
  <c r="S147" i="39"/>
  <c r="R147" i="39"/>
  <c r="Q147" i="39"/>
  <c r="P147" i="39"/>
  <c r="O147" i="39"/>
  <c r="N147" i="39"/>
  <c r="M147" i="39"/>
  <c r="L147" i="39"/>
  <c r="K147" i="39"/>
  <c r="J147" i="39"/>
  <c r="I147" i="39"/>
  <c r="H147" i="39"/>
  <c r="G147" i="39"/>
  <c r="F147" i="39"/>
  <c r="E147" i="39"/>
  <c r="D147" i="39"/>
  <c r="C147" i="39"/>
  <c r="B147" i="39"/>
  <c r="AF146" i="39"/>
  <c r="AF144" i="39" s="1"/>
  <c r="AD146" i="39"/>
  <c r="T146" i="39"/>
  <c r="R146" i="39"/>
  <c r="P146" i="39"/>
  <c r="N146" i="39"/>
  <c r="L146" i="39"/>
  <c r="H146" i="39"/>
  <c r="H144" i="39" s="1"/>
  <c r="AF145" i="39"/>
  <c r="AE145" i="39"/>
  <c r="AD145" i="39"/>
  <c r="AC145" i="39"/>
  <c r="AB145" i="39"/>
  <c r="AA145" i="39"/>
  <c r="Z145" i="39"/>
  <c r="Y145" i="39"/>
  <c r="X145" i="39"/>
  <c r="W145" i="39"/>
  <c r="V145" i="39"/>
  <c r="U145" i="39"/>
  <c r="T145" i="39"/>
  <c r="S145" i="39"/>
  <c r="R145" i="39"/>
  <c r="Q145" i="39"/>
  <c r="P145" i="39"/>
  <c r="O145" i="39"/>
  <c r="N145" i="39"/>
  <c r="M145" i="39"/>
  <c r="L145" i="39"/>
  <c r="K145" i="39"/>
  <c r="J145" i="39"/>
  <c r="I145" i="39"/>
  <c r="H145" i="39"/>
  <c r="G145" i="39"/>
  <c r="F145" i="39"/>
  <c r="E145" i="39"/>
  <c r="D145" i="39"/>
  <c r="C145" i="39"/>
  <c r="B145" i="39"/>
  <c r="AG143" i="39"/>
  <c r="E143" i="25" s="1"/>
  <c r="AG142" i="39"/>
  <c r="E142" i="25" s="1"/>
  <c r="AG141" i="39"/>
  <c r="E141" i="25" s="1"/>
  <c r="AG140" i="39"/>
  <c r="E140" i="25" s="1"/>
  <c r="AG139" i="39"/>
  <c r="E139" i="25" s="1"/>
  <c r="AG138" i="39"/>
  <c r="E138" i="25" s="1"/>
  <c r="AG137" i="39"/>
  <c r="E137" i="25" s="1"/>
  <c r="AG136" i="39"/>
  <c r="E136" i="25" s="1"/>
  <c r="AG135" i="39"/>
  <c r="E135" i="25" s="1"/>
  <c r="AG134" i="39"/>
  <c r="E134" i="25" s="1"/>
  <c r="AG133" i="39"/>
  <c r="E133" i="25" s="1"/>
  <c r="AG132" i="39"/>
  <c r="E132" i="25" s="1"/>
  <c r="AG131" i="39"/>
  <c r="E131" i="25" s="1"/>
  <c r="AF130" i="39"/>
  <c r="AE130" i="39"/>
  <c r="AD130" i="39"/>
  <c r="AC130" i="39"/>
  <c r="AB130" i="39"/>
  <c r="AA130" i="39"/>
  <c r="Z130" i="39"/>
  <c r="Y130" i="39"/>
  <c r="X130" i="39"/>
  <c r="W130" i="39"/>
  <c r="V130" i="39"/>
  <c r="U130" i="39"/>
  <c r="T130" i="39"/>
  <c r="S130" i="39"/>
  <c r="R130" i="39"/>
  <c r="Q130" i="39"/>
  <c r="P130" i="39"/>
  <c r="O130" i="39"/>
  <c r="N130" i="39"/>
  <c r="M130" i="39"/>
  <c r="L130" i="39"/>
  <c r="K130" i="39"/>
  <c r="J130" i="39"/>
  <c r="I130" i="39"/>
  <c r="H130" i="39"/>
  <c r="G130" i="39"/>
  <c r="F130" i="39"/>
  <c r="E130" i="39"/>
  <c r="D130" i="39"/>
  <c r="C130" i="39"/>
  <c r="B130" i="39"/>
  <c r="AG129" i="39"/>
  <c r="E129" i="25" s="1"/>
  <c r="AG128" i="39"/>
  <c r="E128" i="25" s="1"/>
  <c r="AG127" i="39"/>
  <c r="E127" i="25" s="1"/>
  <c r="AG126" i="39"/>
  <c r="E126" i="25" s="1"/>
  <c r="AG125" i="39"/>
  <c r="E125" i="25" s="1"/>
  <c r="AG124" i="39"/>
  <c r="E124" i="25" s="1"/>
  <c r="AG123" i="39"/>
  <c r="E123" i="25" s="1"/>
  <c r="AG122" i="39"/>
  <c r="E122" i="25" s="1"/>
  <c r="AG121" i="39"/>
  <c r="E121" i="25" s="1"/>
  <c r="AG120" i="39"/>
  <c r="E120" i="25" s="1"/>
  <c r="AG119" i="39"/>
  <c r="E119" i="25" s="1"/>
  <c r="AG118" i="39"/>
  <c r="E118" i="25" s="1"/>
  <c r="AG117" i="39"/>
  <c r="E117" i="25" s="1"/>
  <c r="AF116" i="39"/>
  <c r="AE116" i="39"/>
  <c r="AD116" i="39"/>
  <c r="AC116" i="39"/>
  <c r="AB116" i="39"/>
  <c r="AA116" i="39"/>
  <c r="Z116" i="39"/>
  <c r="Y116" i="39"/>
  <c r="X116" i="39"/>
  <c r="W116" i="39"/>
  <c r="V116" i="39"/>
  <c r="U116" i="39"/>
  <c r="T116" i="39"/>
  <c r="S116" i="39"/>
  <c r="R116" i="39"/>
  <c r="Q116" i="39"/>
  <c r="P116" i="39"/>
  <c r="O116" i="39"/>
  <c r="N116" i="39"/>
  <c r="M116" i="39"/>
  <c r="L116" i="39"/>
  <c r="K116" i="39"/>
  <c r="J116" i="39"/>
  <c r="I116" i="39"/>
  <c r="H116" i="39"/>
  <c r="G116" i="39"/>
  <c r="F116" i="39"/>
  <c r="E116" i="39"/>
  <c r="D116" i="39"/>
  <c r="C116" i="39"/>
  <c r="B116" i="39"/>
  <c r="AG115" i="39"/>
  <c r="E115" i="25" s="1"/>
  <c r="AG114" i="39"/>
  <c r="E114" i="25" s="1"/>
  <c r="AG113" i="39"/>
  <c r="E113" i="25" s="1"/>
  <c r="AG112" i="39"/>
  <c r="E112" i="25" s="1"/>
  <c r="AG111" i="39"/>
  <c r="E111" i="25" s="1"/>
  <c r="AG110" i="39"/>
  <c r="E110" i="25" s="1"/>
  <c r="AG109" i="39"/>
  <c r="E109" i="25" s="1"/>
  <c r="AG108" i="39"/>
  <c r="E108" i="25" s="1"/>
  <c r="AG107" i="39"/>
  <c r="E107" i="25" s="1"/>
  <c r="AG106" i="39"/>
  <c r="E106" i="25" s="1"/>
  <c r="AG105" i="39"/>
  <c r="E105" i="25" s="1"/>
  <c r="AG104" i="39"/>
  <c r="E104" i="25" s="1"/>
  <c r="AG103" i="39"/>
  <c r="E103" i="25" s="1"/>
  <c r="AG102" i="39"/>
  <c r="E102" i="25" s="1"/>
  <c r="AG101" i="39"/>
  <c r="E101" i="25" s="1"/>
  <c r="AF100" i="39"/>
  <c r="AE100" i="39"/>
  <c r="AD100" i="39"/>
  <c r="AC100" i="39"/>
  <c r="AB100" i="39"/>
  <c r="AA100" i="39"/>
  <c r="Z100" i="39"/>
  <c r="Y100" i="39"/>
  <c r="X100" i="39"/>
  <c r="W100" i="39"/>
  <c r="W93" i="39" s="1"/>
  <c r="V100" i="39"/>
  <c r="U100" i="39"/>
  <c r="T100" i="39"/>
  <c r="S100" i="39"/>
  <c r="R100" i="39"/>
  <c r="Q100" i="39"/>
  <c r="P100" i="39"/>
  <c r="O100" i="39"/>
  <c r="N100" i="39"/>
  <c r="M100" i="39"/>
  <c r="L100" i="39"/>
  <c r="K100" i="39"/>
  <c r="J100" i="39"/>
  <c r="I100" i="39"/>
  <c r="H100" i="39"/>
  <c r="G100" i="39"/>
  <c r="F100" i="39"/>
  <c r="E100" i="39"/>
  <c r="D100" i="39"/>
  <c r="C100" i="39"/>
  <c r="B100" i="39"/>
  <c r="AG99" i="39"/>
  <c r="E99" i="25" s="1"/>
  <c r="AG98" i="39"/>
  <c r="E98" i="25" s="1"/>
  <c r="AG97" i="39"/>
  <c r="E97" i="25" s="1"/>
  <c r="AG96" i="39"/>
  <c r="E96" i="25" s="1"/>
  <c r="AG95" i="39"/>
  <c r="E95" i="25" s="1"/>
  <c r="AF94" i="39"/>
  <c r="AE94" i="39"/>
  <c r="AE93" i="39" s="1"/>
  <c r="AD94" i="39"/>
  <c r="AC94" i="39"/>
  <c r="AB94" i="39"/>
  <c r="AB93" i="39" s="1"/>
  <c r="AA94" i="39"/>
  <c r="AA93" i="39" s="1"/>
  <c r="Z94" i="39"/>
  <c r="Z93" i="39" s="1"/>
  <c r="Y94" i="39"/>
  <c r="X94" i="39"/>
  <c r="W94" i="39"/>
  <c r="V94" i="39"/>
  <c r="U94" i="39"/>
  <c r="T94" i="39"/>
  <c r="S94" i="39"/>
  <c r="R94" i="39"/>
  <c r="Q94" i="39"/>
  <c r="P94" i="39"/>
  <c r="P93" i="39" s="1"/>
  <c r="O94" i="39"/>
  <c r="N94" i="39"/>
  <c r="M94" i="39"/>
  <c r="L94" i="39"/>
  <c r="K94" i="39"/>
  <c r="J94" i="39"/>
  <c r="I94" i="39"/>
  <c r="H94" i="39"/>
  <c r="G94" i="39"/>
  <c r="G93" i="39" s="1"/>
  <c r="F94" i="39"/>
  <c r="F93" i="39" s="1"/>
  <c r="E94" i="39"/>
  <c r="D94" i="39"/>
  <c r="C94" i="39"/>
  <c r="B94" i="39"/>
  <c r="AG92" i="39"/>
  <c r="E92" i="25" s="1"/>
  <c r="AG91" i="39"/>
  <c r="E91" i="25" s="1"/>
  <c r="AG90" i="39"/>
  <c r="E90" i="25" s="1"/>
  <c r="AG89" i="39"/>
  <c r="E89" i="25" s="1"/>
  <c r="AG88" i="39"/>
  <c r="E88" i="25" s="1"/>
  <c r="AF87" i="39"/>
  <c r="AE87" i="39"/>
  <c r="AD87" i="39"/>
  <c r="AC87" i="39"/>
  <c r="AB87" i="39"/>
  <c r="AA87" i="39"/>
  <c r="Z87" i="39"/>
  <c r="Y87" i="39"/>
  <c r="X87" i="39"/>
  <c r="W87" i="39"/>
  <c r="V87" i="39"/>
  <c r="U87" i="39"/>
  <c r="T87" i="39"/>
  <c r="S87" i="39"/>
  <c r="R87" i="39"/>
  <c r="Q87" i="39"/>
  <c r="P87" i="39"/>
  <c r="O87" i="39"/>
  <c r="N87" i="39"/>
  <c r="M87" i="39"/>
  <c r="L87" i="39"/>
  <c r="K87" i="39"/>
  <c r="J87" i="39"/>
  <c r="I87" i="39"/>
  <c r="H87" i="39"/>
  <c r="G87" i="39"/>
  <c r="F87" i="39"/>
  <c r="E87" i="39"/>
  <c r="D87" i="39"/>
  <c r="C87" i="39"/>
  <c r="B87" i="39"/>
  <c r="AG86" i="39"/>
  <c r="E86" i="25" s="1"/>
  <c r="AG85" i="39"/>
  <c r="E85" i="25" s="1"/>
  <c r="AF84" i="39"/>
  <c r="AE84" i="39"/>
  <c r="AD84" i="39"/>
  <c r="AC84" i="39"/>
  <c r="AB84" i="39"/>
  <c r="AA84" i="39"/>
  <c r="Z84" i="39"/>
  <c r="Y84" i="39"/>
  <c r="X84" i="39"/>
  <c r="W84" i="39"/>
  <c r="V84" i="39"/>
  <c r="U84" i="39"/>
  <c r="T84" i="39"/>
  <c r="S84" i="39"/>
  <c r="R84" i="39"/>
  <c r="Q84" i="39"/>
  <c r="P84" i="39"/>
  <c r="O84" i="39"/>
  <c r="N84" i="39"/>
  <c r="M84" i="39"/>
  <c r="L84" i="39"/>
  <c r="K84" i="39"/>
  <c r="J84" i="39"/>
  <c r="I84" i="39"/>
  <c r="H84" i="39"/>
  <c r="G84" i="39"/>
  <c r="F84" i="39"/>
  <c r="E84" i="39"/>
  <c r="D84" i="39"/>
  <c r="C84" i="39"/>
  <c r="B84" i="39"/>
  <c r="AF82" i="39"/>
  <c r="AE82" i="39"/>
  <c r="AE83" i="39" s="1"/>
  <c r="AE81" i="39" s="1"/>
  <c r="AD82" i="39"/>
  <c r="AD83" i="39" s="1"/>
  <c r="AC82" i="39"/>
  <c r="AC83" i="39" s="1"/>
  <c r="AB82" i="39"/>
  <c r="AB83" i="39" s="1"/>
  <c r="AA83" i="39"/>
  <c r="AA81" i="39" s="1"/>
  <c r="Z83" i="39"/>
  <c r="Y82" i="39"/>
  <c r="Y83" i="39" s="1"/>
  <c r="X82" i="39"/>
  <c r="X83" i="39" s="1"/>
  <c r="W82" i="39"/>
  <c r="W83" i="39" s="1"/>
  <c r="W81" i="39" s="1"/>
  <c r="V82" i="39"/>
  <c r="V83" i="39" s="1"/>
  <c r="U82" i="39"/>
  <c r="U83" i="39" s="1"/>
  <c r="S83" i="39"/>
  <c r="S81" i="39" s="1"/>
  <c r="R82" i="39"/>
  <c r="R83" i="39" s="1"/>
  <c r="Q82" i="39"/>
  <c r="Q83" i="39" s="1"/>
  <c r="Q81" i="39" s="1"/>
  <c r="P82" i="39"/>
  <c r="O82" i="39"/>
  <c r="O83" i="39" s="1"/>
  <c r="N82" i="39"/>
  <c r="N83" i="39" s="1"/>
  <c r="M83" i="39"/>
  <c r="M81" i="39" s="1"/>
  <c r="L83" i="39"/>
  <c r="K83" i="39"/>
  <c r="K81" i="39" s="1"/>
  <c r="J82" i="39"/>
  <c r="J83" i="39" s="1"/>
  <c r="I82" i="39"/>
  <c r="I83" i="39" s="1"/>
  <c r="H82" i="39"/>
  <c r="H83" i="39" s="1"/>
  <c r="G82" i="39"/>
  <c r="G83" i="39" s="1"/>
  <c r="F83" i="39"/>
  <c r="E83" i="39"/>
  <c r="E81" i="39" s="1"/>
  <c r="D82" i="39"/>
  <c r="C82" i="39"/>
  <c r="C83" i="39" s="1"/>
  <c r="B82" i="39"/>
  <c r="B83" i="39" s="1"/>
  <c r="Y81" i="39"/>
  <c r="U81" i="39"/>
  <c r="C81" i="39"/>
  <c r="AF80" i="39"/>
  <c r="AC80" i="39"/>
  <c r="AC79" i="39" s="1"/>
  <c r="AC78" i="39" s="1"/>
  <c r="AB80" i="39"/>
  <c r="AB79" i="39" s="1"/>
  <c r="AB78" i="39" s="1"/>
  <c r="AA80" i="39"/>
  <c r="AA79" i="39" s="1"/>
  <c r="AA78" i="39" s="1"/>
  <c r="Y80" i="39"/>
  <c r="Y79" i="39" s="1"/>
  <c r="Y78" i="39" s="1"/>
  <c r="V80" i="39"/>
  <c r="V79" i="39" s="1"/>
  <c r="V78" i="39" s="1"/>
  <c r="U80" i="39"/>
  <c r="U79" i="39" s="1"/>
  <c r="U78" i="39" s="1"/>
  <c r="T80" i="39"/>
  <c r="S80" i="39"/>
  <c r="S79" i="39" s="1"/>
  <c r="S78" i="39" s="1"/>
  <c r="R80" i="39"/>
  <c r="O80" i="39"/>
  <c r="N80" i="39"/>
  <c r="N79" i="39" s="1"/>
  <c r="N78" i="39" s="1"/>
  <c r="M80" i="39"/>
  <c r="M79" i="39" s="1"/>
  <c r="M78" i="39" s="1"/>
  <c r="H80" i="39"/>
  <c r="G80" i="39"/>
  <c r="G79" i="39" s="1"/>
  <c r="G78" i="39" s="1"/>
  <c r="F80" i="39"/>
  <c r="F79" i="39" s="1"/>
  <c r="F78" i="39" s="1"/>
  <c r="AF79" i="39"/>
  <c r="AF78" i="39" s="1"/>
  <c r="AE79" i="39"/>
  <c r="AE78" i="39" s="1"/>
  <c r="AD79" i="39"/>
  <c r="AD78" i="39" s="1"/>
  <c r="Z79" i="39"/>
  <c r="Z78" i="39" s="1"/>
  <c r="X79" i="39"/>
  <c r="X78" i="39" s="1"/>
  <c r="W79" i="39"/>
  <c r="W78" i="39" s="1"/>
  <c r="T79" i="39"/>
  <c r="T78" i="39" s="1"/>
  <c r="R79" i="39"/>
  <c r="R78" i="39" s="1"/>
  <c r="Q79" i="39"/>
  <c r="Q78" i="39" s="1"/>
  <c r="P79" i="39"/>
  <c r="P78" i="39" s="1"/>
  <c r="O79" i="39"/>
  <c r="O78" i="39" s="1"/>
  <c r="L79" i="39"/>
  <c r="L78" i="39" s="1"/>
  <c r="K79" i="39"/>
  <c r="K78" i="39" s="1"/>
  <c r="J79" i="39"/>
  <c r="J78" i="39" s="1"/>
  <c r="I79" i="39"/>
  <c r="I78" i="39" s="1"/>
  <c r="H79" i="39"/>
  <c r="H78" i="39" s="1"/>
  <c r="E79" i="39"/>
  <c r="E78" i="39" s="1"/>
  <c r="D79" i="39"/>
  <c r="D78" i="39" s="1"/>
  <c r="C79" i="39"/>
  <c r="C78" i="39" s="1"/>
  <c r="B79" i="39"/>
  <c r="B78" i="39" s="1"/>
  <c r="AG77" i="39"/>
  <c r="E77" i="25" s="1"/>
  <c r="AG76" i="39"/>
  <c r="E76" i="25" s="1"/>
  <c r="AG75" i="39"/>
  <c r="E75" i="25" s="1"/>
  <c r="AG74" i="39"/>
  <c r="E74" i="25" s="1"/>
  <c r="AG73" i="39"/>
  <c r="E73" i="25" s="1"/>
  <c r="AG72" i="39"/>
  <c r="E72" i="25" s="1"/>
  <c r="AG71" i="39"/>
  <c r="E71" i="25" s="1"/>
  <c r="AG70" i="39"/>
  <c r="E70" i="25" s="1"/>
  <c r="AG69" i="39"/>
  <c r="E69" i="25" s="1"/>
  <c r="AG68" i="39"/>
  <c r="E68" i="25" s="1"/>
  <c r="AG67" i="39"/>
  <c r="E67" i="25" s="1"/>
  <c r="AG66" i="39"/>
  <c r="E66" i="25" s="1"/>
  <c r="AG65" i="39"/>
  <c r="E65" i="25" s="1"/>
  <c r="AG64" i="39"/>
  <c r="E64" i="25" s="1"/>
  <c r="AG63" i="39"/>
  <c r="E63" i="25" s="1"/>
  <c r="AG62" i="39"/>
  <c r="E62" i="25" s="1"/>
  <c r="AG61" i="39"/>
  <c r="E61" i="25" s="1"/>
  <c r="AG60" i="39"/>
  <c r="E60" i="25" s="1"/>
  <c r="AG59" i="39"/>
  <c r="E59" i="25" s="1"/>
  <c r="AG58" i="39"/>
  <c r="E58" i="25" s="1"/>
  <c r="AG57" i="39"/>
  <c r="E57" i="25" s="1"/>
  <c r="AG56" i="39"/>
  <c r="E56" i="25" s="1"/>
  <c r="AG55" i="39"/>
  <c r="E55" i="25" s="1"/>
  <c r="AG54" i="39"/>
  <c r="E54" i="25" s="1"/>
  <c r="AF53" i="39"/>
  <c r="AE53" i="39"/>
  <c r="AD53" i="39"/>
  <c r="AC53" i="39"/>
  <c r="AB53" i="39"/>
  <c r="AA53" i="39"/>
  <c r="Z53" i="39"/>
  <c r="Y53" i="39"/>
  <c r="X53" i="39"/>
  <c r="W53" i="39"/>
  <c r="V53" i="39"/>
  <c r="U53" i="39"/>
  <c r="T53" i="39"/>
  <c r="S53" i="39"/>
  <c r="R53" i="39"/>
  <c r="Q53" i="39"/>
  <c r="P53" i="39"/>
  <c r="O53" i="39"/>
  <c r="N53" i="39"/>
  <c r="M53" i="39"/>
  <c r="L53" i="39"/>
  <c r="K53" i="39"/>
  <c r="J53" i="39"/>
  <c r="I53" i="39"/>
  <c r="H53" i="39"/>
  <c r="G53" i="39"/>
  <c r="F53" i="39"/>
  <c r="E53" i="39"/>
  <c r="D53" i="39"/>
  <c r="C53" i="39"/>
  <c r="B53" i="39"/>
  <c r="AG52" i="39"/>
  <c r="E52" i="25" s="1"/>
  <c r="AG51" i="39"/>
  <c r="E51" i="25" s="1"/>
  <c r="AG50" i="39"/>
  <c r="E50" i="25" s="1"/>
  <c r="AG49" i="39"/>
  <c r="E49" i="25" s="1"/>
  <c r="AG48" i="39"/>
  <c r="E48" i="25" s="1"/>
  <c r="AG47" i="39"/>
  <c r="E47" i="25" s="1"/>
  <c r="AG46" i="39"/>
  <c r="E46" i="25" s="1"/>
  <c r="AG45" i="39"/>
  <c r="E45" i="25" s="1"/>
  <c r="AG44" i="39"/>
  <c r="E44" i="25" s="1"/>
  <c r="AG43" i="39"/>
  <c r="E43" i="25" s="1"/>
  <c r="AG42" i="39"/>
  <c r="E42" i="25" s="1"/>
  <c r="AG41" i="39"/>
  <c r="E41" i="25" s="1"/>
  <c r="AG40" i="39"/>
  <c r="E40" i="25" s="1"/>
  <c r="AG39" i="39"/>
  <c r="E39" i="25" s="1"/>
  <c r="AG38" i="39"/>
  <c r="E38" i="25" s="1"/>
  <c r="AG37" i="39"/>
  <c r="E37" i="25" s="1"/>
  <c r="AG36" i="39"/>
  <c r="E36" i="25" s="1"/>
  <c r="AG35" i="39"/>
  <c r="E35" i="25" s="1"/>
  <c r="AG34" i="39"/>
  <c r="E34" i="25" s="1"/>
  <c r="AG33" i="39"/>
  <c r="E33" i="25" s="1"/>
  <c r="AG32" i="39"/>
  <c r="E32" i="25" s="1"/>
  <c r="AG31" i="39"/>
  <c r="E31" i="25" s="1"/>
  <c r="AG30" i="39"/>
  <c r="E30" i="25" s="1"/>
  <c r="AG29" i="39"/>
  <c r="E29" i="25" s="1"/>
  <c r="AF28" i="39"/>
  <c r="AE28" i="39"/>
  <c r="AD28" i="39"/>
  <c r="AC28" i="39"/>
  <c r="AB28" i="39"/>
  <c r="AA28" i="39"/>
  <c r="Z28" i="39"/>
  <c r="Y28" i="39"/>
  <c r="X28" i="39"/>
  <c r="W28" i="39"/>
  <c r="V28" i="39"/>
  <c r="U28" i="39"/>
  <c r="T28" i="39"/>
  <c r="S28" i="39"/>
  <c r="R28" i="39"/>
  <c r="Q28" i="39"/>
  <c r="P28" i="39"/>
  <c r="O28" i="39"/>
  <c r="N28" i="39"/>
  <c r="M28" i="39"/>
  <c r="L28" i="39"/>
  <c r="K28" i="39"/>
  <c r="J28" i="39"/>
  <c r="I28" i="39"/>
  <c r="H28" i="39"/>
  <c r="G28" i="39"/>
  <c r="F28" i="39"/>
  <c r="E28" i="39"/>
  <c r="D28" i="39"/>
  <c r="C28" i="39"/>
  <c r="B28" i="39"/>
  <c r="AG27" i="39"/>
  <c r="E27" i="25" s="1"/>
  <c r="AG26" i="39"/>
  <c r="E26" i="25" s="1"/>
  <c r="AG25" i="39"/>
  <c r="E25" i="25" s="1"/>
  <c r="AG24" i="39"/>
  <c r="E24" i="25" s="1"/>
  <c r="AG23" i="39"/>
  <c r="E23" i="25" s="1"/>
  <c r="AG22" i="39"/>
  <c r="E22" i="25" s="1"/>
  <c r="AG21" i="39"/>
  <c r="E21" i="25" s="1"/>
  <c r="AG20" i="39"/>
  <c r="E20" i="25" s="1"/>
  <c r="AG19" i="39"/>
  <c r="E19" i="25" s="1"/>
  <c r="AG18" i="39"/>
  <c r="E18" i="25" s="1"/>
  <c r="AG17" i="39"/>
  <c r="E17" i="25" s="1"/>
  <c r="AG16" i="39"/>
  <c r="E16" i="25" s="1"/>
  <c r="AG15" i="39"/>
  <c r="E15" i="25" s="1"/>
  <c r="AG14" i="39"/>
  <c r="E14" i="25" s="1"/>
  <c r="AG13" i="39"/>
  <c r="E13" i="25" s="1"/>
  <c r="AG12" i="39"/>
  <c r="E12" i="25" s="1"/>
  <c r="AG11" i="39"/>
  <c r="E11" i="25" s="1"/>
  <c r="AG10" i="39"/>
  <c r="E10" i="25" s="1"/>
  <c r="AG9" i="39"/>
  <c r="E9" i="25" s="1"/>
  <c r="AG8" i="39"/>
  <c r="E8" i="25" s="1"/>
  <c r="AG7" i="39"/>
  <c r="E7" i="25" s="1"/>
  <c r="AG6" i="39"/>
  <c r="E6" i="25" s="1"/>
  <c r="AG5" i="39"/>
  <c r="E5" i="25" s="1"/>
  <c r="AG4" i="39"/>
  <c r="E4" i="25" s="1"/>
  <c r="AF3" i="39"/>
  <c r="AE3" i="39"/>
  <c r="AD3" i="39"/>
  <c r="AC3" i="39"/>
  <c r="AB3" i="39"/>
  <c r="AA3" i="39"/>
  <c r="Z3" i="39"/>
  <c r="Y3" i="39"/>
  <c r="X3" i="39"/>
  <c r="W3" i="39"/>
  <c r="V3" i="39"/>
  <c r="U3" i="39"/>
  <c r="T3" i="39"/>
  <c r="S3" i="39"/>
  <c r="R3" i="39"/>
  <c r="Q3" i="39"/>
  <c r="P3" i="39"/>
  <c r="O3" i="39"/>
  <c r="N3" i="39"/>
  <c r="M3" i="39"/>
  <c r="L3" i="39"/>
  <c r="K3" i="39"/>
  <c r="J3" i="39"/>
  <c r="I3" i="39"/>
  <c r="H3" i="39"/>
  <c r="G3" i="39"/>
  <c r="F3" i="39"/>
  <c r="E3" i="39"/>
  <c r="D3" i="39"/>
  <c r="C3" i="39"/>
  <c r="B3" i="39"/>
  <c r="AC2" i="39"/>
  <c r="C2" i="39"/>
  <c r="D2" i="39" s="1"/>
  <c r="E2" i="39" s="1"/>
  <c r="F2" i="39" s="1"/>
  <c r="G2" i="39" s="1"/>
  <c r="H2" i="39" s="1"/>
  <c r="I2" i="39" s="1"/>
  <c r="J2" i="39" s="1"/>
  <c r="K2" i="39" s="1"/>
  <c r="L2" i="39" s="1"/>
  <c r="M2" i="39" s="1"/>
  <c r="N2" i="39" s="1"/>
  <c r="O2" i="39" s="1"/>
  <c r="P2" i="39" s="1"/>
  <c r="Q2" i="39" s="1"/>
  <c r="R2" i="39" s="1"/>
  <c r="S2" i="39" s="1"/>
  <c r="T2" i="39" s="1"/>
  <c r="U2" i="39" s="1"/>
  <c r="V2" i="39" s="1"/>
  <c r="W2" i="39" s="1"/>
  <c r="X2" i="39" s="1"/>
  <c r="Y2" i="39" s="1"/>
  <c r="Z2" i="39" s="1"/>
  <c r="AA2" i="39" s="1"/>
  <c r="L93" i="39" l="1"/>
  <c r="AF93" i="39"/>
  <c r="N93" i="39"/>
  <c r="I144" i="39"/>
  <c r="AC144" i="39"/>
  <c r="O93" i="39"/>
  <c r="AC81" i="39"/>
  <c r="S93" i="39"/>
  <c r="T93" i="39"/>
  <c r="R93" i="39"/>
  <c r="AD93" i="39"/>
  <c r="V93" i="39"/>
  <c r="Q144" i="39"/>
  <c r="J93" i="39"/>
  <c r="O81" i="39"/>
  <c r="C93" i="39"/>
  <c r="D93" i="39"/>
  <c r="X93" i="39"/>
  <c r="S144" i="39"/>
  <c r="W144" i="39"/>
  <c r="AC93" i="39"/>
  <c r="AG148" i="39"/>
  <c r="AG236" i="39"/>
  <c r="E238" i="25" s="1"/>
  <c r="AG232" i="39"/>
  <c r="E234" i="25" s="1"/>
  <c r="AG240" i="39"/>
  <c r="E242" i="25" s="1"/>
  <c r="K93" i="39"/>
  <c r="AG146" i="39"/>
  <c r="E146" i="25" s="1"/>
  <c r="E148" i="25"/>
  <c r="AG147" i="39"/>
  <c r="E147" i="25" s="1"/>
  <c r="AE144" i="39"/>
  <c r="AD144" i="39"/>
  <c r="AB144" i="39"/>
  <c r="AA144" i="39"/>
  <c r="Z144" i="39"/>
  <c r="Y93" i="39"/>
  <c r="V144" i="39"/>
  <c r="U144" i="39"/>
  <c r="U93" i="39"/>
  <c r="T144" i="39"/>
  <c r="R144" i="39"/>
  <c r="Q93" i="39"/>
  <c r="P144" i="39"/>
  <c r="O144" i="39"/>
  <c r="N144" i="39"/>
  <c r="M93" i="39"/>
  <c r="L144" i="39"/>
  <c r="J144" i="39"/>
  <c r="I93" i="39"/>
  <c r="I81" i="39"/>
  <c r="H93" i="39"/>
  <c r="G144" i="39"/>
  <c r="G81" i="39"/>
  <c r="AG80" i="39"/>
  <c r="E80" i="25" s="1"/>
  <c r="AG179" i="39"/>
  <c r="E179" i="25" s="1"/>
  <c r="AG206" i="39"/>
  <c r="E206" i="25" s="1"/>
  <c r="F144" i="39"/>
  <c r="E144" i="39"/>
  <c r="AG158" i="39"/>
  <c r="E158" i="25" s="1"/>
  <c r="E93" i="39"/>
  <c r="D144" i="39"/>
  <c r="AG167" i="39"/>
  <c r="E167" i="25" s="1"/>
  <c r="AG116" i="39"/>
  <c r="E116" i="25" s="1"/>
  <c r="AG174" i="39"/>
  <c r="E174" i="25" s="1"/>
  <c r="AG145" i="39"/>
  <c r="E145" i="25" s="1"/>
  <c r="AG87" i="39"/>
  <c r="E87" i="25" s="1"/>
  <c r="AG84" i="39"/>
  <c r="E84" i="25" s="1"/>
  <c r="AG78" i="39"/>
  <c r="E78" i="25" s="1"/>
  <c r="AG3" i="39"/>
  <c r="E3" i="25" s="1"/>
  <c r="B144" i="39"/>
  <c r="AG130" i="39"/>
  <c r="E130" i="25" s="1"/>
  <c r="AG94" i="39"/>
  <c r="E94" i="25" s="1"/>
  <c r="B93" i="39"/>
  <c r="L81" i="39"/>
  <c r="X81" i="39"/>
  <c r="AB81" i="39"/>
  <c r="P83" i="39"/>
  <c r="P81" i="39" s="1"/>
  <c r="AF83" i="39"/>
  <c r="AF81" i="39" s="1"/>
  <c r="AG100" i="39"/>
  <c r="E100" i="25" s="1"/>
  <c r="AG53" i="39"/>
  <c r="E53" i="25" s="1"/>
  <c r="AG79" i="39"/>
  <c r="E79" i="25" s="1"/>
  <c r="H81" i="39"/>
  <c r="AG28" i="39"/>
  <c r="E28" i="25" s="1"/>
  <c r="D83" i="39"/>
  <c r="D81" i="39" s="1"/>
  <c r="T83" i="39"/>
  <c r="T81" i="39" s="1"/>
  <c r="B81" i="39"/>
  <c r="F81" i="39"/>
  <c r="J81" i="39"/>
  <c r="N81" i="39"/>
  <c r="R81" i="39"/>
  <c r="V81" i="39"/>
  <c r="Z81" i="39"/>
  <c r="AD81" i="39"/>
  <c r="AG82" i="39"/>
  <c r="E82" i="25" s="1"/>
  <c r="C146" i="39"/>
  <c r="C144" i="39" s="1"/>
  <c r="AF143" i="38"/>
  <c r="AF142" i="38"/>
  <c r="AF129" i="38"/>
  <c r="AH87" i="39" l="1"/>
  <c r="AG93" i="39"/>
  <c r="AG144" i="39"/>
  <c r="E144" i="25" s="1"/>
  <c r="AG81" i="39"/>
  <c r="AG83" i="39"/>
  <c r="AE143" i="38"/>
  <c r="AE142" i="38"/>
  <c r="AE129" i="38"/>
  <c r="AH81" i="39" l="1"/>
  <c r="E81" i="25"/>
  <c r="AH206" i="39"/>
  <c r="E93" i="25"/>
  <c r="AH84" i="39"/>
  <c r="E83" i="25"/>
  <c r="AH130" i="39"/>
  <c r="AH93" i="39"/>
  <c r="AH144" i="39"/>
  <c r="AD129" i="38"/>
  <c r="AC142" i="38" l="1"/>
  <c r="AC137" i="38"/>
  <c r="AC129" i="38"/>
  <c r="AB142" i="38" l="1"/>
  <c r="AB137" i="38"/>
  <c r="AA143" i="38" l="1"/>
  <c r="AA129" i="38"/>
  <c r="Z143" i="38" l="1"/>
  <c r="Z129" i="38"/>
  <c r="Z38" i="38"/>
  <c r="Y134" i="38"/>
  <c r="Y129" i="38"/>
  <c r="Y38" i="38"/>
  <c r="X129" i="38" l="1"/>
  <c r="W143" i="38" l="1"/>
  <c r="W129" i="38"/>
  <c r="V143" i="38"/>
  <c r="V142" i="38"/>
  <c r="V129" i="38"/>
  <c r="U142" i="38"/>
  <c r="U129" i="38"/>
  <c r="T143" i="38"/>
  <c r="T142" i="38"/>
  <c r="T129" i="38"/>
  <c r="S3" i="38" l="1"/>
  <c r="S143" i="38" l="1"/>
  <c r="S129" i="38"/>
  <c r="R134" i="38" l="1"/>
  <c r="R143" i="38"/>
  <c r="R142" i="38"/>
  <c r="R139" i="38"/>
  <c r="R137" i="38"/>
  <c r="R129" i="38"/>
  <c r="Q143" i="38" l="1"/>
  <c r="Q142" i="38"/>
  <c r="Q137" i="38"/>
  <c r="Q129" i="38"/>
  <c r="P143" i="38"/>
  <c r="P142" i="38"/>
  <c r="P134" i="38"/>
  <c r="P137" i="38"/>
  <c r="P129" i="38"/>
  <c r="P94" i="38"/>
  <c r="O143" i="38"/>
  <c r="O142" i="38"/>
  <c r="O134" i="38"/>
  <c r="O129" i="38"/>
  <c r="N143" i="38" l="1"/>
  <c r="N142" i="38"/>
  <c r="N129" i="38"/>
  <c r="M143" i="38" l="1"/>
  <c r="M142" i="38"/>
  <c r="M129" i="38"/>
  <c r="L134" i="38"/>
  <c r="L143" i="38"/>
  <c r="L142" i="38"/>
  <c r="L129" i="38"/>
  <c r="K143" i="38" l="1"/>
  <c r="K142" i="38"/>
  <c r="K139" i="38"/>
  <c r="K137" i="38"/>
  <c r="K129" i="38"/>
  <c r="J143" i="38"/>
  <c r="J142" i="38"/>
  <c r="J139" i="38"/>
  <c r="J134" i="38"/>
  <c r="J137" i="38"/>
  <c r="J129" i="38"/>
  <c r="I143" i="38"/>
  <c r="I142" i="38"/>
  <c r="I137" i="38"/>
  <c r="I129" i="38"/>
  <c r="H143" i="38"/>
  <c r="H142" i="38"/>
  <c r="H139" i="38"/>
  <c r="H134" i="38"/>
  <c r="H129" i="38"/>
  <c r="G143" i="38" l="1"/>
  <c r="G142" i="38"/>
  <c r="G129" i="38"/>
  <c r="F143" i="38"/>
  <c r="F134" i="38"/>
  <c r="F142" i="38"/>
  <c r="F137" i="38"/>
  <c r="F129" i="38"/>
  <c r="E143" i="38" l="1"/>
  <c r="E142" i="38"/>
  <c r="E129" i="38"/>
  <c r="D143" i="38"/>
  <c r="D142" i="38"/>
  <c r="D130" i="38"/>
  <c r="D129" i="38"/>
  <c r="C143" i="38"/>
  <c r="C142" i="38"/>
  <c r="C137" i="38"/>
  <c r="AG137" i="38" s="1"/>
  <c r="D137" i="25" s="1"/>
  <c r="B143" i="38"/>
  <c r="B142" i="38"/>
  <c r="B134" i="38"/>
  <c r="AG134" i="38" s="1"/>
  <c r="D134" i="25" s="1"/>
  <c r="B129" i="38"/>
  <c r="AG248" i="38"/>
  <c r="D250" i="25" s="1"/>
  <c r="AG247" i="38"/>
  <c r="D249" i="25" s="1"/>
  <c r="AG246" i="38"/>
  <c r="D248" i="25" s="1"/>
  <c r="AG245" i="38"/>
  <c r="D247" i="25" s="1"/>
  <c r="AG241" i="38"/>
  <c r="D243" i="25" s="1"/>
  <c r="AF240" i="38"/>
  <c r="AE240" i="38"/>
  <c r="AD240" i="38"/>
  <c r="AC240" i="38"/>
  <c r="AB240" i="38"/>
  <c r="AA240" i="38"/>
  <c r="Z240" i="38"/>
  <c r="Y240" i="38"/>
  <c r="X240" i="38"/>
  <c r="W240" i="38"/>
  <c r="V240" i="38"/>
  <c r="U240" i="38"/>
  <c r="T240" i="38"/>
  <c r="S240" i="38"/>
  <c r="R240" i="38"/>
  <c r="Q240" i="38"/>
  <c r="P240" i="38"/>
  <c r="O240" i="38"/>
  <c r="N240" i="38"/>
  <c r="M240" i="38"/>
  <c r="L240" i="38"/>
  <c r="K240" i="38"/>
  <c r="J240" i="38"/>
  <c r="I240" i="38"/>
  <c r="H240" i="38"/>
  <c r="G240" i="38"/>
  <c r="F240" i="38"/>
  <c r="E240" i="38"/>
  <c r="D240" i="38"/>
  <c r="C240" i="38"/>
  <c r="B240" i="38"/>
  <c r="AG239" i="38"/>
  <c r="D241" i="25" s="1"/>
  <c r="AG238" i="38"/>
  <c r="D240" i="25" s="1"/>
  <c r="AG237" i="38"/>
  <c r="D239" i="25" s="1"/>
  <c r="AF236" i="38"/>
  <c r="AE236" i="38"/>
  <c r="AD236" i="38"/>
  <c r="AC236" i="38"/>
  <c r="AB236" i="38"/>
  <c r="AA236" i="38"/>
  <c r="Z236" i="38"/>
  <c r="Y236" i="38"/>
  <c r="X236" i="38"/>
  <c r="W236" i="38"/>
  <c r="V236" i="38"/>
  <c r="U236" i="38"/>
  <c r="T236" i="38"/>
  <c r="S236" i="38"/>
  <c r="R236" i="38"/>
  <c r="Q236" i="38"/>
  <c r="P236" i="38"/>
  <c r="O236" i="38"/>
  <c r="N236" i="38"/>
  <c r="M236" i="38"/>
  <c r="L236" i="38"/>
  <c r="K236" i="38"/>
  <c r="J236" i="38"/>
  <c r="I236" i="38"/>
  <c r="H236" i="38"/>
  <c r="G236" i="38"/>
  <c r="F236" i="38"/>
  <c r="E236" i="38"/>
  <c r="D236" i="38"/>
  <c r="C236" i="38"/>
  <c r="B236" i="38"/>
  <c r="AG235" i="38"/>
  <c r="D237" i="25" s="1"/>
  <c r="AG234" i="38"/>
  <c r="D236" i="25" s="1"/>
  <c r="AG233" i="38"/>
  <c r="D235" i="25" s="1"/>
  <c r="AF232" i="38"/>
  <c r="AE232" i="38"/>
  <c r="AD232" i="38"/>
  <c r="AC232" i="38"/>
  <c r="AB232" i="38"/>
  <c r="AA232" i="38"/>
  <c r="Z232" i="38"/>
  <c r="Y232" i="38"/>
  <c r="X232" i="38"/>
  <c r="W232" i="38"/>
  <c r="V232" i="38"/>
  <c r="U232" i="38"/>
  <c r="T232" i="38"/>
  <c r="S232" i="38"/>
  <c r="R232" i="38"/>
  <c r="Q232" i="38"/>
  <c r="P232" i="38"/>
  <c r="O232" i="38"/>
  <c r="N232" i="38"/>
  <c r="M232" i="38"/>
  <c r="L232" i="38"/>
  <c r="K232" i="38"/>
  <c r="J232" i="38"/>
  <c r="I232" i="38"/>
  <c r="H232" i="38"/>
  <c r="G232" i="38"/>
  <c r="F232" i="38"/>
  <c r="E232" i="38"/>
  <c r="D232" i="38"/>
  <c r="C232" i="38"/>
  <c r="B232" i="38"/>
  <c r="AG231" i="38"/>
  <c r="D233" i="25" s="1"/>
  <c r="AG230" i="38"/>
  <c r="D232" i="25" s="1"/>
  <c r="AG229" i="38"/>
  <c r="D231" i="25" s="1"/>
  <c r="AG228" i="38"/>
  <c r="D230" i="25" s="1"/>
  <c r="AG227" i="38"/>
  <c r="D229" i="25" s="1"/>
  <c r="AG226" i="38"/>
  <c r="D228" i="25" s="1"/>
  <c r="AG225" i="38"/>
  <c r="D227" i="25" s="1"/>
  <c r="AG224" i="38"/>
  <c r="D226" i="25" s="1"/>
  <c r="AG223" i="38"/>
  <c r="D225" i="25" s="1"/>
  <c r="AG222" i="38"/>
  <c r="D224" i="25" s="1"/>
  <c r="AG221" i="38"/>
  <c r="D223" i="25" s="1"/>
  <c r="AG220" i="38"/>
  <c r="D222" i="25" s="1"/>
  <c r="AG211" i="38"/>
  <c r="D211" i="25" s="1"/>
  <c r="AG210" i="38"/>
  <c r="D210" i="25" s="1"/>
  <c r="AG209" i="38"/>
  <c r="D209" i="25" s="1"/>
  <c r="AG208" i="38"/>
  <c r="D208" i="25" s="1"/>
  <c r="AG207" i="38"/>
  <c r="D207" i="25" s="1"/>
  <c r="AF206" i="38"/>
  <c r="AE206" i="38"/>
  <c r="AD206" i="38"/>
  <c r="AC206" i="38"/>
  <c r="AB206" i="38"/>
  <c r="AA206" i="38"/>
  <c r="Z206" i="38"/>
  <c r="Y206" i="38"/>
  <c r="X206" i="38"/>
  <c r="W206" i="38"/>
  <c r="V206" i="38"/>
  <c r="U206" i="38"/>
  <c r="T206" i="38"/>
  <c r="S206" i="38"/>
  <c r="R206" i="38"/>
  <c r="Q206" i="38"/>
  <c r="P206" i="38"/>
  <c r="O206" i="38"/>
  <c r="N206" i="38"/>
  <c r="M206" i="38"/>
  <c r="L206" i="38"/>
  <c r="K206" i="38"/>
  <c r="J206" i="38"/>
  <c r="I206" i="38"/>
  <c r="H206" i="38"/>
  <c r="G206" i="38"/>
  <c r="F206" i="38"/>
  <c r="E206" i="38"/>
  <c r="D206" i="38"/>
  <c r="C206" i="38"/>
  <c r="B206" i="38"/>
  <c r="AG205" i="38"/>
  <c r="D205" i="25" s="1"/>
  <c r="AG204" i="38"/>
  <c r="D204" i="25" s="1"/>
  <c r="AG203" i="38"/>
  <c r="D203" i="25" s="1"/>
  <c r="AG202" i="38"/>
  <c r="D202" i="25" s="1"/>
  <c r="AG201" i="38"/>
  <c r="D201" i="25" s="1"/>
  <c r="AG200" i="38"/>
  <c r="D200" i="25" s="1"/>
  <c r="AG199" i="38"/>
  <c r="D199" i="25" s="1"/>
  <c r="AG198" i="38"/>
  <c r="D198" i="25" s="1"/>
  <c r="AG197" i="38"/>
  <c r="D197" i="25" s="1"/>
  <c r="AG196" i="38"/>
  <c r="D196" i="25" s="1"/>
  <c r="AG195" i="38"/>
  <c r="D195" i="25" s="1"/>
  <c r="AG194" i="38"/>
  <c r="D194" i="25" s="1"/>
  <c r="AG193" i="38"/>
  <c r="D193" i="25" s="1"/>
  <c r="AG192" i="38"/>
  <c r="D192" i="25" s="1"/>
  <c r="AG191" i="38"/>
  <c r="D191" i="25" s="1"/>
  <c r="AG190" i="38"/>
  <c r="D190" i="25" s="1"/>
  <c r="AG189" i="38"/>
  <c r="D189" i="25" s="1"/>
  <c r="AG188" i="38"/>
  <c r="D188" i="25" s="1"/>
  <c r="AG187" i="38"/>
  <c r="D187" i="25" s="1"/>
  <c r="AG186" i="38"/>
  <c r="D186" i="25" s="1"/>
  <c r="AG185" i="38"/>
  <c r="D185" i="25" s="1"/>
  <c r="AG183" i="38"/>
  <c r="D183" i="25" s="1"/>
  <c r="AG182" i="38"/>
  <c r="D182" i="25" s="1"/>
  <c r="AG181" i="38"/>
  <c r="D181" i="25" s="1"/>
  <c r="AG180" i="38"/>
  <c r="D180" i="25" s="1"/>
  <c r="AF179" i="38"/>
  <c r="AE179" i="38"/>
  <c r="AD179" i="38"/>
  <c r="AC179" i="38"/>
  <c r="AB179" i="38"/>
  <c r="AA179" i="38"/>
  <c r="Z179" i="38"/>
  <c r="Y179" i="38"/>
  <c r="X179" i="38"/>
  <c r="W179" i="38"/>
  <c r="V179" i="38"/>
  <c r="U179" i="38"/>
  <c r="T179" i="38"/>
  <c r="S179" i="38"/>
  <c r="R179" i="38"/>
  <c r="Q179" i="38"/>
  <c r="P179" i="38"/>
  <c r="O179" i="38"/>
  <c r="N179" i="38"/>
  <c r="M179" i="38"/>
  <c r="L179" i="38"/>
  <c r="K179" i="38"/>
  <c r="J179" i="38"/>
  <c r="I179" i="38"/>
  <c r="H179" i="38"/>
  <c r="G179" i="38"/>
  <c r="F179" i="38"/>
  <c r="E179" i="38"/>
  <c r="D179" i="38"/>
  <c r="C179" i="38"/>
  <c r="B179" i="38"/>
  <c r="AG178" i="38"/>
  <c r="D178" i="25" s="1"/>
  <c r="AG177" i="38"/>
  <c r="D177" i="25" s="1"/>
  <c r="AG176" i="38"/>
  <c r="D176" i="25" s="1"/>
  <c r="AG175" i="38"/>
  <c r="D175" i="25" s="1"/>
  <c r="AF174" i="38"/>
  <c r="AE174" i="38"/>
  <c r="AD174" i="38"/>
  <c r="AC174" i="38"/>
  <c r="AB174" i="38"/>
  <c r="AA174" i="38"/>
  <c r="Z174" i="38"/>
  <c r="Y174" i="38"/>
  <c r="X174" i="38"/>
  <c r="W174" i="38"/>
  <c r="V174" i="38"/>
  <c r="U174" i="38"/>
  <c r="T174" i="38"/>
  <c r="S174" i="38"/>
  <c r="R174" i="38"/>
  <c r="Q174" i="38"/>
  <c r="P174" i="38"/>
  <c r="O174" i="38"/>
  <c r="N174" i="38"/>
  <c r="M174" i="38"/>
  <c r="L174" i="38"/>
  <c r="K174" i="38"/>
  <c r="J174" i="38"/>
  <c r="I174" i="38"/>
  <c r="H174" i="38"/>
  <c r="G174" i="38"/>
  <c r="F174" i="38"/>
  <c r="E174" i="38"/>
  <c r="D174" i="38"/>
  <c r="C174" i="38"/>
  <c r="B174" i="38"/>
  <c r="AG173" i="38"/>
  <c r="D173" i="25" s="1"/>
  <c r="AG172" i="38"/>
  <c r="D172" i="25" s="1"/>
  <c r="AG171" i="38"/>
  <c r="D171" i="25" s="1"/>
  <c r="AG170" i="38"/>
  <c r="D170" i="25" s="1"/>
  <c r="AG169" i="38"/>
  <c r="D169" i="25" s="1"/>
  <c r="AG168" i="38"/>
  <c r="D168" i="25" s="1"/>
  <c r="AF167" i="38"/>
  <c r="AE167" i="38"/>
  <c r="AD167" i="38"/>
  <c r="AC167" i="38"/>
  <c r="AB167" i="38"/>
  <c r="AA167" i="38"/>
  <c r="Z167" i="38"/>
  <c r="Y167" i="38"/>
  <c r="X167" i="38"/>
  <c r="W167" i="38"/>
  <c r="V167" i="38"/>
  <c r="U167" i="38"/>
  <c r="T167" i="38"/>
  <c r="S167" i="38"/>
  <c r="R167" i="38"/>
  <c r="Q167" i="38"/>
  <c r="P167" i="38"/>
  <c r="O167" i="38"/>
  <c r="N167" i="38"/>
  <c r="M167" i="38"/>
  <c r="L167" i="38"/>
  <c r="K167" i="38"/>
  <c r="J167" i="38"/>
  <c r="I167" i="38"/>
  <c r="H167" i="38"/>
  <c r="G167" i="38"/>
  <c r="F167" i="38"/>
  <c r="E167" i="38"/>
  <c r="D167" i="38"/>
  <c r="C167" i="38"/>
  <c r="B167" i="38"/>
  <c r="AG166" i="38"/>
  <c r="D166" i="25" s="1"/>
  <c r="AG165" i="38"/>
  <c r="D165" i="25" s="1"/>
  <c r="AG164" i="38"/>
  <c r="D164" i="25" s="1"/>
  <c r="AG163" i="38"/>
  <c r="D163" i="25" s="1"/>
  <c r="AG162" i="38"/>
  <c r="D162" i="25" s="1"/>
  <c r="AG161" i="38"/>
  <c r="D161" i="25" s="1"/>
  <c r="AG160" i="38"/>
  <c r="D160" i="25" s="1"/>
  <c r="AG159" i="38"/>
  <c r="D159" i="25" s="1"/>
  <c r="AF158" i="38"/>
  <c r="AE158" i="38"/>
  <c r="AD158" i="38"/>
  <c r="AC158" i="38"/>
  <c r="AB158" i="38"/>
  <c r="AA158" i="38"/>
  <c r="Z158" i="38"/>
  <c r="Y158" i="38"/>
  <c r="X158" i="38"/>
  <c r="W158" i="38"/>
  <c r="V158" i="38"/>
  <c r="U158" i="38"/>
  <c r="T158" i="38"/>
  <c r="S158" i="38"/>
  <c r="R158" i="38"/>
  <c r="Q158" i="38"/>
  <c r="P158" i="38"/>
  <c r="O158" i="38"/>
  <c r="N158" i="38"/>
  <c r="M158" i="38"/>
  <c r="L158" i="38"/>
  <c r="K158" i="38"/>
  <c r="J158" i="38"/>
  <c r="I158" i="38"/>
  <c r="H158" i="38"/>
  <c r="G158" i="38"/>
  <c r="F158" i="38"/>
  <c r="E158" i="38"/>
  <c r="D158" i="38"/>
  <c r="C158" i="38"/>
  <c r="B158" i="38"/>
  <c r="AG157" i="38"/>
  <c r="D157" i="25" s="1"/>
  <c r="AG156" i="38"/>
  <c r="D156" i="25" s="1"/>
  <c r="AG155" i="38"/>
  <c r="D155" i="25" s="1"/>
  <c r="AG154" i="38"/>
  <c r="D154" i="25" s="1"/>
  <c r="AG153" i="38"/>
  <c r="D153" i="25" s="1"/>
  <c r="AG152" i="38"/>
  <c r="D152" i="25" s="1"/>
  <c r="AG151" i="38"/>
  <c r="D151" i="25" s="1"/>
  <c r="AG150" i="38"/>
  <c r="D150" i="25" s="1"/>
  <c r="AG149" i="38"/>
  <c r="D149" i="25" s="1"/>
  <c r="AF148" i="38"/>
  <c r="AF146" i="38" s="1"/>
  <c r="AE148" i="38"/>
  <c r="AE146" i="38" s="1"/>
  <c r="AD148" i="38"/>
  <c r="AD146" i="38" s="1"/>
  <c r="AC148" i="38"/>
  <c r="AC146" i="38" s="1"/>
  <c r="AB148" i="38"/>
  <c r="AB146" i="38" s="1"/>
  <c r="AA148" i="38"/>
  <c r="AA146" i="38" s="1"/>
  <c r="Z148" i="38"/>
  <c r="Z146" i="38" s="1"/>
  <c r="Y148" i="38"/>
  <c r="Y146" i="38" s="1"/>
  <c r="X148" i="38"/>
  <c r="X146" i="38" s="1"/>
  <c r="W148" i="38"/>
  <c r="W146" i="38" s="1"/>
  <c r="V148" i="38"/>
  <c r="V146" i="38" s="1"/>
  <c r="U148" i="38"/>
  <c r="U146" i="38" s="1"/>
  <c r="T148" i="38"/>
  <c r="T146" i="38" s="1"/>
  <c r="S148" i="38"/>
  <c r="S146" i="38" s="1"/>
  <c r="R148" i="38"/>
  <c r="R146" i="38" s="1"/>
  <c r="Q148" i="38"/>
  <c r="Q146" i="38" s="1"/>
  <c r="P148" i="38"/>
  <c r="P146" i="38" s="1"/>
  <c r="O148" i="38"/>
  <c r="O146" i="38" s="1"/>
  <c r="N148" i="38"/>
  <c r="N146" i="38" s="1"/>
  <c r="M148" i="38"/>
  <c r="M146" i="38" s="1"/>
  <c r="M144" i="38" s="1"/>
  <c r="L148" i="38"/>
  <c r="L146" i="38" s="1"/>
  <c r="K148" i="38"/>
  <c r="K146" i="38" s="1"/>
  <c r="J148" i="38"/>
  <c r="J146" i="38" s="1"/>
  <c r="I148" i="38"/>
  <c r="I146" i="38" s="1"/>
  <c r="H148" i="38"/>
  <c r="H146" i="38" s="1"/>
  <c r="G148" i="38"/>
  <c r="G146" i="38" s="1"/>
  <c r="F148" i="38"/>
  <c r="F146" i="38" s="1"/>
  <c r="E148" i="38"/>
  <c r="E146" i="38" s="1"/>
  <c r="D148" i="38"/>
  <c r="D146" i="38" s="1"/>
  <c r="C148" i="38"/>
  <c r="C146" i="38" s="1"/>
  <c r="B148" i="38"/>
  <c r="AE147" i="38"/>
  <c r="AD147" i="38"/>
  <c r="AC147" i="38"/>
  <c r="AB147" i="38"/>
  <c r="AA147" i="38"/>
  <c r="Z147" i="38"/>
  <c r="Y147" i="38"/>
  <c r="X147" i="38"/>
  <c r="W147" i="38"/>
  <c r="V147" i="38"/>
  <c r="U147" i="38"/>
  <c r="T147" i="38"/>
  <c r="S147" i="38"/>
  <c r="R147" i="38"/>
  <c r="Q147" i="38"/>
  <c r="P147" i="38"/>
  <c r="O147" i="38"/>
  <c r="N147" i="38"/>
  <c r="M147" i="38"/>
  <c r="L147" i="38"/>
  <c r="K147" i="38"/>
  <c r="J147" i="38"/>
  <c r="I147" i="38"/>
  <c r="H147" i="38"/>
  <c r="G147" i="38"/>
  <c r="F147" i="38"/>
  <c r="E147" i="38"/>
  <c r="D147" i="38"/>
  <c r="C147" i="38"/>
  <c r="B147" i="38"/>
  <c r="AF145" i="38"/>
  <c r="AE145" i="38"/>
  <c r="AD145" i="38"/>
  <c r="AC145" i="38"/>
  <c r="AB145" i="38"/>
  <c r="AA145" i="38"/>
  <c r="Z145" i="38"/>
  <c r="Y145" i="38"/>
  <c r="X145" i="38"/>
  <c r="W145" i="38"/>
  <c r="V145" i="38"/>
  <c r="U145" i="38"/>
  <c r="T145" i="38"/>
  <c r="S145" i="38"/>
  <c r="R145" i="38"/>
  <c r="Q145" i="38"/>
  <c r="P145" i="38"/>
  <c r="O145" i="38"/>
  <c r="N145" i="38"/>
  <c r="M145" i="38"/>
  <c r="L145" i="38"/>
  <c r="K145" i="38"/>
  <c r="J145" i="38"/>
  <c r="I145" i="38"/>
  <c r="H145" i="38"/>
  <c r="G145" i="38"/>
  <c r="F145" i="38"/>
  <c r="E145" i="38"/>
  <c r="D145" i="38"/>
  <c r="C145" i="38"/>
  <c r="B145" i="38"/>
  <c r="AG141" i="38"/>
  <c r="D141" i="25" s="1"/>
  <c r="AG140" i="38"/>
  <c r="D140" i="25" s="1"/>
  <c r="AG139" i="38"/>
  <c r="D139" i="25" s="1"/>
  <c r="AG138" i="38"/>
  <c r="D138" i="25" s="1"/>
  <c r="AG136" i="38"/>
  <c r="D136" i="25" s="1"/>
  <c r="AG135" i="38"/>
  <c r="D135" i="25" s="1"/>
  <c r="AG133" i="38"/>
  <c r="D133" i="25" s="1"/>
  <c r="AG132" i="38"/>
  <c r="D132" i="25" s="1"/>
  <c r="AG131" i="38"/>
  <c r="D131" i="25" s="1"/>
  <c r="AF130" i="38"/>
  <c r="AE130" i="38"/>
  <c r="AD130" i="38"/>
  <c r="AC130" i="38"/>
  <c r="AB130" i="38"/>
  <c r="AA130" i="38"/>
  <c r="Z130" i="38"/>
  <c r="Y130" i="38"/>
  <c r="X130" i="38"/>
  <c r="W130" i="38"/>
  <c r="V130" i="38"/>
  <c r="U130" i="38"/>
  <c r="T130" i="38"/>
  <c r="S130" i="38"/>
  <c r="R130" i="38"/>
  <c r="Q130" i="38"/>
  <c r="P130" i="38"/>
  <c r="O130" i="38"/>
  <c r="N130" i="38"/>
  <c r="M130" i="38"/>
  <c r="L130" i="38"/>
  <c r="K130" i="38"/>
  <c r="J130" i="38"/>
  <c r="I130" i="38"/>
  <c r="H130" i="38"/>
  <c r="G130" i="38"/>
  <c r="F130" i="38"/>
  <c r="E130" i="38"/>
  <c r="AG128" i="38"/>
  <c r="D128" i="25" s="1"/>
  <c r="AG127" i="38"/>
  <c r="D127" i="25" s="1"/>
  <c r="AG126" i="38"/>
  <c r="D126" i="25" s="1"/>
  <c r="AG125" i="38"/>
  <c r="D125" i="25" s="1"/>
  <c r="AG124" i="38"/>
  <c r="D124" i="25" s="1"/>
  <c r="AG123" i="38"/>
  <c r="D123" i="25" s="1"/>
  <c r="AG122" i="38"/>
  <c r="D122" i="25" s="1"/>
  <c r="AG121" i="38"/>
  <c r="D121" i="25" s="1"/>
  <c r="AG120" i="38"/>
  <c r="D120" i="25" s="1"/>
  <c r="AG119" i="38"/>
  <c r="D119" i="25" s="1"/>
  <c r="AG118" i="38"/>
  <c r="D118" i="25" s="1"/>
  <c r="AG117" i="38"/>
  <c r="D117" i="25" s="1"/>
  <c r="AF116" i="38"/>
  <c r="AE116" i="38"/>
  <c r="AD116" i="38"/>
  <c r="AC116" i="38"/>
  <c r="AB116" i="38"/>
  <c r="AA116" i="38"/>
  <c r="Z116" i="38"/>
  <c r="Y116" i="38"/>
  <c r="X116" i="38"/>
  <c r="W116" i="38"/>
  <c r="V116" i="38"/>
  <c r="U116" i="38"/>
  <c r="T116" i="38"/>
  <c r="S116" i="38"/>
  <c r="R116" i="38"/>
  <c r="Q116" i="38"/>
  <c r="P116" i="38"/>
  <c r="O116" i="38"/>
  <c r="N116" i="38"/>
  <c r="M116" i="38"/>
  <c r="L116" i="38"/>
  <c r="K116" i="38"/>
  <c r="J116" i="38"/>
  <c r="I116" i="38"/>
  <c r="H116" i="38"/>
  <c r="G116" i="38"/>
  <c r="F116" i="38"/>
  <c r="E116" i="38"/>
  <c r="C116" i="38"/>
  <c r="B116" i="38"/>
  <c r="AG115" i="38"/>
  <c r="D115" i="25" s="1"/>
  <c r="AG114" i="38"/>
  <c r="D114" i="25" s="1"/>
  <c r="AG113" i="38"/>
  <c r="D113" i="25" s="1"/>
  <c r="AG112" i="38"/>
  <c r="D112" i="25" s="1"/>
  <c r="AG111" i="38"/>
  <c r="D111" i="25" s="1"/>
  <c r="AG110" i="38"/>
  <c r="D110" i="25" s="1"/>
  <c r="AG109" i="38"/>
  <c r="D109" i="25" s="1"/>
  <c r="AG108" i="38"/>
  <c r="D108" i="25" s="1"/>
  <c r="AG107" i="38"/>
  <c r="D107" i="25" s="1"/>
  <c r="AG106" i="38"/>
  <c r="D106" i="25" s="1"/>
  <c r="AG105" i="38"/>
  <c r="D105" i="25" s="1"/>
  <c r="AG104" i="38"/>
  <c r="D104" i="25" s="1"/>
  <c r="AG103" i="38"/>
  <c r="D103" i="25" s="1"/>
  <c r="AG102" i="38"/>
  <c r="D102" i="25" s="1"/>
  <c r="AG101" i="38"/>
  <c r="D101" i="25" s="1"/>
  <c r="AF100" i="38"/>
  <c r="AE100" i="38"/>
  <c r="AD100" i="38"/>
  <c r="AC100" i="38"/>
  <c r="AB100" i="38"/>
  <c r="AA100" i="38"/>
  <c r="Z100" i="38"/>
  <c r="Y100" i="38"/>
  <c r="X100" i="38"/>
  <c r="W100" i="38"/>
  <c r="V100" i="38"/>
  <c r="U100" i="38"/>
  <c r="T100" i="38"/>
  <c r="S100" i="38"/>
  <c r="R100" i="38"/>
  <c r="Q100" i="38"/>
  <c r="P100" i="38"/>
  <c r="P93" i="38" s="1"/>
  <c r="O100" i="38"/>
  <c r="N100" i="38"/>
  <c r="M100" i="38"/>
  <c r="L100" i="38"/>
  <c r="K100" i="38"/>
  <c r="J100" i="38"/>
  <c r="I100" i="38"/>
  <c r="H100" i="38"/>
  <c r="G100" i="38"/>
  <c r="F100" i="38"/>
  <c r="E100" i="38"/>
  <c r="D100" i="38"/>
  <c r="C100" i="38"/>
  <c r="B100" i="38"/>
  <c r="AG99" i="38"/>
  <c r="D99" i="25" s="1"/>
  <c r="AG98" i="38"/>
  <c r="D98" i="25" s="1"/>
  <c r="AG97" i="38"/>
  <c r="D97" i="25" s="1"/>
  <c r="AG96" i="38"/>
  <c r="D96" i="25" s="1"/>
  <c r="AG95" i="38"/>
  <c r="D95" i="25" s="1"/>
  <c r="AF94" i="38"/>
  <c r="AE94" i="38"/>
  <c r="AD94" i="38"/>
  <c r="AC94" i="38"/>
  <c r="AB94" i="38"/>
  <c r="AA94" i="38"/>
  <c r="Z94" i="38"/>
  <c r="Y94" i="38"/>
  <c r="X94" i="38"/>
  <c r="W94" i="38"/>
  <c r="V94" i="38"/>
  <c r="U94" i="38"/>
  <c r="U93" i="38" s="1"/>
  <c r="T94" i="38"/>
  <c r="S94" i="38"/>
  <c r="R94" i="38"/>
  <c r="R93" i="38" s="1"/>
  <c r="Q94" i="38"/>
  <c r="Q93" i="38" s="1"/>
  <c r="O94" i="38"/>
  <c r="N94" i="38"/>
  <c r="M94" i="38"/>
  <c r="L94" i="38"/>
  <c r="K94" i="38"/>
  <c r="J94" i="38"/>
  <c r="I94" i="38"/>
  <c r="H94" i="38"/>
  <c r="G94" i="38"/>
  <c r="F94" i="38"/>
  <c r="E94" i="38"/>
  <c r="D94" i="38"/>
  <c r="C94" i="38"/>
  <c r="B94" i="38"/>
  <c r="AG92" i="38"/>
  <c r="D92" i="25" s="1"/>
  <c r="AG91" i="38"/>
  <c r="D91" i="25" s="1"/>
  <c r="AG90" i="38"/>
  <c r="D90" i="25" s="1"/>
  <c r="AG89" i="38"/>
  <c r="D89" i="25" s="1"/>
  <c r="AG88" i="38"/>
  <c r="D88" i="25" s="1"/>
  <c r="AF87" i="38"/>
  <c r="AE87" i="38"/>
  <c r="AD87" i="38"/>
  <c r="AC87" i="38"/>
  <c r="AB87" i="38"/>
  <c r="AA87" i="38"/>
  <c r="Z87" i="38"/>
  <c r="Y87" i="38"/>
  <c r="X87" i="38"/>
  <c r="W87" i="38"/>
  <c r="V87" i="38"/>
  <c r="U87" i="38"/>
  <c r="T87" i="38"/>
  <c r="S87" i="38"/>
  <c r="R87" i="38"/>
  <c r="Q87" i="38"/>
  <c r="P87" i="38"/>
  <c r="O87" i="38"/>
  <c r="N87" i="38"/>
  <c r="M87" i="38"/>
  <c r="L87" i="38"/>
  <c r="K87" i="38"/>
  <c r="J87" i="38"/>
  <c r="I87" i="38"/>
  <c r="H87" i="38"/>
  <c r="G87" i="38"/>
  <c r="F87" i="38"/>
  <c r="E87" i="38"/>
  <c r="D87" i="38"/>
  <c r="C87" i="38"/>
  <c r="B87" i="38"/>
  <c r="AG86" i="38"/>
  <c r="D86" i="25" s="1"/>
  <c r="AG85" i="38"/>
  <c r="D85" i="25" s="1"/>
  <c r="AF84" i="38"/>
  <c r="AE84" i="38"/>
  <c r="AD84" i="38"/>
  <c r="AC84" i="38"/>
  <c r="AB84" i="38"/>
  <c r="AA84" i="38"/>
  <c r="Z84" i="38"/>
  <c r="Y84" i="38"/>
  <c r="X84" i="38"/>
  <c r="W84" i="38"/>
  <c r="V84" i="38"/>
  <c r="U84" i="38"/>
  <c r="T84" i="38"/>
  <c r="S84" i="38"/>
  <c r="R84" i="38"/>
  <c r="Q84" i="38"/>
  <c r="P84" i="38"/>
  <c r="O84" i="38"/>
  <c r="N84" i="38"/>
  <c r="M84" i="38"/>
  <c r="L84" i="38"/>
  <c r="K84" i="38"/>
  <c r="J84" i="38"/>
  <c r="I84" i="38"/>
  <c r="H84" i="38"/>
  <c r="G84" i="38"/>
  <c r="F84" i="38"/>
  <c r="E84" i="38"/>
  <c r="D84" i="38"/>
  <c r="C84" i="38"/>
  <c r="B84" i="38"/>
  <c r="AF82" i="38"/>
  <c r="AF83" i="38" s="1"/>
  <c r="AF81" i="38" s="1"/>
  <c r="AE82" i="38"/>
  <c r="AD83" i="38"/>
  <c r="AD81" i="38" s="1"/>
  <c r="AC83" i="38"/>
  <c r="AC81" i="38" s="1"/>
  <c r="AB82" i="38"/>
  <c r="AB83" i="38" s="1"/>
  <c r="AB81" i="38" s="1"/>
  <c r="AA82" i="38"/>
  <c r="Z82" i="38"/>
  <c r="Z83" i="38" s="1"/>
  <c r="Z81" i="38" s="1"/>
  <c r="Y82" i="38"/>
  <c r="Y83" i="38" s="1"/>
  <c r="Y81" i="38" s="1"/>
  <c r="X82" i="38"/>
  <c r="X83" i="38" s="1"/>
  <c r="V83" i="38"/>
  <c r="V81" i="38" s="1"/>
  <c r="U82" i="38"/>
  <c r="U83" i="38" s="1"/>
  <c r="U81" i="38" s="1"/>
  <c r="T82" i="38"/>
  <c r="T83" i="38" s="1"/>
  <c r="T81" i="38" s="1"/>
  <c r="S82" i="38"/>
  <c r="R82" i="38"/>
  <c r="R83" i="38" s="1"/>
  <c r="R81" i="38" s="1"/>
  <c r="Q82" i="38"/>
  <c r="Q83" i="38" s="1"/>
  <c r="Q81" i="38" s="1"/>
  <c r="P83" i="38"/>
  <c r="P81" i="38" s="1"/>
  <c r="N82" i="38"/>
  <c r="N83" i="38" s="1"/>
  <c r="N81" i="38" s="1"/>
  <c r="M82" i="38"/>
  <c r="M83" i="38" s="1"/>
  <c r="M81" i="38" s="1"/>
  <c r="L82" i="38"/>
  <c r="L83" i="38" s="1"/>
  <c r="L81" i="38" s="1"/>
  <c r="K82" i="38"/>
  <c r="J82" i="38"/>
  <c r="J83" i="38" s="1"/>
  <c r="J81" i="38" s="1"/>
  <c r="I83" i="38"/>
  <c r="I81" i="38" s="1"/>
  <c r="H83" i="38"/>
  <c r="H81" i="38" s="1"/>
  <c r="G82" i="38"/>
  <c r="F82" i="38"/>
  <c r="F83" i="38" s="1"/>
  <c r="F81" i="38" s="1"/>
  <c r="E82" i="38"/>
  <c r="E83" i="38" s="1"/>
  <c r="E81" i="38" s="1"/>
  <c r="D82" i="38"/>
  <c r="D83" i="38" s="1"/>
  <c r="C82" i="38"/>
  <c r="B83" i="38"/>
  <c r="AF80" i="38"/>
  <c r="AF79" i="38" s="1"/>
  <c r="AF78" i="38" s="1"/>
  <c r="AC80" i="38"/>
  <c r="AC79" i="38" s="1"/>
  <c r="AC78" i="38" s="1"/>
  <c r="AB80" i="38"/>
  <c r="AB79" i="38" s="1"/>
  <c r="AB78" i="38" s="1"/>
  <c r="AA80" i="38"/>
  <c r="AA79" i="38" s="1"/>
  <c r="AA78" i="38" s="1"/>
  <c r="Y80" i="38"/>
  <c r="Y79" i="38" s="1"/>
  <c r="Y78" i="38" s="1"/>
  <c r="V80" i="38"/>
  <c r="V79" i="38" s="1"/>
  <c r="V78" i="38" s="1"/>
  <c r="U80" i="38"/>
  <c r="U79" i="38" s="1"/>
  <c r="U78" i="38" s="1"/>
  <c r="T80" i="38"/>
  <c r="T79" i="38" s="1"/>
  <c r="T78" i="38" s="1"/>
  <c r="S80" i="38"/>
  <c r="S79" i="38" s="1"/>
  <c r="S78" i="38" s="1"/>
  <c r="R80" i="38"/>
  <c r="R79" i="38" s="1"/>
  <c r="R78" i="38" s="1"/>
  <c r="O80" i="38"/>
  <c r="O79" i="38" s="1"/>
  <c r="O78" i="38" s="1"/>
  <c r="N80" i="38"/>
  <c r="N79" i="38" s="1"/>
  <c r="N78" i="38" s="1"/>
  <c r="M80" i="38"/>
  <c r="H80" i="38"/>
  <c r="H79" i="38" s="1"/>
  <c r="H78" i="38" s="1"/>
  <c r="G80" i="38"/>
  <c r="G79" i="38" s="1"/>
  <c r="G78" i="38" s="1"/>
  <c r="F80" i="38"/>
  <c r="F79" i="38" s="1"/>
  <c r="F78" i="38" s="1"/>
  <c r="AE79" i="38"/>
  <c r="AE78" i="38" s="1"/>
  <c r="AD79" i="38"/>
  <c r="AD78" i="38" s="1"/>
  <c r="Z79" i="38"/>
  <c r="Z78" i="38" s="1"/>
  <c r="X79" i="38"/>
  <c r="X78" i="38" s="1"/>
  <c r="W79" i="38"/>
  <c r="W78" i="38" s="1"/>
  <c r="Q79" i="38"/>
  <c r="Q78" i="38" s="1"/>
  <c r="P79" i="38"/>
  <c r="P78" i="38" s="1"/>
  <c r="M79" i="38"/>
  <c r="M78" i="38" s="1"/>
  <c r="L79" i="38"/>
  <c r="L78" i="38" s="1"/>
  <c r="K79" i="38"/>
  <c r="K78" i="38" s="1"/>
  <c r="J79" i="38"/>
  <c r="J78" i="38" s="1"/>
  <c r="I79" i="38"/>
  <c r="I78" i="38" s="1"/>
  <c r="E79" i="38"/>
  <c r="E78" i="38" s="1"/>
  <c r="D79" i="38"/>
  <c r="D78" i="38" s="1"/>
  <c r="C79" i="38"/>
  <c r="C78" i="38" s="1"/>
  <c r="B79" i="38"/>
  <c r="B78" i="38" s="1"/>
  <c r="AG77" i="38"/>
  <c r="D77" i="25" s="1"/>
  <c r="AG76" i="38"/>
  <c r="D76" i="25" s="1"/>
  <c r="AG75" i="38"/>
  <c r="D75" i="25" s="1"/>
  <c r="AG74" i="38"/>
  <c r="D74" i="25" s="1"/>
  <c r="AG73" i="38"/>
  <c r="D73" i="25" s="1"/>
  <c r="AG72" i="38"/>
  <c r="D72" i="25" s="1"/>
  <c r="AG71" i="38"/>
  <c r="D71" i="25" s="1"/>
  <c r="AG70" i="38"/>
  <c r="D70" i="25" s="1"/>
  <c r="AG69" i="38"/>
  <c r="D69" i="25" s="1"/>
  <c r="AG68" i="38"/>
  <c r="D68" i="25" s="1"/>
  <c r="AG67" i="38"/>
  <c r="D67" i="25" s="1"/>
  <c r="AG66" i="38"/>
  <c r="D66" i="25" s="1"/>
  <c r="AG65" i="38"/>
  <c r="D65" i="25" s="1"/>
  <c r="AG64" i="38"/>
  <c r="D64" i="25" s="1"/>
  <c r="AG63" i="38"/>
  <c r="D63" i="25" s="1"/>
  <c r="AG62" i="38"/>
  <c r="D62" i="25" s="1"/>
  <c r="AG61" i="38"/>
  <c r="D61" i="25" s="1"/>
  <c r="AG60" i="38"/>
  <c r="D60" i="25" s="1"/>
  <c r="AG59" i="38"/>
  <c r="D59" i="25" s="1"/>
  <c r="AG58" i="38"/>
  <c r="D58" i="25" s="1"/>
  <c r="AG57" i="38"/>
  <c r="D57" i="25" s="1"/>
  <c r="AG56" i="38"/>
  <c r="D56" i="25" s="1"/>
  <c r="AG55" i="38"/>
  <c r="D55" i="25" s="1"/>
  <c r="AG54" i="38"/>
  <c r="D54" i="25" s="1"/>
  <c r="AF53" i="38"/>
  <c r="AE53" i="38"/>
  <c r="AD53" i="38"/>
  <c r="AC53" i="38"/>
  <c r="AB53" i="38"/>
  <c r="AA53" i="38"/>
  <c r="Z53" i="38"/>
  <c r="Y53" i="38"/>
  <c r="X53" i="38"/>
  <c r="W53" i="38"/>
  <c r="V53" i="38"/>
  <c r="U53" i="38"/>
  <c r="T53" i="38"/>
  <c r="S53" i="38"/>
  <c r="R53" i="38"/>
  <c r="Q53" i="38"/>
  <c r="P53" i="38"/>
  <c r="O53" i="38"/>
  <c r="N53" i="38"/>
  <c r="M53" i="38"/>
  <c r="L53" i="38"/>
  <c r="K53" i="38"/>
  <c r="J53" i="38"/>
  <c r="I53" i="38"/>
  <c r="H53" i="38"/>
  <c r="G53" i="38"/>
  <c r="F53" i="38"/>
  <c r="E53" i="38"/>
  <c r="D53" i="38"/>
  <c r="C53" i="38"/>
  <c r="B53" i="38"/>
  <c r="AG52" i="38"/>
  <c r="D52" i="25" s="1"/>
  <c r="AG51" i="38"/>
  <c r="D51" i="25" s="1"/>
  <c r="AG50" i="38"/>
  <c r="D50" i="25" s="1"/>
  <c r="AG49" i="38"/>
  <c r="D49" i="25" s="1"/>
  <c r="AG48" i="38"/>
  <c r="D48" i="25" s="1"/>
  <c r="AG47" i="38"/>
  <c r="D47" i="25" s="1"/>
  <c r="AG46" i="38"/>
  <c r="D46" i="25" s="1"/>
  <c r="AG45" i="38"/>
  <c r="D45" i="25" s="1"/>
  <c r="AG44" i="38"/>
  <c r="D44" i="25" s="1"/>
  <c r="AG43" i="38"/>
  <c r="D43" i="25" s="1"/>
  <c r="AG42" i="38"/>
  <c r="D42" i="25" s="1"/>
  <c r="AG41" i="38"/>
  <c r="D41" i="25" s="1"/>
  <c r="AG40" i="38"/>
  <c r="D40" i="25" s="1"/>
  <c r="AG39" i="38"/>
  <c r="D39" i="25" s="1"/>
  <c r="AG38" i="38"/>
  <c r="D38" i="25" s="1"/>
  <c r="AG37" i="38"/>
  <c r="D37" i="25" s="1"/>
  <c r="AG36" i="38"/>
  <c r="D36" i="25" s="1"/>
  <c r="AG35" i="38"/>
  <c r="D35" i="25" s="1"/>
  <c r="AG34" i="38"/>
  <c r="D34" i="25" s="1"/>
  <c r="AG33" i="38"/>
  <c r="D33" i="25" s="1"/>
  <c r="AG32" i="38"/>
  <c r="D32" i="25" s="1"/>
  <c r="AG31" i="38"/>
  <c r="D31" i="25" s="1"/>
  <c r="AG30" i="38"/>
  <c r="D30" i="25" s="1"/>
  <c r="AG29" i="38"/>
  <c r="D29" i="25" s="1"/>
  <c r="AF28" i="38"/>
  <c r="AE28" i="38"/>
  <c r="AD28" i="38"/>
  <c r="AC28" i="38"/>
  <c r="AB28" i="38"/>
  <c r="AA28" i="38"/>
  <c r="Z28" i="38"/>
  <c r="Y28" i="38"/>
  <c r="X28" i="38"/>
  <c r="W28" i="38"/>
  <c r="V28" i="38"/>
  <c r="U28" i="38"/>
  <c r="T28" i="38"/>
  <c r="S28" i="38"/>
  <c r="R28" i="38"/>
  <c r="Q28" i="38"/>
  <c r="P28" i="38"/>
  <c r="O28" i="38"/>
  <c r="N28" i="38"/>
  <c r="M28" i="38"/>
  <c r="L28" i="38"/>
  <c r="K28" i="38"/>
  <c r="J28" i="38"/>
  <c r="I28" i="38"/>
  <c r="H28" i="38"/>
  <c r="G28" i="38"/>
  <c r="F28" i="38"/>
  <c r="E28" i="38"/>
  <c r="D28" i="38"/>
  <c r="C28" i="38"/>
  <c r="B28" i="38"/>
  <c r="AG27" i="38"/>
  <c r="D27" i="25" s="1"/>
  <c r="AG26" i="38"/>
  <c r="D26" i="25" s="1"/>
  <c r="AG25" i="38"/>
  <c r="D25" i="25" s="1"/>
  <c r="AG24" i="38"/>
  <c r="D24" i="25" s="1"/>
  <c r="AG23" i="38"/>
  <c r="D23" i="25" s="1"/>
  <c r="AG22" i="38"/>
  <c r="D22" i="25" s="1"/>
  <c r="AG21" i="38"/>
  <c r="D21" i="25" s="1"/>
  <c r="AG20" i="38"/>
  <c r="D20" i="25" s="1"/>
  <c r="AG19" i="38"/>
  <c r="D19" i="25" s="1"/>
  <c r="AG18" i="38"/>
  <c r="D18" i="25" s="1"/>
  <c r="AG17" i="38"/>
  <c r="D17" i="25" s="1"/>
  <c r="AG16" i="38"/>
  <c r="D16" i="25" s="1"/>
  <c r="AG15" i="38"/>
  <c r="D15" i="25" s="1"/>
  <c r="AG14" i="38"/>
  <c r="D14" i="25" s="1"/>
  <c r="AG13" i="38"/>
  <c r="D13" i="25" s="1"/>
  <c r="AG12" i="38"/>
  <c r="D12" i="25" s="1"/>
  <c r="AG11" i="38"/>
  <c r="D11" i="25" s="1"/>
  <c r="AG10" i="38"/>
  <c r="D10" i="25" s="1"/>
  <c r="AG9" i="38"/>
  <c r="D9" i="25" s="1"/>
  <c r="AG8" i="38"/>
  <c r="D8" i="25" s="1"/>
  <c r="AG7" i="38"/>
  <c r="D7" i="25" s="1"/>
  <c r="AG6" i="38"/>
  <c r="D6" i="25" s="1"/>
  <c r="AG5" i="38"/>
  <c r="D5" i="25" s="1"/>
  <c r="AG4" i="38"/>
  <c r="D4" i="25" s="1"/>
  <c r="AF3" i="38"/>
  <c r="AE3" i="38"/>
  <c r="AD3" i="38"/>
  <c r="AC3" i="38"/>
  <c r="AB3" i="38"/>
  <c r="AA3" i="38"/>
  <c r="Z3" i="38"/>
  <c r="Y3" i="38"/>
  <c r="X3" i="38"/>
  <c r="W3" i="38"/>
  <c r="V3" i="38"/>
  <c r="U3" i="38"/>
  <c r="T3" i="38"/>
  <c r="R3" i="38"/>
  <c r="Q3" i="38"/>
  <c r="P3" i="38"/>
  <c r="O3" i="38"/>
  <c r="N3" i="38"/>
  <c r="M3" i="38"/>
  <c r="L3" i="38"/>
  <c r="K3" i="38"/>
  <c r="J3" i="38"/>
  <c r="I3" i="38"/>
  <c r="H3" i="38"/>
  <c r="G3" i="38"/>
  <c r="F3" i="38"/>
  <c r="E3" i="38"/>
  <c r="D3" i="38"/>
  <c r="C3" i="38"/>
  <c r="B3" i="38"/>
  <c r="AC2" i="38"/>
  <c r="C2" i="38"/>
  <c r="D2" i="38" s="1"/>
  <c r="E2" i="38" s="1"/>
  <c r="F2" i="38" s="1"/>
  <c r="G2" i="38" s="1"/>
  <c r="H2" i="38" s="1"/>
  <c r="I2" i="38" s="1"/>
  <c r="J2" i="38" s="1"/>
  <c r="K2" i="38" s="1"/>
  <c r="L2" i="38" s="1"/>
  <c r="M2" i="38" s="1"/>
  <c r="N2" i="38" s="1"/>
  <c r="O2" i="38" s="1"/>
  <c r="P2" i="38" s="1"/>
  <c r="Q2" i="38" s="1"/>
  <c r="R2" i="38" s="1"/>
  <c r="S2" i="38" s="1"/>
  <c r="T2" i="38" s="1"/>
  <c r="U2" i="38" s="1"/>
  <c r="V2" i="38" s="1"/>
  <c r="W2" i="38" s="1"/>
  <c r="X2" i="38" s="1"/>
  <c r="Y2" i="38" s="1"/>
  <c r="Z2" i="38" s="1"/>
  <c r="AA2" i="38" s="1"/>
  <c r="Q144" i="38" l="1"/>
  <c r="B93" i="38"/>
  <c r="W93" i="38"/>
  <c r="U144" i="38"/>
  <c r="F93" i="38"/>
  <c r="E144" i="38"/>
  <c r="J93" i="38"/>
  <c r="I144" i="38"/>
  <c r="AE93" i="38"/>
  <c r="Y93" i="38"/>
  <c r="Z93" i="38"/>
  <c r="AC93" i="38"/>
  <c r="Y144" i="38"/>
  <c r="AA93" i="38"/>
  <c r="C93" i="38"/>
  <c r="AD93" i="38"/>
  <c r="C144" i="38"/>
  <c r="G144" i="38"/>
  <c r="K144" i="38"/>
  <c r="O144" i="38"/>
  <c r="S144" i="38"/>
  <c r="W144" i="38"/>
  <c r="AA144" i="38"/>
  <c r="AE144" i="38"/>
  <c r="E93" i="38"/>
  <c r="I93" i="38"/>
  <c r="M93" i="38"/>
  <c r="B130" i="38"/>
  <c r="D144" i="38"/>
  <c r="H144" i="38"/>
  <c r="P144" i="38"/>
  <c r="T144" i="38"/>
  <c r="X144" i="38"/>
  <c r="AB144" i="38"/>
  <c r="AF144" i="38"/>
  <c r="AG129" i="38"/>
  <c r="D129" i="25" s="1"/>
  <c r="G93" i="38"/>
  <c r="K93" i="38"/>
  <c r="O93" i="38"/>
  <c r="X81" i="38"/>
  <c r="N93" i="38"/>
  <c r="V93" i="38"/>
  <c r="D116" i="38"/>
  <c r="AG116" i="38" s="1"/>
  <c r="D116" i="25" s="1"/>
  <c r="AG232" i="38"/>
  <c r="D234" i="25" s="1"/>
  <c r="C130" i="38"/>
  <c r="X93" i="38"/>
  <c r="AG240" i="38"/>
  <c r="D242" i="25" s="1"/>
  <c r="AG148" i="38"/>
  <c r="D148" i="25" s="1"/>
  <c r="F144" i="38"/>
  <c r="N144" i="38"/>
  <c r="V144" i="38"/>
  <c r="AG236" i="38"/>
  <c r="D238" i="25" s="1"/>
  <c r="L144" i="38"/>
  <c r="AG147" i="38"/>
  <c r="D147" i="25" s="1"/>
  <c r="AF93" i="38"/>
  <c r="AD144" i="38"/>
  <c r="AC144" i="38"/>
  <c r="AB93" i="38"/>
  <c r="Z144" i="38"/>
  <c r="T93" i="38"/>
  <c r="S93" i="38"/>
  <c r="R144" i="38"/>
  <c r="AG80" i="38"/>
  <c r="D80" i="25" s="1"/>
  <c r="L93" i="38"/>
  <c r="AG167" i="38"/>
  <c r="D167" i="25" s="1"/>
  <c r="J144" i="38"/>
  <c r="AG158" i="38"/>
  <c r="D158" i="25" s="1"/>
  <c r="H93" i="38"/>
  <c r="AG87" i="38"/>
  <c r="D87" i="25" s="1"/>
  <c r="AG179" i="38"/>
  <c r="D179" i="25" s="1"/>
  <c r="AG206" i="38"/>
  <c r="D206" i="25" s="1"/>
  <c r="AG142" i="38"/>
  <c r="D142" i="25" s="1"/>
  <c r="AG53" i="38"/>
  <c r="D53" i="25" s="1"/>
  <c r="D81" i="38"/>
  <c r="AG79" i="38"/>
  <c r="D79" i="25" s="1"/>
  <c r="AG174" i="38"/>
  <c r="D174" i="25" s="1"/>
  <c r="AG145" i="38"/>
  <c r="D145" i="25" s="1"/>
  <c r="AG143" i="38"/>
  <c r="D143" i="25" s="1"/>
  <c r="AG84" i="38"/>
  <c r="D84" i="25" s="1"/>
  <c r="AG28" i="38"/>
  <c r="D28" i="25" s="1"/>
  <c r="AG100" i="38"/>
  <c r="D100" i="25" s="1"/>
  <c r="AG3" i="38"/>
  <c r="D3" i="25" s="1"/>
  <c r="AG78" i="38"/>
  <c r="D78" i="25" s="1"/>
  <c r="B81" i="38"/>
  <c r="C83" i="38"/>
  <c r="C81" i="38" s="1"/>
  <c r="K83" i="38"/>
  <c r="K81" i="38" s="1"/>
  <c r="S83" i="38"/>
  <c r="S81" i="38" s="1"/>
  <c r="G83" i="38"/>
  <c r="G81" i="38" s="1"/>
  <c r="O83" i="38"/>
  <c r="O81" i="38" s="1"/>
  <c r="W83" i="38"/>
  <c r="W81" i="38" s="1"/>
  <c r="AA83" i="38"/>
  <c r="AA81" i="38" s="1"/>
  <c r="B146" i="38"/>
  <c r="B144" i="38" s="1"/>
  <c r="AG82" i="38"/>
  <c r="D82" i="25" s="1"/>
  <c r="D93" i="38"/>
  <c r="AE83" i="38"/>
  <c r="AE81" i="38" s="1"/>
  <c r="AG94" i="38"/>
  <c r="D94" i="25" s="1"/>
  <c r="AD143" i="37"/>
  <c r="AD142" i="37"/>
  <c r="AD137" i="37"/>
  <c r="AD129" i="37"/>
  <c r="AC143" i="37"/>
  <c r="AC142" i="37"/>
  <c r="AC134" i="37"/>
  <c r="AC137" i="37"/>
  <c r="AC129" i="37"/>
  <c r="AG146" i="38" l="1"/>
  <c r="D146" i="25" s="1"/>
  <c r="AG130" i="38"/>
  <c r="D130" i="25" s="1"/>
  <c r="AG144" i="38"/>
  <c r="D144" i="25" s="1"/>
  <c r="AG93" i="38"/>
  <c r="AH87" i="38"/>
  <c r="AG83" i="38"/>
  <c r="AG81" i="38"/>
  <c r="AB143" i="37"/>
  <c r="AB142" i="37"/>
  <c r="AB137" i="37"/>
  <c r="AB129" i="37"/>
  <c r="AH93" i="38" l="1"/>
  <c r="D93" i="25"/>
  <c r="AH81" i="38"/>
  <c r="D81" i="25"/>
  <c r="AH84" i="38"/>
  <c r="D83" i="25"/>
  <c r="AH206" i="38"/>
  <c r="AH130" i="38"/>
  <c r="AH144" i="38"/>
  <c r="AA143" i="37"/>
  <c r="AA142" i="37"/>
  <c r="AA137" i="37"/>
  <c r="AA129" i="37"/>
  <c r="Z143" i="37" l="1"/>
  <c r="Z142" i="37"/>
  <c r="Z137" i="37"/>
  <c r="Z129" i="37"/>
  <c r="Y143" i="37" l="1"/>
  <c r="Y142" i="37"/>
  <c r="Y134" i="37"/>
  <c r="Y129" i="37"/>
  <c r="X143" i="37" l="1"/>
  <c r="X142" i="37"/>
  <c r="X139" i="37"/>
  <c r="X137" i="37"/>
  <c r="X129" i="37"/>
  <c r="W143" i="37"/>
  <c r="W142" i="37"/>
  <c r="W139" i="37"/>
  <c r="W137" i="37"/>
  <c r="W129" i="37"/>
  <c r="V143" i="37"/>
  <c r="V139" i="37"/>
  <c r="V137" i="37"/>
  <c r="V142" i="37"/>
  <c r="V129" i="37"/>
  <c r="U143" i="37" l="1"/>
  <c r="U142" i="37"/>
  <c r="U137" i="37"/>
  <c r="U139" i="37"/>
  <c r="U129" i="37"/>
  <c r="C246" i="25" l="1"/>
  <c r="C245" i="25"/>
  <c r="C244" i="25"/>
  <c r="C221" i="25"/>
  <c r="T143" i="37"/>
  <c r="T142" i="37"/>
  <c r="T139" i="37"/>
  <c r="T134" i="37"/>
  <c r="T137" i="37"/>
  <c r="T129" i="37"/>
  <c r="S143" i="37" l="1"/>
  <c r="S142" i="37"/>
  <c r="S139" i="37"/>
  <c r="S129" i="37"/>
  <c r="AG250" i="22" l="1"/>
  <c r="AG249" i="22"/>
  <c r="AG248" i="37"/>
  <c r="C250" i="25" s="1"/>
  <c r="AG247" i="37"/>
  <c r="C249" i="25" s="1"/>
  <c r="AG248" i="36"/>
  <c r="B250" i="25" s="1"/>
  <c r="N250" i="25" s="1"/>
  <c r="AG247" i="36"/>
  <c r="B249" i="25" s="1"/>
  <c r="B246" i="25"/>
  <c r="B245" i="25"/>
  <c r="B244" i="25"/>
  <c r="B221" i="25"/>
  <c r="AF240" i="36"/>
  <c r="AE240" i="36"/>
  <c r="AD240" i="36"/>
  <c r="AC240" i="36"/>
  <c r="AB240" i="36"/>
  <c r="AA240" i="36"/>
  <c r="Z240" i="36"/>
  <c r="Y240" i="36"/>
  <c r="X240" i="36"/>
  <c r="W240" i="36"/>
  <c r="V240" i="36"/>
  <c r="U240" i="36"/>
  <c r="T240" i="36"/>
  <c r="S240" i="36"/>
  <c r="R240" i="36"/>
  <c r="Q240" i="36"/>
  <c r="P240" i="36"/>
  <c r="O240" i="36"/>
  <c r="N240" i="36"/>
  <c r="M240" i="36"/>
  <c r="L240" i="36"/>
  <c r="K240" i="36"/>
  <c r="J240" i="36"/>
  <c r="I240" i="36"/>
  <c r="H240" i="36"/>
  <c r="G240" i="36"/>
  <c r="F240" i="36"/>
  <c r="E240" i="36"/>
  <c r="D240" i="36"/>
  <c r="C240" i="36"/>
  <c r="B240" i="36"/>
  <c r="AF232" i="36"/>
  <c r="AE232" i="36"/>
  <c r="AD232" i="36"/>
  <c r="AC232" i="36"/>
  <c r="AB232" i="36"/>
  <c r="AA232" i="36"/>
  <c r="Z232" i="36"/>
  <c r="Y232" i="36"/>
  <c r="X232" i="36"/>
  <c r="W232" i="36"/>
  <c r="V232" i="36"/>
  <c r="U232" i="36"/>
  <c r="T232" i="36"/>
  <c r="S232" i="36"/>
  <c r="R232" i="36"/>
  <c r="Q232" i="36"/>
  <c r="P232" i="36"/>
  <c r="O232" i="36"/>
  <c r="N232" i="36"/>
  <c r="M232" i="36"/>
  <c r="L232" i="36"/>
  <c r="K232" i="36"/>
  <c r="J232" i="36"/>
  <c r="I232" i="36"/>
  <c r="H232" i="36"/>
  <c r="G232" i="36"/>
  <c r="F232" i="36"/>
  <c r="E232" i="36"/>
  <c r="D232" i="36"/>
  <c r="C232" i="36"/>
  <c r="B232" i="36"/>
  <c r="AF174" i="36"/>
  <c r="AE174" i="36"/>
  <c r="AD174" i="36"/>
  <c r="AC174" i="36"/>
  <c r="AB174" i="36"/>
  <c r="AF167" i="36"/>
  <c r="AE167" i="36"/>
  <c r="AD167" i="36"/>
  <c r="AC167" i="36"/>
  <c r="AB167" i="36"/>
  <c r="AF158" i="36"/>
  <c r="AE158" i="36"/>
  <c r="AD158" i="36"/>
  <c r="AC158" i="36"/>
  <c r="AB158" i="36"/>
  <c r="AF148" i="36"/>
  <c r="AF146" i="36" s="1"/>
  <c r="AE148" i="36"/>
  <c r="AD148" i="36"/>
  <c r="AD146" i="36" s="1"/>
  <c r="AC148" i="36"/>
  <c r="AB148" i="36"/>
  <c r="AE147" i="36"/>
  <c r="AD147" i="36"/>
  <c r="AC147" i="36"/>
  <c r="AB147" i="36"/>
  <c r="AE146" i="36"/>
  <c r="AC146" i="36"/>
  <c r="AB146" i="36"/>
  <c r="AB144" i="36" s="1"/>
  <c r="AF145" i="36"/>
  <c r="AE145" i="36"/>
  <c r="AD145" i="36"/>
  <c r="AC145" i="36"/>
  <c r="AB145" i="36"/>
  <c r="AD143" i="36"/>
  <c r="AE142" i="36"/>
  <c r="AE130" i="36" s="1"/>
  <c r="AD142" i="36"/>
  <c r="AD138" i="36"/>
  <c r="AC137" i="36"/>
  <c r="AD134" i="36"/>
  <c r="AC134" i="36"/>
  <c r="AF130" i="36"/>
  <c r="AB130" i="36"/>
  <c r="AF116" i="36"/>
  <c r="AE116" i="36"/>
  <c r="AD116" i="36"/>
  <c r="AC116" i="36"/>
  <c r="AB116" i="36"/>
  <c r="AF100" i="36"/>
  <c r="AE100" i="36"/>
  <c r="AD100" i="36"/>
  <c r="AC100" i="36"/>
  <c r="AB100" i="36"/>
  <c r="AF94" i="36"/>
  <c r="AE94" i="36"/>
  <c r="AD94" i="36"/>
  <c r="AD93" i="36" s="1"/>
  <c r="AC94" i="36"/>
  <c r="AB94" i="36"/>
  <c r="AB93" i="36" s="1"/>
  <c r="AF87" i="36"/>
  <c r="AE87" i="36"/>
  <c r="AD87" i="36"/>
  <c r="AC87" i="36"/>
  <c r="AB87" i="36"/>
  <c r="AF84" i="36"/>
  <c r="AE84" i="36"/>
  <c r="AD84" i="36"/>
  <c r="AC84" i="36"/>
  <c r="AB84" i="36"/>
  <c r="AF83" i="36"/>
  <c r="AF81" i="36" s="1"/>
  <c r="AF82" i="36"/>
  <c r="AE82" i="36"/>
  <c r="AE83" i="36" s="1"/>
  <c r="AE81" i="36" s="1"/>
  <c r="AD82" i="36"/>
  <c r="AD83" i="36" s="1"/>
  <c r="AD81" i="36" s="1"/>
  <c r="AC82" i="36"/>
  <c r="AB82" i="36"/>
  <c r="AB83" i="36" s="1"/>
  <c r="AB81" i="36" s="1"/>
  <c r="AF80" i="36"/>
  <c r="AF79" i="36" s="1"/>
  <c r="AF78" i="36" s="1"/>
  <c r="AC80" i="36"/>
  <c r="AC79" i="36" s="1"/>
  <c r="AC78" i="36" s="1"/>
  <c r="AB80" i="36"/>
  <c r="AB79" i="36" s="1"/>
  <c r="AB78" i="36" s="1"/>
  <c r="AE79" i="36"/>
  <c r="AE78" i="36" s="1"/>
  <c r="AD79" i="36"/>
  <c r="AD78" i="36" s="1"/>
  <c r="AF53" i="36"/>
  <c r="AE53" i="36"/>
  <c r="AD53" i="36"/>
  <c r="AC53" i="36"/>
  <c r="AB53" i="36"/>
  <c r="AF28" i="36"/>
  <c r="AE28" i="36"/>
  <c r="AD28" i="36"/>
  <c r="AC28" i="36"/>
  <c r="AB28" i="36"/>
  <c r="AB179" i="36"/>
  <c r="AC179" i="36"/>
  <c r="AD179" i="36"/>
  <c r="AE179" i="36"/>
  <c r="AF179" i="36"/>
  <c r="AB206" i="36"/>
  <c r="AC206" i="36"/>
  <c r="AD206" i="36"/>
  <c r="AE206" i="36"/>
  <c r="AF206" i="36"/>
  <c r="AB3" i="36"/>
  <c r="AC3" i="36"/>
  <c r="AD3" i="36"/>
  <c r="AE3" i="36"/>
  <c r="AF3" i="36"/>
  <c r="AC130" i="36" l="1"/>
  <c r="N249" i="25"/>
  <c r="AF144" i="36"/>
  <c r="AD130" i="36"/>
  <c r="AF93" i="36"/>
  <c r="AC93" i="36"/>
  <c r="AC144" i="36"/>
  <c r="AE93" i="36"/>
  <c r="AE144" i="36"/>
  <c r="AD144" i="36"/>
  <c r="AC83" i="36"/>
  <c r="AC81" i="36" s="1"/>
  <c r="R143" i="37" l="1"/>
  <c r="R142" i="37"/>
  <c r="R139" i="37"/>
  <c r="R129" i="37"/>
  <c r="Q143" i="37"/>
  <c r="Q142" i="37"/>
  <c r="Q139" i="37"/>
  <c r="Q134" i="37"/>
  <c r="Q129" i="37"/>
  <c r="P143" i="37"/>
  <c r="P142" i="37"/>
  <c r="P139" i="37"/>
  <c r="P129" i="37"/>
  <c r="O143" i="37"/>
  <c r="O142" i="37"/>
  <c r="O129" i="37"/>
  <c r="N143" i="37"/>
  <c r="N142" i="37"/>
  <c r="N139" i="37"/>
  <c r="N137" i="37"/>
  <c r="N129" i="37"/>
  <c r="M142" i="37"/>
  <c r="M134" i="37"/>
  <c r="M129" i="37"/>
  <c r="L143" i="37"/>
  <c r="L142" i="37"/>
  <c r="L134" i="37"/>
  <c r="L137" i="37"/>
  <c r="L129" i="37"/>
  <c r="K179" i="37"/>
  <c r="K142" i="37"/>
  <c r="K139" i="37"/>
  <c r="K129" i="37"/>
  <c r="J143" i="37"/>
  <c r="J142" i="37"/>
  <c r="J134" i="37"/>
  <c r="J137" i="37"/>
  <c r="J129" i="37"/>
  <c r="AG198" i="22"/>
  <c r="AG198" i="36"/>
  <c r="B198" i="25" s="1"/>
  <c r="AG198" i="37"/>
  <c r="C198" i="25" s="1"/>
  <c r="I143" i="37"/>
  <c r="I142" i="37"/>
  <c r="N198" i="25" l="1"/>
  <c r="I129" i="37"/>
  <c r="H143" i="37"/>
  <c r="H142" i="37"/>
  <c r="H137" i="37"/>
  <c r="H129" i="37"/>
  <c r="G143" i="37"/>
  <c r="G134" i="37"/>
  <c r="G142" i="37"/>
  <c r="G137" i="37"/>
  <c r="G129" i="37"/>
  <c r="F134" i="37"/>
  <c r="F143" i="37"/>
  <c r="F142" i="37"/>
  <c r="F137" i="37"/>
  <c r="F129" i="37"/>
  <c r="F116" i="37" s="1"/>
  <c r="E143" i="37"/>
  <c r="E142" i="37"/>
  <c r="E137" i="37"/>
  <c r="E129" i="37"/>
  <c r="E116" i="37" s="1"/>
  <c r="D143" i="37"/>
  <c r="D142" i="37"/>
  <c r="D137" i="37"/>
  <c r="D129" i="37"/>
  <c r="C143" i="37"/>
  <c r="C142" i="37"/>
  <c r="C137" i="37"/>
  <c r="C129" i="37"/>
  <c r="C116" i="37"/>
  <c r="B143" i="37"/>
  <c r="AG143" i="37" s="1"/>
  <c r="C143" i="25" s="1"/>
  <c r="B142" i="37"/>
  <c r="B129" i="37"/>
  <c r="AG246" i="37"/>
  <c r="C248" i="25" s="1"/>
  <c r="AG245" i="37"/>
  <c r="C247" i="25" s="1"/>
  <c r="AG241" i="37"/>
  <c r="C243" i="25" s="1"/>
  <c r="AF240" i="37"/>
  <c r="AE240" i="37"/>
  <c r="AD240" i="37"/>
  <c r="AC240" i="37"/>
  <c r="AB240" i="37"/>
  <c r="AA240" i="37"/>
  <c r="Z240" i="37"/>
  <c r="Y240" i="37"/>
  <c r="X240" i="37"/>
  <c r="W240" i="37"/>
  <c r="V240" i="37"/>
  <c r="U240" i="37"/>
  <c r="T240" i="37"/>
  <c r="S240" i="37"/>
  <c r="R240" i="37"/>
  <c r="Q240" i="37"/>
  <c r="P240" i="37"/>
  <c r="O240" i="37"/>
  <c r="N240" i="37"/>
  <c r="M240" i="37"/>
  <c r="L240" i="37"/>
  <c r="K240" i="37"/>
  <c r="J240" i="37"/>
  <c r="I240" i="37"/>
  <c r="H240" i="37"/>
  <c r="G240" i="37"/>
  <c r="F240" i="37"/>
  <c r="E240" i="37"/>
  <c r="D240" i="37"/>
  <c r="C240" i="37"/>
  <c r="B240" i="37"/>
  <c r="AG239" i="37"/>
  <c r="C241" i="25" s="1"/>
  <c r="AG238" i="37"/>
  <c r="C240" i="25" s="1"/>
  <c r="AG237" i="37"/>
  <c r="C239" i="25" s="1"/>
  <c r="AF236" i="37"/>
  <c r="AE236" i="37"/>
  <c r="AD236" i="37"/>
  <c r="AC236" i="37"/>
  <c r="AB236" i="37"/>
  <c r="AA236" i="37"/>
  <c r="Z236" i="37"/>
  <c r="Y236" i="37"/>
  <c r="X236" i="37"/>
  <c r="W236" i="37"/>
  <c r="V236" i="37"/>
  <c r="U236" i="37"/>
  <c r="T236" i="37"/>
  <c r="S236" i="37"/>
  <c r="R236" i="37"/>
  <c r="Q236" i="37"/>
  <c r="P236" i="37"/>
  <c r="O236" i="37"/>
  <c r="N236" i="37"/>
  <c r="M236" i="37"/>
  <c r="L236" i="37"/>
  <c r="K236" i="37"/>
  <c r="J236" i="37"/>
  <c r="I236" i="37"/>
  <c r="H236" i="37"/>
  <c r="G236" i="37"/>
  <c r="F236" i="37"/>
  <c r="E236" i="37"/>
  <c r="D236" i="37"/>
  <c r="C236" i="37"/>
  <c r="B236" i="37"/>
  <c r="AG235" i="37"/>
  <c r="C237" i="25" s="1"/>
  <c r="AG234" i="37"/>
  <c r="C236" i="25" s="1"/>
  <c r="AG233" i="37"/>
  <c r="C235" i="25" s="1"/>
  <c r="AF232" i="37"/>
  <c r="AE232" i="37"/>
  <c r="AD232" i="37"/>
  <c r="AC232" i="37"/>
  <c r="AB232" i="37"/>
  <c r="AA232" i="37"/>
  <c r="Z232" i="37"/>
  <c r="Y232" i="37"/>
  <c r="X232" i="37"/>
  <c r="W232" i="37"/>
  <c r="V232" i="37"/>
  <c r="U232" i="37"/>
  <c r="T232" i="37"/>
  <c r="S232" i="37"/>
  <c r="R232" i="37"/>
  <c r="Q232" i="37"/>
  <c r="P232" i="37"/>
  <c r="O232" i="37"/>
  <c r="N232" i="37"/>
  <c r="M232" i="37"/>
  <c r="L232" i="37"/>
  <c r="K232" i="37"/>
  <c r="J232" i="37"/>
  <c r="I232" i="37"/>
  <c r="H232" i="37"/>
  <c r="G232" i="37"/>
  <c r="F232" i="37"/>
  <c r="E232" i="37"/>
  <c r="D232" i="37"/>
  <c r="C232" i="37"/>
  <c r="B232" i="37"/>
  <c r="AG231" i="37"/>
  <c r="C233" i="25" s="1"/>
  <c r="AG230" i="37"/>
  <c r="C232" i="25" s="1"/>
  <c r="AG229" i="37"/>
  <c r="C231" i="25" s="1"/>
  <c r="AG228" i="37"/>
  <c r="C230" i="25" s="1"/>
  <c r="AG227" i="37"/>
  <c r="C229" i="25" s="1"/>
  <c r="AG226" i="37"/>
  <c r="C228" i="25" s="1"/>
  <c r="AG225" i="37"/>
  <c r="C227" i="25" s="1"/>
  <c r="AG224" i="37"/>
  <c r="C226" i="25" s="1"/>
  <c r="AG223" i="37"/>
  <c r="C225" i="25" s="1"/>
  <c r="AG222" i="37"/>
  <c r="C224" i="25" s="1"/>
  <c r="AG221" i="37"/>
  <c r="C223" i="25" s="1"/>
  <c r="AG220" i="37"/>
  <c r="C222" i="25" s="1"/>
  <c r="AG211" i="37"/>
  <c r="C211" i="25" s="1"/>
  <c r="AG210" i="37"/>
  <c r="C210" i="25" s="1"/>
  <c r="AG209" i="37"/>
  <c r="C209" i="25" s="1"/>
  <c r="AG208" i="37"/>
  <c r="C208" i="25" s="1"/>
  <c r="AG207" i="37"/>
  <c r="C207" i="25" s="1"/>
  <c r="AF206" i="37"/>
  <c r="AE206" i="37"/>
  <c r="AD206" i="37"/>
  <c r="AC206" i="37"/>
  <c r="AB206" i="37"/>
  <c r="AA206" i="37"/>
  <c r="Z206" i="37"/>
  <c r="Y206" i="37"/>
  <c r="X206" i="37"/>
  <c r="W206" i="37"/>
  <c r="V206" i="37"/>
  <c r="U206" i="37"/>
  <c r="T206" i="37"/>
  <c r="S206" i="37"/>
  <c r="R206" i="37"/>
  <c r="Q206" i="37"/>
  <c r="P206" i="37"/>
  <c r="O206" i="37"/>
  <c r="N206" i="37"/>
  <c r="M206" i="37"/>
  <c r="L206" i="37"/>
  <c r="K206" i="37"/>
  <c r="J206" i="37"/>
  <c r="I206" i="37"/>
  <c r="H206" i="37"/>
  <c r="G206" i="37"/>
  <c r="F206" i="37"/>
  <c r="E206" i="37"/>
  <c r="D206" i="37"/>
  <c r="C206" i="37"/>
  <c r="B206" i="37"/>
  <c r="AG205" i="37"/>
  <c r="C205" i="25" s="1"/>
  <c r="AG204" i="37"/>
  <c r="C204" i="25" s="1"/>
  <c r="AG203" i="37"/>
  <c r="C203" i="25" s="1"/>
  <c r="AG202" i="37"/>
  <c r="C202" i="25" s="1"/>
  <c r="AG201" i="37"/>
  <c r="C201" i="25" s="1"/>
  <c r="AG200" i="37"/>
  <c r="C200" i="25" s="1"/>
  <c r="AG199" i="37"/>
  <c r="C199" i="25" s="1"/>
  <c r="AG197" i="37"/>
  <c r="C197" i="25" s="1"/>
  <c r="AG196" i="37"/>
  <c r="C196" i="25" s="1"/>
  <c r="AG195" i="37"/>
  <c r="C195" i="25" s="1"/>
  <c r="AG194" i="37"/>
  <c r="C194" i="25" s="1"/>
  <c r="AG193" i="37"/>
  <c r="C193" i="25" s="1"/>
  <c r="AG192" i="37"/>
  <c r="C192" i="25" s="1"/>
  <c r="AG191" i="37"/>
  <c r="C191" i="25" s="1"/>
  <c r="AG190" i="37"/>
  <c r="C190" i="25" s="1"/>
  <c r="AG189" i="37"/>
  <c r="C189" i="25" s="1"/>
  <c r="AG188" i="37"/>
  <c r="C188" i="25" s="1"/>
  <c r="AG187" i="37"/>
  <c r="C187" i="25" s="1"/>
  <c r="AG186" i="37"/>
  <c r="C186" i="25" s="1"/>
  <c r="AG185" i="37"/>
  <c r="C185" i="25" s="1"/>
  <c r="AG183" i="37"/>
  <c r="C183" i="25" s="1"/>
  <c r="AG182" i="37"/>
  <c r="C182" i="25" s="1"/>
  <c r="AG181" i="37"/>
  <c r="C181" i="25" s="1"/>
  <c r="AG180" i="37"/>
  <c r="C180" i="25" s="1"/>
  <c r="AF179" i="37"/>
  <c r="AE179" i="37"/>
  <c r="AD179" i="37"/>
  <c r="AC179" i="37"/>
  <c r="AB179" i="37"/>
  <c r="AA179" i="37"/>
  <c r="Z179" i="37"/>
  <c r="Y179" i="37"/>
  <c r="X179" i="37"/>
  <c r="W179" i="37"/>
  <c r="V179" i="37"/>
  <c r="U179" i="37"/>
  <c r="T179" i="37"/>
  <c r="S179" i="37"/>
  <c r="R179" i="37"/>
  <c r="Q179" i="37"/>
  <c r="P179" i="37"/>
  <c r="O179" i="37"/>
  <c r="N179" i="37"/>
  <c r="M179" i="37"/>
  <c r="L179" i="37"/>
  <c r="J179" i="37"/>
  <c r="I179" i="37"/>
  <c r="H179" i="37"/>
  <c r="G179" i="37"/>
  <c r="F179" i="37"/>
  <c r="E179" i="37"/>
  <c r="D179" i="37"/>
  <c r="C179" i="37"/>
  <c r="B179" i="37"/>
  <c r="AG178" i="37"/>
  <c r="C178" i="25" s="1"/>
  <c r="AG177" i="37"/>
  <c r="C177" i="25" s="1"/>
  <c r="AG176" i="37"/>
  <c r="C176" i="25" s="1"/>
  <c r="AG175" i="37"/>
  <c r="C175" i="25" s="1"/>
  <c r="AF174" i="37"/>
  <c r="AE174" i="37"/>
  <c r="AD174" i="37"/>
  <c r="AC174" i="37"/>
  <c r="AB174" i="37"/>
  <c r="AA174" i="37"/>
  <c r="Z174" i="37"/>
  <c r="Y174" i="37"/>
  <c r="X174" i="37"/>
  <c r="W174" i="37"/>
  <c r="V174" i="37"/>
  <c r="U174" i="37"/>
  <c r="T174" i="37"/>
  <c r="S174" i="37"/>
  <c r="R174" i="37"/>
  <c r="Q174" i="37"/>
  <c r="P174" i="37"/>
  <c r="O174" i="37"/>
  <c r="N174" i="37"/>
  <c r="M174" i="37"/>
  <c r="L174" i="37"/>
  <c r="K174" i="37"/>
  <c r="J174" i="37"/>
  <c r="I174" i="37"/>
  <c r="H174" i="37"/>
  <c r="G174" i="37"/>
  <c r="F174" i="37"/>
  <c r="E174" i="37"/>
  <c r="D174" i="37"/>
  <c r="C174" i="37"/>
  <c r="B174" i="37"/>
  <c r="AG173" i="37"/>
  <c r="C173" i="25" s="1"/>
  <c r="AG172" i="37"/>
  <c r="C172" i="25" s="1"/>
  <c r="AG171" i="37"/>
  <c r="C171" i="25" s="1"/>
  <c r="AG170" i="37"/>
  <c r="C170" i="25" s="1"/>
  <c r="AG169" i="37"/>
  <c r="C169" i="25" s="1"/>
  <c r="AG168" i="37"/>
  <c r="C168" i="25" s="1"/>
  <c r="AF167" i="37"/>
  <c r="AE167" i="37"/>
  <c r="AD167" i="37"/>
  <c r="AC167" i="37"/>
  <c r="AB167" i="37"/>
  <c r="AA167" i="37"/>
  <c r="Z167" i="37"/>
  <c r="Y167" i="37"/>
  <c r="X167" i="37"/>
  <c r="W167" i="37"/>
  <c r="V167" i="37"/>
  <c r="U167" i="37"/>
  <c r="T167" i="37"/>
  <c r="S167" i="37"/>
  <c r="R167" i="37"/>
  <c r="Q167" i="37"/>
  <c r="P167" i="37"/>
  <c r="O167" i="37"/>
  <c r="N167" i="37"/>
  <c r="M167" i="37"/>
  <c r="L167" i="37"/>
  <c r="K167" i="37"/>
  <c r="J167" i="37"/>
  <c r="I167" i="37"/>
  <c r="H167" i="37"/>
  <c r="G167" i="37"/>
  <c r="F167" i="37"/>
  <c r="E167" i="37"/>
  <c r="D167" i="37"/>
  <c r="C167" i="37"/>
  <c r="B167" i="37"/>
  <c r="AG166" i="37"/>
  <c r="C166" i="25" s="1"/>
  <c r="AG165" i="37"/>
  <c r="C165" i="25" s="1"/>
  <c r="AG164" i="37"/>
  <c r="C164" i="25" s="1"/>
  <c r="AG163" i="37"/>
  <c r="C163" i="25" s="1"/>
  <c r="AG162" i="37"/>
  <c r="C162" i="25" s="1"/>
  <c r="AG161" i="37"/>
  <c r="C161" i="25" s="1"/>
  <c r="AG160" i="37"/>
  <c r="C160" i="25" s="1"/>
  <c r="AG159" i="37"/>
  <c r="C159" i="25" s="1"/>
  <c r="AF158" i="37"/>
  <c r="AE158" i="37"/>
  <c r="AD158" i="37"/>
  <c r="AC158" i="37"/>
  <c r="AB158" i="37"/>
  <c r="AA158" i="37"/>
  <c r="Z158" i="37"/>
  <c r="Y158" i="37"/>
  <c r="X158" i="37"/>
  <c r="W158" i="37"/>
  <c r="V158" i="37"/>
  <c r="U158" i="37"/>
  <c r="T158" i="37"/>
  <c r="S158" i="37"/>
  <c r="R158" i="37"/>
  <c r="Q158" i="37"/>
  <c r="P158" i="37"/>
  <c r="O158" i="37"/>
  <c r="N158" i="37"/>
  <c r="M158" i="37"/>
  <c r="L158" i="37"/>
  <c r="K158" i="37"/>
  <c r="J158" i="37"/>
  <c r="I158" i="37"/>
  <c r="H158" i="37"/>
  <c r="G158" i="37"/>
  <c r="F158" i="37"/>
  <c r="E158" i="37"/>
  <c r="D158" i="37"/>
  <c r="C158" i="37"/>
  <c r="B158" i="37"/>
  <c r="AG157" i="37"/>
  <c r="C157" i="25" s="1"/>
  <c r="AG156" i="37"/>
  <c r="C156" i="25" s="1"/>
  <c r="AG155" i="37"/>
  <c r="C155" i="25" s="1"/>
  <c r="AG154" i="37"/>
  <c r="C154" i="25" s="1"/>
  <c r="AG153" i="37"/>
  <c r="C153" i="25" s="1"/>
  <c r="AG152" i="37"/>
  <c r="C152" i="25" s="1"/>
  <c r="AG151" i="37"/>
  <c r="C151" i="25" s="1"/>
  <c r="AG150" i="37"/>
  <c r="C150" i="25" s="1"/>
  <c r="AG149" i="37"/>
  <c r="C149" i="25" s="1"/>
  <c r="AF148" i="37"/>
  <c r="AE148" i="37"/>
  <c r="AD148" i="37"/>
  <c r="AD146" i="37" s="1"/>
  <c r="AC148" i="37"/>
  <c r="AC146" i="37" s="1"/>
  <c r="AB148" i="37"/>
  <c r="AA148" i="37"/>
  <c r="AA146" i="37" s="1"/>
  <c r="Z148" i="37"/>
  <c r="Z146" i="37" s="1"/>
  <c r="Y148" i="37"/>
  <c r="Y146" i="37" s="1"/>
  <c r="X148" i="37"/>
  <c r="X146" i="37" s="1"/>
  <c r="W148" i="37"/>
  <c r="W146" i="37" s="1"/>
  <c r="W144" i="37" s="1"/>
  <c r="V148" i="37"/>
  <c r="V146" i="37" s="1"/>
  <c r="U148" i="37"/>
  <c r="U146" i="37" s="1"/>
  <c r="T148" i="37"/>
  <c r="T146" i="37" s="1"/>
  <c r="S148" i="37"/>
  <c r="S146" i="37" s="1"/>
  <c r="R148" i="37"/>
  <c r="R146" i="37" s="1"/>
  <c r="R144" i="37" s="1"/>
  <c r="Q148" i="37"/>
  <c r="Q146" i="37" s="1"/>
  <c r="P148" i="37"/>
  <c r="P146" i="37" s="1"/>
  <c r="O148" i="37"/>
  <c r="O146" i="37" s="1"/>
  <c r="O144" i="37" s="1"/>
  <c r="N148" i="37"/>
  <c r="N146" i="37" s="1"/>
  <c r="M148" i="37"/>
  <c r="M146" i="37" s="1"/>
  <c r="L148" i="37"/>
  <c r="L146" i="37" s="1"/>
  <c r="K148" i="37"/>
  <c r="K146" i="37" s="1"/>
  <c r="J148" i="37"/>
  <c r="J146" i="37" s="1"/>
  <c r="I148" i="37"/>
  <c r="I146" i="37" s="1"/>
  <c r="I144" i="37" s="1"/>
  <c r="H148" i="37"/>
  <c r="G148" i="37"/>
  <c r="F148" i="37"/>
  <c r="F146" i="37" s="1"/>
  <c r="E148" i="37"/>
  <c r="E146" i="37" s="1"/>
  <c r="D148" i="37"/>
  <c r="C148" i="37"/>
  <c r="C146" i="37" s="1"/>
  <c r="B148" i="37"/>
  <c r="B146" i="37" s="1"/>
  <c r="AE147" i="37"/>
  <c r="AD147" i="37"/>
  <c r="AC147" i="37"/>
  <c r="AB147" i="37"/>
  <c r="AA147" i="37"/>
  <c r="Z147" i="37"/>
  <c r="Y147" i="37"/>
  <c r="X147" i="37"/>
  <c r="W147" i="37"/>
  <c r="V147" i="37"/>
  <c r="U147" i="37"/>
  <c r="T147" i="37"/>
  <c r="S147" i="37"/>
  <c r="R147" i="37"/>
  <c r="Q147" i="37"/>
  <c r="P147" i="37"/>
  <c r="O147" i="37"/>
  <c r="N147" i="37"/>
  <c r="M147" i="37"/>
  <c r="L147" i="37"/>
  <c r="K147" i="37"/>
  <c r="J147" i="37"/>
  <c r="I147" i="37"/>
  <c r="H147" i="37"/>
  <c r="G147" i="37"/>
  <c r="F147" i="37"/>
  <c r="E147" i="37"/>
  <c r="D147" i="37"/>
  <c r="C147" i="37"/>
  <c r="B147" i="37"/>
  <c r="AF146" i="37"/>
  <c r="AE146" i="37"/>
  <c r="AE144" i="37" s="1"/>
  <c r="AB146" i="37"/>
  <c r="H146" i="37"/>
  <c r="G146" i="37"/>
  <c r="D146" i="37"/>
  <c r="AF145" i="37"/>
  <c r="AE145" i="37"/>
  <c r="AD145" i="37"/>
  <c r="AC145" i="37"/>
  <c r="AB145" i="37"/>
  <c r="AA145" i="37"/>
  <c r="Z145" i="37"/>
  <c r="Y145" i="37"/>
  <c r="X145" i="37"/>
  <c r="W145" i="37"/>
  <c r="V145" i="37"/>
  <c r="U145" i="37"/>
  <c r="T145" i="37"/>
  <c r="S145" i="37"/>
  <c r="R145" i="37"/>
  <c r="Q145" i="37"/>
  <c r="P145" i="37"/>
  <c r="O145" i="37"/>
  <c r="N145" i="37"/>
  <c r="M145" i="37"/>
  <c r="L145" i="37"/>
  <c r="K145" i="37"/>
  <c r="J145" i="37"/>
  <c r="I145" i="37"/>
  <c r="H145" i="37"/>
  <c r="G145" i="37"/>
  <c r="F145" i="37"/>
  <c r="E145" i="37"/>
  <c r="D145" i="37"/>
  <c r="C145" i="37"/>
  <c r="B145" i="37"/>
  <c r="AG141" i="37"/>
  <c r="C141" i="25" s="1"/>
  <c r="AG140" i="37"/>
  <c r="C140" i="25" s="1"/>
  <c r="AG139" i="37"/>
  <c r="C139" i="25" s="1"/>
  <c r="AG138" i="37"/>
  <c r="C138" i="25" s="1"/>
  <c r="AG136" i="37"/>
  <c r="C136" i="25" s="1"/>
  <c r="AG135" i="37"/>
  <c r="C135" i="25" s="1"/>
  <c r="AG134" i="37"/>
  <c r="C134" i="25" s="1"/>
  <c r="AG133" i="37"/>
  <c r="C133" i="25" s="1"/>
  <c r="AG132" i="37"/>
  <c r="C132" i="25" s="1"/>
  <c r="AG131" i="37"/>
  <c r="C131" i="25" s="1"/>
  <c r="AF130" i="37"/>
  <c r="AE130" i="37"/>
  <c r="AD130" i="37"/>
  <c r="AC130" i="37"/>
  <c r="AB130" i="37"/>
  <c r="AA130" i="37"/>
  <c r="Z130" i="37"/>
  <c r="Y130" i="37"/>
  <c r="X130" i="37"/>
  <c r="W130" i="37"/>
  <c r="V130" i="37"/>
  <c r="U130" i="37"/>
  <c r="T130" i="37"/>
  <c r="S130" i="37"/>
  <c r="R130" i="37"/>
  <c r="Q130" i="37"/>
  <c r="P130" i="37"/>
  <c r="O130" i="37"/>
  <c r="N130" i="37"/>
  <c r="M130" i="37"/>
  <c r="L130" i="37"/>
  <c r="K130" i="37"/>
  <c r="J130" i="37"/>
  <c r="I130" i="37"/>
  <c r="D130" i="37"/>
  <c r="AG128" i="37"/>
  <c r="C128" i="25" s="1"/>
  <c r="AG127" i="37"/>
  <c r="C127" i="25" s="1"/>
  <c r="AG126" i="37"/>
  <c r="C126" i="25" s="1"/>
  <c r="AG125" i="37"/>
  <c r="C125" i="25" s="1"/>
  <c r="AG124" i="37"/>
  <c r="C124" i="25" s="1"/>
  <c r="AG123" i="37"/>
  <c r="C123" i="25" s="1"/>
  <c r="AG122" i="37"/>
  <c r="C122" i="25" s="1"/>
  <c r="AG121" i="37"/>
  <c r="C121" i="25" s="1"/>
  <c r="AG120" i="37"/>
  <c r="C120" i="25" s="1"/>
  <c r="AG119" i="37"/>
  <c r="C119" i="25" s="1"/>
  <c r="AG118" i="37"/>
  <c r="C118" i="25" s="1"/>
  <c r="AG117" i="37"/>
  <c r="C117" i="25" s="1"/>
  <c r="AF116" i="37"/>
  <c r="AE116" i="37"/>
  <c r="AD116" i="37"/>
  <c r="AC116" i="37"/>
  <c r="AB116" i="37"/>
  <c r="AA116" i="37"/>
  <c r="Z116" i="37"/>
  <c r="Y116" i="37"/>
  <c r="X116" i="37"/>
  <c r="W116" i="37"/>
  <c r="V116" i="37"/>
  <c r="U116" i="37"/>
  <c r="T116" i="37"/>
  <c r="S116" i="37"/>
  <c r="R116" i="37"/>
  <c r="Q116" i="37"/>
  <c r="P116" i="37"/>
  <c r="O116" i="37"/>
  <c r="N116" i="37"/>
  <c r="M116" i="37"/>
  <c r="L116" i="37"/>
  <c r="K116" i="37"/>
  <c r="J116" i="37"/>
  <c r="H116" i="37"/>
  <c r="G116" i="37"/>
  <c r="D116" i="37"/>
  <c r="B116" i="37"/>
  <c r="AG115" i="37"/>
  <c r="C115" i="25" s="1"/>
  <c r="AG114" i="37"/>
  <c r="C114" i="25" s="1"/>
  <c r="AG113" i="37"/>
  <c r="C113" i="25" s="1"/>
  <c r="AG112" i="37"/>
  <c r="C112" i="25" s="1"/>
  <c r="AG111" i="37"/>
  <c r="C111" i="25" s="1"/>
  <c r="AG110" i="37"/>
  <c r="C110" i="25" s="1"/>
  <c r="AG109" i="37"/>
  <c r="C109" i="25" s="1"/>
  <c r="AG108" i="37"/>
  <c r="C108" i="25" s="1"/>
  <c r="AG107" i="37"/>
  <c r="C107" i="25" s="1"/>
  <c r="AG106" i="37"/>
  <c r="C106" i="25" s="1"/>
  <c r="AG105" i="37"/>
  <c r="C105" i="25" s="1"/>
  <c r="AG104" i="37"/>
  <c r="C104" i="25" s="1"/>
  <c r="AG103" i="37"/>
  <c r="C103" i="25" s="1"/>
  <c r="AG102" i="37"/>
  <c r="C102" i="25" s="1"/>
  <c r="AG101" i="37"/>
  <c r="C101" i="25" s="1"/>
  <c r="AF100" i="37"/>
  <c r="AE100" i="37"/>
  <c r="AD100" i="37"/>
  <c r="AC100" i="37"/>
  <c r="AB100" i="37"/>
  <c r="AA100" i="37"/>
  <c r="Z100" i="37"/>
  <c r="Y100" i="37"/>
  <c r="X100" i="37"/>
  <c r="W100" i="37"/>
  <c r="V100" i="37"/>
  <c r="U100" i="37"/>
  <c r="T100" i="37"/>
  <c r="T93" i="37" s="1"/>
  <c r="S100" i="37"/>
  <c r="R100" i="37"/>
  <c r="Q100" i="37"/>
  <c r="P100" i="37"/>
  <c r="O100" i="37"/>
  <c r="N100" i="37"/>
  <c r="M100" i="37"/>
  <c r="L100" i="37"/>
  <c r="K100" i="37"/>
  <c r="J100" i="37"/>
  <c r="I100" i="37"/>
  <c r="H100" i="37"/>
  <c r="G100" i="37"/>
  <c r="F100" i="37"/>
  <c r="E100" i="37"/>
  <c r="D100" i="37"/>
  <c r="C100" i="37"/>
  <c r="B100" i="37"/>
  <c r="AG99" i="37"/>
  <c r="C99" i="25" s="1"/>
  <c r="AG98" i="37"/>
  <c r="C98" i="25" s="1"/>
  <c r="AG97" i="37"/>
  <c r="C97" i="25" s="1"/>
  <c r="AG96" i="37"/>
  <c r="C96" i="25" s="1"/>
  <c r="AG95" i="37"/>
  <c r="C95" i="25" s="1"/>
  <c r="AF94" i="37"/>
  <c r="AE94" i="37"/>
  <c r="AE93" i="37" s="1"/>
  <c r="AD94" i="37"/>
  <c r="AC94" i="37"/>
  <c r="AB94" i="37"/>
  <c r="AB93" i="37" s="1"/>
  <c r="AA94" i="37"/>
  <c r="Z94" i="37"/>
  <c r="Y94" i="37"/>
  <c r="X94" i="37"/>
  <c r="X93" i="37" s="1"/>
  <c r="W94" i="37"/>
  <c r="V94" i="37"/>
  <c r="U94" i="37"/>
  <c r="U93" i="37" s="1"/>
  <c r="T94" i="37"/>
  <c r="S94" i="37"/>
  <c r="R94" i="37"/>
  <c r="Q94" i="37"/>
  <c r="P94" i="37"/>
  <c r="O94" i="37"/>
  <c r="N94" i="37"/>
  <c r="M94" i="37"/>
  <c r="M93" i="37" s="1"/>
  <c r="L94" i="37"/>
  <c r="L93" i="37" s="1"/>
  <c r="K94" i="37"/>
  <c r="J94" i="37"/>
  <c r="I94" i="37"/>
  <c r="H94" i="37"/>
  <c r="G94" i="37"/>
  <c r="F94" i="37"/>
  <c r="E94" i="37"/>
  <c r="D94" i="37"/>
  <c r="D93" i="37" s="1"/>
  <c r="C94" i="37"/>
  <c r="B94" i="37"/>
  <c r="AF93" i="37"/>
  <c r="AG92" i="37"/>
  <c r="C92" i="25" s="1"/>
  <c r="AG91" i="37"/>
  <c r="C91" i="25" s="1"/>
  <c r="AG90" i="37"/>
  <c r="C90" i="25" s="1"/>
  <c r="AG89" i="37"/>
  <c r="C89" i="25" s="1"/>
  <c r="AG88" i="37"/>
  <c r="C88" i="25" s="1"/>
  <c r="AF87" i="37"/>
  <c r="AE87" i="37"/>
  <c r="AD87" i="37"/>
  <c r="AC87" i="37"/>
  <c r="AB87" i="37"/>
  <c r="AA87" i="37"/>
  <c r="Z87" i="37"/>
  <c r="Y87" i="37"/>
  <c r="X87" i="37"/>
  <c r="W87" i="37"/>
  <c r="V87" i="37"/>
  <c r="U87" i="37"/>
  <c r="T87" i="37"/>
  <c r="S87" i="37"/>
  <c r="R87" i="37"/>
  <c r="Q87" i="37"/>
  <c r="P87" i="37"/>
  <c r="O87" i="37"/>
  <c r="N87" i="37"/>
  <c r="M87" i="37"/>
  <c r="L87" i="37"/>
  <c r="K87" i="37"/>
  <c r="J87" i="37"/>
  <c r="I87" i="37"/>
  <c r="H87" i="37"/>
  <c r="G87" i="37"/>
  <c r="F87" i="37"/>
  <c r="E87" i="37"/>
  <c r="D87" i="37"/>
  <c r="C87" i="37"/>
  <c r="B87" i="37"/>
  <c r="AG86" i="37"/>
  <c r="C86" i="25" s="1"/>
  <c r="AG85" i="37"/>
  <c r="C85" i="25" s="1"/>
  <c r="AF84" i="37"/>
  <c r="AE84" i="37"/>
  <c r="AD84" i="37"/>
  <c r="AC84" i="37"/>
  <c r="AB84" i="37"/>
  <c r="AA84" i="37"/>
  <c r="Z84" i="37"/>
  <c r="Y84" i="37"/>
  <c r="X84" i="37"/>
  <c r="W84" i="37"/>
  <c r="V84" i="37"/>
  <c r="U84" i="37"/>
  <c r="T84" i="37"/>
  <c r="S84" i="37"/>
  <c r="R84" i="37"/>
  <c r="Q84" i="37"/>
  <c r="P84" i="37"/>
  <c r="O84" i="37"/>
  <c r="N84" i="37"/>
  <c r="M84" i="37"/>
  <c r="L84" i="37"/>
  <c r="K84" i="37"/>
  <c r="J84" i="37"/>
  <c r="I84" i="37"/>
  <c r="H84" i="37"/>
  <c r="G84" i="37"/>
  <c r="F84" i="37"/>
  <c r="E84" i="37"/>
  <c r="D84" i="37"/>
  <c r="C84" i="37"/>
  <c r="B84" i="37"/>
  <c r="AD83" i="37"/>
  <c r="AD81" i="37" s="1"/>
  <c r="Y83" i="37"/>
  <c r="J83" i="37"/>
  <c r="J81" i="37" s="1"/>
  <c r="I83" i="37"/>
  <c r="AF82" i="37"/>
  <c r="AF83" i="37" s="1"/>
  <c r="AE82" i="37"/>
  <c r="AE83" i="37" s="1"/>
  <c r="AE81" i="37" s="1"/>
  <c r="AC82" i="37"/>
  <c r="AB82" i="37"/>
  <c r="AB83" i="37" s="1"/>
  <c r="AB81" i="37" s="1"/>
  <c r="AA82" i="37"/>
  <c r="AA83" i="37" s="1"/>
  <c r="Z82" i="37"/>
  <c r="Z83" i="37" s="1"/>
  <c r="Z81" i="37" s="1"/>
  <c r="Y82" i="37"/>
  <c r="X83" i="37"/>
  <c r="X81" i="37" s="1"/>
  <c r="W83" i="37"/>
  <c r="V82" i="37"/>
  <c r="V83" i="37" s="1"/>
  <c r="V81" i="37" s="1"/>
  <c r="U82" i="37"/>
  <c r="U83" i="37" s="1"/>
  <c r="T82" i="37"/>
  <c r="T83" i="37" s="1"/>
  <c r="T81" i="37" s="1"/>
  <c r="S82" i="37"/>
  <c r="R82" i="37"/>
  <c r="R83" i="37" s="1"/>
  <c r="R81" i="37" s="1"/>
  <c r="P83" i="37"/>
  <c r="P81" i="37" s="1"/>
  <c r="O82" i="37"/>
  <c r="O83" i="37" s="1"/>
  <c r="O81" i="37" s="1"/>
  <c r="N82" i="37"/>
  <c r="N83" i="37" s="1"/>
  <c r="N81" i="37" s="1"/>
  <c r="M82" i="37"/>
  <c r="L82" i="37"/>
  <c r="L83" i="37" s="1"/>
  <c r="K82" i="37"/>
  <c r="K83" i="37" s="1"/>
  <c r="H82" i="37"/>
  <c r="H83" i="37" s="1"/>
  <c r="H81" i="37" s="1"/>
  <c r="G82" i="37"/>
  <c r="G83" i="37" s="1"/>
  <c r="F82" i="37"/>
  <c r="F83" i="37" s="1"/>
  <c r="F81" i="37" s="1"/>
  <c r="E82" i="37"/>
  <c r="E83" i="37" s="1"/>
  <c r="D82" i="37"/>
  <c r="D83" i="37" s="1"/>
  <c r="B83" i="37"/>
  <c r="AF80" i="37"/>
  <c r="AC80" i="37"/>
  <c r="AC79" i="37" s="1"/>
  <c r="AC78" i="37" s="1"/>
  <c r="AB80" i="37"/>
  <c r="AB79" i="37" s="1"/>
  <c r="AB78" i="37" s="1"/>
  <c r="AA80" i="37"/>
  <c r="AA79" i="37" s="1"/>
  <c r="AA78" i="37" s="1"/>
  <c r="Y80" i="37"/>
  <c r="Y79" i="37" s="1"/>
  <c r="Y78" i="37" s="1"/>
  <c r="V80" i="37"/>
  <c r="V79" i="37" s="1"/>
  <c r="V78" i="37" s="1"/>
  <c r="U80" i="37"/>
  <c r="U79" i="37" s="1"/>
  <c r="U78" i="37" s="1"/>
  <c r="T80" i="37"/>
  <c r="T79" i="37" s="1"/>
  <c r="T78" i="37" s="1"/>
  <c r="S80" i="37"/>
  <c r="R80" i="37"/>
  <c r="R79" i="37" s="1"/>
  <c r="R78" i="37" s="1"/>
  <c r="O80" i="37"/>
  <c r="N80" i="37"/>
  <c r="M80" i="37"/>
  <c r="M79" i="37" s="1"/>
  <c r="M78" i="37" s="1"/>
  <c r="H80" i="37"/>
  <c r="H79" i="37" s="1"/>
  <c r="H78" i="37" s="1"/>
  <c r="G80" i="37"/>
  <c r="G79" i="37" s="1"/>
  <c r="G78" i="37" s="1"/>
  <c r="F80" i="37"/>
  <c r="F79" i="37" s="1"/>
  <c r="F78" i="37" s="1"/>
  <c r="AF79" i="37"/>
  <c r="AF78" i="37" s="1"/>
  <c r="AE79" i="37"/>
  <c r="AE78" i="37" s="1"/>
  <c r="AD79" i="37"/>
  <c r="AD78" i="37" s="1"/>
  <c r="Z79" i="37"/>
  <c r="Z78" i="37" s="1"/>
  <c r="X79" i="37"/>
  <c r="X78" i="37" s="1"/>
  <c r="W79" i="37"/>
  <c r="W78" i="37" s="1"/>
  <c r="S79" i="37"/>
  <c r="S78" i="37" s="1"/>
  <c r="Q79" i="37"/>
  <c r="Q78" i="37" s="1"/>
  <c r="P79" i="37"/>
  <c r="P78" i="37" s="1"/>
  <c r="O79" i="37"/>
  <c r="O78" i="37" s="1"/>
  <c r="N79" i="37"/>
  <c r="N78" i="37" s="1"/>
  <c r="L79" i="37"/>
  <c r="L78" i="37" s="1"/>
  <c r="K79" i="37"/>
  <c r="K78" i="37" s="1"/>
  <c r="J79" i="37"/>
  <c r="J78" i="37" s="1"/>
  <c r="I79" i="37"/>
  <c r="I78" i="37" s="1"/>
  <c r="E79" i="37"/>
  <c r="E78" i="37" s="1"/>
  <c r="D79" i="37"/>
  <c r="D78" i="37" s="1"/>
  <c r="C79" i="37"/>
  <c r="C78" i="37" s="1"/>
  <c r="B79" i="37"/>
  <c r="B78" i="37" s="1"/>
  <c r="AG77" i="37"/>
  <c r="C77" i="25" s="1"/>
  <c r="AG76" i="37"/>
  <c r="C76" i="25" s="1"/>
  <c r="AG75" i="37"/>
  <c r="C75" i="25" s="1"/>
  <c r="AG74" i="37"/>
  <c r="C74" i="25" s="1"/>
  <c r="AG73" i="37"/>
  <c r="C73" i="25" s="1"/>
  <c r="AG72" i="37"/>
  <c r="C72" i="25" s="1"/>
  <c r="AG71" i="37"/>
  <c r="C71" i="25" s="1"/>
  <c r="AG70" i="37"/>
  <c r="C70" i="25" s="1"/>
  <c r="AG69" i="37"/>
  <c r="C69" i="25" s="1"/>
  <c r="AG68" i="37"/>
  <c r="C68" i="25" s="1"/>
  <c r="AG67" i="37"/>
  <c r="C67" i="25" s="1"/>
  <c r="AG66" i="37"/>
  <c r="C66" i="25" s="1"/>
  <c r="AG65" i="37"/>
  <c r="C65" i="25" s="1"/>
  <c r="AG64" i="37"/>
  <c r="C64" i="25" s="1"/>
  <c r="AG63" i="37"/>
  <c r="C63" i="25" s="1"/>
  <c r="AG62" i="37"/>
  <c r="C62" i="25" s="1"/>
  <c r="AG61" i="37"/>
  <c r="C61" i="25" s="1"/>
  <c r="AG60" i="37"/>
  <c r="C60" i="25" s="1"/>
  <c r="AG59" i="37"/>
  <c r="C59" i="25" s="1"/>
  <c r="AG58" i="37"/>
  <c r="C58" i="25" s="1"/>
  <c r="AG57" i="37"/>
  <c r="C57" i="25" s="1"/>
  <c r="AG56" i="37"/>
  <c r="C56" i="25" s="1"/>
  <c r="AG55" i="37"/>
  <c r="C55" i="25" s="1"/>
  <c r="AG54" i="37"/>
  <c r="C54" i="25" s="1"/>
  <c r="AF53" i="37"/>
  <c r="AE53" i="37"/>
  <c r="AD53" i="37"/>
  <c r="AC53" i="37"/>
  <c r="AB53" i="37"/>
  <c r="AA53" i="37"/>
  <c r="Z53" i="37"/>
  <c r="Y53" i="37"/>
  <c r="X53" i="37"/>
  <c r="W53" i="37"/>
  <c r="V53" i="37"/>
  <c r="U53" i="37"/>
  <c r="T53" i="37"/>
  <c r="S53" i="37"/>
  <c r="R53" i="37"/>
  <c r="Q53" i="37"/>
  <c r="P53" i="37"/>
  <c r="O53" i="37"/>
  <c r="N53" i="37"/>
  <c r="M53" i="37"/>
  <c r="L53" i="37"/>
  <c r="K53" i="37"/>
  <c r="J53" i="37"/>
  <c r="I53" i="37"/>
  <c r="H53" i="37"/>
  <c r="G53" i="37"/>
  <c r="F53" i="37"/>
  <c r="E53" i="37"/>
  <c r="D53" i="37"/>
  <c r="C53" i="37"/>
  <c r="B53" i="37"/>
  <c r="AG52" i="37"/>
  <c r="C52" i="25" s="1"/>
  <c r="AG51" i="37"/>
  <c r="C51" i="25" s="1"/>
  <c r="AG50" i="37"/>
  <c r="C50" i="25" s="1"/>
  <c r="AG49" i="37"/>
  <c r="C49" i="25" s="1"/>
  <c r="AG48" i="37"/>
  <c r="C48" i="25" s="1"/>
  <c r="AG47" i="37"/>
  <c r="C47" i="25" s="1"/>
  <c r="AG46" i="37"/>
  <c r="C46" i="25" s="1"/>
  <c r="AG45" i="37"/>
  <c r="C45" i="25" s="1"/>
  <c r="AG44" i="37"/>
  <c r="C44" i="25" s="1"/>
  <c r="AG43" i="37"/>
  <c r="C43" i="25" s="1"/>
  <c r="AG42" i="37"/>
  <c r="C42" i="25" s="1"/>
  <c r="AG41" i="37"/>
  <c r="C41" i="25" s="1"/>
  <c r="AG40" i="37"/>
  <c r="C40" i="25" s="1"/>
  <c r="AG39" i="37"/>
  <c r="C39" i="25" s="1"/>
  <c r="AG38" i="37"/>
  <c r="C38" i="25" s="1"/>
  <c r="AG37" i="37"/>
  <c r="C37" i="25" s="1"/>
  <c r="AG36" i="37"/>
  <c r="C36" i="25" s="1"/>
  <c r="AG35" i="37"/>
  <c r="C35" i="25" s="1"/>
  <c r="AG34" i="37"/>
  <c r="C34" i="25" s="1"/>
  <c r="AG33" i="37"/>
  <c r="C33" i="25" s="1"/>
  <c r="AG32" i="37"/>
  <c r="C32" i="25" s="1"/>
  <c r="AG31" i="37"/>
  <c r="C31" i="25" s="1"/>
  <c r="AG30" i="37"/>
  <c r="C30" i="25" s="1"/>
  <c r="AG29" i="37"/>
  <c r="C29" i="25" s="1"/>
  <c r="AF28" i="37"/>
  <c r="AE28" i="37"/>
  <c r="AD28" i="37"/>
  <c r="AC28" i="37"/>
  <c r="AB28" i="37"/>
  <c r="AA28" i="37"/>
  <c r="Z28" i="37"/>
  <c r="Y28" i="37"/>
  <c r="X28" i="37"/>
  <c r="W28" i="37"/>
  <c r="V28" i="37"/>
  <c r="U28" i="37"/>
  <c r="T28" i="37"/>
  <c r="S28" i="37"/>
  <c r="R28" i="37"/>
  <c r="Q28" i="37"/>
  <c r="P28" i="37"/>
  <c r="O28" i="37"/>
  <c r="N28" i="37"/>
  <c r="M28" i="37"/>
  <c r="L28" i="37"/>
  <c r="K28" i="37"/>
  <c r="J28" i="37"/>
  <c r="I28" i="37"/>
  <c r="H28" i="37"/>
  <c r="G28" i="37"/>
  <c r="F28" i="37"/>
  <c r="E28" i="37"/>
  <c r="D28" i="37"/>
  <c r="C28" i="37"/>
  <c r="B28" i="37"/>
  <c r="AG27" i="37"/>
  <c r="C27" i="25" s="1"/>
  <c r="AG26" i="37"/>
  <c r="C26" i="25" s="1"/>
  <c r="AG25" i="37"/>
  <c r="C25" i="25" s="1"/>
  <c r="AG24" i="37"/>
  <c r="C24" i="25" s="1"/>
  <c r="AG23" i="37"/>
  <c r="C23" i="25" s="1"/>
  <c r="AG22" i="37"/>
  <c r="C22" i="25" s="1"/>
  <c r="AG21" i="37"/>
  <c r="C21" i="25" s="1"/>
  <c r="AG20" i="37"/>
  <c r="C20" i="25" s="1"/>
  <c r="AG19" i="37"/>
  <c r="C19" i="25" s="1"/>
  <c r="AG18" i="37"/>
  <c r="C18" i="25" s="1"/>
  <c r="AG17" i="37"/>
  <c r="C17" i="25" s="1"/>
  <c r="AG16" i="37"/>
  <c r="C16" i="25" s="1"/>
  <c r="AG15" i="37"/>
  <c r="C15" i="25" s="1"/>
  <c r="AG14" i="37"/>
  <c r="C14" i="25" s="1"/>
  <c r="AG13" i="37"/>
  <c r="C13" i="25" s="1"/>
  <c r="AG12" i="37"/>
  <c r="C12" i="25" s="1"/>
  <c r="AG11" i="37"/>
  <c r="C11" i="25" s="1"/>
  <c r="AG10" i="37"/>
  <c r="C10" i="25" s="1"/>
  <c r="AG9" i="37"/>
  <c r="C9" i="25" s="1"/>
  <c r="AG8" i="37"/>
  <c r="C8" i="25" s="1"/>
  <c r="AG7" i="37"/>
  <c r="C7" i="25" s="1"/>
  <c r="AG6" i="37"/>
  <c r="C6" i="25" s="1"/>
  <c r="AG5" i="37"/>
  <c r="C5" i="25" s="1"/>
  <c r="AG4" i="37"/>
  <c r="C4" i="25" s="1"/>
  <c r="AF3" i="37"/>
  <c r="AE3" i="37"/>
  <c r="AD3" i="37"/>
  <c r="AC3" i="37"/>
  <c r="AB3" i="37"/>
  <c r="AA3" i="37"/>
  <c r="Z3" i="37"/>
  <c r="Y3" i="37"/>
  <c r="X3" i="37"/>
  <c r="W3" i="37"/>
  <c r="V3" i="37"/>
  <c r="U3" i="37"/>
  <c r="T3" i="37"/>
  <c r="S3" i="37"/>
  <c r="R3" i="37"/>
  <c r="Q3" i="37"/>
  <c r="P3" i="37"/>
  <c r="O3" i="37"/>
  <c r="N3" i="37"/>
  <c r="M3" i="37"/>
  <c r="L3" i="37"/>
  <c r="K3" i="37"/>
  <c r="J3" i="37"/>
  <c r="I3" i="37"/>
  <c r="H3" i="37"/>
  <c r="G3" i="37"/>
  <c r="F3" i="37"/>
  <c r="E3" i="37"/>
  <c r="D3" i="37"/>
  <c r="C3" i="37"/>
  <c r="B3" i="37"/>
  <c r="AC2" i="37"/>
  <c r="C2" i="37"/>
  <c r="D2" i="37" s="1"/>
  <c r="E2" i="37" s="1"/>
  <c r="F2" i="37" s="1"/>
  <c r="G2" i="37" s="1"/>
  <c r="H2" i="37" s="1"/>
  <c r="I2" i="37" s="1"/>
  <c r="J2" i="37" s="1"/>
  <c r="K2" i="37" s="1"/>
  <c r="L2" i="37" s="1"/>
  <c r="M2" i="37" s="1"/>
  <c r="N2" i="37" s="1"/>
  <c r="O2" i="37" s="1"/>
  <c r="P2" i="37" s="1"/>
  <c r="Q2" i="37" s="1"/>
  <c r="R2" i="37" s="1"/>
  <c r="S2" i="37" s="1"/>
  <c r="T2" i="37" s="1"/>
  <c r="U2" i="37" s="1"/>
  <c r="V2" i="37" s="1"/>
  <c r="W2" i="37" s="1"/>
  <c r="X2" i="37" s="1"/>
  <c r="Y2" i="37" s="1"/>
  <c r="Z2" i="37" s="1"/>
  <c r="AA2" i="37" s="1"/>
  <c r="E93" i="37" l="1"/>
  <c r="G93" i="37"/>
  <c r="AC144" i="37"/>
  <c r="M144" i="37"/>
  <c r="N144" i="37"/>
  <c r="AC93" i="37"/>
  <c r="Q144" i="37"/>
  <c r="B130" i="37"/>
  <c r="AD144" i="37"/>
  <c r="G130" i="37"/>
  <c r="V144" i="37"/>
  <c r="E144" i="37"/>
  <c r="Y144" i="37"/>
  <c r="O93" i="37"/>
  <c r="P93" i="37"/>
  <c r="F144" i="37"/>
  <c r="Z144" i="37"/>
  <c r="J144" i="37"/>
  <c r="AF81" i="37"/>
  <c r="AA144" i="37"/>
  <c r="D81" i="37"/>
  <c r="L81" i="37"/>
  <c r="K93" i="37"/>
  <c r="S93" i="37"/>
  <c r="AA93" i="37"/>
  <c r="AG236" i="37"/>
  <c r="C238" i="25" s="1"/>
  <c r="E130" i="37"/>
  <c r="AG129" i="37"/>
  <c r="C129" i="25" s="1"/>
  <c r="I93" i="37"/>
  <c r="Q93" i="37"/>
  <c r="Y93" i="37"/>
  <c r="AD93" i="37"/>
  <c r="Z93" i="37"/>
  <c r="W93" i="37"/>
  <c r="V93" i="37"/>
  <c r="U144" i="37"/>
  <c r="S144" i="37"/>
  <c r="AG240" i="37"/>
  <c r="C242" i="25" s="1"/>
  <c r="R93" i="37"/>
  <c r="N93" i="37"/>
  <c r="K144" i="37"/>
  <c r="J93" i="37"/>
  <c r="AG147" i="37"/>
  <c r="C147" i="25" s="1"/>
  <c r="H144" i="37"/>
  <c r="L144" i="37"/>
  <c r="P144" i="37"/>
  <c r="T144" i="37"/>
  <c r="X144" i="37"/>
  <c r="AB144" i="37"/>
  <c r="AF144" i="37"/>
  <c r="I116" i="37"/>
  <c r="H130" i="37"/>
  <c r="H93" i="37"/>
  <c r="G144" i="37"/>
  <c r="F130" i="37"/>
  <c r="AG137" i="37"/>
  <c r="C137" i="25" s="1"/>
  <c r="F93" i="37"/>
  <c r="AG142" i="37"/>
  <c r="C142" i="25" s="1"/>
  <c r="AG206" i="37"/>
  <c r="C206" i="25" s="1"/>
  <c r="D144" i="37"/>
  <c r="AG179" i="37"/>
  <c r="C179" i="25" s="1"/>
  <c r="AG174" i="37"/>
  <c r="C174" i="25" s="1"/>
  <c r="C144" i="37"/>
  <c r="C130" i="37"/>
  <c r="AG100" i="37"/>
  <c r="C100" i="25" s="1"/>
  <c r="AG145" i="37"/>
  <c r="C145" i="25" s="1"/>
  <c r="B144" i="37"/>
  <c r="AG167" i="37"/>
  <c r="C167" i="25" s="1"/>
  <c r="AG84" i="37"/>
  <c r="C84" i="25" s="1"/>
  <c r="AG53" i="37"/>
  <c r="C53" i="25" s="1"/>
  <c r="AG28" i="37"/>
  <c r="C28" i="25" s="1"/>
  <c r="AG3" i="37"/>
  <c r="C3" i="25" s="1"/>
  <c r="AG78" i="37"/>
  <c r="C78" i="25" s="1"/>
  <c r="B81" i="37"/>
  <c r="S83" i="37"/>
  <c r="S81" i="37" s="1"/>
  <c r="AG148" i="37"/>
  <c r="AG79" i="37"/>
  <c r="C79" i="25" s="1"/>
  <c r="K81" i="37"/>
  <c r="AA81" i="37"/>
  <c r="C93" i="37"/>
  <c r="AG94" i="37"/>
  <c r="C94" i="25" s="1"/>
  <c r="AG232" i="37"/>
  <c r="C234" i="25" s="1"/>
  <c r="C83" i="37"/>
  <c r="AG80" i="37"/>
  <c r="C80" i="25" s="1"/>
  <c r="G81" i="37"/>
  <c r="W81" i="37"/>
  <c r="E81" i="37"/>
  <c r="I81" i="37"/>
  <c r="U81" i="37"/>
  <c r="Y81" i="37"/>
  <c r="AG82" i="37"/>
  <c r="C82" i="25" s="1"/>
  <c r="Q83" i="37"/>
  <c r="Q81" i="37" s="1"/>
  <c r="AG87" i="37"/>
  <c r="C87" i="25" s="1"/>
  <c r="M83" i="37"/>
  <c r="M81" i="37" s="1"/>
  <c r="AC83" i="37"/>
  <c r="AC81" i="37" s="1"/>
  <c r="B93" i="37"/>
  <c r="AG116" i="37"/>
  <c r="C116" i="25" s="1"/>
  <c r="AG158" i="37"/>
  <c r="C158" i="25" s="1"/>
  <c r="AA143" i="36"/>
  <c r="AA142" i="36"/>
  <c r="AA137" i="36"/>
  <c r="AA129" i="36"/>
  <c r="Z143" i="36"/>
  <c r="Z142" i="36"/>
  <c r="Z137" i="36"/>
  <c r="Z129" i="36"/>
  <c r="Y143" i="36"/>
  <c r="Y142" i="36"/>
  <c r="Y129" i="36"/>
  <c r="AG146" i="37" l="1"/>
  <c r="C146" i="25" s="1"/>
  <c r="C148" i="25"/>
  <c r="AG130" i="37"/>
  <c r="C130" i="25" s="1"/>
  <c r="AG144" i="37"/>
  <c r="C144" i="25" s="1"/>
  <c r="AG93" i="37"/>
  <c r="AH87" i="37"/>
  <c r="AG83" i="37"/>
  <c r="C81" i="37"/>
  <c r="AG81" i="37" s="1"/>
  <c r="X143" i="36"/>
  <c r="X142" i="36"/>
  <c r="X137" i="36"/>
  <c r="X129" i="36"/>
  <c r="AH93" i="37" l="1"/>
  <c r="C93" i="25"/>
  <c r="AH81" i="37"/>
  <c r="C81" i="25"/>
  <c r="AH84" i="37"/>
  <c r="C83" i="25"/>
  <c r="AH144" i="37"/>
  <c r="AH130" i="37"/>
  <c r="AH206" i="37"/>
  <c r="W143" i="36"/>
  <c r="W142" i="36"/>
  <c r="W137" i="36"/>
  <c r="W129" i="36"/>
  <c r="V143" i="36" l="1"/>
  <c r="V142" i="36"/>
  <c r="V129" i="36"/>
  <c r="U143" i="36" l="1"/>
  <c r="U134" i="36"/>
  <c r="U142" i="36"/>
  <c r="U129" i="36"/>
  <c r="T143" i="36" l="1"/>
  <c r="T142" i="36"/>
  <c r="T139" i="36"/>
  <c r="T137" i="36"/>
  <c r="T129" i="36"/>
  <c r="S143" i="36"/>
  <c r="S142" i="36"/>
  <c r="S137" i="36"/>
  <c r="S129" i="36"/>
  <c r="R143" i="36" l="1"/>
  <c r="R142" i="36"/>
  <c r="R134" i="36"/>
  <c r="R129" i="36"/>
  <c r="Q143" i="36" l="1"/>
  <c r="Q142" i="36"/>
  <c r="Q137" i="36"/>
  <c r="Q129" i="36"/>
  <c r="P143" i="36"/>
  <c r="P142" i="36"/>
  <c r="P137" i="36"/>
  <c r="P129" i="36"/>
  <c r="N242" i="25" l="1"/>
  <c r="N234" i="25"/>
  <c r="O143" i="36" l="1"/>
  <c r="O142" i="36"/>
  <c r="O137" i="36"/>
  <c r="O129" i="36"/>
  <c r="N143" i="36" l="1"/>
  <c r="N134" i="36"/>
  <c r="N142" i="36"/>
  <c r="N137" i="36"/>
  <c r="N129" i="36"/>
  <c r="M143" i="36"/>
  <c r="M142" i="36"/>
  <c r="M139" i="36"/>
  <c r="M137" i="36"/>
  <c r="M129" i="36"/>
  <c r="L143" i="36" l="1"/>
  <c r="L142" i="36"/>
  <c r="L139" i="36"/>
  <c r="L130" i="36" s="1"/>
  <c r="L129" i="36"/>
  <c r="K143" i="36"/>
  <c r="K142" i="36"/>
  <c r="K134" i="36"/>
  <c r="K137" i="36"/>
  <c r="K129" i="36"/>
  <c r="J143" i="36"/>
  <c r="J142" i="36"/>
  <c r="J134" i="36"/>
  <c r="J137" i="36"/>
  <c r="J129" i="36"/>
  <c r="I143" i="36"/>
  <c r="I142" i="36"/>
  <c r="I139" i="36"/>
  <c r="I137" i="36"/>
  <c r="I129" i="36"/>
  <c r="H143" i="36" l="1"/>
  <c r="H142" i="36"/>
  <c r="H139" i="36"/>
  <c r="H129" i="36"/>
  <c r="G143" i="36" l="1"/>
  <c r="G142" i="36"/>
  <c r="G139" i="36"/>
  <c r="G137" i="36"/>
  <c r="G129" i="36"/>
  <c r="F143" i="36"/>
  <c r="F142" i="36"/>
  <c r="F134" i="36"/>
  <c r="F137" i="36"/>
  <c r="F129" i="36"/>
  <c r="E143" i="36"/>
  <c r="E142" i="36"/>
  <c r="E129" i="36"/>
  <c r="D143" i="36" l="1"/>
  <c r="D142" i="36"/>
  <c r="D129" i="36"/>
  <c r="C143" i="36"/>
  <c r="C142" i="36"/>
  <c r="C139" i="36"/>
  <c r="C129" i="36"/>
  <c r="C116" i="36" s="1"/>
  <c r="B143" i="36"/>
  <c r="B142" i="36"/>
  <c r="B134" i="36"/>
  <c r="B137" i="36"/>
  <c r="B129" i="36"/>
  <c r="B116" i="36" s="1"/>
  <c r="AG246" i="36"/>
  <c r="B248" i="25" s="1"/>
  <c r="AG245" i="36"/>
  <c r="B247" i="25" s="1"/>
  <c r="AG241" i="36"/>
  <c r="B243" i="25" s="1"/>
  <c r="AG240" i="36"/>
  <c r="B242" i="25" s="1"/>
  <c r="AG239" i="36"/>
  <c r="AG238" i="36"/>
  <c r="AG237" i="36"/>
  <c r="AG236" i="36"/>
  <c r="B238" i="25" s="1"/>
  <c r="AG235" i="36"/>
  <c r="B237" i="25" s="1"/>
  <c r="AG234" i="36"/>
  <c r="B236" i="25" s="1"/>
  <c r="AG233" i="36"/>
  <c r="B235" i="25" s="1"/>
  <c r="AG232" i="36"/>
  <c r="B234" i="25" s="1"/>
  <c r="AG231" i="36"/>
  <c r="B233" i="25" s="1"/>
  <c r="AG230" i="36"/>
  <c r="B232" i="25" s="1"/>
  <c r="AG229" i="36"/>
  <c r="B231" i="25" s="1"/>
  <c r="AG228" i="36"/>
  <c r="B230" i="25" s="1"/>
  <c r="AG227" i="36"/>
  <c r="B229" i="25" s="1"/>
  <c r="AG226" i="36"/>
  <c r="B228" i="25" s="1"/>
  <c r="AG225" i="36"/>
  <c r="B227" i="25" s="1"/>
  <c r="AG224" i="36"/>
  <c r="B226" i="25" s="1"/>
  <c r="AG223" i="36"/>
  <c r="B225" i="25" s="1"/>
  <c r="AG222" i="36"/>
  <c r="B224" i="25" s="1"/>
  <c r="AG221" i="36"/>
  <c r="B223" i="25" s="1"/>
  <c r="AG220" i="36"/>
  <c r="B222" i="25" s="1"/>
  <c r="AG211" i="36"/>
  <c r="AG210" i="36"/>
  <c r="AG209" i="36"/>
  <c r="AG208" i="36"/>
  <c r="AG207" i="36"/>
  <c r="AA206" i="36"/>
  <c r="Z206" i="36"/>
  <c r="Y206" i="36"/>
  <c r="X206" i="36"/>
  <c r="W206" i="36"/>
  <c r="V206" i="36"/>
  <c r="U206" i="36"/>
  <c r="T206" i="36"/>
  <c r="S206" i="36"/>
  <c r="R206" i="36"/>
  <c r="Q206" i="36"/>
  <c r="P206" i="36"/>
  <c r="O206" i="36"/>
  <c r="N206" i="36"/>
  <c r="M206" i="36"/>
  <c r="L206" i="36"/>
  <c r="K206" i="36"/>
  <c r="J206" i="36"/>
  <c r="I206" i="36"/>
  <c r="H206" i="36"/>
  <c r="G206" i="36"/>
  <c r="F206" i="36"/>
  <c r="E206" i="36"/>
  <c r="D206" i="36"/>
  <c r="C206" i="36"/>
  <c r="B206" i="36"/>
  <c r="AG205" i="36"/>
  <c r="AG204" i="36"/>
  <c r="AG203" i="36"/>
  <c r="AG202" i="36"/>
  <c r="AG201" i="36"/>
  <c r="AG200" i="36"/>
  <c r="AG199" i="36"/>
  <c r="AG197" i="36"/>
  <c r="B197" i="25" s="1"/>
  <c r="N197" i="25" s="1"/>
  <c r="AG196" i="36"/>
  <c r="B196" i="25" s="1"/>
  <c r="N196" i="25" s="1"/>
  <c r="AG195" i="36"/>
  <c r="B195" i="25" s="1"/>
  <c r="N195" i="25" s="1"/>
  <c r="AG194" i="36"/>
  <c r="B194" i="25" s="1"/>
  <c r="N194" i="25" s="1"/>
  <c r="AG193" i="36"/>
  <c r="B193" i="25" s="1"/>
  <c r="N193" i="25" s="1"/>
  <c r="AG192" i="36"/>
  <c r="B192" i="25" s="1"/>
  <c r="N192" i="25" s="1"/>
  <c r="AG191" i="36"/>
  <c r="B191" i="25" s="1"/>
  <c r="N191" i="25" s="1"/>
  <c r="AG190" i="36"/>
  <c r="B190" i="25" s="1"/>
  <c r="N190" i="25" s="1"/>
  <c r="AG189" i="36"/>
  <c r="B189" i="25" s="1"/>
  <c r="N189" i="25" s="1"/>
  <c r="AG188" i="36"/>
  <c r="B188" i="25" s="1"/>
  <c r="N188" i="25" s="1"/>
  <c r="AG187" i="36"/>
  <c r="B187" i="25" s="1"/>
  <c r="N187" i="25" s="1"/>
  <c r="AG186" i="36"/>
  <c r="B186" i="25" s="1"/>
  <c r="N186" i="25" s="1"/>
  <c r="AG185" i="36"/>
  <c r="B185" i="25" s="1"/>
  <c r="N185" i="25" s="1"/>
  <c r="AG183" i="36"/>
  <c r="B183" i="25" s="1"/>
  <c r="N183" i="25" s="1"/>
  <c r="AG182" i="36"/>
  <c r="B182" i="25" s="1"/>
  <c r="N182" i="25" s="1"/>
  <c r="AG181" i="36"/>
  <c r="B181" i="25" s="1"/>
  <c r="N181" i="25" s="1"/>
  <c r="AG180" i="36"/>
  <c r="B180" i="25" s="1"/>
  <c r="N180" i="25" s="1"/>
  <c r="AA179" i="36"/>
  <c r="Z179" i="36"/>
  <c r="Y179" i="36"/>
  <c r="X179" i="36"/>
  <c r="W179" i="36"/>
  <c r="V179" i="36"/>
  <c r="U179" i="36"/>
  <c r="T179" i="36"/>
  <c r="S179" i="36"/>
  <c r="R179" i="36"/>
  <c r="Q179" i="36"/>
  <c r="P179" i="36"/>
  <c r="O179" i="36"/>
  <c r="N179" i="36"/>
  <c r="M179" i="36"/>
  <c r="L179" i="36"/>
  <c r="K179" i="36"/>
  <c r="J179" i="36"/>
  <c r="I179" i="36"/>
  <c r="H179" i="36"/>
  <c r="G179" i="36"/>
  <c r="F179" i="36"/>
  <c r="E179" i="36"/>
  <c r="D179" i="36"/>
  <c r="C179" i="36"/>
  <c r="B179" i="36"/>
  <c r="AG178" i="36"/>
  <c r="B178" i="25" s="1"/>
  <c r="N178" i="25" s="1"/>
  <c r="AG177" i="36"/>
  <c r="B177" i="25" s="1"/>
  <c r="N177" i="25" s="1"/>
  <c r="AG176" i="36"/>
  <c r="B176" i="25" s="1"/>
  <c r="N176" i="25" s="1"/>
  <c r="AG175" i="36"/>
  <c r="B175" i="25" s="1"/>
  <c r="N175" i="25" s="1"/>
  <c r="AA174" i="36"/>
  <c r="Z174" i="36"/>
  <c r="Y174" i="36"/>
  <c r="X174" i="36"/>
  <c r="W174" i="36"/>
  <c r="V174" i="36"/>
  <c r="U174" i="36"/>
  <c r="T174" i="36"/>
  <c r="S174" i="36"/>
  <c r="R174" i="36"/>
  <c r="Q174" i="36"/>
  <c r="P174" i="36"/>
  <c r="O174" i="36"/>
  <c r="N174" i="36"/>
  <c r="M174" i="36"/>
  <c r="L174" i="36"/>
  <c r="K174" i="36"/>
  <c r="J174" i="36"/>
  <c r="I174" i="36"/>
  <c r="H174" i="36"/>
  <c r="G174" i="36"/>
  <c r="F174" i="36"/>
  <c r="E174" i="36"/>
  <c r="D174" i="36"/>
  <c r="C174" i="36"/>
  <c r="B174" i="36"/>
  <c r="AG173" i="36"/>
  <c r="B173" i="25" s="1"/>
  <c r="N173" i="25" s="1"/>
  <c r="AG172" i="36"/>
  <c r="B172" i="25" s="1"/>
  <c r="N172" i="25" s="1"/>
  <c r="AG171" i="36"/>
  <c r="B171" i="25" s="1"/>
  <c r="N171" i="25" s="1"/>
  <c r="AG170" i="36"/>
  <c r="B170" i="25" s="1"/>
  <c r="N170" i="25" s="1"/>
  <c r="AG169" i="36"/>
  <c r="B169" i="25" s="1"/>
  <c r="N169" i="25" s="1"/>
  <c r="AG168" i="36"/>
  <c r="B168" i="25" s="1"/>
  <c r="N168" i="25" s="1"/>
  <c r="AA167" i="36"/>
  <c r="Z167" i="36"/>
  <c r="Y167" i="36"/>
  <c r="X167" i="36"/>
  <c r="W167" i="36"/>
  <c r="V167" i="36"/>
  <c r="U167" i="36"/>
  <c r="T167" i="36"/>
  <c r="S167" i="36"/>
  <c r="R167" i="36"/>
  <c r="Q167" i="36"/>
  <c r="P167" i="36"/>
  <c r="O167" i="36"/>
  <c r="N167" i="36"/>
  <c r="M167" i="36"/>
  <c r="L167" i="36"/>
  <c r="K167" i="36"/>
  <c r="J167" i="36"/>
  <c r="I167" i="36"/>
  <c r="H167" i="36"/>
  <c r="G167" i="36"/>
  <c r="F167" i="36"/>
  <c r="E167" i="36"/>
  <c r="D167" i="36"/>
  <c r="C167" i="36"/>
  <c r="B167" i="36"/>
  <c r="AG166" i="36"/>
  <c r="B166" i="25" s="1"/>
  <c r="N166" i="25" s="1"/>
  <c r="AG165" i="36"/>
  <c r="B165" i="25" s="1"/>
  <c r="N165" i="25" s="1"/>
  <c r="AG164" i="36"/>
  <c r="B164" i="25" s="1"/>
  <c r="N164" i="25" s="1"/>
  <c r="AG163" i="36"/>
  <c r="B163" i="25" s="1"/>
  <c r="N163" i="25" s="1"/>
  <c r="AG162" i="36"/>
  <c r="B162" i="25" s="1"/>
  <c r="N162" i="25" s="1"/>
  <c r="AG161" i="36"/>
  <c r="B161" i="25" s="1"/>
  <c r="N161" i="25" s="1"/>
  <c r="AG160" i="36"/>
  <c r="B160" i="25" s="1"/>
  <c r="N160" i="25" s="1"/>
  <c r="AG159" i="36"/>
  <c r="B159" i="25" s="1"/>
  <c r="N159" i="25" s="1"/>
  <c r="AA158" i="36"/>
  <c r="Z158" i="36"/>
  <c r="Y158" i="36"/>
  <c r="X158" i="36"/>
  <c r="W158" i="36"/>
  <c r="V158" i="36"/>
  <c r="U158" i="36"/>
  <c r="T158" i="36"/>
  <c r="S158" i="36"/>
  <c r="R158" i="36"/>
  <c r="Q158" i="36"/>
  <c r="P158" i="36"/>
  <c r="O158" i="36"/>
  <c r="N158" i="36"/>
  <c r="M158" i="36"/>
  <c r="L158" i="36"/>
  <c r="K158" i="36"/>
  <c r="J158" i="36"/>
  <c r="I158" i="36"/>
  <c r="H158" i="36"/>
  <c r="G158" i="36"/>
  <c r="F158" i="36"/>
  <c r="E158" i="36"/>
  <c r="D158" i="36"/>
  <c r="C158" i="36"/>
  <c r="B158" i="36"/>
  <c r="AG157" i="36"/>
  <c r="B157" i="25" s="1"/>
  <c r="N157" i="25" s="1"/>
  <c r="AG156" i="36"/>
  <c r="B156" i="25" s="1"/>
  <c r="N156" i="25" s="1"/>
  <c r="AG155" i="36"/>
  <c r="B155" i="25" s="1"/>
  <c r="N155" i="25" s="1"/>
  <c r="AG154" i="36"/>
  <c r="B154" i="25" s="1"/>
  <c r="N154" i="25" s="1"/>
  <c r="AG153" i="36"/>
  <c r="B153" i="25" s="1"/>
  <c r="N153" i="25" s="1"/>
  <c r="AG152" i="36"/>
  <c r="B152" i="25" s="1"/>
  <c r="N152" i="25" s="1"/>
  <c r="AG151" i="36"/>
  <c r="B151" i="25" s="1"/>
  <c r="N151" i="25" s="1"/>
  <c r="AG150" i="36"/>
  <c r="B150" i="25" s="1"/>
  <c r="N150" i="25" s="1"/>
  <c r="AG149" i="36"/>
  <c r="B149" i="25" s="1"/>
  <c r="N149" i="25" s="1"/>
  <c r="AA148" i="36"/>
  <c r="AA146" i="36" s="1"/>
  <c r="Z148" i="36"/>
  <c r="Z146" i="36" s="1"/>
  <c r="Y148" i="36"/>
  <c r="Y146" i="36" s="1"/>
  <c r="X148" i="36"/>
  <c r="W148" i="36"/>
  <c r="V148" i="36"/>
  <c r="V146" i="36" s="1"/>
  <c r="U148" i="36"/>
  <c r="U146" i="36" s="1"/>
  <c r="T148" i="36"/>
  <c r="S148" i="36"/>
  <c r="R148" i="36"/>
  <c r="R146" i="36" s="1"/>
  <c r="Q148" i="36"/>
  <c r="Q146" i="36" s="1"/>
  <c r="P148" i="36"/>
  <c r="O148" i="36"/>
  <c r="N148" i="36"/>
  <c r="N146" i="36" s="1"/>
  <c r="M148" i="36"/>
  <c r="M146" i="36" s="1"/>
  <c r="L148" i="36"/>
  <c r="L146" i="36" s="1"/>
  <c r="K148" i="36"/>
  <c r="K146" i="36" s="1"/>
  <c r="K144" i="36" s="1"/>
  <c r="J148" i="36"/>
  <c r="J146" i="36" s="1"/>
  <c r="J144" i="36" s="1"/>
  <c r="I148" i="36"/>
  <c r="I146" i="36" s="1"/>
  <c r="H148" i="36"/>
  <c r="G148" i="36"/>
  <c r="F148" i="36"/>
  <c r="F146" i="36" s="1"/>
  <c r="E148" i="36"/>
  <c r="E146" i="36" s="1"/>
  <c r="D148" i="36"/>
  <c r="D146" i="36" s="1"/>
  <c r="C148" i="36"/>
  <c r="C146" i="36" s="1"/>
  <c r="B148" i="36"/>
  <c r="B146" i="36" s="1"/>
  <c r="AA147" i="36"/>
  <c r="Z147" i="36"/>
  <c r="Y147" i="36"/>
  <c r="X147" i="36"/>
  <c r="W147" i="36"/>
  <c r="V147" i="36"/>
  <c r="U147" i="36"/>
  <c r="T147" i="36"/>
  <c r="S147" i="36"/>
  <c r="R147" i="36"/>
  <c r="Q147" i="36"/>
  <c r="P147" i="36"/>
  <c r="O147" i="36"/>
  <c r="N147" i="36"/>
  <c r="M147" i="36"/>
  <c r="L147" i="36"/>
  <c r="K147" i="36"/>
  <c r="J147" i="36"/>
  <c r="I147" i="36"/>
  <c r="H147" i="36"/>
  <c r="G147" i="36"/>
  <c r="F147" i="36"/>
  <c r="E147" i="36"/>
  <c r="D147" i="36"/>
  <c r="C147" i="36"/>
  <c r="B147" i="36"/>
  <c r="X146" i="36"/>
  <c r="W146" i="36"/>
  <c r="T146" i="36"/>
  <c r="S146" i="36"/>
  <c r="P146" i="36"/>
  <c r="O146" i="36"/>
  <c r="H146" i="36"/>
  <c r="G146" i="36"/>
  <c r="AA145" i="36"/>
  <c r="Z145" i="36"/>
  <c r="Y145" i="36"/>
  <c r="X145" i="36"/>
  <c r="W145" i="36"/>
  <c r="V145" i="36"/>
  <c r="U145" i="36"/>
  <c r="T145" i="36"/>
  <c r="S145" i="36"/>
  <c r="R145" i="36"/>
  <c r="Q145" i="36"/>
  <c r="P145" i="36"/>
  <c r="O145" i="36"/>
  <c r="N145" i="36"/>
  <c r="M145" i="36"/>
  <c r="L145" i="36"/>
  <c r="K145" i="36"/>
  <c r="J145" i="36"/>
  <c r="I145" i="36"/>
  <c r="H145" i="36"/>
  <c r="G145" i="36"/>
  <c r="F145" i="36"/>
  <c r="E145" i="36"/>
  <c r="D145" i="36"/>
  <c r="C145" i="36"/>
  <c r="B145" i="36"/>
  <c r="AG143" i="36"/>
  <c r="B143" i="25" s="1"/>
  <c r="N143" i="25" s="1"/>
  <c r="AG141" i="36"/>
  <c r="B141" i="25" s="1"/>
  <c r="N141" i="25" s="1"/>
  <c r="AG140" i="36"/>
  <c r="B140" i="25" s="1"/>
  <c r="N140" i="25" s="1"/>
  <c r="AG139" i="36"/>
  <c r="B139" i="25" s="1"/>
  <c r="N139" i="25" s="1"/>
  <c r="AG138" i="36"/>
  <c r="B138" i="25" s="1"/>
  <c r="N138" i="25" s="1"/>
  <c r="AG137" i="36"/>
  <c r="B137" i="25" s="1"/>
  <c r="N137" i="25" s="1"/>
  <c r="AG136" i="36"/>
  <c r="B136" i="25" s="1"/>
  <c r="N136" i="25" s="1"/>
  <c r="AG135" i="36"/>
  <c r="B135" i="25" s="1"/>
  <c r="N135" i="25" s="1"/>
  <c r="AG134" i="36"/>
  <c r="B134" i="25" s="1"/>
  <c r="N134" i="25" s="1"/>
  <c r="AG133" i="36"/>
  <c r="B133" i="25" s="1"/>
  <c r="N133" i="25" s="1"/>
  <c r="AG132" i="36"/>
  <c r="B132" i="25" s="1"/>
  <c r="N132" i="25" s="1"/>
  <c r="AG131" i="36"/>
  <c r="B131" i="25" s="1"/>
  <c r="N131" i="25" s="1"/>
  <c r="AA130" i="36"/>
  <c r="Z130" i="36"/>
  <c r="Y130" i="36"/>
  <c r="X130" i="36"/>
  <c r="W130" i="36"/>
  <c r="V130" i="36"/>
  <c r="U130" i="36"/>
  <c r="T130" i="36"/>
  <c r="S130" i="36"/>
  <c r="R130" i="36"/>
  <c r="Q130" i="36"/>
  <c r="P130" i="36"/>
  <c r="O130" i="36"/>
  <c r="N130" i="36"/>
  <c r="M130" i="36"/>
  <c r="K130" i="36"/>
  <c r="J130" i="36"/>
  <c r="I130" i="36"/>
  <c r="H130" i="36"/>
  <c r="G130" i="36"/>
  <c r="F130" i="36"/>
  <c r="E130" i="36"/>
  <c r="D130" i="36"/>
  <c r="AG128" i="36"/>
  <c r="B128" i="25" s="1"/>
  <c r="N128" i="25" s="1"/>
  <c r="AG127" i="36"/>
  <c r="B127" i="25" s="1"/>
  <c r="N127" i="25" s="1"/>
  <c r="AG126" i="36"/>
  <c r="B126" i="25" s="1"/>
  <c r="N126" i="25" s="1"/>
  <c r="AG125" i="36"/>
  <c r="B125" i="25" s="1"/>
  <c r="N125" i="25" s="1"/>
  <c r="AG124" i="36"/>
  <c r="B124" i="25" s="1"/>
  <c r="N124" i="25" s="1"/>
  <c r="AG123" i="36"/>
  <c r="B123" i="25" s="1"/>
  <c r="N123" i="25" s="1"/>
  <c r="AG122" i="36"/>
  <c r="B122" i="25" s="1"/>
  <c r="N122" i="25" s="1"/>
  <c r="AG121" i="36"/>
  <c r="B121" i="25" s="1"/>
  <c r="N121" i="25" s="1"/>
  <c r="AG120" i="36"/>
  <c r="B120" i="25" s="1"/>
  <c r="N120" i="25" s="1"/>
  <c r="AG119" i="36"/>
  <c r="B119" i="25" s="1"/>
  <c r="N119" i="25" s="1"/>
  <c r="AG118" i="36"/>
  <c r="B118" i="25" s="1"/>
  <c r="N118" i="25" s="1"/>
  <c r="AG117" i="36"/>
  <c r="B117" i="25" s="1"/>
  <c r="N117" i="25" s="1"/>
  <c r="AA116" i="36"/>
  <c r="Z116" i="36"/>
  <c r="Y116" i="36"/>
  <c r="X116" i="36"/>
  <c r="W116" i="36"/>
  <c r="V116" i="36"/>
  <c r="U116" i="36"/>
  <c r="T116" i="36"/>
  <c r="S116" i="36"/>
  <c r="R116" i="36"/>
  <c r="Q116" i="36"/>
  <c r="P116" i="36"/>
  <c r="O116" i="36"/>
  <c r="N116" i="36"/>
  <c r="M116" i="36"/>
  <c r="L116" i="36"/>
  <c r="K116" i="36"/>
  <c r="J116" i="36"/>
  <c r="I116" i="36"/>
  <c r="H116" i="36"/>
  <c r="G116" i="36"/>
  <c r="F116" i="36"/>
  <c r="E116" i="36"/>
  <c r="D116" i="36"/>
  <c r="AG115" i="36"/>
  <c r="B115" i="25" s="1"/>
  <c r="N115" i="25" s="1"/>
  <c r="AG114" i="36"/>
  <c r="B114" i="25" s="1"/>
  <c r="N114" i="25" s="1"/>
  <c r="AG113" i="36"/>
  <c r="B113" i="25" s="1"/>
  <c r="N113" i="25" s="1"/>
  <c r="AG112" i="36"/>
  <c r="B112" i="25" s="1"/>
  <c r="N112" i="25" s="1"/>
  <c r="AG111" i="36"/>
  <c r="B111" i="25" s="1"/>
  <c r="N111" i="25" s="1"/>
  <c r="AG110" i="36"/>
  <c r="B110" i="25" s="1"/>
  <c r="N110" i="25" s="1"/>
  <c r="AG109" i="36"/>
  <c r="B109" i="25" s="1"/>
  <c r="N109" i="25" s="1"/>
  <c r="AG108" i="36"/>
  <c r="B108" i="25" s="1"/>
  <c r="N108" i="25" s="1"/>
  <c r="AG107" i="36"/>
  <c r="B107" i="25" s="1"/>
  <c r="N107" i="25" s="1"/>
  <c r="AG106" i="36"/>
  <c r="B106" i="25" s="1"/>
  <c r="N106" i="25" s="1"/>
  <c r="AG105" i="36"/>
  <c r="B105" i="25" s="1"/>
  <c r="N105" i="25" s="1"/>
  <c r="AG104" i="36"/>
  <c r="B104" i="25" s="1"/>
  <c r="N104" i="25" s="1"/>
  <c r="AG103" i="36"/>
  <c r="B103" i="25" s="1"/>
  <c r="N103" i="25" s="1"/>
  <c r="AG102" i="36"/>
  <c r="B102" i="25" s="1"/>
  <c r="N102" i="25" s="1"/>
  <c r="AG101" i="36"/>
  <c r="B101" i="25" s="1"/>
  <c r="N101" i="25" s="1"/>
  <c r="AA100" i="36"/>
  <c r="Z100" i="36"/>
  <c r="Y100" i="36"/>
  <c r="X100" i="36"/>
  <c r="W100" i="36"/>
  <c r="V100" i="36"/>
  <c r="U100" i="36"/>
  <c r="T100" i="36"/>
  <c r="S100" i="36"/>
  <c r="R100" i="36"/>
  <c r="Q100" i="36"/>
  <c r="P100" i="36"/>
  <c r="O100" i="36"/>
  <c r="N100" i="36"/>
  <c r="M100" i="36"/>
  <c r="L100" i="36"/>
  <c r="K100" i="36"/>
  <c r="J100" i="36"/>
  <c r="I100" i="36"/>
  <c r="H100" i="36"/>
  <c r="G100" i="36"/>
  <c r="F100" i="36"/>
  <c r="E100" i="36"/>
  <c r="D100" i="36"/>
  <c r="C100" i="36"/>
  <c r="B100" i="36"/>
  <c r="AG99" i="36"/>
  <c r="B99" i="25" s="1"/>
  <c r="N99" i="25" s="1"/>
  <c r="AG98" i="36"/>
  <c r="B98" i="25" s="1"/>
  <c r="N98" i="25" s="1"/>
  <c r="AG97" i="36"/>
  <c r="B97" i="25" s="1"/>
  <c r="N97" i="25" s="1"/>
  <c r="AG96" i="36"/>
  <c r="B96" i="25" s="1"/>
  <c r="N96" i="25" s="1"/>
  <c r="AG95" i="36"/>
  <c r="B95" i="25" s="1"/>
  <c r="N95" i="25" s="1"/>
  <c r="AA94" i="36"/>
  <c r="Z94" i="36"/>
  <c r="Y94" i="36"/>
  <c r="X94" i="36"/>
  <c r="W94" i="36"/>
  <c r="V94" i="36"/>
  <c r="U94" i="36"/>
  <c r="T94" i="36"/>
  <c r="S94" i="36"/>
  <c r="R94" i="36"/>
  <c r="Q94" i="36"/>
  <c r="P94" i="36"/>
  <c r="O94" i="36"/>
  <c r="N94" i="36"/>
  <c r="M94" i="36"/>
  <c r="L94" i="36"/>
  <c r="K94" i="36"/>
  <c r="J94" i="36"/>
  <c r="I94" i="36"/>
  <c r="I93" i="36" s="1"/>
  <c r="H94" i="36"/>
  <c r="G94" i="36"/>
  <c r="F94" i="36"/>
  <c r="E94" i="36"/>
  <c r="D94" i="36"/>
  <c r="C94" i="36"/>
  <c r="B94" i="36"/>
  <c r="Y93" i="36"/>
  <c r="U93" i="36"/>
  <c r="T93" i="36"/>
  <c r="Q93" i="36"/>
  <c r="AG92" i="36"/>
  <c r="B92" i="25" s="1"/>
  <c r="N92" i="25" s="1"/>
  <c r="AG91" i="36"/>
  <c r="B91" i="25" s="1"/>
  <c r="N91" i="25" s="1"/>
  <c r="AG90" i="36"/>
  <c r="B90" i="25" s="1"/>
  <c r="N90" i="25" s="1"/>
  <c r="AG89" i="36"/>
  <c r="B89" i="25" s="1"/>
  <c r="N89" i="25" s="1"/>
  <c r="AG88" i="36"/>
  <c r="B88" i="25" s="1"/>
  <c r="N88" i="25" s="1"/>
  <c r="AA87" i="36"/>
  <c r="Z87" i="36"/>
  <c r="Y87" i="36"/>
  <c r="X87" i="36"/>
  <c r="W87" i="36"/>
  <c r="V87" i="36"/>
  <c r="U87" i="36"/>
  <c r="T87" i="36"/>
  <c r="S87" i="36"/>
  <c r="R87" i="36"/>
  <c r="Q87" i="36"/>
  <c r="P87" i="36"/>
  <c r="O87" i="36"/>
  <c r="N87" i="36"/>
  <c r="M87" i="36"/>
  <c r="L87" i="36"/>
  <c r="K87" i="36"/>
  <c r="J87" i="36"/>
  <c r="I87" i="36"/>
  <c r="H87" i="36"/>
  <c r="G87" i="36"/>
  <c r="F87" i="36"/>
  <c r="E87" i="36"/>
  <c r="D87" i="36"/>
  <c r="C87" i="36"/>
  <c r="B87" i="36"/>
  <c r="AG86" i="36"/>
  <c r="B86" i="25" s="1"/>
  <c r="N86" i="25" s="1"/>
  <c r="AG85" i="36"/>
  <c r="B85" i="25" s="1"/>
  <c r="N85" i="25" s="1"/>
  <c r="AA84" i="36"/>
  <c r="Z84" i="36"/>
  <c r="Y84" i="36"/>
  <c r="X84" i="36"/>
  <c r="W84" i="36"/>
  <c r="V84" i="36"/>
  <c r="U84" i="36"/>
  <c r="T84" i="36"/>
  <c r="S84" i="36"/>
  <c r="R84" i="36"/>
  <c r="Q84" i="36"/>
  <c r="P84" i="36"/>
  <c r="O84" i="36"/>
  <c r="N84" i="36"/>
  <c r="M84" i="36"/>
  <c r="L84" i="36"/>
  <c r="K84" i="36"/>
  <c r="J84" i="36"/>
  <c r="I84" i="36"/>
  <c r="H84" i="36"/>
  <c r="G84" i="36"/>
  <c r="F84" i="36"/>
  <c r="E84" i="36"/>
  <c r="D84" i="36"/>
  <c r="C84" i="36"/>
  <c r="B84" i="36"/>
  <c r="Z83" i="36"/>
  <c r="Z81" i="36" s="1"/>
  <c r="F83" i="36"/>
  <c r="F81" i="36" s="1"/>
  <c r="E83" i="36"/>
  <c r="AA83" i="36"/>
  <c r="Y82" i="36"/>
  <c r="Y83" i="36" s="1"/>
  <c r="X82" i="36"/>
  <c r="X83" i="36" s="1"/>
  <c r="X81" i="36" s="1"/>
  <c r="W82" i="36"/>
  <c r="W83" i="36" s="1"/>
  <c r="V82" i="36"/>
  <c r="V83" i="36" s="1"/>
  <c r="V81" i="36" s="1"/>
  <c r="U82" i="36"/>
  <c r="U83" i="36" s="1"/>
  <c r="T83" i="36"/>
  <c r="T81" i="36" s="1"/>
  <c r="R82" i="36"/>
  <c r="R83" i="36" s="1"/>
  <c r="R81" i="36" s="1"/>
  <c r="Q82" i="36"/>
  <c r="P82" i="36"/>
  <c r="P83" i="36" s="1"/>
  <c r="P81" i="36" s="1"/>
  <c r="O82" i="36"/>
  <c r="O83" i="36" s="1"/>
  <c r="O81" i="36" s="1"/>
  <c r="N82" i="36"/>
  <c r="N83" i="36" s="1"/>
  <c r="N81" i="36" s="1"/>
  <c r="L83" i="36"/>
  <c r="L81" i="36" s="1"/>
  <c r="K82" i="36"/>
  <c r="K83" i="36" s="1"/>
  <c r="J82" i="36"/>
  <c r="J83" i="36" s="1"/>
  <c r="J81" i="36" s="1"/>
  <c r="I82" i="36"/>
  <c r="I83" i="36" s="1"/>
  <c r="H82" i="36"/>
  <c r="H83" i="36" s="1"/>
  <c r="H81" i="36" s="1"/>
  <c r="G82" i="36"/>
  <c r="G83" i="36" s="1"/>
  <c r="D82" i="36"/>
  <c r="D83" i="36" s="1"/>
  <c r="C82" i="36"/>
  <c r="B83" i="36"/>
  <c r="AA80" i="36"/>
  <c r="AA79" i="36" s="1"/>
  <c r="AA78" i="36" s="1"/>
  <c r="Y80" i="36"/>
  <c r="V80" i="36"/>
  <c r="V79" i="36" s="1"/>
  <c r="V78" i="36" s="1"/>
  <c r="U80" i="36"/>
  <c r="U79" i="36" s="1"/>
  <c r="U78" i="36" s="1"/>
  <c r="T80" i="36"/>
  <c r="T79" i="36" s="1"/>
  <c r="T78" i="36" s="1"/>
  <c r="S80" i="36"/>
  <c r="S79" i="36" s="1"/>
  <c r="S78" i="36" s="1"/>
  <c r="R80" i="36"/>
  <c r="R79" i="36" s="1"/>
  <c r="R78" i="36" s="1"/>
  <c r="O80" i="36"/>
  <c r="N80" i="36"/>
  <c r="N79" i="36" s="1"/>
  <c r="N78" i="36" s="1"/>
  <c r="M80" i="36"/>
  <c r="M79" i="36" s="1"/>
  <c r="M78" i="36" s="1"/>
  <c r="H80" i="36"/>
  <c r="H79" i="36" s="1"/>
  <c r="H78" i="36" s="1"/>
  <c r="G80" i="36"/>
  <c r="G79" i="36" s="1"/>
  <c r="G78" i="36" s="1"/>
  <c r="F80" i="36"/>
  <c r="F79" i="36" s="1"/>
  <c r="F78" i="36" s="1"/>
  <c r="Z79" i="36"/>
  <c r="Z78" i="36" s="1"/>
  <c r="Y79" i="36"/>
  <c r="Y78" i="36" s="1"/>
  <c r="X79" i="36"/>
  <c r="X78" i="36" s="1"/>
  <c r="W79" i="36"/>
  <c r="W78" i="36" s="1"/>
  <c r="Q79" i="36"/>
  <c r="Q78" i="36" s="1"/>
  <c r="P79" i="36"/>
  <c r="P78" i="36" s="1"/>
  <c r="O79" i="36"/>
  <c r="O78" i="36" s="1"/>
  <c r="L79" i="36"/>
  <c r="L78" i="36" s="1"/>
  <c r="K79" i="36"/>
  <c r="K78" i="36" s="1"/>
  <c r="J79" i="36"/>
  <c r="I79" i="36"/>
  <c r="I78" i="36" s="1"/>
  <c r="E79" i="36"/>
  <c r="E78" i="36" s="1"/>
  <c r="D79" i="36"/>
  <c r="D78" i="36" s="1"/>
  <c r="C79" i="36"/>
  <c r="C78" i="36" s="1"/>
  <c r="B79" i="36"/>
  <c r="B78" i="36" s="1"/>
  <c r="J78" i="36"/>
  <c r="AG77" i="36"/>
  <c r="B77" i="25" s="1"/>
  <c r="N77" i="25" s="1"/>
  <c r="AG76" i="36"/>
  <c r="B76" i="25" s="1"/>
  <c r="N76" i="25" s="1"/>
  <c r="AG75" i="36"/>
  <c r="B75" i="25" s="1"/>
  <c r="N75" i="25" s="1"/>
  <c r="AG74" i="36"/>
  <c r="B74" i="25" s="1"/>
  <c r="N74" i="25" s="1"/>
  <c r="AG73" i="36"/>
  <c r="B73" i="25" s="1"/>
  <c r="N73" i="25" s="1"/>
  <c r="AG72" i="36"/>
  <c r="B72" i="25" s="1"/>
  <c r="N72" i="25" s="1"/>
  <c r="AG71" i="36"/>
  <c r="B71" i="25" s="1"/>
  <c r="N71" i="25" s="1"/>
  <c r="AG70" i="36"/>
  <c r="B70" i="25" s="1"/>
  <c r="N70" i="25" s="1"/>
  <c r="AG69" i="36"/>
  <c r="B69" i="25" s="1"/>
  <c r="N69" i="25" s="1"/>
  <c r="AG68" i="36"/>
  <c r="B68" i="25" s="1"/>
  <c r="N68" i="25" s="1"/>
  <c r="AG67" i="36"/>
  <c r="B67" i="25" s="1"/>
  <c r="N67" i="25" s="1"/>
  <c r="AG66" i="36"/>
  <c r="B66" i="25" s="1"/>
  <c r="N66" i="25" s="1"/>
  <c r="AG65" i="36"/>
  <c r="B65" i="25" s="1"/>
  <c r="N65" i="25" s="1"/>
  <c r="AG64" i="36"/>
  <c r="B64" i="25" s="1"/>
  <c r="N64" i="25" s="1"/>
  <c r="AG63" i="36"/>
  <c r="B63" i="25" s="1"/>
  <c r="N63" i="25" s="1"/>
  <c r="AG62" i="36"/>
  <c r="B62" i="25" s="1"/>
  <c r="N62" i="25" s="1"/>
  <c r="AG61" i="36"/>
  <c r="B61" i="25" s="1"/>
  <c r="N61" i="25" s="1"/>
  <c r="AG60" i="36"/>
  <c r="B60" i="25" s="1"/>
  <c r="N60" i="25" s="1"/>
  <c r="AG59" i="36"/>
  <c r="B59" i="25" s="1"/>
  <c r="N59" i="25" s="1"/>
  <c r="AG58" i="36"/>
  <c r="B58" i="25" s="1"/>
  <c r="N58" i="25" s="1"/>
  <c r="AG57" i="36"/>
  <c r="B57" i="25" s="1"/>
  <c r="N57" i="25" s="1"/>
  <c r="AG56" i="36"/>
  <c r="B56" i="25" s="1"/>
  <c r="N56" i="25" s="1"/>
  <c r="AG55" i="36"/>
  <c r="B55" i="25" s="1"/>
  <c r="N55" i="25" s="1"/>
  <c r="AG54" i="36"/>
  <c r="B54" i="25" s="1"/>
  <c r="N54" i="25" s="1"/>
  <c r="AA53" i="36"/>
  <c r="Z53" i="36"/>
  <c r="Y53" i="36"/>
  <c r="X53" i="36"/>
  <c r="W53" i="36"/>
  <c r="V53" i="36"/>
  <c r="U53" i="36"/>
  <c r="T53" i="36"/>
  <c r="S53" i="36"/>
  <c r="R53" i="36"/>
  <c r="Q53" i="36"/>
  <c r="P53" i="36"/>
  <c r="O53" i="36"/>
  <c r="N53" i="36"/>
  <c r="M53" i="36"/>
  <c r="L53" i="36"/>
  <c r="K53" i="36"/>
  <c r="J53" i="36"/>
  <c r="I53" i="36"/>
  <c r="H53" i="36"/>
  <c r="G53" i="36"/>
  <c r="F53" i="36"/>
  <c r="E53" i="36"/>
  <c r="D53" i="36"/>
  <c r="C53" i="36"/>
  <c r="B53" i="36"/>
  <c r="AG52" i="36"/>
  <c r="B52" i="25" s="1"/>
  <c r="N52" i="25" s="1"/>
  <c r="AG51" i="36"/>
  <c r="B51" i="25" s="1"/>
  <c r="N51" i="25" s="1"/>
  <c r="AG50" i="36"/>
  <c r="B50" i="25" s="1"/>
  <c r="N50" i="25" s="1"/>
  <c r="AG49" i="36"/>
  <c r="B49" i="25" s="1"/>
  <c r="N49" i="25" s="1"/>
  <c r="AG48" i="36"/>
  <c r="B48" i="25" s="1"/>
  <c r="N48" i="25" s="1"/>
  <c r="AG47" i="36"/>
  <c r="B47" i="25" s="1"/>
  <c r="N47" i="25" s="1"/>
  <c r="AG46" i="36"/>
  <c r="B46" i="25" s="1"/>
  <c r="N46" i="25" s="1"/>
  <c r="AG45" i="36"/>
  <c r="B45" i="25" s="1"/>
  <c r="N45" i="25" s="1"/>
  <c r="AG44" i="36"/>
  <c r="B44" i="25" s="1"/>
  <c r="N44" i="25" s="1"/>
  <c r="AG43" i="36"/>
  <c r="B43" i="25" s="1"/>
  <c r="N43" i="25" s="1"/>
  <c r="AG42" i="36"/>
  <c r="B42" i="25" s="1"/>
  <c r="N42" i="25" s="1"/>
  <c r="AG41" i="36"/>
  <c r="B41" i="25" s="1"/>
  <c r="N41" i="25" s="1"/>
  <c r="AG40" i="36"/>
  <c r="B40" i="25" s="1"/>
  <c r="N40" i="25" s="1"/>
  <c r="AG39" i="36"/>
  <c r="B39" i="25" s="1"/>
  <c r="N39" i="25" s="1"/>
  <c r="AG38" i="36"/>
  <c r="B38" i="25" s="1"/>
  <c r="N38" i="25" s="1"/>
  <c r="AG37" i="36"/>
  <c r="B37" i="25" s="1"/>
  <c r="N37" i="25" s="1"/>
  <c r="AG36" i="36"/>
  <c r="B36" i="25" s="1"/>
  <c r="N36" i="25" s="1"/>
  <c r="AG35" i="36"/>
  <c r="B35" i="25" s="1"/>
  <c r="N35" i="25" s="1"/>
  <c r="AG34" i="36"/>
  <c r="B34" i="25" s="1"/>
  <c r="N34" i="25" s="1"/>
  <c r="AG33" i="36"/>
  <c r="B33" i="25" s="1"/>
  <c r="N33" i="25" s="1"/>
  <c r="AG32" i="36"/>
  <c r="B32" i="25" s="1"/>
  <c r="N32" i="25" s="1"/>
  <c r="AG31" i="36"/>
  <c r="B31" i="25" s="1"/>
  <c r="N31" i="25" s="1"/>
  <c r="AG30" i="36"/>
  <c r="B30" i="25" s="1"/>
  <c r="N30" i="25" s="1"/>
  <c r="AG29" i="36"/>
  <c r="B29" i="25" s="1"/>
  <c r="N29" i="25" s="1"/>
  <c r="AA28" i="36"/>
  <c r="Z28" i="36"/>
  <c r="Y28" i="36"/>
  <c r="X28" i="36"/>
  <c r="W28" i="36"/>
  <c r="V28" i="36"/>
  <c r="U28" i="36"/>
  <c r="T28" i="36"/>
  <c r="S28" i="36"/>
  <c r="R28" i="36"/>
  <c r="Q28" i="36"/>
  <c r="P28" i="36"/>
  <c r="O28" i="36"/>
  <c r="N28" i="36"/>
  <c r="M28" i="36"/>
  <c r="L28" i="36"/>
  <c r="K28" i="36"/>
  <c r="J28" i="36"/>
  <c r="I28" i="36"/>
  <c r="H28" i="36"/>
  <c r="G28" i="36"/>
  <c r="F28" i="36"/>
  <c r="E28" i="36"/>
  <c r="D28" i="36"/>
  <c r="C28" i="36"/>
  <c r="B28" i="36"/>
  <c r="AG27" i="36"/>
  <c r="B27" i="25" s="1"/>
  <c r="N27" i="25" s="1"/>
  <c r="AG26" i="36"/>
  <c r="B26" i="25" s="1"/>
  <c r="N26" i="25" s="1"/>
  <c r="AG25" i="36"/>
  <c r="B25" i="25" s="1"/>
  <c r="N25" i="25" s="1"/>
  <c r="AG24" i="36"/>
  <c r="B24" i="25" s="1"/>
  <c r="N24" i="25" s="1"/>
  <c r="AG23" i="36"/>
  <c r="B23" i="25" s="1"/>
  <c r="N23" i="25" s="1"/>
  <c r="AG22" i="36"/>
  <c r="B22" i="25" s="1"/>
  <c r="N22" i="25" s="1"/>
  <c r="AG21" i="36"/>
  <c r="B21" i="25" s="1"/>
  <c r="N21" i="25" s="1"/>
  <c r="AG20" i="36"/>
  <c r="B20" i="25" s="1"/>
  <c r="N20" i="25" s="1"/>
  <c r="AG19" i="36"/>
  <c r="B19" i="25" s="1"/>
  <c r="N19" i="25" s="1"/>
  <c r="AG18" i="36"/>
  <c r="B18" i="25" s="1"/>
  <c r="N18" i="25" s="1"/>
  <c r="AG17" i="36"/>
  <c r="B17" i="25" s="1"/>
  <c r="N17" i="25" s="1"/>
  <c r="AG16" i="36"/>
  <c r="B16" i="25" s="1"/>
  <c r="N16" i="25" s="1"/>
  <c r="AG15" i="36"/>
  <c r="B15" i="25" s="1"/>
  <c r="N15" i="25" s="1"/>
  <c r="AG14" i="36"/>
  <c r="B14" i="25" s="1"/>
  <c r="N14" i="25" s="1"/>
  <c r="AG13" i="36"/>
  <c r="B13" i="25" s="1"/>
  <c r="N13" i="25" s="1"/>
  <c r="AG12" i="36"/>
  <c r="B12" i="25" s="1"/>
  <c r="N12" i="25" s="1"/>
  <c r="AG11" i="36"/>
  <c r="B11" i="25" s="1"/>
  <c r="N11" i="25" s="1"/>
  <c r="AG10" i="36"/>
  <c r="B10" i="25" s="1"/>
  <c r="N10" i="25" s="1"/>
  <c r="AG9" i="36"/>
  <c r="B9" i="25" s="1"/>
  <c r="N9" i="25" s="1"/>
  <c r="AG8" i="36"/>
  <c r="B8" i="25" s="1"/>
  <c r="N8" i="25" s="1"/>
  <c r="AG7" i="36"/>
  <c r="B7" i="25" s="1"/>
  <c r="N7" i="25" s="1"/>
  <c r="AG6" i="36"/>
  <c r="B6" i="25" s="1"/>
  <c r="N6" i="25" s="1"/>
  <c r="AG5" i="36"/>
  <c r="B5" i="25" s="1"/>
  <c r="N5" i="25" s="1"/>
  <c r="AG4" i="36"/>
  <c r="B4" i="25" s="1"/>
  <c r="N4" i="25" s="1"/>
  <c r="AA3" i="36"/>
  <c r="Z3" i="36"/>
  <c r="Y3" i="36"/>
  <c r="X3" i="36"/>
  <c r="W3" i="36"/>
  <c r="V3" i="36"/>
  <c r="U3" i="36"/>
  <c r="T3" i="36"/>
  <c r="S3" i="36"/>
  <c r="R3" i="36"/>
  <c r="Q3" i="36"/>
  <c r="P3" i="36"/>
  <c r="O3" i="36"/>
  <c r="N3" i="36"/>
  <c r="M3" i="36"/>
  <c r="L3" i="36"/>
  <c r="K3" i="36"/>
  <c r="J3" i="36"/>
  <c r="I3" i="36"/>
  <c r="H3" i="36"/>
  <c r="G3" i="36"/>
  <c r="F3" i="36"/>
  <c r="E3" i="36"/>
  <c r="D3" i="36"/>
  <c r="C3" i="36"/>
  <c r="B3" i="36"/>
  <c r="AC2" i="36"/>
  <c r="C2" i="36"/>
  <c r="D2" i="36" s="1"/>
  <c r="E2" i="36" s="1"/>
  <c r="F2" i="36" s="1"/>
  <c r="G2" i="36" s="1"/>
  <c r="H2" i="36" s="1"/>
  <c r="I2" i="36" s="1"/>
  <c r="J2" i="36" s="1"/>
  <c r="K2" i="36" s="1"/>
  <c r="L2" i="36" s="1"/>
  <c r="M2" i="36" s="1"/>
  <c r="N2" i="36" s="1"/>
  <c r="O2" i="36" s="1"/>
  <c r="P2" i="36" s="1"/>
  <c r="Q2" i="36" s="1"/>
  <c r="R2" i="36" s="1"/>
  <c r="S2" i="36" s="1"/>
  <c r="T2" i="36" s="1"/>
  <c r="U2" i="36" s="1"/>
  <c r="V2" i="36" s="1"/>
  <c r="W2" i="36" s="1"/>
  <c r="X2" i="36" s="1"/>
  <c r="Y2" i="36" s="1"/>
  <c r="Z2" i="36" s="1"/>
  <c r="AA2" i="36" s="1"/>
  <c r="O144" i="36" l="1"/>
  <c r="B144" i="36"/>
  <c r="W144" i="36"/>
  <c r="Q144" i="36"/>
  <c r="R144" i="36"/>
  <c r="AG129" i="36"/>
  <c r="B129" i="25" s="1"/>
  <c r="N129" i="25" s="1"/>
  <c r="Y144" i="36"/>
  <c r="U144" i="36"/>
  <c r="G144" i="36"/>
  <c r="I144" i="36"/>
  <c r="G93" i="36"/>
  <c r="O93" i="36"/>
  <c r="W93" i="36"/>
  <c r="H93" i="36"/>
  <c r="P93" i="36"/>
  <c r="X93" i="36"/>
  <c r="F144" i="36"/>
  <c r="N144" i="36"/>
  <c r="C130" i="36"/>
  <c r="AG130" i="36" s="1"/>
  <c r="B130" i="25" s="1"/>
  <c r="N130" i="25" s="1"/>
  <c r="B239" i="25"/>
  <c r="N239" i="25" s="1"/>
  <c r="N238" i="25" s="1"/>
  <c r="K93" i="36"/>
  <c r="S93" i="36"/>
  <c r="AA93" i="36"/>
  <c r="D93" i="36"/>
  <c r="N240" i="25"/>
  <c r="B240" i="25"/>
  <c r="B130" i="36"/>
  <c r="B241" i="25"/>
  <c r="N241" i="25" s="1"/>
  <c r="AG142" i="36"/>
  <c r="B142" i="25" s="1"/>
  <c r="N142" i="25" s="1"/>
  <c r="M93" i="36"/>
  <c r="B202" i="25"/>
  <c r="N202" i="25" s="1"/>
  <c r="B203" i="25"/>
  <c r="N203" i="25" s="1"/>
  <c r="B210" i="25"/>
  <c r="N210" i="25" s="1"/>
  <c r="B200" i="25"/>
  <c r="N200" i="25" s="1"/>
  <c r="B204" i="25"/>
  <c r="N204" i="25" s="1"/>
  <c r="B207" i="25"/>
  <c r="N207" i="25" s="1"/>
  <c r="B211" i="25"/>
  <c r="N211" i="25" s="1"/>
  <c r="B209" i="25"/>
  <c r="N209" i="25" s="1"/>
  <c r="B199" i="25"/>
  <c r="N199" i="25" s="1"/>
  <c r="B201" i="25"/>
  <c r="N201" i="25" s="1"/>
  <c r="B205" i="25"/>
  <c r="N205" i="25" s="1"/>
  <c r="B208" i="25"/>
  <c r="N208" i="25" s="1"/>
  <c r="E144" i="36"/>
  <c r="M144" i="36"/>
  <c r="H144" i="36"/>
  <c r="P144" i="36"/>
  <c r="T144" i="36"/>
  <c r="AG147" i="36"/>
  <c r="B147" i="25" s="1"/>
  <c r="N147" i="25" s="1"/>
  <c r="AA144" i="36"/>
  <c r="Z144" i="36"/>
  <c r="Z93" i="36"/>
  <c r="X144" i="36"/>
  <c r="V144" i="36"/>
  <c r="V93" i="36"/>
  <c r="S144" i="36"/>
  <c r="R93" i="36"/>
  <c r="N93" i="36"/>
  <c r="L144" i="36"/>
  <c r="L93" i="36"/>
  <c r="J93" i="36"/>
  <c r="AG206" i="36"/>
  <c r="F93" i="36"/>
  <c r="E93" i="36"/>
  <c r="D144" i="36"/>
  <c r="AG167" i="36"/>
  <c r="B167" i="25" s="1"/>
  <c r="N167" i="25" s="1"/>
  <c r="D81" i="36"/>
  <c r="AG179" i="36"/>
  <c r="B179" i="25" s="1"/>
  <c r="N179" i="25" s="1"/>
  <c r="C144" i="36"/>
  <c r="AG100" i="36"/>
  <c r="B100" i="25" s="1"/>
  <c r="N100" i="25" s="1"/>
  <c r="AG28" i="36"/>
  <c r="B28" i="25" s="1"/>
  <c r="N28" i="25" s="1"/>
  <c r="AG174" i="36"/>
  <c r="B174" i="25" s="1"/>
  <c r="N174" i="25" s="1"/>
  <c r="AG145" i="36"/>
  <c r="B145" i="25" s="1"/>
  <c r="N145" i="25" s="1"/>
  <c r="AG84" i="36"/>
  <c r="B84" i="25" s="1"/>
  <c r="N84" i="25" s="1"/>
  <c r="AG53" i="36"/>
  <c r="B53" i="25" s="1"/>
  <c r="N53" i="25" s="1"/>
  <c r="AG3" i="36"/>
  <c r="B3" i="25" s="1"/>
  <c r="N3" i="25" s="1"/>
  <c r="B81" i="36"/>
  <c r="AG78" i="36"/>
  <c r="B78" i="25" s="1"/>
  <c r="N78" i="25" s="1"/>
  <c r="C83" i="36"/>
  <c r="C81" i="36" s="1"/>
  <c r="S83" i="36"/>
  <c r="S81" i="36" s="1"/>
  <c r="AG148" i="36"/>
  <c r="AG79" i="36"/>
  <c r="B79" i="25" s="1"/>
  <c r="N79" i="25" s="1"/>
  <c r="K81" i="36"/>
  <c r="AA81" i="36"/>
  <c r="C93" i="36"/>
  <c r="AG94" i="36"/>
  <c r="B94" i="25" s="1"/>
  <c r="N94" i="25" s="1"/>
  <c r="AG80" i="36"/>
  <c r="B80" i="25" s="1"/>
  <c r="N80" i="25" s="1"/>
  <c r="G81" i="36"/>
  <c r="W81" i="36"/>
  <c r="E81" i="36"/>
  <c r="I81" i="36"/>
  <c r="U81" i="36"/>
  <c r="Y81" i="36"/>
  <c r="AG82" i="36"/>
  <c r="B82" i="25" s="1"/>
  <c r="N82" i="25" s="1"/>
  <c r="Q83" i="36"/>
  <c r="Q81" i="36" s="1"/>
  <c r="AG87" i="36"/>
  <c r="B87" i="25" s="1"/>
  <c r="N87" i="25" s="1"/>
  <c r="M83" i="36"/>
  <c r="M81" i="36" s="1"/>
  <c r="B93" i="36"/>
  <c r="AG116" i="36"/>
  <c r="B116" i="25" s="1"/>
  <c r="N116" i="25" s="1"/>
  <c r="AG158" i="36"/>
  <c r="B158" i="25" s="1"/>
  <c r="N158" i="25" s="1"/>
  <c r="AG183" i="22"/>
  <c r="B206" i="25" l="1"/>
  <c r="N206" i="25" s="1"/>
  <c r="AG146" i="36"/>
  <c r="B146" i="25" s="1"/>
  <c r="N146" i="25" s="1"/>
  <c r="B148" i="25"/>
  <c r="N148" i="25" s="1"/>
  <c r="AG144" i="36"/>
  <c r="B144" i="25" s="1"/>
  <c r="N144" i="25" s="1"/>
  <c r="O87" i="25"/>
  <c r="AG83" i="36"/>
  <c r="B83" i="25" s="1"/>
  <c r="N83" i="25" s="1"/>
  <c r="O84" i="25" s="1"/>
  <c r="AG93" i="36"/>
  <c r="AH87" i="36"/>
  <c r="AG81" i="36"/>
  <c r="AG187" i="22"/>
  <c r="AH84" i="36" l="1"/>
  <c r="AH206" i="36"/>
  <c r="B93" i="25"/>
  <c r="N93" i="25" s="1"/>
  <c r="AH81" i="36"/>
  <c r="B81" i="25"/>
  <c r="N81" i="25" s="1"/>
  <c r="O81" i="25" s="1"/>
  <c r="AH144" i="36"/>
  <c r="AH130" i="36"/>
  <c r="AH93" i="36"/>
  <c r="AG193" i="22"/>
  <c r="O206" i="25" l="1"/>
  <c r="O130" i="25"/>
  <c r="O144" i="25"/>
  <c r="O93" i="25"/>
  <c r="AG194" i="22"/>
  <c r="AG196" i="22"/>
  <c r="Y82" i="22" l="1"/>
  <c r="Y83" i="22" s="1"/>
  <c r="Y81" i="22" s="1"/>
  <c r="X82" i="22"/>
  <c r="R82" i="22"/>
  <c r="Q82" i="22"/>
  <c r="K82" i="22"/>
  <c r="J82" i="22"/>
  <c r="J83" i="22" s="1"/>
  <c r="D82" i="22"/>
  <c r="C82" i="22"/>
  <c r="AD3" i="22"/>
  <c r="AG248" i="22"/>
  <c r="AG247" i="22"/>
  <c r="AG243" i="22"/>
  <c r="AF242" i="22"/>
  <c r="AE242" i="22"/>
  <c r="AD242" i="22"/>
  <c r="AC242" i="22"/>
  <c r="AB242" i="22"/>
  <c r="AA242" i="22"/>
  <c r="Z242" i="22"/>
  <c r="Y242" i="22"/>
  <c r="X242" i="22"/>
  <c r="W242" i="22"/>
  <c r="V242" i="22"/>
  <c r="U242" i="22"/>
  <c r="T242" i="22"/>
  <c r="S242" i="22"/>
  <c r="R242" i="22"/>
  <c r="Q242" i="22"/>
  <c r="P242" i="22"/>
  <c r="O242" i="22"/>
  <c r="N242" i="22"/>
  <c r="M242" i="22"/>
  <c r="L242" i="22"/>
  <c r="K242" i="22"/>
  <c r="J242" i="22"/>
  <c r="I242" i="22"/>
  <c r="H242" i="22"/>
  <c r="G242" i="22"/>
  <c r="F242" i="22"/>
  <c r="E242" i="22"/>
  <c r="D242" i="22"/>
  <c r="C242" i="22"/>
  <c r="B242" i="22"/>
  <c r="AG241" i="22"/>
  <c r="AG240" i="22"/>
  <c r="AG239" i="22"/>
  <c r="AF238" i="22"/>
  <c r="AE238" i="22"/>
  <c r="AD238" i="22"/>
  <c r="AC238" i="22"/>
  <c r="AB238" i="22"/>
  <c r="AA238" i="22"/>
  <c r="Z238" i="22"/>
  <c r="Y238" i="22"/>
  <c r="X238" i="22"/>
  <c r="W238" i="22"/>
  <c r="V238" i="22"/>
  <c r="U238" i="22"/>
  <c r="T238" i="22"/>
  <c r="S238" i="22"/>
  <c r="R238" i="22"/>
  <c r="Q238" i="22"/>
  <c r="P238" i="22"/>
  <c r="O238" i="22"/>
  <c r="N238" i="22"/>
  <c r="M238" i="22"/>
  <c r="L238" i="22"/>
  <c r="K238" i="22"/>
  <c r="J238" i="22"/>
  <c r="I238" i="22"/>
  <c r="H238" i="22"/>
  <c r="G238" i="22"/>
  <c r="F238" i="22"/>
  <c r="E238" i="22"/>
  <c r="D238" i="22"/>
  <c r="C238" i="22"/>
  <c r="B238" i="22"/>
  <c r="AG237" i="22"/>
  <c r="AG236" i="22"/>
  <c r="AG235" i="22"/>
  <c r="AF234" i="22"/>
  <c r="AE234" i="22"/>
  <c r="AD234" i="22"/>
  <c r="AC234" i="22"/>
  <c r="AB234" i="22"/>
  <c r="AA234" i="22"/>
  <c r="Z234" i="22"/>
  <c r="Y234" i="22"/>
  <c r="X234" i="22"/>
  <c r="W234" i="22"/>
  <c r="V234" i="22"/>
  <c r="U234" i="22"/>
  <c r="T234" i="22"/>
  <c r="S234" i="22"/>
  <c r="R234" i="22"/>
  <c r="Q234" i="22"/>
  <c r="P234" i="22"/>
  <c r="O234" i="22"/>
  <c r="N234" i="22"/>
  <c r="M234" i="22"/>
  <c r="L234" i="22"/>
  <c r="K234" i="22"/>
  <c r="J234" i="22"/>
  <c r="I234" i="22"/>
  <c r="H234" i="22"/>
  <c r="G234" i="22"/>
  <c r="F234" i="22"/>
  <c r="E234" i="22"/>
  <c r="D234" i="22"/>
  <c r="C234" i="22"/>
  <c r="B234" i="22"/>
  <c r="AG233" i="22"/>
  <c r="AG232" i="22"/>
  <c r="AG231" i="22"/>
  <c r="AG230" i="22"/>
  <c r="AG229" i="22"/>
  <c r="AG228" i="22"/>
  <c r="AG227" i="22"/>
  <c r="AG226" i="22"/>
  <c r="AG225" i="22"/>
  <c r="AG224" i="22"/>
  <c r="AG223" i="22"/>
  <c r="AG222" i="22"/>
  <c r="Y206" i="22"/>
  <c r="X206" i="22"/>
  <c r="Z206" i="22"/>
  <c r="R206" i="22"/>
  <c r="N206" i="22"/>
  <c r="B206" i="22"/>
  <c r="AA206" i="22"/>
  <c r="W206" i="22"/>
  <c r="T206" i="22"/>
  <c r="S206" i="22"/>
  <c r="P206" i="22"/>
  <c r="O206" i="22"/>
  <c r="K206" i="22"/>
  <c r="G206" i="22"/>
  <c r="D206" i="22"/>
  <c r="C206" i="22"/>
  <c r="AG209" i="22"/>
  <c r="AG208" i="22"/>
  <c r="AG207" i="22"/>
  <c r="AF206" i="22"/>
  <c r="AE206" i="22"/>
  <c r="AD206" i="22"/>
  <c r="AC206" i="22"/>
  <c r="AB206" i="22"/>
  <c r="V206" i="22"/>
  <c r="U206" i="22"/>
  <c r="Q206" i="22"/>
  <c r="M206" i="22"/>
  <c r="L206" i="22"/>
  <c r="I206" i="22"/>
  <c r="H206" i="22"/>
  <c r="F206" i="22"/>
  <c r="E206" i="22"/>
  <c r="AG205" i="22"/>
  <c r="AG204" i="22"/>
  <c r="AG203" i="22"/>
  <c r="AG202" i="22"/>
  <c r="AG201" i="22"/>
  <c r="AG200" i="22"/>
  <c r="AG199" i="22"/>
  <c r="AG197" i="22"/>
  <c r="AG195" i="22"/>
  <c r="AG192" i="22"/>
  <c r="AG191" i="22"/>
  <c r="AG190" i="22"/>
  <c r="AG189" i="22"/>
  <c r="AG188" i="22"/>
  <c r="AG186" i="22"/>
  <c r="AG185" i="22"/>
  <c r="AG182" i="22"/>
  <c r="AG181" i="22"/>
  <c r="AG180" i="22"/>
  <c r="AF179" i="22"/>
  <c r="AE179" i="22"/>
  <c r="AD179" i="22"/>
  <c r="AC179" i="22"/>
  <c r="AB179" i="22"/>
  <c r="AA179" i="22"/>
  <c r="Z179" i="22"/>
  <c r="Y179" i="22"/>
  <c r="X179" i="22"/>
  <c r="W179" i="22"/>
  <c r="V179" i="22"/>
  <c r="U179" i="22"/>
  <c r="T179" i="22"/>
  <c r="S179" i="22"/>
  <c r="R179" i="22"/>
  <c r="Q179" i="22"/>
  <c r="P179" i="22"/>
  <c r="O179" i="22"/>
  <c r="N179" i="22"/>
  <c r="M179" i="22"/>
  <c r="L179" i="22"/>
  <c r="K179" i="22"/>
  <c r="J179" i="22"/>
  <c r="I179" i="22"/>
  <c r="H179" i="22"/>
  <c r="G179" i="22"/>
  <c r="F179" i="22"/>
  <c r="E179" i="22"/>
  <c r="D179" i="22"/>
  <c r="C179" i="22"/>
  <c r="B179" i="22"/>
  <c r="AG178" i="22"/>
  <c r="AG177" i="22"/>
  <c r="AG176" i="22"/>
  <c r="AG175" i="22"/>
  <c r="AF174" i="22"/>
  <c r="AE174" i="22"/>
  <c r="AD174" i="22"/>
  <c r="AC174" i="22"/>
  <c r="AB174" i="22"/>
  <c r="AA174" i="22"/>
  <c r="Z174" i="22"/>
  <c r="Y174" i="22"/>
  <c r="X174" i="22"/>
  <c r="W174" i="22"/>
  <c r="V174" i="22"/>
  <c r="U174" i="22"/>
  <c r="T174" i="22"/>
  <c r="S174" i="22"/>
  <c r="R174" i="22"/>
  <c r="Q174" i="22"/>
  <c r="P174" i="22"/>
  <c r="O174" i="22"/>
  <c r="N174" i="22"/>
  <c r="M174" i="22"/>
  <c r="L174" i="22"/>
  <c r="K174" i="22"/>
  <c r="J174" i="22"/>
  <c r="I174" i="22"/>
  <c r="H174" i="22"/>
  <c r="G174" i="22"/>
  <c r="F174" i="22"/>
  <c r="E174" i="22"/>
  <c r="D174" i="22"/>
  <c r="C174" i="22"/>
  <c r="B174" i="22"/>
  <c r="AG173" i="22"/>
  <c r="AG172" i="22"/>
  <c r="AG171" i="22"/>
  <c r="AG170" i="22"/>
  <c r="AG169" i="22"/>
  <c r="AG168" i="22"/>
  <c r="AF167" i="22"/>
  <c r="AE167" i="22"/>
  <c r="AD167" i="22"/>
  <c r="AC167" i="22"/>
  <c r="AB167" i="22"/>
  <c r="AA167" i="22"/>
  <c r="Z167" i="22"/>
  <c r="Y167" i="22"/>
  <c r="X167" i="22"/>
  <c r="W167" i="22"/>
  <c r="V167" i="22"/>
  <c r="U167" i="22"/>
  <c r="T167" i="22"/>
  <c r="S167" i="22"/>
  <c r="R167" i="22"/>
  <c r="Q167" i="22"/>
  <c r="P167" i="22"/>
  <c r="O167" i="22"/>
  <c r="N167" i="22"/>
  <c r="M167" i="22"/>
  <c r="L167" i="22"/>
  <c r="K167" i="22"/>
  <c r="J167" i="22"/>
  <c r="I167" i="22"/>
  <c r="H167" i="22"/>
  <c r="G167" i="22"/>
  <c r="F167" i="22"/>
  <c r="E167" i="22"/>
  <c r="D167" i="22"/>
  <c r="C167" i="22"/>
  <c r="B167" i="22"/>
  <c r="AG166" i="22"/>
  <c r="AG165" i="22"/>
  <c r="AG164" i="22"/>
  <c r="AG163" i="22"/>
  <c r="AG162" i="22"/>
  <c r="AG161" i="22"/>
  <c r="AG160" i="22"/>
  <c r="AG159" i="22"/>
  <c r="AF158" i="22"/>
  <c r="AE158" i="22"/>
  <c r="AD158" i="22"/>
  <c r="AC158" i="22"/>
  <c r="AB158" i="22"/>
  <c r="AA158" i="22"/>
  <c r="Z158" i="22"/>
  <c r="Y158" i="22"/>
  <c r="X158" i="22"/>
  <c r="W158" i="22"/>
  <c r="V158" i="22"/>
  <c r="U158" i="22"/>
  <c r="T158" i="22"/>
  <c r="S158" i="22"/>
  <c r="R158" i="22"/>
  <c r="Q158" i="22"/>
  <c r="P158" i="22"/>
  <c r="O158" i="22"/>
  <c r="N158" i="22"/>
  <c r="M158" i="22"/>
  <c r="L158" i="22"/>
  <c r="K158" i="22"/>
  <c r="J158" i="22"/>
  <c r="I158" i="22"/>
  <c r="H158" i="22"/>
  <c r="G158" i="22"/>
  <c r="F158" i="22"/>
  <c r="E158" i="22"/>
  <c r="D158" i="22"/>
  <c r="C158" i="22"/>
  <c r="B158" i="22"/>
  <c r="AG157" i="22"/>
  <c r="AG156" i="22"/>
  <c r="AG155" i="22"/>
  <c r="AG154" i="22"/>
  <c r="AG153" i="22"/>
  <c r="AG152" i="22"/>
  <c r="AG151" i="22"/>
  <c r="AG150" i="22"/>
  <c r="AG149" i="22"/>
  <c r="AF148" i="22"/>
  <c r="AF146" i="22" s="1"/>
  <c r="AF144" i="22" s="1"/>
  <c r="AE148" i="22"/>
  <c r="AD148" i="22"/>
  <c r="AC148" i="22"/>
  <c r="AC146" i="22" s="1"/>
  <c r="AB148" i="22"/>
  <c r="AB146" i="22" s="1"/>
  <c r="AA148" i="22"/>
  <c r="AA146" i="22" s="1"/>
  <c r="Z148" i="22"/>
  <c r="Z146" i="22" s="1"/>
  <c r="Z144" i="22" s="1"/>
  <c r="Y148" i="22"/>
  <c r="X148" i="22"/>
  <c r="X146" i="22" s="1"/>
  <c r="W148" i="22"/>
  <c r="W146" i="22" s="1"/>
  <c r="W144" i="22" s="1"/>
  <c r="V148" i="22"/>
  <c r="V146" i="22" s="1"/>
  <c r="U148" i="22"/>
  <c r="T148" i="22"/>
  <c r="T146" i="22" s="1"/>
  <c r="S148" i="22"/>
  <c r="S146" i="22" s="1"/>
  <c r="S144" i="22" s="1"/>
  <c r="R148" i="22"/>
  <c r="R146" i="22" s="1"/>
  <c r="R144" i="22" s="1"/>
  <c r="Q148" i="22"/>
  <c r="P148" i="22"/>
  <c r="P146" i="22" s="1"/>
  <c r="O148" i="22"/>
  <c r="O146" i="22" s="1"/>
  <c r="N148" i="22"/>
  <c r="N146" i="22" s="1"/>
  <c r="N144" i="22" s="1"/>
  <c r="M148" i="22"/>
  <c r="L148" i="22"/>
  <c r="L146" i="22" s="1"/>
  <c r="K148" i="22"/>
  <c r="K146" i="22" s="1"/>
  <c r="J148" i="22"/>
  <c r="J146" i="22" s="1"/>
  <c r="I148" i="22"/>
  <c r="H148" i="22"/>
  <c r="H146" i="22" s="1"/>
  <c r="G148" i="22"/>
  <c r="G146" i="22" s="1"/>
  <c r="G144" i="22" s="1"/>
  <c r="F148" i="22"/>
  <c r="F146" i="22" s="1"/>
  <c r="F144" i="22" s="1"/>
  <c r="E148" i="22"/>
  <c r="D148" i="22"/>
  <c r="D146" i="22" s="1"/>
  <c r="C148" i="22"/>
  <c r="C146" i="22" s="1"/>
  <c r="B148" i="22"/>
  <c r="B146" i="22" s="1"/>
  <c r="AE147" i="22"/>
  <c r="AD147" i="22"/>
  <c r="AC147" i="22"/>
  <c r="AB147" i="22"/>
  <c r="AA147" i="22"/>
  <c r="Z147" i="22"/>
  <c r="Y147" i="22"/>
  <c r="X147" i="22"/>
  <c r="W147" i="22"/>
  <c r="V147" i="22"/>
  <c r="U147" i="22"/>
  <c r="T147" i="22"/>
  <c r="S147" i="22"/>
  <c r="R147" i="22"/>
  <c r="Q147" i="22"/>
  <c r="P147" i="22"/>
  <c r="O147" i="22"/>
  <c r="N147" i="22"/>
  <c r="M147" i="22"/>
  <c r="L147" i="22"/>
  <c r="K147" i="22"/>
  <c r="J147" i="22"/>
  <c r="I147" i="22"/>
  <c r="H147" i="22"/>
  <c r="G147" i="22"/>
  <c r="F147" i="22"/>
  <c r="E147" i="22"/>
  <c r="D147" i="22"/>
  <c r="C147" i="22"/>
  <c r="B147" i="22"/>
  <c r="AE146" i="22"/>
  <c r="AD146" i="22"/>
  <c r="Y146" i="22"/>
  <c r="Y144" i="22" s="1"/>
  <c r="U146" i="22"/>
  <c r="Q146" i="22"/>
  <c r="M146" i="22"/>
  <c r="M144" i="22" s="1"/>
  <c r="I146" i="22"/>
  <c r="I144" i="22" s="1"/>
  <c r="E146" i="22"/>
  <c r="AF145" i="22"/>
  <c r="AE145" i="22"/>
  <c r="AD145" i="22"/>
  <c r="AC145" i="22"/>
  <c r="AB145" i="22"/>
  <c r="AA145" i="22"/>
  <c r="Z145" i="22"/>
  <c r="Y145" i="22"/>
  <c r="X145" i="22"/>
  <c r="W145" i="22"/>
  <c r="V145" i="22"/>
  <c r="U145" i="22"/>
  <c r="T145" i="22"/>
  <c r="S145" i="22"/>
  <c r="R145" i="22"/>
  <c r="Q145" i="22"/>
  <c r="P145" i="22"/>
  <c r="O145" i="22"/>
  <c r="N145" i="22"/>
  <c r="M145" i="22"/>
  <c r="L145" i="22"/>
  <c r="K145" i="22"/>
  <c r="J145" i="22"/>
  <c r="I145" i="22"/>
  <c r="H145" i="22"/>
  <c r="G145" i="22"/>
  <c r="F145" i="22"/>
  <c r="E145" i="22"/>
  <c r="D145" i="22"/>
  <c r="C145" i="22"/>
  <c r="B145" i="22"/>
  <c r="AA130" i="22"/>
  <c r="W130" i="22"/>
  <c r="K130" i="22"/>
  <c r="G130" i="22"/>
  <c r="C130" i="22"/>
  <c r="AB130" i="22"/>
  <c r="P130" i="22"/>
  <c r="N130" i="22"/>
  <c r="L130" i="22"/>
  <c r="E130" i="22"/>
  <c r="AG142" i="22"/>
  <c r="AG141" i="22"/>
  <c r="AG140" i="22"/>
  <c r="U130" i="22"/>
  <c r="H130" i="22"/>
  <c r="AG138" i="22"/>
  <c r="AC130" i="22"/>
  <c r="V130" i="22"/>
  <c r="I130" i="22"/>
  <c r="AG136" i="22"/>
  <c r="AG135" i="22"/>
  <c r="X130" i="22"/>
  <c r="S130" i="22"/>
  <c r="AG134" i="22"/>
  <c r="AG133" i="22"/>
  <c r="AG132" i="22"/>
  <c r="AG131" i="22"/>
  <c r="AF130" i="22"/>
  <c r="AE130" i="22"/>
  <c r="AD130" i="22"/>
  <c r="Z130" i="22"/>
  <c r="T130" i="22"/>
  <c r="R130" i="22"/>
  <c r="O130" i="22"/>
  <c r="J130" i="22"/>
  <c r="F130" i="22"/>
  <c r="D130" i="22"/>
  <c r="B130" i="22"/>
  <c r="AC116" i="22"/>
  <c r="AB116" i="22"/>
  <c r="X116" i="22"/>
  <c r="T116" i="22"/>
  <c r="Q116" i="22"/>
  <c r="P116" i="22"/>
  <c r="M116" i="22"/>
  <c r="L116" i="22"/>
  <c r="H116" i="22"/>
  <c r="AG129" i="22"/>
  <c r="AG128" i="22"/>
  <c r="AG127" i="22"/>
  <c r="AG126" i="22"/>
  <c r="AG125" i="22"/>
  <c r="AG124" i="22"/>
  <c r="AG123" i="22"/>
  <c r="AG122" i="22"/>
  <c r="AG121" i="22"/>
  <c r="AG120" i="22"/>
  <c r="AG119" i="22"/>
  <c r="AG118" i="22"/>
  <c r="AG117" i="22"/>
  <c r="AF116" i="22"/>
  <c r="AE116" i="22"/>
  <c r="AD116" i="22"/>
  <c r="AA116" i="22"/>
  <c r="Z116" i="22"/>
  <c r="Y116" i="22"/>
  <c r="W116" i="22"/>
  <c r="V116" i="22"/>
  <c r="U116" i="22"/>
  <c r="S116" i="22"/>
  <c r="R116" i="22"/>
  <c r="O116" i="22"/>
  <c r="N116" i="22"/>
  <c r="K116" i="22"/>
  <c r="J116" i="22"/>
  <c r="I116" i="22"/>
  <c r="G116" i="22"/>
  <c r="F116" i="22"/>
  <c r="E116" i="22"/>
  <c r="D116" i="22"/>
  <c r="C116" i="22"/>
  <c r="AG115" i="22"/>
  <c r="AG114" i="22"/>
  <c r="AG113" i="22"/>
  <c r="AG112" i="22"/>
  <c r="AG111" i="22"/>
  <c r="AG110" i="22"/>
  <c r="AG109" i="22"/>
  <c r="AG108" i="22"/>
  <c r="AG107" i="22"/>
  <c r="AG106" i="22"/>
  <c r="AG105" i="22"/>
  <c r="AG104" i="22"/>
  <c r="AG103" i="22"/>
  <c r="AG102" i="22"/>
  <c r="AG101" i="22"/>
  <c r="AF100" i="22"/>
  <c r="AE100" i="22"/>
  <c r="AD100" i="22"/>
  <c r="AC100" i="22"/>
  <c r="AB100" i="22"/>
  <c r="AB93" i="22" s="1"/>
  <c r="AA100" i="22"/>
  <c r="Z100" i="22"/>
  <c r="Y100" i="22"/>
  <c r="X100" i="22"/>
  <c r="W100" i="22"/>
  <c r="V100" i="22"/>
  <c r="U100" i="22"/>
  <c r="T100" i="22"/>
  <c r="S100" i="22"/>
  <c r="S93" i="22" s="1"/>
  <c r="R100" i="22"/>
  <c r="R93" i="22" s="1"/>
  <c r="Q100" i="22"/>
  <c r="P100" i="22"/>
  <c r="O100" i="22"/>
  <c r="N100" i="22"/>
  <c r="M100" i="22"/>
  <c r="L100" i="22"/>
  <c r="K100" i="22"/>
  <c r="J100" i="22"/>
  <c r="I100" i="22"/>
  <c r="H100" i="22"/>
  <c r="G100" i="22"/>
  <c r="F100" i="22"/>
  <c r="E100" i="22"/>
  <c r="D100" i="22"/>
  <c r="C100" i="22"/>
  <c r="B100" i="22"/>
  <c r="AG99" i="22"/>
  <c r="AG98" i="22"/>
  <c r="AG97" i="22"/>
  <c r="AG96" i="22"/>
  <c r="AG95" i="22"/>
  <c r="AF94" i="22"/>
  <c r="AE94" i="22"/>
  <c r="AE93" i="22" s="1"/>
  <c r="AD94" i="22"/>
  <c r="AD93" i="22" s="1"/>
  <c r="AC94" i="22"/>
  <c r="AC93" i="22" s="1"/>
  <c r="AB94" i="22"/>
  <c r="AA94" i="22"/>
  <c r="Z94" i="22"/>
  <c r="Y94" i="22"/>
  <c r="X94" i="22"/>
  <c r="W94" i="22"/>
  <c r="V94" i="22"/>
  <c r="U94" i="22"/>
  <c r="U93" i="22" s="1"/>
  <c r="T94" i="22"/>
  <c r="S94" i="22"/>
  <c r="R94" i="22"/>
  <c r="Q94" i="22"/>
  <c r="P94" i="22"/>
  <c r="P93" i="22" s="1"/>
  <c r="O94" i="22"/>
  <c r="O93" i="22" s="1"/>
  <c r="N94" i="22"/>
  <c r="N93" i="22" s="1"/>
  <c r="M94" i="22"/>
  <c r="M93" i="22" s="1"/>
  <c r="L94" i="22"/>
  <c r="K94" i="22"/>
  <c r="J94" i="22"/>
  <c r="I94" i="22"/>
  <c r="H94" i="22"/>
  <c r="G94" i="22"/>
  <c r="F94" i="22"/>
  <c r="E94" i="22"/>
  <c r="D94" i="22"/>
  <c r="C94" i="22"/>
  <c r="B94" i="22"/>
  <c r="AF93" i="22"/>
  <c r="AA93" i="22"/>
  <c r="L93" i="22"/>
  <c r="G93" i="22"/>
  <c r="C93" i="22"/>
  <c r="AG92" i="22"/>
  <c r="AG91" i="22"/>
  <c r="AG90" i="22"/>
  <c r="AG89" i="22"/>
  <c r="AG88" i="22"/>
  <c r="AF87" i="22"/>
  <c r="AE87" i="22"/>
  <c r="AD87" i="22"/>
  <c r="AC87" i="22"/>
  <c r="AB87" i="22"/>
  <c r="AA87" i="22"/>
  <c r="Z87" i="22"/>
  <c r="Y87" i="22"/>
  <c r="X87" i="22"/>
  <c r="W87" i="22"/>
  <c r="V87" i="22"/>
  <c r="U87" i="22"/>
  <c r="T87" i="22"/>
  <c r="S87" i="22"/>
  <c r="R87" i="22"/>
  <c r="Q87" i="22"/>
  <c r="P87" i="22"/>
  <c r="O87" i="22"/>
  <c r="N87" i="22"/>
  <c r="M87" i="22"/>
  <c r="L87" i="22"/>
  <c r="K87" i="22"/>
  <c r="J87" i="22"/>
  <c r="I87" i="22"/>
  <c r="H87" i="22"/>
  <c r="G87" i="22"/>
  <c r="F87" i="22"/>
  <c r="E87" i="22"/>
  <c r="D87" i="22"/>
  <c r="C87" i="22"/>
  <c r="B87" i="22"/>
  <c r="AG86" i="22"/>
  <c r="AG85" i="22"/>
  <c r="AF84" i="22"/>
  <c r="AE84" i="22"/>
  <c r="AD84" i="22"/>
  <c r="AC84" i="22"/>
  <c r="AB84" i="22"/>
  <c r="AA84" i="22"/>
  <c r="Z84" i="22"/>
  <c r="Y84" i="22"/>
  <c r="X84" i="22"/>
  <c r="W84" i="22"/>
  <c r="V84" i="22"/>
  <c r="U84" i="22"/>
  <c r="T84" i="22"/>
  <c r="S84" i="22"/>
  <c r="R84" i="22"/>
  <c r="Q84" i="22"/>
  <c r="P84" i="22"/>
  <c r="O84" i="22"/>
  <c r="N84" i="22"/>
  <c r="M84" i="22"/>
  <c r="L84" i="22"/>
  <c r="K84" i="22"/>
  <c r="J84" i="22"/>
  <c r="I84" i="22"/>
  <c r="H84" i="22"/>
  <c r="G84" i="22"/>
  <c r="F84" i="22"/>
  <c r="E84" i="22"/>
  <c r="D84" i="22"/>
  <c r="C84" i="22"/>
  <c r="B84" i="22"/>
  <c r="AB83" i="22"/>
  <c r="AB81" i="22" s="1"/>
  <c r="R83" i="22"/>
  <c r="R81" i="22" s="1"/>
  <c r="Q83" i="22"/>
  <c r="Q81" i="22" s="1"/>
  <c r="D83" i="22"/>
  <c r="D81" i="22" s="1"/>
  <c r="C83" i="22"/>
  <c r="AF82" i="22"/>
  <c r="AF83" i="22" s="1"/>
  <c r="AF81" i="22" s="1"/>
  <c r="AE82" i="22"/>
  <c r="AD82" i="22"/>
  <c r="AD83" i="22" s="1"/>
  <c r="AC82" i="22"/>
  <c r="AC83" i="22" s="1"/>
  <c r="AC81" i="22" s="1"/>
  <c r="AB82" i="22"/>
  <c r="AA82" i="22"/>
  <c r="Z82" i="22"/>
  <c r="Z83" i="22" s="1"/>
  <c r="Z81" i="22" s="1"/>
  <c r="W82" i="22"/>
  <c r="W83" i="22" s="1"/>
  <c r="V82" i="22"/>
  <c r="V83" i="22" s="1"/>
  <c r="U82" i="22"/>
  <c r="U83" i="22" s="1"/>
  <c r="U81" i="22" s="1"/>
  <c r="T82" i="22"/>
  <c r="T83" i="22" s="1"/>
  <c r="T81" i="22" s="1"/>
  <c r="S82" i="22"/>
  <c r="S83" i="22" s="1"/>
  <c r="P82" i="22"/>
  <c r="P83" i="22" s="1"/>
  <c r="P81" i="22" s="1"/>
  <c r="O82" i="22"/>
  <c r="N82" i="22"/>
  <c r="N83" i="22" s="1"/>
  <c r="M82" i="22"/>
  <c r="M83" i="22" s="1"/>
  <c r="M81" i="22" s="1"/>
  <c r="L82" i="22"/>
  <c r="L83" i="22" s="1"/>
  <c r="L81" i="22" s="1"/>
  <c r="I82" i="22"/>
  <c r="I83" i="22" s="1"/>
  <c r="I81" i="22" s="1"/>
  <c r="H82" i="22"/>
  <c r="H83" i="22" s="1"/>
  <c r="H81" i="22" s="1"/>
  <c r="G82" i="22"/>
  <c r="F82" i="22"/>
  <c r="F83" i="22" s="1"/>
  <c r="E82" i="22"/>
  <c r="B82" i="22"/>
  <c r="B83" i="22" s="1"/>
  <c r="B81" i="22" s="1"/>
  <c r="AD81" i="22"/>
  <c r="V81" i="22"/>
  <c r="AF80" i="22"/>
  <c r="AF79" i="22" s="1"/>
  <c r="AF78" i="22" s="1"/>
  <c r="AC80" i="22"/>
  <c r="AB80" i="22"/>
  <c r="AB79" i="22" s="1"/>
  <c r="AB78" i="22" s="1"/>
  <c r="AA80" i="22"/>
  <c r="Y80" i="22"/>
  <c r="Y79" i="22" s="1"/>
  <c r="Y78" i="22" s="1"/>
  <c r="V80" i="22"/>
  <c r="V79" i="22" s="1"/>
  <c r="V78" i="22" s="1"/>
  <c r="U80" i="22"/>
  <c r="U79" i="22" s="1"/>
  <c r="U78" i="22" s="1"/>
  <c r="T80" i="22"/>
  <c r="T79" i="22" s="1"/>
  <c r="T78" i="22" s="1"/>
  <c r="S80" i="22"/>
  <c r="S79" i="22" s="1"/>
  <c r="S78" i="22" s="1"/>
  <c r="R80" i="22"/>
  <c r="R79" i="22" s="1"/>
  <c r="R78" i="22" s="1"/>
  <c r="O80" i="22"/>
  <c r="O79" i="22" s="1"/>
  <c r="O78" i="22" s="1"/>
  <c r="N80" i="22"/>
  <c r="M80" i="22"/>
  <c r="H80" i="22"/>
  <c r="H79" i="22" s="1"/>
  <c r="H78" i="22" s="1"/>
  <c r="G80" i="22"/>
  <c r="G79" i="22" s="1"/>
  <c r="G78" i="22" s="1"/>
  <c r="F80" i="22"/>
  <c r="AE79" i="22"/>
  <c r="AE78" i="22" s="1"/>
  <c r="AD79" i="22"/>
  <c r="AC79" i="22"/>
  <c r="AC78" i="22" s="1"/>
  <c r="AA79" i="22"/>
  <c r="Z79" i="22"/>
  <c r="Z78" i="22" s="1"/>
  <c r="X79" i="22"/>
  <c r="W79" i="22"/>
  <c r="W78" i="22" s="1"/>
  <c r="Q79" i="22"/>
  <c r="Q78" i="22" s="1"/>
  <c r="P79" i="22"/>
  <c r="P78" i="22" s="1"/>
  <c r="N79" i="22"/>
  <c r="N78" i="22" s="1"/>
  <c r="M79" i="22"/>
  <c r="M78" i="22" s="1"/>
  <c r="L79" i="22"/>
  <c r="L78" i="22" s="1"/>
  <c r="K79" i="22"/>
  <c r="K78" i="22" s="1"/>
  <c r="J79" i="22"/>
  <c r="J78" i="22" s="1"/>
  <c r="I79" i="22"/>
  <c r="I78" i="22" s="1"/>
  <c r="E79" i="22"/>
  <c r="E78" i="22" s="1"/>
  <c r="D79" i="22"/>
  <c r="D78" i="22" s="1"/>
  <c r="C79" i="22"/>
  <c r="C78" i="22" s="1"/>
  <c r="B79" i="22"/>
  <c r="AD78" i="22"/>
  <c r="AA78" i="22"/>
  <c r="X78" i="22"/>
  <c r="B78" i="22"/>
  <c r="AG77" i="22"/>
  <c r="AG76" i="22"/>
  <c r="AG75" i="22"/>
  <c r="AG74" i="22"/>
  <c r="AG73" i="22"/>
  <c r="AG72" i="22"/>
  <c r="AG71" i="22"/>
  <c r="AG70" i="22"/>
  <c r="AG69" i="22"/>
  <c r="AG68" i="22"/>
  <c r="AG67" i="22"/>
  <c r="AG66" i="22"/>
  <c r="AG65" i="22"/>
  <c r="AG64" i="22"/>
  <c r="AG63" i="22"/>
  <c r="AG62" i="22"/>
  <c r="AG61" i="22"/>
  <c r="AG60" i="22"/>
  <c r="AG59" i="22"/>
  <c r="AG58" i="22"/>
  <c r="AG57" i="22"/>
  <c r="AG56" i="22"/>
  <c r="AG55" i="22"/>
  <c r="AG54" i="22"/>
  <c r="AF53" i="22"/>
  <c r="AE53" i="22"/>
  <c r="AD53" i="22"/>
  <c r="AC53" i="22"/>
  <c r="AB53" i="22"/>
  <c r="AA53" i="22"/>
  <c r="Z53" i="22"/>
  <c r="Y53" i="22"/>
  <c r="X53" i="22"/>
  <c r="W53" i="22"/>
  <c r="V53" i="22"/>
  <c r="U53" i="22"/>
  <c r="T53" i="22"/>
  <c r="S53" i="22"/>
  <c r="R53" i="22"/>
  <c r="Q53" i="22"/>
  <c r="P53" i="22"/>
  <c r="O53" i="22"/>
  <c r="N53" i="22"/>
  <c r="M53" i="22"/>
  <c r="L53" i="22"/>
  <c r="K53" i="22"/>
  <c r="J53" i="22"/>
  <c r="I53" i="22"/>
  <c r="H53" i="22"/>
  <c r="G53" i="22"/>
  <c r="F53" i="22"/>
  <c r="E53" i="22"/>
  <c r="D53" i="22"/>
  <c r="C53" i="22"/>
  <c r="B53" i="22"/>
  <c r="AG52" i="22"/>
  <c r="AG51" i="22"/>
  <c r="AG50" i="22"/>
  <c r="AG49" i="22"/>
  <c r="AG48" i="22"/>
  <c r="AG47" i="22"/>
  <c r="AG46" i="22"/>
  <c r="AG45" i="22"/>
  <c r="AG44" i="22"/>
  <c r="AG43" i="22"/>
  <c r="AG42" i="22"/>
  <c r="AG41" i="22"/>
  <c r="AG40" i="22"/>
  <c r="AG39" i="22"/>
  <c r="AG38" i="22"/>
  <c r="AG37" i="22"/>
  <c r="AG36" i="22"/>
  <c r="AG35" i="22"/>
  <c r="AG34" i="22"/>
  <c r="AG33" i="22"/>
  <c r="AG32" i="22"/>
  <c r="AG31" i="22"/>
  <c r="AG30" i="22"/>
  <c r="AG29" i="22"/>
  <c r="AF28" i="22"/>
  <c r="AE28" i="22"/>
  <c r="AD28" i="22"/>
  <c r="AC28" i="22"/>
  <c r="AB28" i="22"/>
  <c r="AA28" i="22"/>
  <c r="Z28" i="22"/>
  <c r="Y28" i="22"/>
  <c r="X28" i="22"/>
  <c r="W28" i="22"/>
  <c r="V28" i="22"/>
  <c r="U28" i="22"/>
  <c r="T28" i="22"/>
  <c r="S28" i="22"/>
  <c r="R28" i="22"/>
  <c r="Q28" i="22"/>
  <c r="P28" i="22"/>
  <c r="O28" i="22"/>
  <c r="N28" i="22"/>
  <c r="M28" i="22"/>
  <c r="L28" i="22"/>
  <c r="K28" i="22"/>
  <c r="J28" i="22"/>
  <c r="I28" i="22"/>
  <c r="H28" i="22"/>
  <c r="G28" i="22"/>
  <c r="F28" i="22"/>
  <c r="E28" i="22"/>
  <c r="D28" i="22"/>
  <c r="C28" i="22"/>
  <c r="B28" i="22"/>
  <c r="AG27" i="22"/>
  <c r="AG26" i="22"/>
  <c r="AG25" i="22"/>
  <c r="AG24" i="22"/>
  <c r="AG23" i="22"/>
  <c r="AG22" i="22"/>
  <c r="AG21" i="22"/>
  <c r="AG20" i="22"/>
  <c r="AG19" i="22"/>
  <c r="AG18" i="22"/>
  <c r="AG17" i="22"/>
  <c r="AG16" i="22"/>
  <c r="AG15" i="22"/>
  <c r="AG14" i="22"/>
  <c r="AG13" i="22"/>
  <c r="AG12" i="22"/>
  <c r="AG11" i="22"/>
  <c r="AG10" i="22"/>
  <c r="AG9" i="22"/>
  <c r="AG8" i="22"/>
  <c r="AG7" i="22"/>
  <c r="AG6" i="22"/>
  <c r="AG5" i="22"/>
  <c r="AG4" i="22"/>
  <c r="AF3" i="22"/>
  <c r="AE3" i="22"/>
  <c r="AC3" i="22"/>
  <c r="AB3" i="22"/>
  <c r="AA3" i="22"/>
  <c r="Z3" i="22"/>
  <c r="Y3" i="22"/>
  <c r="X3" i="22"/>
  <c r="W3" i="22"/>
  <c r="V3" i="22"/>
  <c r="U3" i="22"/>
  <c r="T3" i="22"/>
  <c r="S3" i="22"/>
  <c r="R3" i="22"/>
  <c r="Q3" i="22"/>
  <c r="P3" i="22"/>
  <c r="O3" i="22"/>
  <c r="N3" i="22"/>
  <c r="M3" i="22"/>
  <c r="L3" i="22"/>
  <c r="K3" i="22"/>
  <c r="J3" i="22"/>
  <c r="I3" i="22"/>
  <c r="H3" i="22"/>
  <c r="G3" i="22"/>
  <c r="F3" i="22"/>
  <c r="E3" i="22"/>
  <c r="D3" i="22"/>
  <c r="C3" i="22"/>
  <c r="B3" i="22"/>
  <c r="AC2" i="22"/>
  <c r="C2" i="22"/>
  <c r="D2" i="22" s="1"/>
  <c r="E2" i="22" s="1"/>
  <c r="F2" i="22" s="1"/>
  <c r="G2" i="22" s="1"/>
  <c r="H2" i="22" s="1"/>
  <c r="I2" i="22" s="1"/>
  <c r="J2" i="22" s="1"/>
  <c r="K2" i="22" s="1"/>
  <c r="L2" i="22" s="1"/>
  <c r="M2" i="22" s="1"/>
  <c r="N2" i="22" s="1"/>
  <c r="O2" i="22" s="1"/>
  <c r="P2" i="22" s="1"/>
  <c r="Q2" i="22" s="1"/>
  <c r="R2" i="22" s="1"/>
  <c r="S2" i="22" s="1"/>
  <c r="T2" i="22" s="1"/>
  <c r="U2" i="22" s="1"/>
  <c r="V2" i="22" s="1"/>
  <c r="W2" i="22" s="1"/>
  <c r="X2" i="22" s="1"/>
  <c r="Y2" i="22" s="1"/>
  <c r="Z2" i="22" s="1"/>
  <c r="AA2" i="22" s="1"/>
  <c r="B144" i="22" l="1"/>
  <c r="V144" i="22"/>
  <c r="AG167" i="22"/>
  <c r="C144" i="22"/>
  <c r="X144" i="22"/>
  <c r="E93" i="22"/>
  <c r="AD144" i="22"/>
  <c r="J144" i="22"/>
  <c r="V93" i="22"/>
  <c r="F93" i="22"/>
  <c r="F81" i="22"/>
  <c r="W93" i="22"/>
  <c r="H144" i="22"/>
  <c r="U144" i="22"/>
  <c r="AG80" i="22"/>
  <c r="K93" i="22"/>
  <c r="AG3" i="22"/>
  <c r="AG82" i="22"/>
  <c r="F79" i="22"/>
  <c r="F78" i="22" s="1"/>
  <c r="AG78" i="22" s="1"/>
  <c r="N81" i="22"/>
  <c r="AG238" i="22"/>
  <c r="AG53" i="22"/>
  <c r="I93" i="22"/>
  <c r="Q93" i="22"/>
  <c r="Y93" i="22"/>
  <c r="AG28" i="22"/>
  <c r="B93" i="22"/>
  <c r="J93" i="22"/>
  <c r="Z93" i="22"/>
  <c r="AG242" i="22"/>
  <c r="AE144" i="22"/>
  <c r="AG158" i="22"/>
  <c r="K144" i="22"/>
  <c r="O144" i="22"/>
  <c r="AA144" i="22"/>
  <c r="AG145" i="22"/>
  <c r="AG147" i="22"/>
  <c r="D144" i="22"/>
  <c r="L144" i="22"/>
  <c r="P144" i="22"/>
  <c r="T144" i="22"/>
  <c r="AB144" i="22"/>
  <c r="AG179" i="22"/>
  <c r="E144" i="22"/>
  <c r="AC144" i="22"/>
  <c r="AG174" i="22"/>
  <c r="AG84" i="22"/>
  <c r="AG87" i="22"/>
  <c r="D93" i="22"/>
  <c r="H93" i="22"/>
  <c r="T93" i="22"/>
  <c r="X93" i="22"/>
  <c r="AG206" i="22"/>
  <c r="AG210" i="22"/>
  <c r="J81" i="22"/>
  <c r="O83" i="22"/>
  <c r="O81" i="22" s="1"/>
  <c r="X83" i="22"/>
  <c r="X81" i="22" s="1"/>
  <c r="AG93" i="22"/>
  <c r="AH93" i="22" s="1"/>
  <c r="AG94" i="22"/>
  <c r="AG211" i="22"/>
  <c r="E83" i="22"/>
  <c r="E81" i="22" s="1"/>
  <c r="K83" i="22"/>
  <c r="K81" i="22" s="1"/>
  <c r="AE83" i="22"/>
  <c r="AE81" i="22" s="1"/>
  <c r="AG100" i="22"/>
  <c r="B116" i="22"/>
  <c r="AG116" i="22" s="1"/>
  <c r="AG137" i="22"/>
  <c r="Y130" i="22"/>
  <c r="AG139" i="22"/>
  <c r="Q130" i="22"/>
  <c r="AG148" i="22"/>
  <c r="AG146" i="22" s="1"/>
  <c r="AG234" i="22"/>
  <c r="C81" i="22"/>
  <c r="S81" i="22"/>
  <c r="W81" i="22"/>
  <c r="G83" i="22"/>
  <c r="G81" i="22" s="1"/>
  <c r="AA83" i="22"/>
  <c r="AA81" i="22" s="1"/>
  <c r="M130" i="22"/>
  <c r="AG143" i="22"/>
  <c r="Q144" i="22"/>
  <c r="J206" i="22"/>
  <c r="AG79" i="22" l="1"/>
  <c r="AH87" i="22"/>
  <c r="AG144" i="22"/>
  <c r="AH144" i="22" s="1"/>
  <c r="AH206" i="22"/>
  <c r="AG130" i="22"/>
  <c r="AH130" i="22" s="1"/>
  <c r="AG81" i="22"/>
  <c r="AH81" i="22" s="1"/>
  <c r="AG83" i="22"/>
  <c r="AH84" i="2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Rodrigo Villalobos R. (CVP)</author>
  </authors>
  <commentList>
    <comment ref="A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HORA ADMISION
COLUMNA AN</t>
        </r>
      </text>
    </comment>
    <comment ref="A28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HORA ATENCION MEDICO
COLUMNA AS</t>
        </r>
      </text>
    </comment>
    <comment ref="A116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CONSULTORIO</t>
        </r>
      </text>
    </comment>
    <comment ref="A130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CONSULTORIO</t>
        </r>
      </text>
    </comment>
    <comment ref="A144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ESTABLECIMIENTO
ORIGEN</t>
        </r>
      </text>
    </comment>
    <comment ref="A156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PROCEDENCIA EXTERNA</t>
        </r>
      </text>
    </comment>
    <comment ref="A173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MEDIO LLEGADA</t>
        </r>
      </text>
    </comment>
    <comment ref="A174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DESTINO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Rodrigo Villalobos R. (CVP)</author>
  </authors>
  <commentList>
    <comment ref="A3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HORA ADMISION
COLUMNA AN</t>
        </r>
      </text>
    </comment>
    <comment ref="A28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HORA ATENCION MEDICO
COLUMNA AS</t>
        </r>
      </text>
    </comment>
    <comment ref="A116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CONSULTORIO</t>
        </r>
      </text>
    </comment>
    <comment ref="A130" authorId="0" shapeId="0" xr:uid="{00000000-0006-0000-0200-000004000000}">
      <text>
        <r>
          <rPr>
            <b/>
            <sz val="9"/>
            <color indexed="81"/>
            <rFont val="Tahoma"/>
            <family val="2"/>
          </rPr>
          <t>CONSULTORIO</t>
        </r>
      </text>
    </comment>
    <comment ref="A144" authorId="0" shapeId="0" xr:uid="{00000000-0006-0000-0200-000005000000}">
      <text>
        <r>
          <rPr>
            <b/>
            <sz val="9"/>
            <color indexed="81"/>
            <rFont val="Tahoma"/>
            <family val="2"/>
          </rPr>
          <t>ESTABLECIMIENTO
ORIGEN</t>
        </r>
      </text>
    </comment>
    <comment ref="A156" authorId="0" shapeId="0" xr:uid="{00000000-0006-0000-0200-000006000000}">
      <text>
        <r>
          <rPr>
            <b/>
            <sz val="9"/>
            <color indexed="81"/>
            <rFont val="Tahoma"/>
            <family val="2"/>
          </rPr>
          <t>PROCEDENCIA EXTERNA</t>
        </r>
      </text>
    </comment>
    <comment ref="A173" authorId="0" shapeId="0" xr:uid="{00000000-0006-0000-0200-000007000000}">
      <text>
        <r>
          <rPr>
            <b/>
            <sz val="9"/>
            <color indexed="81"/>
            <rFont val="Tahoma"/>
            <family val="2"/>
          </rPr>
          <t>MEDIO LLEGADA</t>
        </r>
      </text>
    </comment>
    <comment ref="A174" authorId="0" shapeId="0" xr:uid="{00000000-0006-0000-0200-000008000000}">
      <text>
        <r>
          <rPr>
            <b/>
            <sz val="9"/>
            <color indexed="81"/>
            <rFont val="Tahoma"/>
            <family val="2"/>
          </rPr>
          <t>DESTINO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Rodrigo Villalobos R. (CVP)</author>
  </authors>
  <commentList>
    <comment ref="A3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HORA ADMISION
COLUMNA AN</t>
        </r>
      </text>
    </comment>
    <comment ref="A28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HORA ATENCION MEDICO
COLUMNA AS</t>
        </r>
      </text>
    </comment>
    <comment ref="A116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CONSULTORIO</t>
        </r>
      </text>
    </comment>
    <comment ref="A130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CONSULTORIO</t>
        </r>
      </text>
    </comment>
    <comment ref="A144" authorId="0" shapeId="0" xr:uid="{00000000-0006-0000-0300-000005000000}">
      <text>
        <r>
          <rPr>
            <b/>
            <sz val="9"/>
            <color indexed="81"/>
            <rFont val="Tahoma"/>
            <family val="2"/>
          </rPr>
          <t>ESTABLECIMIENTO
ORIGEN</t>
        </r>
      </text>
    </comment>
    <comment ref="A156" authorId="0" shapeId="0" xr:uid="{00000000-0006-0000-0300-000006000000}">
      <text>
        <r>
          <rPr>
            <b/>
            <sz val="9"/>
            <color indexed="81"/>
            <rFont val="Tahoma"/>
            <family val="2"/>
          </rPr>
          <t>PROCEDENCIA EXTERNA</t>
        </r>
      </text>
    </comment>
    <comment ref="A173" authorId="0" shapeId="0" xr:uid="{00000000-0006-0000-0300-000007000000}">
      <text>
        <r>
          <rPr>
            <b/>
            <sz val="9"/>
            <color indexed="81"/>
            <rFont val="Tahoma"/>
            <family val="2"/>
          </rPr>
          <t>MEDIO LLEGADA</t>
        </r>
      </text>
    </comment>
    <comment ref="A174" authorId="0" shapeId="0" xr:uid="{00000000-0006-0000-0300-000008000000}">
      <text>
        <r>
          <rPr>
            <b/>
            <sz val="9"/>
            <color indexed="81"/>
            <rFont val="Tahoma"/>
            <family val="2"/>
          </rPr>
          <t>DESTINO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Rodrigo Villalobos R. (CVP)</author>
  </authors>
  <commentList>
    <comment ref="A3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HORA ADMISION
COLUMNA AN</t>
        </r>
      </text>
    </comment>
    <comment ref="A28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HORA ATENCION MEDICO
COLUMNA AS</t>
        </r>
      </text>
    </comment>
    <comment ref="A116" authorId="0" shapeId="0" xr:uid="{00000000-0006-0000-0400-000003000000}">
      <text>
        <r>
          <rPr>
            <b/>
            <sz val="9"/>
            <color indexed="81"/>
            <rFont val="Tahoma"/>
            <family val="2"/>
          </rPr>
          <t>CONSULTORIO</t>
        </r>
      </text>
    </comment>
    <comment ref="A130" authorId="0" shapeId="0" xr:uid="{00000000-0006-0000-0400-000004000000}">
      <text>
        <r>
          <rPr>
            <b/>
            <sz val="9"/>
            <color indexed="81"/>
            <rFont val="Tahoma"/>
            <family val="2"/>
          </rPr>
          <t>CONSULTORIO</t>
        </r>
      </text>
    </comment>
    <comment ref="A144" authorId="0" shapeId="0" xr:uid="{00000000-0006-0000-0400-000005000000}">
      <text>
        <r>
          <rPr>
            <b/>
            <sz val="9"/>
            <color indexed="81"/>
            <rFont val="Tahoma"/>
            <family val="2"/>
          </rPr>
          <t>ESTABLECIMIENTO
ORIGEN</t>
        </r>
      </text>
    </comment>
    <comment ref="A156" authorId="0" shapeId="0" xr:uid="{00000000-0006-0000-0400-000006000000}">
      <text>
        <r>
          <rPr>
            <b/>
            <sz val="9"/>
            <color indexed="81"/>
            <rFont val="Tahoma"/>
            <family val="2"/>
          </rPr>
          <t>PROCEDENCIA EXTERNA</t>
        </r>
      </text>
    </comment>
    <comment ref="A173" authorId="0" shapeId="0" xr:uid="{00000000-0006-0000-0400-000007000000}">
      <text>
        <r>
          <rPr>
            <b/>
            <sz val="9"/>
            <color indexed="81"/>
            <rFont val="Tahoma"/>
            <family val="2"/>
          </rPr>
          <t>MEDIO LLEGADA</t>
        </r>
      </text>
    </comment>
    <comment ref="A174" authorId="0" shapeId="0" xr:uid="{00000000-0006-0000-0400-000008000000}">
      <text>
        <r>
          <rPr>
            <b/>
            <sz val="9"/>
            <color indexed="81"/>
            <rFont val="Tahoma"/>
            <family val="2"/>
          </rPr>
          <t>DESTINO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Rodrigo Villalobos R. (CVP)</author>
  </authors>
  <commentList>
    <comment ref="A3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HORA ADMISION
COLUMNA AN</t>
        </r>
      </text>
    </comment>
    <comment ref="A28" authorId="0" shapeId="0" xr:uid="{00000000-0006-0000-0500-000002000000}">
      <text>
        <r>
          <rPr>
            <b/>
            <sz val="9"/>
            <color indexed="81"/>
            <rFont val="Tahoma"/>
            <family val="2"/>
          </rPr>
          <t>HORA ATENCION MEDICO
COLUMNA AS</t>
        </r>
      </text>
    </comment>
    <comment ref="Y38" authorId="0" shapeId="0" xr:uid="{00000000-0006-0000-0500-000003000000}">
      <text>
        <r>
          <rPr>
            <b/>
            <sz val="9"/>
            <color indexed="81"/>
            <rFont val="Tahoma"/>
            <family val="2"/>
          </rPr>
          <t>SE AGREGA 1 QUE NO TIENE REGISTRADA LA HORA Y NO ES NSP</t>
        </r>
      </text>
    </comment>
    <comment ref="Z38" authorId="0" shapeId="0" xr:uid="{00000000-0006-0000-0500-000004000000}">
      <text>
        <r>
          <rPr>
            <b/>
            <sz val="9"/>
            <color indexed="81"/>
            <rFont val="Tahoma"/>
            <family val="2"/>
          </rPr>
          <t>SE AGREGA 1 QUE NO TIENE REGISTRADA LA HORA Y NO ES NSP</t>
        </r>
      </text>
    </comment>
    <comment ref="AA105" authorId="0" shapeId="0" xr:uid="{00000000-0006-0000-0500-000005000000}">
      <text>
        <r>
          <rPr>
            <b/>
            <sz val="9"/>
            <color indexed="81"/>
            <rFont val="Tahoma"/>
            <family val="2"/>
          </rPr>
          <t>SE AGREGA 1 PERSONA YA QUE NO TIENE EDAD NI RUT</t>
        </r>
      </text>
    </comment>
    <comment ref="A116" authorId="0" shapeId="0" xr:uid="{00000000-0006-0000-0500-000006000000}">
      <text>
        <r>
          <rPr>
            <b/>
            <sz val="9"/>
            <color indexed="81"/>
            <rFont val="Tahoma"/>
            <family val="2"/>
          </rPr>
          <t>CONSULTORIO</t>
        </r>
      </text>
    </comment>
    <comment ref="A130" authorId="0" shapeId="0" xr:uid="{00000000-0006-0000-0500-000007000000}">
      <text>
        <r>
          <rPr>
            <b/>
            <sz val="9"/>
            <color indexed="81"/>
            <rFont val="Tahoma"/>
            <family val="2"/>
          </rPr>
          <t>CONSULTORIO</t>
        </r>
      </text>
    </comment>
    <comment ref="A144" authorId="0" shapeId="0" xr:uid="{00000000-0006-0000-0500-000008000000}">
      <text>
        <r>
          <rPr>
            <b/>
            <sz val="9"/>
            <color indexed="81"/>
            <rFont val="Tahoma"/>
            <family val="2"/>
          </rPr>
          <t>ESTABLECIMIENTO
ORIGEN</t>
        </r>
      </text>
    </comment>
    <comment ref="A156" authorId="0" shapeId="0" xr:uid="{00000000-0006-0000-0500-000009000000}">
      <text>
        <r>
          <rPr>
            <b/>
            <sz val="9"/>
            <color indexed="81"/>
            <rFont val="Tahoma"/>
            <family val="2"/>
          </rPr>
          <t>PROCEDENCIA EXTERNA</t>
        </r>
      </text>
    </comment>
    <comment ref="A173" authorId="0" shapeId="0" xr:uid="{00000000-0006-0000-0500-00000A000000}">
      <text>
        <r>
          <rPr>
            <b/>
            <sz val="9"/>
            <color indexed="81"/>
            <rFont val="Tahoma"/>
            <family val="2"/>
          </rPr>
          <t>MEDIO LLEGADA</t>
        </r>
      </text>
    </comment>
    <comment ref="A174" authorId="0" shapeId="0" xr:uid="{00000000-0006-0000-0500-00000B000000}">
      <text>
        <r>
          <rPr>
            <b/>
            <sz val="9"/>
            <color indexed="81"/>
            <rFont val="Tahoma"/>
            <family val="2"/>
          </rPr>
          <t>DESTINO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Rodrigo Villalobos R. (CVP)</author>
  </authors>
  <commentList>
    <comment ref="AC2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SIN ATENCION POR BOX INUNDADOS POR LLUVIA</t>
        </r>
      </text>
    </comment>
    <comment ref="A3" authorId="0" shapeId="0" xr:uid="{00000000-0006-0000-0600-000002000000}">
      <text>
        <r>
          <rPr>
            <b/>
            <sz val="9"/>
            <color indexed="81"/>
            <rFont val="Tahoma"/>
            <family val="2"/>
          </rPr>
          <t>HORA ADMISION
COLUMNA AN</t>
        </r>
      </text>
    </comment>
    <comment ref="A28" authorId="0" shapeId="0" xr:uid="{00000000-0006-0000-0600-000003000000}">
      <text>
        <r>
          <rPr>
            <b/>
            <sz val="9"/>
            <color indexed="81"/>
            <rFont val="Tahoma"/>
            <family val="2"/>
          </rPr>
          <t>HORA ATENCION MEDICO
COLUMNA AS</t>
        </r>
      </text>
    </comment>
    <comment ref="A116" authorId="0" shapeId="0" xr:uid="{00000000-0006-0000-0600-000004000000}">
      <text>
        <r>
          <rPr>
            <b/>
            <sz val="9"/>
            <color indexed="81"/>
            <rFont val="Tahoma"/>
            <family val="2"/>
          </rPr>
          <t>CONSULTORIO</t>
        </r>
      </text>
    </comment>
    <comment ref="A130" authorId="0" shapeId="0" xr:uid="{00000000-0006-0000-0600-000005000000}">
      <text>
        <r>
          <rPr>
            <b/>
            <sz val="9"/>
            <color indexed="81"/>
            <rFont val="Tahoma"/>
            <family val="2"/>
          </rPr>
          <t>CONSULTORIO</t>
        </r>
      </text>
    </comment>
    <comment ref="A144" authorId="0" shapeId="0" xr:uid="{00000000-0006-0000-0600-000006000000}">
      <text>
        <r>
          <rPr>
            <b/>
            <sz val="9"/>
            <color indexed="81"/>
            <rFont val="Tahoma"/>
            <family val="2"/>
          </rPr>
          <t>ESTABLECIMIENTO
ORIGEN</t>
        </r>
      </text>
    </comment>
    <comment ref="A156" authorId="0" shapeId="0" xr:uid="{00000000-0006-0000-0600-000007000000}">
      <text>
        <r>
          <rPr>
            <b/>
            <sz val="9"/>
            <color indexed="81"/>
            <rFont val="Tahoma"/>
            <family val="2"/>
          </rPr>
          <t>PROCEDENCIA EXTERNA</t>
        </r>
      </text>
    </comment>
    <comment ref="A173" authorId="0" shapeId="0" xr:uid="{00000000-0006-0000-0600-000008000000}">
      <text>
        <r>
          <rPr>
            <b/>
            <sz val="9"/>
            <color indexed="81"/>
            <rFont val="Tahoma"/>
            <family val="2"/>
          </rPr>
          <t>MEDIO LLEGADA</t>
        </r>
      </text>
    </comment>
    <comment ref="A174" authorId="0" shapeId="0" xr:uid="{00000000-0006-0000-0600-000009000000}">
      <text>
        <r>
          <rPr>
            <b/>
            <sz val="9"/>
            <color indexed="81"/>
            <rFont val="Tahoma"/>
            <family val="2"/>
          </rPr>
          <t>DESTINO</t>
        </r>
      </text>
    </comment>
    <comment ref="O211" authorId="0" shapeId="0" xr:uid="{00000000-0006-0000-0600-00000A000000}">
      <text>
        <r>
          <rPr>
            <b/>
            <sz val="9"/>
            <color indexed="81"/>
            <rFont val="Tahoma"/>
            <family val="2"/>
          </rPr>
          <t>Agrego 1 persona que no tenia TRIAGE</t>
        </r>
      </text>
    </comment>
    <comment ref="U216" authorId="0" shapeId="0" xr:uid="{00000000-0006-0000-0600-00000B000000}">
      <text>
        <r>
          <rPr>
            <b/>
            <sz val="9"/>
            <color indexed="81"/>
            <rFont val="Tahoma"/>
            <family val="2"/>
          </rPr>
          <t>HAY UN PCR NEGATIVO IGUAL LO MARCARON COMO POSITIVO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Rodrigo Villalobos R. (CVP)</author>
  </authors>
  <commentList>
    <comment ref="A3" authorId="0" shapeId="0" xr:uid="{00000000-0006-0000-0700-000001000000}">
      <text>
        <r>
          <rPr>
            <b/>
            <sz val="9"/>
            <color indexed="81"/>
            <rFont val="Tahoma"/>
            <family val="2"/>
          </rPr>
          <t>HORA ADMISION
COLUMNA AN</t>
        </r>
      </text>
    </comment>
    <comment ref="A28" authorId="0" shapeId="0" xr:uid="{00000000-0006-0000-0700-000002000000}">
      <text>
        <r>
          <rPr>
            <b/>
            <sz val="9"/>
            <color indexed="81"/>
            <rFont val="Tahoma"/>
            <family val="2"/>
          </rPr>
          <t>HORA ATENCION MEDICO
COLUMNA AS</t>
        </r>
      </text>
    </comment>
    <comment ref="A116" authorId="0" shapeId="0" xr:uid="{00000000-0006-0000-0700-000003000000}">
      <text>
        <r>
          <rPr>
            <b/>
            <sz val="9"/>
            <color indexed="81"/>
            <rFont val="Tahoma"/>
            <family val="2"/>
          </rPr>
          <t>CONSULTORIO</t>
        </r>
      </text>
    </comment>
    <comment ref="A130" authorId="0" shapeId="0" xr:uid="{00000000-0006-0000-0700-000004000000}">
      <text>
        <r>
          <rPr>
            <b/>
            <sz val="9"/>
            <color indexed="81"/>
            <rFont val="Tahoma"/>
            <family val="2"/>
          </rPr>
          <t>CONSULTORIO</t>
        </r>
      </text>
    </comment>
    <comment ref="A144" authorId="0" shapeId="0" xr:uid="{00000000-0006-0000-0700-000005000000}">
      <text>
        <r>
          <rPr>
            <b/>
            <sz val="9"/>
            <color indexed="81"/>
            <rFont val="Tahoma"/>
            <family val="2"/>
          </rPr>
          <t>ESTABLECIMIENTO
ORIGEN</t>
        </r>
      </text>
    </comment>
    <comment ref="A156" authorId="0" shapeId="0" xr:uid="{00000000-0006-0000-0700-000006000000}">
      <text>
        <r>
          <rPr>
            <b/>
            <sz val="9"/>
            <color indexed="81"/>
            <rFont val="Tahoma"/>
            <family val="2"/>
          </rPr>
          <t>PROCEDENCIA EXTERNA</t>
        </r>
      </text>
    </comment>
    <comment ref="A173" authorId="0" shapeId="0" xr:uid="{00000000-0006-0000-0700-000007000000}">
      <text>
        <r>
          <rPr>
            <b/>
            <sz val="9"/>
            <color indexed="81"/>
            <rFont val="Tahoma"/>
            <family val="2"/>
          </rPr>
          <t>MEDIO LLEGADA</t>
        </r>
      </text>
    </comment>
    <comment ref="A174" authorId="0" shapeId="0" xr:uid="{00000000-0006-0000-0700-000008000000}">
      <text>
        <r>
          <rPr>
            <b/>
            <sz val="9"/>
            <color indexed="81"/>
            <rFont val="Tahoma"/>
            <family val="2"/>
          </rPr>
          <t>DESTINO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Rodrigo Villalobos R. (CVP)</author>
  </authors>
  <commentList>
    <comment ref="A3" authorId="0" shapeId="0" xr:uid="{00000000-0006-0000-0800-000001000000}">
      <text>
        <r>
          <rPr>
            <b/>
            <sz val="9"/>
            <color indexed="81"/>
            <rFont val="Tahoma"/>
            <family val="2"/>
          </rPr>
          <t>HORA ADMISION
COLUMNA AN</t>
        </r>
      </text>
    </comment>
    <comment ref="A28" authorId="0" shapeId="0" xr:uid="{00000000-0006-0000-0800-000002000000}">
      <text>
        <r>
          <rPr>
            <b/>
            <sz val="9"/>
            <color indexed="81"/>
            <rFont val="Tahoma"/>
            <family val="2"/>
          </rPr>
          <t>HORA ATENCION MEDICO
COLUMNA AS</t>
        </r>
      </text>
    </comment>
    <comment ref="A116" authorId="0" shapeId="0" xr:uid="{00000000-0006-0000-0800-000003000000}">
      <text>
        <r>
          <rPr>
            <b/>
            <sz val="9"/>
            <color indexed="81"/>
            <rFont val="Tahoma"/>
            <family val="2"/>
          </rPr>
          <t>CONSULTORIO</t>
        </r>
      </text>
    </comment>
    <comment ref="A130" authorId="0" shapeId="0" xr:uid="{00000000-0006-0000-0800-000004000000}">
      <text>
        <r>
          <rPr>
            <b/>
            <sz val="9"/>
            <color indexed="81"/>
            <rFont val="Tahoma"/>
            <family val="2"/>
          </rPr>
          <t>CONSULTORIO</t>
        </r>
      </text>
    </comment>
    <comment ref="A144" authorId="0" shapeId="0" xr:uid="{00000000-0006-0000-0800-000005000000}">
      <text>
        <r>
          <rPr>
            <b/>
            <sz val="9"/>
            <color indexed="81"/>
            <rFont val="Tahoma"/>
            <family val="2"/>
          </rPr>
          <t>ESTABLECIMIENTO
ORIGEN</t>
        </r>
      </text>
    </comment>
    <comment ref="A156" authorId="0" shapeId="0" xr:uid="{00000000-0006-0000-0800-000006000000}">
      <text>
        <r>
          <rPr>
            <b/>
            <sz val="9"/>
            <color indexed="81"/>
            <rFont val="Tahoma"/>
            <family val="2"/>
          </rPr>
          <t>PROCEDENCIA EXTERNA</t>
        </r>
      </text>
    </comment>
    <comment ref="A173" authorId="0" shapeId="0" xr:uid="{00000000-0006-0000-0800-000007000000}">
      <text>
        <r>
          <rPr>
            <b/>
            <sz val="9"/>
            <color indexed="81"/>
            <rFont val="Tahoma"/>
            <family val="2"/>
          </rPr>
          <t>MEDIO LLEGADA</t>
        </r>
      </text>
    </comment>
    <comment ref="A174" authorId="0" shapeId="0" xr:uid="{00000000-0006-0000-0800-000008000000}">
      <text>
        <r>
          <rPr>
            <b/>
            <sz val="9"/>
            <color indexed="81"/>
            <rFont val="Tahoma"/>
            <family val="2"/>
          </rPr>
          <t>DESTINO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Rodrigo Villalobos R. (CVP)</author>
  </authors>
  <commentList>
    <comment ref="A3" authorId="0" shapeId="0" xr:uid="{00000000-0006-0000-0900-000001000000}">
      <text>
        <r>
          <rPr>
            <b/>
            <sz val="9"/>
            <color indexed="81"/>
            <rFont val="Tahoma"/>
            <family val="2"/>
          </rPr>
          <t>HORA ADMISION
COLUMNA AN</t>
        </r>
      </text>
    </comment>
    <comment ref="A28" authorId="0" shapeId="0" xr:uid="{00000000-0006-0000-0900-000002000000}">
      <text>
        <r>
          <rPr>
            <b/>
            <sz val="9"/>
            <color indexed="81"/>
            <rFont val="Tahoma"/>
            <family val="2"/>
          </rPr>
          <t>HORA ATENCION MEDICO
COLUMNA AS</t>
        </r>
      </text>
    </comment>
    <comment ref="A116" authorId="0" shapeId="0" xr:uid="{00000000-0006-0000-0900-000003000000}">
      <text>
        <r>
          <rPr>
            <b/>
            <sz val="9"/>
            <color indexed="81"/>
            <rFont val="Tahoma"/>
            <family val="2"/>
          </rPr>
          <t>CONSULTORIO</t>
        </r>
      </text>
    </comment>
    <comment ref="A130" authorId="0" shapeId="0" xr:uid="{00000000-0006-0000-0900-000004000000}">
      <text>
        <r>
          <rPr>
            <b/>
            <sz val="9"/>
            <color indexed="81"/>
            <rFont val="Tahoma"/>
            <family val="2"/>
          </rPr>
          <t>CONSULTORIO</t>
        </r>
      </text>
    </comment>
    <comment ref="A144" authorId="0" shapeId="0" xr:uid="{00000000-0006-0000-0900-000005000000}">
      <text>
        <r>
          <rPr>
            <b/>
            <sz val="9"/>
            <color indexed="81"/>
            <rFont val="Tahoma"/>
            <family val="2"/>
          </rPr>
          <t>ESTABLECIMIENTO
ORIGEN</t>
        </r>
      </text>
    </comment>
    <comment ref="A156" authorId="0" shapeId="0" xr:uid="{00000000-0006-0000-0900-000006000000}">
      <text>
        <r>
          <rPr>
            <b/>
            <sz val="9"/>
            <color indexed="81"/>
            <rFont val="Tahoma"/>
            <family val="2"/>
          </rPr>
          <t>PROCEDENCIA EXTERNA</t>
        </r>
      </text>
    </comment>
    <comment ref="A173" authorId="0" shapeId="0" xr:uid="{00000000-0006-0000-0900-000007000000}">
      <text>
        <r>
          <rPr>
            <b/>
            <sz val="9"/>
            <color indexed="81"/>
            <rFont val="Tahoma"/>
            <family val="2"/>
          </rPr>
          <t>MEDIO LLEGADA</t>
        </r>
      </text>
    </comment>
    <comment ref="A174" authorId="0" shapeId="0" xr:uid="{00000000-0006-0000-0900-000008000000}">
      <text>
        <r>
          <rPr>
            <b/>
            <sz val="9"/>
            <color indexed="81"/>
            <rFont val="Tahoma"/>
            <family val="2"/>
          </rPr>
          <t>DESTINO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Rodrigo Villalobos R. (CVP)</author>
  </authors>
  <commentList>
    <comment ref="A3" authorId="0" shapeId="0" xr:uid="{00000000-0006-0000-0A00-000001000000}">
      <text>
        <r>
          <rPr>
            <b/>
            <sz val="9"/>
            <color indexed="81"/>
            <rFont val="Tahoma"/>
            <family val="2"/>
          </rPr>
          <t>HORA ADMISION
COLUMNA AN</t>
        </r>
      </text>
    </comment>
    <comment ref="A28" authorId="0" shapeId="0" xr:uid="{00000000-0006-0000-0A00-000002000000}">
      <text>
        <r>
          <rPr>
            <b/>
            <sz val="9"/>
            <color indexed="81"/>
            <rFont val="Tahoma"/>
            <family val="2"/>
          </rPr>
          <t>HORA ATENCION MEDICO
COLUMNA AS</t>
        </r>
      </text>
    </comment>
    <comment ref="A116" authorId="0" shapeId="0" xr:uid="{00000000-0006-0000-0A00-000003000000}">
      <text>
        <r>
          <rPr>
            <b/>
            <sz val="9"/>
            <color indexed="81"/>
            <rFont val="Tahoma"/>
            <family val="2"/>
          </rPr>
          <t>CONSULTORIO</t>
        </r>
      </text>
    </comment>
    <comment ref="A130" authorId="0" shapeId="0" xr:uid="{00000000-0006-0000-0A00-000004000000}">
      <text>
        <r>
          <rPr>
            <b/>
            <sz val="9"/>
            <color indexed="81"/>
            <rFont val="Tahoma"/>
            <family val="2"/>
          </rPr>
          <t>CONSULTORIO</t>
        </r>
      </text>
    </comment>
    <comment ref="A144" authorId="0" shapeId="0" xr:uid="{00000000-0006-0000-0A00-000005000000}">
      <text>
        <r>
          <rPr>
            <b/>
            <sz val="9"/>
            <color indexed="81"/>
            <rFont val="Tahoma"/>
            <family val="2"/>
          </rPr>
          <t>ESTABLECIMIENTO
ORIGEN</t>
        </r>
      </text>
    </comment>
    <comment ref="A156" authorId="0" shapeId="0" xr:uid="{00000000-0006-0000-0A00-000006000000}">
      <text>
        <r>
          <rPr>
            <b/>
            <sz val="9"/>
            <color indexed="81"/>
            <rFont val="Tahoma"/>
            <family val="2"/>
          </rPr>
          <t>PROCEDENCIA EXTERNA</t>
        </r>
      </text>
    </comment>
    <comment ref="A173" authorId="0" shapeId="0" xr:uid="{00000000-0006-0000-0A00-000007000000}">
      <text>
        <r>
          <rPr>
            <b/>
            <sz val="9"/>
            <color indexed="81"/>
            <rFont val="Tahoma"/>
            <family val="2"/>
          </rPr>
          <t>MEDIO LLEGADA</t>
        </r>
      </text>
    </comment>
    <comment ref="A174" authorId="0" shapeId="0" xr:uid="{00000000-0006-0000-0A00-000008000000}">
      <text>
        <r>
          <rPr>
            <b/>
            <sz val="9"/>
            <color indexed="81"/>
            <rFont val="Tahoma"/>
            <family val="2"/>
          </rPr>
          <t>DESTINO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Rodrigo Villalobos R. (CVP)</author>
  </authors>
  <commentList>
    <comment ref="A3" authorId="0" shapeId="0" xr:uid="{00000000-0006-0000-0B00-000001000000}">
      <text>
        <r>
          <rPr>
            <b/>
            <sz val="9"/>
            <color indexed="81"/>
            <rFont val="Tahoma"/>
            <family val="2"/>
          </rPr>
          <t>HORA ADMISION
COLUMNA AN</t>
        </r>
      </text>
    </comment>
    <comment ref="A28" authorId="0" shapeId="0" xr:uid="{00000000-0006-0000-0B00-000002000000}">
      <text>
        <r>
          <rPr>
            <b/>
            <sz val="9"/>
            <color indexed="81"/>
            <rFont val="Tahoma"/>
            <family val="2"/>
          </rPr>
          <t>HORA ATENCION MEDICO
COLUMNA AS</t>
        </r>
      </text>
    </comment>
    <comment ref="A116" authorId="0" shapeId="0" xr:uid="{00000000-0006-0000-0B00-000003000000}">
      <text>
        <r>
          <rPr>
            <b/>
            <sz val="9"/>
            <color indexed="81"/>
            <rFont val="Tahoma"/>
            <family val="2"/>
          </rPr>
          <t>CONSULTORIO</t>
        </r>
      </text>
    </comment>
    <comment ref="A130" authorId="0" shapeId="0" xr:uid="{00000000-0006-0000-0B00-000004000000}">
      <text>
        <r>
          <rPr>
            <b/>
            <sz val="9"/>
            <color indexed="81"/>
            <rFont val="Tahoma"/>
            <family val="2"/>
          </rPr>
          <t>CONSULTORIO</t>
        </r>
      </text>
    </comment>
    <comment ref="A144" authorId="0" shapeId="0" xr:uid="{00000000-0006-0000-0B00-000005000000}">
      <text>
        <r>
          <rPr>
            <b/>
            <sz val="9"/>
            <color indexed="81"/>
            <rFont val="Tahoma"/>
            <family val="2"/>
          </rPr>
          <t>ESTABLECIMIENTO
ORIGEN</t>
        </r>
      </text>
    </comment>
    <comment ref="A156" authorId="0" shapeId="0" xr:uid="{00000000-0006-0000-0B00-000006000000}">
      <text>
        <r>
          <rPr>
            <b/>
            <sz val="9"/>
            <color indexed="81"/>
            <rFont val="Tahoma"/>
            <family val="2"/>
          </rPr>
          <t>PROCEDENCIA EXTERNA</t>
        </r>
      </text>
    </comment>
    <comment ref="A173" authorId="0" shapeId="0" xr:uid="{00000000-0006-0000-0B00-000007000000}">
      <text>
        <r>
          <rPr>
            <b/>
            <sz val="9"/>
            <color indexed="81"/>
            <rFont val="Tahoma"/>
            <family val="2"/>
          </rPr>
          <t>MEDIO LLEGADA</t>
        </r>
      </text>
    </comment>
    <comment ref="A174" authorId="0" shapeId="0" xr:uid="{00000000-0006-0000-0B00-000008000000}">
      <text>
        <r>
          <rPr>
            <b/>
            <sz val="9"/>
            <color indexed="81"/>
            <rFont val="Tahoma"/>
            <family val="2"/>
          </rPr>
          <t>DESTINO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Rodrigo Villalobos R. (CVP)</author>
  </authors>
  <commentList>
    <comment ref="A3" authorId="0" shapeId="0" xr:uid="{00000000-0006-0000-0C00-000001000000}">
      <text>
        <r>
          <rPr>
            <b/>
            <sz val="9"/>
            <color indexed="81"/>
            <rFont val="Tahoma"/>
            <family val="2"/>
          </rPr>
          <t>HORA ADMISION
COLUMNA AN</t>
        </r>
      </text>
    </comment>
    <comment ref="A28" authorId="0" shapeId="0" xr:uid="{00000000-0006-0000-0C00-000002000000}">
      <text>
        <r>
          <rPr>
            <b/>
            <sz val="9"/>
            <color indexed="81"/>
            <rFont val="Tahoma"/>
            <family val="2"/>
          </rPr>
          <t>HORA ATENCION MEDICO
COLUMNA AS</t>
        </r>
      </text>
    </comment>
    <comment ref="A116" authorId="0" shapeId="0" xr:uid="{00000000-0006-0000-0C00-000003000000}">
      <text>
        <r>
          <rPr>
            <b/>
            <sz val="9"/>
            <color indexed="81"/>
            <rFont val="Tahoma"/>
            <family val="2"/>
          </rPr>
          <t>CONSULTORIO</t>
        </r>
      </text>
    </comment>
    <comment ref="A130" authorId="0" shapeId="0" xr:uid="{00000000-0006-0000-0C00-000004000000}">
      <text>
        <r>
          <rPr>
            <b/>
            <sz val="9"/>
            <color indexed="81"/>
            <rFont val="Tahoma"/>
            <family val="2"/>
          </rPr>
          <t>CONSULTORIO</t>
        </r>
      </text>
    </comment>
    <comment ref="A144" authorId="0" shapeId="0" xr:uid="{00000000-0006-0000-0C00-000005000000}">
      <text>
        <r>
          <rPr>
            <b/>
            <sz val="9"/>
            <color indexed="81"/>
            <rFont val="Tahoma"/>
            <family val="2"/>
          </rPr>
          <t>ESTABLECIMIENTO
ORIGEN</t>
        </r>
      </text>
    </comment>
    <comment ref="A156" authorId="0" shapeId="0" xr:uid="{00000000-0006-0000-0C00-000006000000}">
      <text>
        <r>
          <rPr>
            <b/>
            <sz val="9"/>
            <color indexed="81"/>
            <rFont val="Tahoma"/>
            <family val="2"/>
          </rPr>
          <t>PROCEDENCIA EXTERNA</t>
        </r>
      </text>
    </comment>
    <comment ref="A173" authorId="0" shapeId="0" xr:uid="{00000000-0006-0000-0C00-000007000000}">
      <text>
        <r>
          <rPr>
            <b/>
            <sz val="9"/>
            <color indexed="81"/>
            <rFont val="Tahoma"/>
            <family val="2"/>
          </rPr>
          <t>MEDIO LLEGADA</t>
        </r>
      </text>
    </comment>
    <comment ref="A174" authorId="0" shapeId="0" xr:uid="{00000000-0006-0000-0C00-000008000000}">
      <text>
        <r>
          <rPr>
            <b/>
            <sz val="9"/>
            <color indexed="81"/>
            <rFont val="Tahoma"/>
            <family val="2"/>
          </rPr>
          <t>DESTINO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Rodrigo Villalobos R. (CVP)</author>
  </authors>
  <commentList>
    <comment ref="A3" authorId="0" shapeId="0" xr:uid="{00000000-0006-0000-0D00-000001000000}">
      <text>
        <r>
          <rPr>
            <b/>
            <sz val="9"/>
            <color indexed="81"/>
            <rFont val="Tahoma"/>
            <family val="2"/>
          </rPr>
          <t>HORA ADMISION
COLUMNA AN</t>
        </r>
      </text>
    </comment>
    <comment ref="A28" authorId="0" shapeId="0" xr:uid="{00000000-0006-0000-0D00-000002000000}">
      <text>
        <r>
          <rPr>
            <b/>
            <sz val="9"/>
            <color indexed="81"/>
            <rFont val="Tahoma"/>
            <family val="2"/>
          </rPr>
          <t>HORA ATENCION MEDICO
COLUMNA AS</t>
        </r>
      </text>
    </comment>
    <comment ref="A116" authorId="0" shapeId="0" xr:uid="{00000000-0006-0000-0D00-000003000000}">
      <text>
        <r>
          <rPr>
            <b/>
            <sz val="9"/>
            <color indexed="81"/>
            <rFont val="Tahoma"/>
            <family val="2"/>
          </rPr>
          <t>CONSULTORIO</t>
        </r>
      </text>
    </comment>
    <comment ref="A130" authorId="0" shapeId="0" xr:uid="{00000000-0006-0000-0D00-000004000000}">
      <text>
        <r>
          <rPr>
            <b/>
            <sz val="9"/>
            <color indexed="81"/>
            <rFont val="Tahoma"/>
            <family val="2"/>
          </rPr>
          <t>CONSULTORIO</t>
        </r>
      </text>
    </comment>
    <comment ref="A144" authorId="0" shapeId="0" xr:uid="{00000000-0006-0000-0D00-000005000000}">
      <text>
        <r>
          <rPr>
            <b/>
            <sz val="9"/>
            <color indexed="81"/>
            <rFont val="Tahoma"/>
            <family val="2"/>
          </rPr>
          <t>ESTABLECIMIENTO
ORIGEN</t>
        </r>
      </text>
    </comment>
    <comment ref="A156" authorId="0" shapeId="0" xr:uid="{00000000-0006-0000-0D00-000006000000}">
      <text>
        <r>
          <rPr>
            <b/>
            <sz val="9"/>
            <color indexed="81"/>
            <rFont val="Tahoma"/>
            <family val="2"/>
          </rPr>
          <t>PROCEDENCIA EXTERNA</t>
        </r>
      </text>
    </comment>
    <comment ref="A173" authorId="0" shapeId="0" xr:uid="{00000000-0006-0000-0D00-000007000000}">
      <text>
        <r>
          <rPr>
            <b/>
            <sz val="9"/>
            <color indexed="81"/>
            <rFont val="Tahoma"/>
            <family val="2"/>
          </rPr>
          <t>MEDIO LLEGADA</t>
        </r>
      </text>
    </comment>
    <comment ref="A174" authorId="0" shapeId="0" xr:uid="{00000000-0006-0000-0D00-000008000000}">
      <text>
        <r>
          <rPr>
            <b/>
            <sz val="9"/>
            <color indexed="81"/>
            <rFont val="Tahoma"/>
            <family val="2"/>
          </rPr>
          <t>DESTINO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Rodrigo Villalobos R. (CVP)</author>
  </authors>
  <commentList>
    <comment ref="A3" authorId="0" shapeId="0" xr:uid="{00000000-0006-0000-0E00-000001000000}">
      <text>
        <r>
          <rPr>
            <b/>
            <sz val="9"/>
            <color indexed="81"/>
            <rFont val="Tahoma"/>
            <family val="2"/>
          </rPr>
          <t>HORA ADMISION
COLUMNA AN</t>
        </r>
      </text>
    </comment>
    <comment ref="A28" authorId="0" shapeId="0" xr:uid="{00000000-0006-0000-0E00-000002000000}">
      <text>
        <r>
          <rPr>
            <b/>
            <sz val="9"/>
            <color indexed="81"/>
            <rFont val="Tahoma"/>
            <family val="2"/>
          </rPr>
          <t>HORA ATENCION MEDICO
COLUMNA AS</t>
        </r>
      </text>
    </comment>
    <comment ref="A116" authorId="0" shapeId="0" xr:uid="{00000000-0006-0000-0E00-000003000000}">
      <text>
        <r>
          <rPr>
            <b/>
            <sz val="9"/>
            <color indexed="81"/>
            <rFont val="Tahoma"/>
            <family val="2"/>
          </rPr>
          <t>CONSULTORIO</t>
        </r>
      </text>
    </comment>
    <comment ref="A130" authorId="0" shapeId="0" xr:uid="{00000000-0006-0000-0E00-000004000000}">
      <text>
        <r>
          <rPr>
            <b/>
            <sz val="9"/>
            <color indexed="81"/>
            <rFont val="Tahoma"/>
            <family val="2"/>
          </rPr>
          <t>CONSULTORIO</t>
        </r>
      </text>
    </comment>
    <comment ref="A144" authorId="0" shapeId="0" xr:uid="{00000000-0006-0000-0E00-000005000000}">
      <text>
        <r>
          <rPr>
            <b/>
            <sz val="9"/>
            <color indexed="81"/>
            <rFont val="Tahoma"/>
            <family val="2"/>
          </rPr>
          <t>ESTABLECIMIENTO
ORIGEN</t>
        </r>
      </text>
    </comment>
    <comment ref="A156" authorId="0" shapeId="0" xr:uid="{00000000-0006-0000-0E00-000006000000}">
      <text>
        <r>
          <rPr>
            <b/>
            <sz val="9"/>
            <color indexed="81"/>
            <rFont val="Tahoma"/>
            <family val="2"/>
          </rPr>
          <t>PROCEDENCIA EXTERNA</t>
        </r>
      </text>
    </comment>
    <comment ref="A173" authorId="0" shapeId="0" xr:uid="{00000000-0006-0000-0E00-000007000000}">
      <text>
        <r>
          <rPr>
            <b/>
            <sz val="9"/>
            <color indexed="81"/>
            <rFont val="Tahoma"/>
            <family val="2"/>
          </rPr>
          <t>MEDIO LLEGADA</t>
        </r>
      </text>
    </comment>
    <comment ref="A174" authorId="0" shapeId="0" xr:uid="{00000000-0006-0000-0E00-000008000000}">
      <text>
        <r>
          <rPr>
            <b/>
            <sz val="9"/>
            <color indexed="81"/>
            <rFont val="Tahoma"/>
            <family val="2"/>
          </rPr>
          <t>DESTINO</t>
        </r>
      </text>
    </comment>
  </commentList>
</comments>
</file>

<file path=xl/sharedStrings.xml><?xml version="1.0" encoding="utf-8"?>
<sst xmlns="http://schemas.openxmlformats.org/spreadsheetml/2006/main" count="4063" uniqueCount="632">
  <si>
    <t>Total de Inscritos</t>
  </si>
  <si>
    <t>NSP</t>
  </si>
  <si>
    <t>Traidos por SAMU a SAR</t>
  </si>
  <si>
    <t>Derivado de SAR  a UEH</t>
  </si>
  <si>
    <t>Constatacion de lesiones</t>
  </si>
  <si>
    <t>Alcoholemias</t>
  </si>
  <si>
    <t>5 - 9</t>
  </si>
  <si>
    <t>10 - 14</t>
  </si>
  <si>
    <t>15 - 19</t>
  </si>
  <si>
    <t>20 - 24</t>
  </si>
  <si>
    <t>25 - 29</t>
  </si>
  <si>
    <t>30 - 34</t>
  </si>
  <si>
    <t>35 - 39</t>
  </si>
  <si>
    <t>40 - 44</t>
  </si>
  <si>
    <t>45 - 49</t>
  </si>
  <si>
    <t>50 - 54</t>
  </si>
  <si>
    <t>55 - 59</t>
  </si>
  <si>
    <t>60 - 64</t>
  </si>
  <si>
    <t>65 - 69</t>
  </si>
  <si>
    <t>70 - 74</t>
  </si>
  <si>
    <t>75 - 79</t>
  </si>
  <si>
    <t>80 y mas</t>
  </si>
  <si>
    <t>Derivados de SAPU  a SAR</t>
  </si>
  <si>
    <t>Ultraestación</t>
  </si>
  <si>
    <t>Los Volcanes</t>
  </si>
  <si>
    <t>Isabel Riquelme</t>
  </si>
  <si>
    <t>Sol de Oriente</t>
  </si>
  <si>
    <t>San Ramón Nonato</t>
  </si>
  <si>
    <t>Federico Puga</t>
  </si>
  <si>
    <t>Michelle Bachelet</t>
  </si>
  <si>
    <t>Coihueco</t>
  </si>
  <si>
    <t>Pinto</t>
  </si>
  <si>
    <t>Portezuelo</t>
  </si>
  <si>
    <t>00:00</t>
  </si>
  <si>
    <t>01:00</t>
  </si>
  <si>
    <t>02:00</t>
  </si>
  <si>
    <t>03:00</t>
  </si>
  <si>
    <t>06:00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</si>
  <si>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</si>
  <si>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</si>
  <si>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</si>
  <si>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</si>
  <si>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</si>
  <si>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</si>
  <si>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</si>
  <si>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</si>
  <si>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</si>
  <si>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</si>
  <si>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</si>
  <si>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</si>
  <si>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</si>
  <si>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04:00</t>
  </si>
  <si>
    <t>05:00</t>
  </si>
  <si>
    <t>07:00</t>
  </si>
  <si>
    <t>08:00</t>
  </si>
  <si>
    <t>09:00</t>
  </si>
  <si>
    <t>10:00</t>
  </si>
  <si>
    <t>PAR</t>
  </si>
  <si>
    <t>SAR</t>
  </si>
  <si>
    <t>Violeta Parra</t>
  </si>
  <si>
    <t>Otros</t>
  </si>
  <si>
    <t>CENTRO DE SALUD INSCRITO</t>
  </si>
  <si>
    <t>CONSULTA ESPONTANEA</t>
  </si>
  <si>
    <t>Accidentes Escolares</t>
  </si>
  <si>
    <t>TIEMPOS DE ESPERA</t>
  </si>
  <si>
    <t>Menor 15 años</t>
  </si>
  <si>
    <t>Mayor de 15 años</t>
  </si>
  <si>
    <t>UE Adulto a SAR</t>
  </si>
  <si>
    <t>UE Pediatrica a SAR</t>
  </si>
  <si>
    <t>Redirec. de UEH a SAR</t>
  </si>
  <si>
    <t xml:space="preserve"> 2 - 4</t>
  </si>
  <si>
    <t>Derivados de SUR a SAR</t>
  </si>
  <si>
    <t>C1</t>
  </si>
  <si>
    <t>C2</t>
  </si>
  <si>
    <t>C3</t>
  </si>
  <si>
    <t>C4</t>
  </si>
  <si>
    <t>C5</t>
  </si>
  <si>
    <t>ADM. - CAT.</t>
  </si>
  <si>
    <t>CAT. - A. MEDICA</t>
  </si>
  <si>
    <t>A. MEDICA - EGRESO</t>
  </si>
  <si>
    <t>TOTAL</t>
  </si>
  <si>
    <t>Menor 1 Año</t>
  </si>
  <si>
    <t>1 Año</t>
  </si>
  <si>
    <t>TOTAL TRIAGE</t>
  </si>
  <si>
    <t>PROC. EXTERNA</t>
  </si>
  <si>
    <t>SISQ</t>
  </si>
  <si>
    <t>Sin Centro de Salud</t>
  </si>
  <si>
    <t>Otros Derivados</t>
  </si>
  <si>
    <t>VIF</t>
  </si>
  <si>
    <t>TOTAL ATENDIDOS</t>
  </si>
  <si>
    <t>TOTAL RX</t>
  </si>
  <si>
    <t>HORA CIERRE DE INSCRIPCION</t>
  </si>
  <si>
    <t>SALIDA DE AMBULANCIA</t>
  </si>
  <si>
    <t>SERVICIOS GENERALES</t>
  </si>
  <si>
    <t>HORARIO DIURNO (08:00 - 17:00)</t>
  </si>
  <si>
    <t>HORARIO SAR (17:00 - 07:59)</t>
  </si>
  <si>
    <t>RECAUDACION</t>
  </si>
  <si>
    <t>RECHAZOS</t>
  </si>
  <si>
    <t>TOTAL NSP</t>
  </si>
  <si>
    <t>TOTAL PACIENTES INSCRITOS</t>
  </si>
  <si>
    <t>&lt; 1 año</t>
  </si>
  <si>
    <t>1 - 4 años</t>
  </si>
  <si>
    <t>5 - 9 años</t>
  </si>
  <si>
    <t>10 - 14 años</t>
  </si>
  <si>
    <t>ACTIVID. KINE. SAR</t>
  </si>
  <si>
    <t>ACTIVID. KINE. RAYEN (DIURNO)</t>
  </si>
  <si>
    <t xml:space="preserve">OTRAS SALIDAS </t>
  </si>
  <si>
    <t>Total de atendidos</t>
  </si>
  <si>
    <t>Total de NSP</t>
  </si>
  <si>
    <t>CENTRO DE SALUD ATENDIDO</t>
  </si>
  <si>
    <t>ADM. - CAT. 17:00</t>
  </si>
  <si>
    <t>ADM. - CAT. 18:00</t>
  </si>
  <si>
    <t>ADM. - CAT. 19:00</t>
  </si>
  <si>
    <t>ADM. - CAT. 20:00</t>
  </si>
  <si>
    <t>ADM. - CAT. 21:00</t>
  </si>
  <si>
    <t>ADM. - CAT. 22:00</t>
  </si>
  <si>
    <t>ADM. - CAT. 23:00</t>
  </si>
  <si>
    <t>ADM. - CAT. 24:00</t>
  </si>
  <si>
    <t>ADM. - EGRESO</t>
  </si>
  <si>
    <t>ADULTOS</t>
  </si>
  <si>
    <t>PEDIATRICOS</t>
  </si>
  <si>
    <t>JULIO</t>
  </si>
  <si>
    <t>Accidente de Transito</t>
  </si>
  <si>
    <t>Accidente Otro Tipo</t>
  </si>
  <si>
    <t>Intoxicación por Alimentos</t>
  </si>
  <si>
    <t>Mordedura de Gato</t>
  </si>
  <si>
    <t>Mordedura de Perro</t>
  </si>
  <si>
    <t>SIN CATEGORIZACIÓN nsp</t>
  </si>
  <si>
    <t>OTROS NSP</t>
  </si>
  <si>
    <t>AGOSTO</t>
  </si>
  <si>
    <t>NSP Infantil + Adultos</t>
  </si>
  <si>
    <t>NSP Infantil</t>
  </si>
  <si>
    <t>NSP Adultos</t>
  </si>
  <si>
    <t>SEPTIEMBRE</t>
  </si>
  <si>
    <t>OCTUBRE</t>
  </si>
  <si>
    <t>NOVIEMBRE</t>
  </si>
  <si>
    <t>DICIEMBRE</t>
  </si>
  <si>
    <t>MEDIO DE LLEGADA</t>
  </si>
  <si>
    <t>DESTINO</t>
  </si>
  <si>
    <t>Accidentes en el Hogar</t>
  </si>
  <si>
    <t>EST. ORIGEN</t>
  </si>
  <si>
    <t>Accidente trabajo Obrero</t>
  </si>
  <si>
    <t>Accidente por Agresion</t>
  </si>
  <si>
    <t>Intoxicación por Medicamentos</t>
  </si>
  <si>
    <t>NSP PEDIATRICOS (&lt;15 AÑOS)</t>
  </si>
  <si>
    <t>NSP ADULTOS</t>
  </si>
  <si>
    <t>NSP PEDIATR. / ADULTOS</t>
  </si>
  <si>
    <t>NSP CATEGORIZACION</t>
  </si>
  <si>
    <t>TOTAL J</t>
  </si>
  <si>
    <t>TOTAL MOTIVO CONSULTA</t>
  </si>
  <si>
    <t>CAT. A BOX</t>
  </si>
  <si>
    <t xml:space="preserve">TOTAL EGRESO </t>
  </si>
  <si>
    <t xml:space="preserve">ESPERA ATENCION </t>
  </si>
  <si>
    <t>ENERO</t>
  </si>
  <si>
    <t>FEBRERO</t>
  </si>
  <si>
    <t>MARZO</t>
  </si>
  <si>
    <t>ABRIL</t>
  </si>
  <si>
    <t>MAYO</t>
  </si>
  <si>
    <t>JUNIO</t>
  </si>
  <si>
    <t xml:space="preserve">    IRA Alta (J00-J06)</t>
  </si>
  <si>
    <t xml:space="preserve">    Influenza (J09-J11)</t>
  </si>
  <si>
    <t xml:space="preserve">    Neumonía (J12-J18)</t>
  </si>
  <si>
    <t xml:space="preserve">    Bronquitis/bronquiolitis aguda (J20-J21)</t>
  </si>
  <si>
    <t xml:space="preserve">    Crisis obstructiva bronquial (J40-J46)</t>
  </si>
  <si>
    <t xml:space="preserve">    Otra causa respiratoria (J22 , J30-J39, J47, J60-J98)</t>
  </si>
  <si>
    <t>Accidente Bicicleta</t>
  </si>
  <si>
    <t>Mordedura de  Raton</t>
  </si>
  <si>
    <t>Intoxicación por Quimicos</t>
  </si>
  <si>
    <t>Accidente por Asalto</t>
  </si>
  <si>
    <t>Accidente por caida de Animal</t>
  </si>
  <si>
    <t>Mordedura de Araña</t>
  </si>
  <si>
    <t>Autoagresion</t>
  </si>
  <si>
    <t>X X X X X</t>
  </si>
  <si>
    <t>Derivado al Servicio Medico Legal</t>
  </si>
  <si>
    <t>Agresor Sexual</t>
  </si>
  <si>
    <t>J00X</t>
  </si>
  <si>
    <t>RINOFARINGITIS AGUDA (RESFRIADO COMUN)</t>
  </si>
  <si>
    <t>J010</t>
  </si>
  <si>
    <t>SINUSITIS MAXILAR AGUDA</t>
  </si>
  <si>
    <t>J011</t>
  </si>
  <si>
    <t>SINUSITIS FRONTAL AGUDA</t>
  </si>
  <si>
    <t>J012</t>
  </si>
  <si>
    <t>SINUSITIS ETMOIDAL AGUDA</t>
  </si>
  <si>
    <t>J013</t>
  </si>
  <si>
    <t>SINUSITIS ESFENOIDAL AGUDA</t>
  </si>
  <si>
    <t>J014</t>
  </si>
  <si>
    <t>PANSINUSITIS AGUDA</t>
  </si>
  <si>
    <t>J018</t>
  </si>
  <si>
    <t>OTRAS SINUSITIS AGUDAS</t>
  </si>
  <si>
    <t>J019</t>
  </si>
  <si>
    <t>SINUSITIS AGUDA, NO ESPECIFICADA</t>
  </si>
  <si>
    <t>J020</t>
  </si>
  <si>
    <t>FARINGITIS ESTREPTOCOCICA</t>
  </si>
  <si>
    <t>J028</t>
  </si>
  <si>
    <t>FARINGITIS AGUDA DEBIDA A OTROS MICROORGANISMOS ESPECIFICADOS</t>
  </si>
  <si>
    <t>J029</t>
  </si>
  <si>
    <t>FARINGITIS AGUDA, NO ESPECIFICADA</t>
  </si>
  <si>
    <t>J030</t>
  </si>
  <si>
    <t>AMIGDALITIS ESTREPTOCOCICA</t>
  </si>
  <si>
    <t>J038</t>
  </si>
  <si>
    <t>AMIGDALITIS AGUDA DEBIDA A OTROS MICROORGANISMOS ESPECIFICADOS</t>
  </si>
  <si>
    <t>J039</t>
  </si>
  <si>
    <t>AMIGDALITIS AGUDA, NO ESPECIFICADA</t>
  </si>
  <si>
    <t>J040</t>
  </si>
  <si>
    <t>LARINGITIS AGUDA</t>
  </si>
  <si>
    <t>J041</t>
  </si>
  <si>
    <t>TRAQUEITIS AGUDA</t>
  </si>
  <si>
    <t>J042</t>
  </si>
  <si>
    <t>LARINGOTRAQUEITIS AGUDA</t>
  </si>
  <si>
    <t>J050</t>
  </si>
  <si>
    <t>LARINGITIS OBSTRUCTIVA, AGUDA (CRUP)</t>
  </si>
  <si>
    <t>J051</t>
  </si>
  <si>
    <t>EPIGLOTITIS AGUDA</t>
  </si>
  <si>
    <t>J060</t>
  </si>
  <si>
    <t>LARINGOFARINGITIS AGUDA</t>
  </si>
  <si>
    <t>J068</t>
  </si>
  <si>
    <t>OTRAS INFECCIONES AGUDAS DE SITIOS MULTIPLES DE LAS VÍAS RESPIRATORIAS SUPERIORES</t>
  </si>
  <si>
    <t>J069</t>
  </si>
  <si>
    <t>INFECCION AGUDA DE LAS VÍAS RESPIRATORIAS SUPERIORES, NO ESPECIFICADA</t>
  </si>
  <si>
    <t>J09X</t>
  </si>
  <si>
    <t>INFLUENZA DEBIDA A CIERTOS VIRUS DE LA INFLUENZA IDENTIFICADOS</t>
  </si>
  <si>
    <t>J100</t>
  </si>
  <si>
    <t>INFLUENZA CON NEUMONIA, DEBIDA A VIRUS DE LA INFLUENZA IDENTIFICADO</t>
  </si>
  <si>
    <t>J101</t>
  </si>
  <si>
    <t>INFLUENZA CON OTRAS MANIFESTACIONES RESPIRATORIAS, DEBIDA A VIRUS DE LA INFLUENZA IDENTIFICADO</t>
  </si>
  <si>
    <t>J108</t>
  </si>
  <si>
    <t>INFLUENZA, CON OTRAS MANIFESTACIONES, DEBIDA A VIRUS DE LA INFLUENZA IDENTIFICADO</t>
  </si>
  <si>
    <t>J110</t>
  </si>
  <si>
    <t>INFLUENZA CON NEUMONIA, VIRUS NO IDENTIFICADO</t>
  </si>
  <si>
    <t>J111</t>
  </si>
  <si>
    <t>INFLUENZA CON OTRAS MANIFESTACIONES RESPIRATORIAS, VIRUS NO IDENTIFICADO</t>
  </si>
  <si>
    <t>J118</t>
  </si>
  <si>
    <t>INFLUENZA CON OTRAS MANIFESTACIONES, VIRUS NO IDENTIFICADO</t>
  </si>
  <si>
    <t>J120</t>
  </si>
  <si>
    <t>NEUMONIA DEBIDA A ADENOVIRUS</t>
  </si>
  <si>
    <t>J121</t>
  </si>
  <si>
    <t>NEUMONIA DEBIDA A VIRUS SINCICIAL RESPIRATORIO</t>
  </si>
  <si>
    <t>J122</t>
  </si>
  <si>
    <t>NEUMONIA DEBIDA A VIRUS PARAINFLUENZA</t>
  </si>
  <si>
    <t>J123</t>
  </si>
  <si>
    <t>NEUMONÍA DEBIDA A METANEUMOVIRUS HUMANO</t>
  </si>
  <si>
    <t>J128</t>
  </si>
  <si>
    <t>NEUMONIA DEBIDA A OTROS VIRUS</t>
  </si>
  <si>
    <t>J129</t>
  </si>
  <si>
    <t>NEUMONIA VIRAL, NO ESPECIFICADA (VIRUS)</t>
  </si>
  <si>
    <t>J13X</t>
  </si>
  <si>
    <t>NEUMONIA DEBIDA A STREPTOCOCCUS PNEUMONIAE</t>
  </si>
  <si>
    <t>J14X</t>
  </si>
  <si>
    <t>NEUMONIA DEBIDA A HAEMOPHILUS INFLUENZAE</t>
  </si>
  <si>
    <t>J150</t>
  </si>
  <si>
    <t>NEUMONIA DEBIDA A KLEBSIELLA PNEUMONIAE</t>
  </si>
  <si>
    <t>J151</t>
  </si>
  <si>
    <t>NEUMONIA DEBIDA A PSEUDOMONAS</t>
  </si>
  <si>
    <t>J152</t>
  </si>
  <si>
    <t>NEUMONIA DEBIDA A ESTAFILOCOCOS</t>
  </si>
  <si>
    <t>J153</t>
  </si>
  <si>
    <t>NEUMONIA DEBIDA A ESTREPTOCOCOS DEL GRUPO B</t>
  </si>
  <si>
    <t>J154</t>
  </si>
  <si>
    <t>NEUMONIA DEBIDA A OTROS ESTREPTOCOCOS</t>
  </si>
  <si>
    <t>J155</t>
  </si>
  <si>
    <t>NEUMONIA DEBIDA A ESCHERICHIA COLI</t>
  </si>
  <si>
    <t>J156</t>
  </si>
  <si>
    <t>NEUMONIA DEBIDA A OTRAS BACTERIAS AEROBICAS GRAMNEGATIVAS</t>
  </si>
  <si>
    <t>J157</t>
  </si>
  <si>
    <t>NEUMONIA DEBIDA A MYCOPLASMA PNEUMONIAE</t>
  </si>
  <si>
    <t>J158</t>
  </si>
  <si>
    <t>OTRAS NEUMONIAS BACTERIANAS</t>
  </si>
  <si>
    <t>J159</t>
  </si>
  <si>
    <t>NEUMONIA BACTERIANA, NO ESPECIFICADA</t>
  </si>
  <si>
    <t>J160</t>
  </si>
  <si>
    <t>NEUMONIA DEBIDA A CLAMIDIAS</t>
  </si>
  <si>
    <t>J168</t>
  </si>
  <si>
    <t>NEUMONIA DEBIDA A OTROS MICROORGANISMOS INFECCIOSOS ESPECIFICADOS</t>
  </si>
  <si>
    <t>J180</t>
  </si>
  <si>
    <t>BRONCONEUMONIA, NO ESPECIFICADA</t>
  </si>
  <si>
    <t>J181</t>
  </si>
  <si>
    <t>NEUMONIA LOBAR, NO ESPECIFICADA</t>
  </si>
  <si>
    <t>J182</t>
  </si>
  <si>
    <t>NEUMONIA HIPOSTATICA, NO ESPECIFICADA</t>
  </si>
  <si>
    <t>J188</t>
  </si>
  <si>
    <t>OTRAS NEUMONIAS, DE MICROORGANISMO NO ESPECIFICADO</t>
  </si>
  <si>
    <t>J189</t>
  </si>
  <si>
    <t>NEUMONIA, NO ESPECIFICADA</t>
  </si>
  <si>
    <t>J200</t>
  </si>
  <si>
    <t>BRONQUITIS AGUDA DEBIDA A MYCOPLASMA PNEUMONIAE</t>
  </si>
  <si>
    <t>J201</t>
  </si>
  <si>
    <t>BRONQUITIS AGUDA DEBIDA A HAEMOPHILUS INFLUENZAE</t>
  </si>
  <si>
    <t>J202</t>
  </si>
  <si>
    <t>BRONQUITIS AGUDA DEBIDA A ESTREPTOCOCOS</t>
  </si>
  <si>
    <t>J203</t>
  </si>
  <si>
    <t>BRONQUITIS AGUDA DEBIDA A VIRUS COXSACKIE</t>
  </si>
  <si>
    <t>J204</t>
  </si>
  <si>
    <t>BRONQUITIS AGUDA DEBIDA A VIRUS PARAINFLUENZA</t>
  </si>
  <si>
    <t>J205</t>
  </si>
  <si>
    <t>BRONQUITIS AGUDA DEBIDA A VIRUS SINCITIAL RESPIRATORIO</t>
  </si>
  <si>
    <t>J206</t>
  </si>
  <si>
    <t>BRONQUITIS AGUDA DEBIDA A RINOVIRUS</t>
  </si>
  <si>
    <t>J207</t>
  </si>
  <si>
    <t>BRONQUITIS AGUDA DEBIDA A VIRUS ECHO</t>
  </si>
  <si>
    <t>J208</t>
  </si>
  <si>
    <t>BRONQUITIS AGUDA DEBIDA A OTROS MICROORGANISMOS ESPECIFICADOS</t>
  </si>
  <si>
    <t>J209</t>
  </si>
  <si>
    <t>BRONQUITIS AGUDA, NO ESPECIFICADO</t>
  </si>
  <si>
    <t>J210</t>
  </si>
  <si>
    <t>BRONQUIOLITIS AGUDA DEBIDA A VIRUS SINCITIAL RESPIRATORIO</t>
  </si>
  <si>
    <t>J211</t>
  </si>
  <si>
    <t>BRONQUIOLITIS AGUDA DEBIDA A METANEUMOVIRUS HUMANO</t>
  </si>
  <si>
    <t>J218</t>
  </si>
  <si>
    <t>BRONQUIOLITIS AGUDA DEBIDA A OTROS MICROORGANISMOS ESPECIFICADOS</t>
  </si>
  <si>
    <t>J219</t>
  </si>
  <si>
    <t>BRONQUIOLITIS AGUDA, NO ESPECIFICADA</t>
  </si>
  <si>
    <t>J22X</t>
  </si>
  <si>
    <t>INFECCION AGUDA NO ESPECIFICADA DE LAS VÍAS RESPIRATORIAS INFERIORES</t>
  </si>
  <si>
    <t>J300</t>
  </si>
  <si>
    <t>RINITIS VASOMOTORA</t>
  </si>
  <si>
    <t>J301</t>
  </si>
  <si>
    <t>RINITIS ALERGICA DEBIDA AL POLEN</t>
  </si>
  <si>
    <t>J302</t>
  </si>
  <si>
    <t>OTRA RINITIS ALERGICA ESTACIONAL</t>
  </si>
  <si>
    <t>J303</t>
  </si>
  <si>
    <t>OTRAS RINITIS ALERGICAS</t>
  </si>
  <si>
    <t>J304</t>
  </si>
  <si>
    <t>RINITIS ALERGICA, NO ESPECIFICADA</t>
  </si>
  <si>
    <t>J310</t>
  </si>
  <si>
    <t>RINITIS CRONICA</t>
  </si>
  <si>
    <t>J311</t>
  </si>
  <si>
    <t>RINOFARINGITIS CRONICA</t>
  </si>
  <si>
    <t>J312</t>
  </si>
  <si>
    <t>FARINGITIS CRONICA</t>
  </si>
  <si>
    <t>J320</t>
  </si>
  <si>
    <t>SINUSITIS MAXILAR CRONICA</t>
  </si>
  <si>
    <t>J321</t>
  </si>
  <si>
    <t>SINUSITIS FRONTAL CRONICA</t>
  </si>
  <si>
    <t>J322</t>
  </si>
  <si>
    <t>SINUSITIS ETMOIDAL CRONICA</t>
  </si>
  <si>
    <t>J323</t>
  </si>
  <si>
    <t>SINUSITIS ESFENOIDAL CRONICA</t>
  </si>
  <si>
    <t>J324</t>
  </si>
  <si>
    <t>PANSINUSITIS CRONICA</t>
  </si>
  <si>
    <t>J328</t>
  </si>
  <si>
    <t>OTRAS SINUSITIS CRONICAS</t>
  </si>
  <si>
    <t>J329</t>
  </si>
  <si>
    <t>SINUSITIS CRONICA, NO ESPECIFICADA</t>
  </si>
  <si>
    <t>J330</t>
  </si>
  <si>
    <t>POLIPO DE LA CAVIDAD NASAL</t>
  </si>
  <si>
    <t>J331</t>
  </si>
  <si>
    <t>DEGENERACION POLIPOIDE DE SENO PARANASAL</t>
  </si>
  <si>
    <t>J338</t>
  </si>
  <si>
    <t>OTROS POLIPOS DE LOS SENOS PARANASALES</t>
  </si>
  <si>
    <t>J339</t>
  </si>
  <si>
    <t>POLIPO NASAL, NO ESPECIFICADO</t>
  </si>
  <si>
    <t>J340</t>
  </si>
  <si>
    <t>ABSCESO, FURUNCULO Y CARBUNCO DE LA NARIZ</t>
  </si>
  <si>
    <t>J341</t>
  </si>
  <si>
    <t>QUISTE Y MUCOCELE DE SENO PARANASAL</t>
  </si>
  <si>
    <t>J342</t>
  </si>
  <si>
    <t>DESVIACION DEL TABIQUE NASAL</t>
  </si>
  <si>
    <t>J343</t>
  </si>
  <si>
    <t>HIPERTROFIA DE LOS CORNETES NASALES</t>
  </si>
  <si>
    <t>J348</t>
  </si>
  <si>
    <t>OTROS TRASTORNOS ESPECIFICADOS DE LA NARIZ Y DE LOS SENOS PARANASALES</t>
  </si>
  <si>
    <t>J350</t>
  </si>
  <si>
    <t>AMIGDALITIS CRONICA</t>
  </si>
  <si>
    <t>J351</t>
  </si>
  <si>
    <t>HIPERTROFIA DE LAS AMIGDALAS</t>
  </si>
  <si>
    <t>J352</t>
  </si>
  <si>
    <t>HIPERTROFIA DE LAS ADENOIDES</t>
  </si>
  <si>
    <t>J353</t>
  </si>
  <si>
    <t>HIPERTROFIA DE LAS AMIGDALAS CON HIPERTROFIA DE LAS ADENOIDES</t>
  </si>
  <si>
    <t>J358</t>
  </si>
  <si>
    <t>OTRAS ENFERMEDADES CRÓNICAS DE LAS AMIGDALAS Y DE LAS ADENOIDES</t>
  </si>
  <si>
    <t>J359</t>
  </si>
  <si>
    <t>ENFERMEDAD CRONICA DE LAS AMIGDALAS Y DE LAS ADENOIDES, NO ESPECIFICADA</t>
  </si>
  <si>
    <t>J36X</t>
  </si>
  <si>
    <t>ABSCESO PERIAMIGDALINO</t>
  </si>
  <si>
    <t>J370</t>
  </si>
  <si>
    <t>LARINGITIS CRONICA</t>
  </si>
  <si>
    <t>J371</t>
  </si>
  <si>
    <t>LARINGOTRAQUEITIS CRONICA</t>
  </si>
  <si>
    <t>J380</t>
  </si>
  <si>
    <t>PARALISIS DE LAS CUERDAS VOCALES Y DE LA LARINGE</t>
  </si>
  <si>
    <t>J381</t>
  </si>
  <si>
    <t>POLIPO DE LAS CUERDAS VOCALES Y DE LA LARINGE</t>
  </si>
  <si>
    <t>J382</t>
  </si>
  <si>
    <t>NODULOS DE LAS CUERDAS VOCALES</t>
  </si>
  <si>
    <t>J383</t>
  </si>
  <si>
    <t>OTRAS ENFERMEDADES DE LAS CUERDAS VOCALES</t>
  </si>
  <si>
    <t>J384</t>
  </si>
  <si>
    <t>EDEMA DE LARINGE</t>
  </si>
  <si>
    <t>J385</t>
  </si>
  <si>
    <t>ESPASMO LARINGEO</t>
  </si>
  <si>
    <t>J386</t>
  </si>
  <si>
    <t>ESTENOSIS LARINGEA</t>
  </si>
  <si>
    <t>J387</t>
  </si>
  <si>
    <t>OTRAS ENFERMEDADES DE LA LARINGE</t>
  </si>
  <si>
    <t>J390</t>
  </si>
  <si>
    <t>ABSCESO RETROFARINGEO Y PARAFARINGEO</t>
  </si>
  <si>
    <t>J391</t>
  </si>
  <si>
    <t>OTROS ABSCESOS DE LA FARINGE</t>
  </si>
  <si>
    <t>J392</t>
  </si>
  <si>
    <t>OTRAS ENFERMEDADES DE LA FARINGE</t>
  </si>
  <si>
    <t>J393</t>
  </si>
  <si>
    <t>REACCION DE HIPERSENSIBILIDAD DE LAS VÍAS RESPIRATORIAS SUPERIORES, SITIO NO ESPECIFICADO</t>
  </si>
  <si>
    <t>J398</t>
  </si>
  <si>
    <t>OTRAS ENFERMEDADES ESPECIFICADAS DE LAS VÍAS RESPIRATORIAS SUPERIORES</t>
  </si>
  <si>
    <t>J399</t>
  </si>
  <si>
    <t>ENFERMEDAD DE LAS VÍAS RESPIRATORIAS SUPERIORES, NO ESPECIFICADA</t>
  </si>
  <si>
    <t>J40X</t>
  </si>
  <si>
    <t>BRONQUITIS, NO ESPECIFICADA COMO AGUDA O CRONICA</t>
  </si>
  <si>
    <t>J410</t>
  </si>
  <si>
    <t>BRONQUITIS CRONICA SIMPLE</t>
  </si>
  <si>
    <t>J411</t>
  </si>
  <si>
    <t>BRONQUITIS CRONICA MUCOPURULENTA</t>
  </si>
  <si>
    <t>J418</t>
  </si>
  <si>
    <t>BRONQUITIS CRONICA MIXTA SIMPLE Y MUCOPURULENTA</t>
  </si>
  <si>
    <t>J42X</t>
  </si>
  <si>
    <t>BRONQUITIS CRONICA NO ESPECIFICADA</t>
  </si>
  <si>
    <t>J430</t>
  </si>
  <si>
    <t>SINDROME DE MACLEOD</t>
  </si>
  <si>
    <t>J431</t>
  </si>
  <si>
    <t>ENFISEMA PANLOBULAR</t>
  </si>
  <si>
    <t>J432</t>
  </si>
  <si>
    <t>ENFISEMA CENTROLOBULAR</t>
  </si>
  <si>
    <t>J438</t>
  </si>
  <si>
    <t>OTROS TIPOS DE ENFISEMA</t>
  </si>
  <si>
    <t>J439</t>
  </si>
  <si>
    <t>ENFISEMA, NO ESPECIFICADO</t>
  </si>
  <si>
    <t>J440</t>
  </si>
  <si>
    <t>ENFERMEDAD PULMÓNAR OBSTRUCTIVA CRONICA C/INFECC. AG.DE VÍAS RESPIRATORIAS INFERIORES</t>
  </si>
  <si>
    <t>J441</t>
  </si>
  <si>
    <t>ENFERMEDAD PULMÓNAR OBSTRUCTIVA CRONICA CON EXACERBACION AGUDA, NO ESPECIFICADA</t>
  </si>
  <si>
    <t>J448</t>
  </si>
  <si>
    <t>OTRAS ENFERMEDADES PULMÓNARES OBSTRUCTIVAS CRÓNICAS ESPECIFICADAS</t>
  </si>
  <si>
    <t>J449</t>
  </si>
  <si>
    <t>ENFERMEDAD PULMÓNAR OBSTRUCTIVA CRONICA, NO ESPECIFICADA</t>
  </si>
  <si>
    <t>J450</t>
  </si>
  <si>
    <t>ASMA PREDOMINANTEMENTE ALERGICA</t>
  </si>
  <si>
    <t>J451</t>
  </si>
  <si>
    <t>ASMA NO ALERGICA</t>
  </si>
  <si>
    <t>J458</t>
  </si>
  <si>
    <t>ASMA MIXTA</t>
  </si>
  <si>
    <t>J459</t>
  </si>
  <si>
    <t>ASMA, NO ESPECIFICADO</t>
  </si>
  <si>
    <t>J46X</t>
  </si>
  <si>
    <t>ESTADO ASMATICO</t>
  </si>
  <si>
    <t>J47X</t>
  </si>
  <si>
    <t>BRONQUIECTASIA</t>
  </si>
  <si>
    <t>J60X</t>
  </si>
  <si>
    <t>NEUMOCONIOSIS DE LOS MINEROS DEL CARBON</t>
  </si>
  <si>
    <t>J61X</t>
  </si>
  <si>
    <t>NEUMOCONIOSIS DEBIDA AL ASBESTO Y A OTRAS FIBRAS MINERALES</t>
  </si>
  <si>
    <t>J620</t>
  </si>
  <si>
    <t>NEUMOCONIOSIS DEBIDA A POLVO DE TALCO (SILICE)</t>
  </si>
  <si>
    <t>J628</t>
  </si>
  <si>
    <t>NEUMOCONIOSIS DEBIDA A OTROS POLVOS QUE CONTIENEN SILICE</t>
  </si>
  <si>
    <t>J630</t>
  </si>
  <si>
    <t>ALUMINOSIS (DEL PULMÓN)</t>
  </si>
  <si>
    <t>J631</t>
  </si>
  <si>
    <t>FIBROSIS (DEL PULMÓN) DEBIDA A BAUXITA</t>
  </si>
  <si>
    <t>J632</t>
  </si>
  <si>
    <t>BERILIOSIS</t>
  </si>
  <si>
    <t>J633</t>
  </si>
  <si>
    <t>FIBROSIS (DEL PULMÓN) DEBIDA A GRAFITO</t>
  </si>
  <si>
    <t>J634</t>
  </si>
  <si>
    <t>SIDEROSIS</t>
  </si>
  <si>
    <t>J635</t>
  </si>
  <si>
    <t>ESTAÑOSIS</t>
  </si>
  <si>
    <t>J638</t>
  </si>
  <si>
    <t>NEUMOCONIOSIS DEBIDA A OTROS POLVOS INORGANICOS ESPECIFICADOS</t>
  </si>
  <si>
    <t>J64X</t>
  </si>
  <si>
    <t>NEUMOCONIOSIS, NO ESPECIFICADA</t>
  </si>
  <si>
    <t>J65X</t>
  </si>
  <si>
    <t>NEUMOCONIOSIS ASOCIADA CON TUBERCULOSIS</t>
  </si>
  <si>
    <t>J676</t>
  </si>
  <si>
    <t>PULMÓN DEL DESCORTEZADOR DEL ARCE</t>
  </si>
  <si>
    <t>J677</t>
  </si>
  <si>
    <t>NEUMONITIS DE LA VENTILACION DEBIDA AL ACONDICIONADOR Y HUMIDIFICADOR DEL AIRE</t>
  </si>
  <si>
    <t>J678</t>
  </si>
  <si>
    <t>NEUMONITIS DEBIDAS A HIPERSENSIBILIDAD A OTROS POLVOS ORGANICOS</t>
  </si>
  <si>
    <t>J679</t>
  </si>
  <si>
    <t>NEUMONITIS DEBIDA A HIPERSENSIBILIDAD A POLVO ORGANICO NO ESPECIFICADO</t>
  </si>
  <si>
    <t>J680</t>
  </si>
  <si>
    <t>BRONQUITIS Y NEUMONITIS DEBIDAS A INHALACION DE GASES, HUMOS, VAPORES Y SUSTANCIAS QUÍMICAS</t>
  </si>
  <si>
    <t>J681</t>
  </si>
  <si>
    <t>EDEMA PULMÓNAR AGUDO DEBIDO A INHALACION DE GASES, HUMOS, VAPORES Y SUSTANCIAS QUÍMICAS</t>
  </si>
  <si>
    <t>J682</t>
  </si>
  <si>
    <t>INFLAMAC.RESPIRAT.SUP. DEB.A INHALAC. GASES, HUMOS, VAPORES Y SUST. QUÍMICAS, NCOP</t>
  </si>
  <si>
    <t>J683</t>
  </si>
  <si>
    <t>OTRAS AFECC.RESPIRAT.AG. Y SUBAG. DEB. A INHALAC.DE GASES, HUMOS, VAPORES Y SUST. QUÍMICAS</t>
  </si>
  <si>
    <t>J684</t>
  </si>
  <si>
    <t>AFECCIONES RESPIRAT.CRÓNICAS DEB.A INHALAC. DE GASES, HUMOS, VAPORES Y SUSTANCIAS QUÍMICAS</t>
  </si>
  <si>
    <t>J688</t>
  </si>
  <si>
    <t>OTRAS AFECC.RESPIRAT.DEB. A INHALACION DE GASES, HUMOS, VAPORES Y SUSTANCIAS QUÍMICAS</t>
  </si>
  <si>
    <t>J689</t>
  </si>
  <si>
    <t>AFECC.RESPIRAT.NO ESPECIFIC., DEB. A INHALACION DE GASES, HUMOS, VAPORES Y SUSTANCIAS QUÍMICAS</t>
  </si>
  <si>
    <t>J690</t>
  </si>
  <si>
    <t>NEUMONITIS DEBIDA A ASPIRACION DE ALIMENTO O VOMITO</t>
  </si>
  <si>
    <t>J691</t>
  </si>
  <si>
    <t>NEUMONITIS DEBIDA A ASPIRACION DE ACEITES Y ESENCIAS</t>
  </si>
  <si>
    <t>J698</t>
  </si>
  <si>
    <t>NEUMONITIS DEBIDA A ASPIRACION DE OTROS SOLIDOS Y LIQUIDOS</t>
  </si>
  <si>
    <t>J700</t>
  </si>
  <si>
    <t>MANIFESTACIONES PULMÓNARES AGUDAS DEBIDAS A RADIACION</t>
  </si>
  <si>
    <t>J701</t>
  </si>
  <si>
    <t>MANIFESTACIONES PULMÓNARES CRÓNICAS Y OTRAS MANIFESTACIONES DEBIDAS A RADIACION</t>
  </si>
  <si>
    <t>J702</t>
  </si>
  <si>
    <t>TRASTORNOS PULMÓNARES INTERSTICIALES AGUDOS INDUCIDOS POR DROGAS</t>
  </si>
  <si>
    <t>J703</t>
  </si>
  <si>
    <t>TRASTORNOS PULMÓNARES INTERSTICIALES CRONICOS INDUCIDOS POR DROGAS</t>
  </si>
  <si>
    <t>J704</t>
  </si>
  <si>
    <t>TRASTORNOS PULMÓNARES INTERSTICIALES NO ESPECIFICADOS INDUCIDOS POR DROGAS</t>
  </si>
  <si>
    <t>J708</t>
  </si>
  <si>
    <t>AFECCIONES RESPIRATORIAS DEBIDAS A OTROS AGENTES EXTERNOS ESPECIFICADOS</t>
  </si>
  <si>
    <t>J709</t>
  </si>
  <si>
    <t>AFECCIONES RESPIRATORIAS DEBIDAS A AGENTES EXTERNOS NO ESPECIFICADOS</t>
  </si>
  <si>
    <t>J80X</t>
  </si>
  <si>
    <t>SINDROME DE DIFICULTAD RESPIRATORIA DEL ADULTO</t>
  </si>
  <si>
    <t>J81X</t>
  </si>
  <si>
    <t>EDEMA PULMÓNAR</t>
  </si>
  <si>
    <t>J82X</t>
  </si>
  <si>
    <t>EOSINOFILIA PULMÓNAR, NO CLASIFICADA EN OTRA PARTE</t>
  </si>
  <si>
    <t>J840</t>
  </si>
  <si>
    <t>AFECCIONES ALVEOLARES Y ALVEOLOPARIETALES</t>
  </si>
  <si>
    <t>J841</t>
  </si>
  <si>
    <t>OTRAS ENFERMEDADES PULMÓNARES INTERSTICIALES CON FIBROSIS</t>
  </si>
  <si>
    <t>J848</t>
  </si>
  <si>
    <t>OTRAS ENFERMEDADES PULMÓNARES INTERSTICIALES ESPECIFICADAS</t>
  </si>
  <si>
    <t>J849</t>
  </si>
  <si>
    <t>ENFERMEDAD PULMÓNAR INTERSTICIAL, NO ESPECIFICADA</t>
  </si>
  <si>
    <t>J850</t>
  </si>
  <si>
    <t>GANGRENA Y NECROSIS DEL PULMÓN</t>
  </si>
  <si>
    <t>J851</t>
  </si>
  <si>
    <t>ABSCESO DEL PULMÓN CON NEUMONIA</t>
  </si>
  <si>
    <t>J852</t>
  </si>
  <si>
    <t>ABSCESO DEL PULMÓN SIN NEUMONIA</t>
  </si>
  <si>
    <t>J853</t>
  </si>
  <si>
    <t>ABSCESO DEL MEDIASTINO</t>
  </si>
  <si>
    <t>J860</t>
  </si>
  <si>
    <t>PIOTORAX CON FISTULA</t>
  </si>
  <si>
    <t>J869</t>
  </si>
  <si>
    <t>PIOTORAX SIN FISTULA</t>
  </si>
  <si>
    <t>J90X</t>
  </si>
  <si>
    <t>DERRAME PLEURAL NO CLASIFICADO EN OTRA PARTE</t>
  </si>
  <si>
    <t>J920</t>
  </si>
  <si>
    <t>PAQUIPLEURITIS CON ASBESTOSIS</t>
  </si>
  <si>
    <t>J929</t>
  </si>
  <si>
    <t>PAQUIPLEURITIS SIN ASBESTOSIS</t>
  </si>
  <si>
    <t>J930</t>
  </si>
  <si>
    <t>NEUMOTORAX ESPONTANEO A PRESION</t>
  </si>
  <si>
    <t>J931</t>
  </si>
  <si>
    <t>OTROS TIPOS DE NEUMOTORAX ESPONTANEO</t>
  </si>
  <si>
    <t>J938</t>
  </si>
  <si>
    <t>OTROS NEUMOTORAX</t>
  </si>
  <si>
    <t>J939</t>
  </si>
  <si>
    <t>NEUMOTORAX, NO ESPECIFICADO</t>
  </si>
  <si>
    <t>J940</t>
  </si>
  <si>
    <t>QUILOTORAX</t>
  </si>
  <si>
    <t>J941</t>
  </si>
  <si>
    <t>FIBROTORAX</t>
  </si>
  <si>
    <t>J942</t>
  </si>
  <si>
    <t>HEMOTORAX</t>
  </si>
  <si>
    <t>J948</t>
  </si>
  <si>
    <t>OTRAS AFECCIONES ESPECIFICADAS DE LA PLEURA</t>
  </si>
  <si>
    <t>J949</t>
  </si>
  <si>
    <t>AFECCION PLEURAL, NO ESPECIFICADA</t>
  </si>
  <si>
    <t>J950</t>
  </si>
  <si>
    <t>FUNCIONAMIENTO DEFECTUOSO DE LA TRAQUEOSTOMIA</t>
  </si>
  <si>
    <t>J951</t>
  </si>
  <si>
    <t>INSUFICIENCIA PULMÓNAR AGUDA CONSECUTIVA A CIRUGÍA TORACICA</t>
  </si>
  <si>
    <t>J952</t>
  </si>
  <si>
    <t>INSUFICIENCIA PULMÓNAR AGUDA CONSECUTIVA A CIRUGÍA EXTRATORACICA</t>
  </si>
  <si>
    <t>J953</t>
  </si>
  <si>
    <t>INSUFICIENCIA PULMÓNAR CRONICA CONSECUTIVA A CIRUGÍA</t>
  </si>
  <si>
    <t>J954</t>
  </si>
  <si>
    <t>SINDROME DE MENDELSON</t>
  </si>
  <si>
    <t>J955</t>
  </si>
  <si>
    <t>ESTENOSIS SUBGLOTICA CONSECUTIVA A PROCEDIMIENTOS</t>
  </si>
  <si>
    <t>J958</t>
  </si>
  <si>
    <t>OTROS TRASTORNOS RESPIRATORIOS CONSECUTIVOS A PROCEDIMIENTOS</t>
  </si>
  <si>
    <t>J959</t>
  </si>
  <si>
    <t>TRASTORNO NO ESPECIFICADO DEL SISTEMA RESPIRATORIO, CONSECUTIVO A PROCEDIMIENTOS</t>
  </si>
  <si>
    <t>J960</t>
  </si>
  <si>
    <t>INSUFICIENCIA RESPIRATORIA AGUDA</t>
  </si>
  <si>
    <t>J961</t>
  </si>
  <si>
    <t>INSUFICIENCIA RESPIRATORIA CRONICA</t>
  </si>
  <si>
    <t>J969</t>
  </si>
  <si>
    <t>INSUFICIENCIA RESPIRATORIA, NO ESPECIFICADA</t>
  </si>
  <si>
    <t>J980</t>
  </si>
  <si>
    <t>ENFERMEDADES DE LA TRÁQUEA Y DE LOS BRONQUIOS, NO CLASIFICADAS EN OTRA PARTE</t>
  </si>
  <si>
    <t>J981</t>
  </si>
  <si>
    <t>COLAPSO PULMÓNAR</t>
  </si>
  <si>
    <t>J982</t>
  </si>
  <si>
    <t>ENFISEMA INTERSTICIAL</t>
  </si>
  <si>
    <t>J983</t>
  </si>
  <si>
    <t>ENFISEMA COMPENSATORIO</t>
  </si>
  <si>
    <t>J984</t>
  </si>
  <si>
    <t>OTROS TRASTORNOS DEL PULMÓN</t>
  </si>
  <si>
    <t>J985</t>
  </si>
  <si>
    <t>ENFERMEDADES DEL MEDIASTINO, NO CLASIFICADAS EN OTRA PARTE</t>
  </si>
  <si>
    <t>J986</t>
  </si>
  <si>
    <t>TRASTORNOS DEL DIAFRAGMA</t>
  </si>
  <si>
    <t>J988</t>
  </si>
  <si>
    <t>OTROS TRASTORNOS RESPIRATORIOS ESPECIFICADOS</t>
  </si>
  <si>
    <t>J989</t>
  </si>
  <si>
    <t>TRASTORNO RESPIRATORIO, NO ESPECIFICADO</t>
  </si>
  <si>
    <t>CIE_10</t>
  </si>
  <si>
    <t>Descriptor</t>
  </si>
  <si>
    <t>J00-J06</t>
  </si>
  <si>
    <t>J09-J11</t>
  </si>
  <si>
    <t>J12-J18</t>
  </si>
  <si>
    <t>J20-J21</t>
  </si>
  <si>
    <t>J40-J46</t>
  </si>
  <si>
    <t>J22,J30-J39,J60-J98</t>
  </si>
  <si>
    <t>Accidente Trabajo Funcionario</t>
  </si>
  <si>
    <t>ACC. DE TRANSITO Y LABORAL</t>
  </si>
  <si>
    <t>TOTAL PACIENTES ATENDIDOS</t>
  </si>
  <si>
    <t>ENERO - DICIEMBRE 2020</t>
  </si>
  <si>
    <t>INTOXICACION POR ALCOHOL</t>
  </si>
  <si>
    <t>0.07</t>
  </si>
  <si>
    <t>0.12</t>
  </si>
  <si>
    <t xml:space="preserve"> </t>
  </si>
  <si>
    <t>RESPIRATORIO</t>
  </si>
  <si>
    <t>PCR</t>
  </si>
  <si>
    <t>PCR POSITIVO</t>
  </si>
  <si>
    <t>PCR NEGATIVO</t>
  </si>
  <si>
    <t>*</t>
  </si>
  <si>
    <t>PCR INDETERMINADO</t>
  </si>
  <si>
    <t>EN PROCESO</t>
  </si>
  <si>
    <t>PCR EN CVP</t>
  </si>
  <si>
    <t>PCR MICRORED</t>
  </si>
  <si>
    <t>SE FUGA</t>
  </si>
  <si>
    <t>NO ASISTE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</si>
</sst>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h]:mm"/>
  </numFmts>
  <fonts count="17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6.5"/>
      <color rgb="FF000000"/>
      <name val="Georgia"/>
      <family val="1"/>
    </font>
    <font>
      <sz val="14"/>
      <name val="Calibri"/>
      <family val="2"/>
      <scheme val="minor"/>
    </font>
    <font>
      <sz val="14"/>
      <color rgb="FF00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indexed="81"/>
      <name val="Tahoma"/>
      <family val="2"/>
    </font>
    <font>
      <b/>
      <sz val="18"/>
      <color theme="1"/>
      <name val="Calibri"/>
      <family val="2"/>
      <scheme val="minor"/>
    </font>
    <font>
      <sz val="12"/>
      <color rgb="FF000000"/>
      <name val="Georgia"/>
      <family val="1"/>
    </font>
    <font>
      <sz val="11"/>
      <color theme="1" tint="0.14999847407452621"/>
      <name val="Calibri"/>
      <family val="2"/>
      <scheme val="minor"/>
    </font>
    <font>
      <b/>
      <sz val="11"/>
      <color theme="1" tint="0.14999847407452621"/>
      <name val="Calibri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C5E0B3"/>
        <bgColor indexed="64"/>
      </patternFill>
    </fill>
    <fill>
      <patternFill patternType="solid">
        <fgColor rgb="FFF088D5"/>
        <bgColor indexed="64"/>
      </patternFill>
    </fill>
    <fill>
      <patternFill patternType="solid">
        <fgColor rgb="FFFFA5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 tint="-0.499984740745262"/>
        <bgColor indexed="64"/>
      </patternFill>
    </fill>
  </fills>
  <borders count="7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/>
      <bottom/>
      <diagonal/>
    </border>
    <border>
      <left/>
      <right style="dashed">
        <color rgb="FF000000"/>
      </right>
      <top/>
      <bottom/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43">
    <xf numFmtId="0" fontId="0" fillId="0" borderId="0" xfId="0"/>
    <xf numFmtId="0" fontId="1" fillId="5" borderId="0" xfId="0" applyFont="1" applyFill="1" applyAlignment="1">
      <alignment horizontal="center" vertical="center" wrapText="1"/>
    </xf>
    <xf numFmtId="0" fontId="6" fillId="0" borderId="0" xfId="0" applyFont="1"/>
    <xf numFmtId="0" fontId="1" fillId="6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5" borderId="12" xfId="0" applyFont="1" applyFill="1" applyBorder="1" applyAlignment="1">
      <alignment horizontal="center" vertical="center" wrapText="1"/>
    </xf>
    <xf numFmtId="0" fontId="4" fillId="5" borderId="6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horizontal="center" vertical="center" wrapText="1"/>
    </xf>
    <xf numFmtId="0" fontId="4" fillId="4" borderId="10" xfId="0" applyFont="1" applyFill="1" applyBorder="1" applyAlignment="1">
      <alignment horizontal="center" vertical="center" wrapText="1"/>
    </xf>
    <xf numFmtId="0" fontId="4" fillId="4" borderId="11" xfId="0" applyFont="1" applyFill="1" applyBorder="1" applyAlignment="1">
      <alignment horizontal="center" vertical="center" wrapText="1"/>
    </xf>
    <xf numFmtId="0" fontId="4" fillId="5" borderId="13" xfId="0" applyFont="1" applyFill="1" applyBorder="1" applyAlignment="1">
      <alignment horizontal="center" vertical="center" wrapText="1"/>
    </xf>
    <xf numFmtId="0" fontId="4" fillId="5" borderId="10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164" fontId="4" fillId="3" borderId="1" xfId="0" applyNumberFormat="1" applyFont="1" applyFill="1" applyBorder="1" applyAlignment="1">
      <alignment horizontal="center" vertical="center" wrapText="1"/>
    </xf>
    <xf numFmtId="164" fontId="4" fillId="3" borderId="10" xfId="0" applyNumberFormat="1" applyFont="1" applyFill="1" applyBorder="1" applyAlignment="1">
      <alignment horizontal="center" vertical="center" wrapText="1"/>
    </xf>
    <xf numFmtId="0" fontId="4" fillId="8" borderId="2" xfId="0" applyFont="1" applyFill="1" applyBorder="1" applyAlignment="1">
      <alignment horizontal="center" vertical="center" wrapText="1"/>
    </xf>
    <xf numFmtId="0" fontId="4" fillId="8" borderId="11" xfId="0" applyFont="1" applyFill="1" applyBorder="1" applyAlignment="1">
      <alignment horizontal="center" vertical="center" wrapText="1"/>
    </xf>
    <xf numFmtId="0" fontId="4" fillId="5" borderId="14" xfId="0" applyFont="1" applyFill="1" applyBorder="1" applyAlignment="1">
      <alignment horizontal="center" vertical="center" wrapText="1"/>
    </xf>
    <xf numFmtId="0" fontId="4" fillId="5" borderId="11" xfId="0" applyFont="1" applyFill="1" applyBorder="1" applyAlignment="1">
      <alignment horizontal="center" vertical="center" wrapText="1"/>
    </xf>
    <xf numFmtId="164" fontId="4" fillId="3" borderId="2" xfId="0" applyNumberFormat="1" applyFont="1" applyFill="1" applyBorder="1" applyAlignment="1">
      <alignment horizontal="center" vertical="center" wrapText="1"/>
    </xf>
    <xf numFmtId="164" fontId="4" fillId="3" borderId="11" xfId="0" applyNumberFormat="1" applyFont="1" applyFill="1" applyBorder="1" applyAlignment="1">
      <alignment horizontal="center" vertical="center" wrapText="1"/>
    </xf>
    <xf numFmtId="0" fontId="4" fillId="12" borderId="13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4" fillId="8" borderId="10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4" fillId="15" borderId="6" xfId="0" applyFont="1" applyFill="1" applyBorder="1" applyAlignment="1">
      <alignment horizontal="center" vertical="center" wrapText="1"/>
    </xf>
    <xf numFmtId="0" fontId="4" fillId="17" borderId="1" xfId="0" applyFont="1" applyFill="1" applyBorder="1" applyAlignment="1">
      <alignment horizontal="center" vertical="center" wrapText="1"/>
    </xf>
    <xf numFmtId="0" fontId="4" fillId="17" borderId="10" xfId="0" applyFont="1" applyFill="1" applyBorder="1" applyAlignment="1">
      <alignment horizontal="center" vertical="center" wrapText="1"/>
    </xf>
    <xf numFmtId="0" fontId="4" fillId="17" borderId="6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horizontal="center" vertical="center"/>
    </xf>
    <xf numFmtId="0" fontId="1" fillId="5" borderId="20" xfId="0" applyFont="1" applyFill="1" applyBorder="1" applyAlignment="1">
      <alignment horizontal="center" vertical="center" wrapText="1"/>
    </xf>
    <xf numFmtId="0" fontId="1" fillId="5" borderId="15" xfId="0" applyFont="1" applyFill="1" applyBorder="1" applyAlignment="1">
      <alignment horizontal="center" vertical="center" wrapText="1"/>
    </xf>
    <xf numFmtId="164" fontId="4" fillId="16" borderId="1" xfId="0" applyNumberFormat="1" applyFont="1" applyFill="1" applyBorder="1" applyAlignment="1">
      <alignment horizontal="center" vertical="center" wrapText="1"/>
    </xf>
    <xf numFmtId="164" fontId="4" fillId="14" borderId="1" xfId="0" applyNumberFormat="1" applyFont="1" applyFill="1" applyBorder="1" applyAlignment="1">
      <alignment horizontal="center" vertical="center" wrapText="1"/>
    </xf>
    <xf numFmtId="0" fontId="6" fillId="3" borderId="25" xfId="0" applyFont="1" applyFill="1" applyBorder="1" applyAlignment="1">
      <alignment horizontal="left" vertical="center"/>
    </xf>
    <xf numFmtId="0" fontId="6" fillId="2" borderId="25" xfId="0" applyFont="1" applyFill="1" applyBorder="1" applyAlignment="1">
      <alignment vertical="center"/>
    </xf>
    <xf numFmtId="0" fontId="6" fillId="3" borderId="25" xfId="0" applyFont="1" applyFill="1" applyBorder="1" applyAlignment="1">
      <alignment vertical="center"/>
    </xf>
    <xf numFmtId="0" fontId="6" fillId="3" borderId="25" xfId="0" applyFont="1" applyFill="1" applyBorder="1" applyAlignment="1">
      <alignment horizontal="center" vertical="center"/>
    </xf>
    <xf numFmtId="2" fontId="6" fillId="3" borderId="25" xfId="0" applyNumberFormat="1" applyFont="1" applyFill="1" applyBorder="1" applyAlignment="1">
      <alignment horizontal="center" vertical="center"/>
    </xf>
    <xf numFmtId="16" fontId="6" fillId="3" borderId="25" xfId="0" applyNumberFormat="1" applyFont="1" applyFill="1" applyBorder="1" applyAlignment="1">
      <alignment horizontal="center" vertical="center"/>
    </xf>
    <xf numFmtId="49" fontId="7" fillId="3" borderId="25" xfId="0" applyNumberFormat="1" applyFont="1" applyFill="1" applyBorder="1" applyAlignment="1">
      <alignment horizontal="center" vertical="center" wrapText="1"/>
    </xf>
    <xf numFmtId="0" fontId="7" fillId="3" borderId="25" xfId="0" applyFont="1" applyFill="1" applyBorder="1" applyAlignment="1">
      <alignment horizontal="center" vertical="center" wrapText="1"/>
    </xf>
    <xf numFmtId="0" fontId="7" fillId="3" borderId="25" xfId="0" applyFont="1" applyFill="1" applyBorder="1" applyAlignment="1">
      <alignment horizontal="center" vertical="center"/>
    </xf>
    <xf numFmtId="0" fontId="6" fillId="8" borderId="25" xfId="0" applyFont="1" applyFill="1" applyBorder="1" applyAlignment="1">
      <alignment vertical="center"/>
    </xf>
    <xf numFmtId="0" fontId="6" fillId="8" borderId="25" xfId="0" applyFont="1" applyFill="1" applyBorder="1" applyAlignment="1">
      <alignment horizontal="left" vertical="center"/>
    </xf>
    <xf numFmtId="0" fontId="6" fillId="17" borderId="25" xfId="0" applyFont="1" applyFill="1" applyBorder="1" applyAlignment="1">
      <alignment vertical="center"/>
    </xf>
    <xf numFmtId="0" fontId="6" fillId="16" borderId="25" xfId="0" applyFont="1" applyFill="1" applyBorder="1" applyAlignment="1">
      <alignment vertical="center"/>
    </xf>
    <xf numFmtId="0" fontId="6" fillId="14" borderId="25" xfId="0" applyFont="1" applyFill="1" applyBorder="1" applyAlignment="1">
      <alignment horizontal="left" vertical="center"/>
    </xf>
    <xf numFmtId="0" fontId="6" fillId="10" borderId="24" xfId="0" applyFont="1" applyFill="1" applyBorder="1" applyAlignment="1">
      <alignment horizontal="left" vertical="center"/>
    </xf>
    <xf numFmtId="0" fontId="4" fillId="10" borderId="13" xfId="0" applyFont="1" applyFill="1" applyBorder="1" applyAlignment="1">
      <alignment horizontal="center" vertical="center" wrapText="1"/>
    </xf>
    <xf numFmtId="0" fontId="6" fillId="12" borderId="24" xfId="0" applyFont="1" applyFill="1" applyBorder="1" applyAlignment="1">
      <alignment horizontal="left" vertical="center"/>
    </xf>
    <xf numFmtId="0" fontId="6" fillId="14" borderId="26" xfId="0" applyFont="1" applyFill="1" applyBorder="1" applyAlignment="1">
      <alignment horizontal="left" vertical="center"/>
    </xf>
    <xf numFmtId="0" fontId="4" fillId="14" borderId="10" xfId="0" applyFont="1" applyFill="1" applyBorder="1" applyAlignment="1">
      <alignment horizontal="center" vertical="center" wrapText="1"/>
    </xf>
    <xf numFmtId="0" fontId="6" fillId="7" borderId="24" xfId="0" applyFont="1" applyFill="1" applyBorder="1" applyAlignment="1">
      <alignment vertical="center"/>
    </xf>
    <xf numFmtId="164" fontId="4" fillId="7" borderId="13" xfId="0" applyNumberFormat="1" applyFont="1" applyFill="1" applyBorder="1" applyAlignment="1">
      <alignment horizontal="center" vertical="center" wrapText="1"/>
    </xf>
    <xf numFmtId="0" fontId="6" fillId="3" borderId="26" xfId="0" applyFont="1" applyFill="1" applyBorder="1" applyAlignment="1">
      <alignment vertical="center"/>
    </xf>
    <xf numFmtId="0" fontId="6" fillId="17" borderId="26" xfId="0" applyFont="1" applyFill="1" applyBorder="1" applyAlignment="1">
      <alignment vertical="center"/>
    </xf>
    <xf numFmtId="0" fontId="6" fillId="15" borderId="24" xfId="0" applyFont="1" applyFill="1" applyBorder="1" applyAlignment="1">
      <alignment vertical="center"/>
    </xf>
    <xf numFmtId="0" fontId="4" fillId="15" borderId="13" xfId="0" applyFont="1" applyFill="1" applyBorder="1" applyAlignment="1">
      <alignment horizontal="center" vertical="center" wrapText="1"/>
    </xf>
    <xf numFmtId="0" fontId="6" fillId="15" borderId="26" xfId="0" applyFont="1" applyFill="1" applyBorder="1" applyAlignment="1">
      <alignment vertical="center"/>
    </xf>
    <xf numFmtId="0" fontId="4" fillId="15" borderId="10" xfId="0" applyFont="1" applyFill="1" applyBorder="1" applyAlignment="1">
      <alignment horizontal="center" vertical="center" wrapText="1"/>
    </xf>
    <xf numFmtId="0" fontId="6" fillId="5" borderId="24" xfId="0" applyFont="1" applyFill="1" applyBorder="1" applyAlignment="1">
      <alignment vertical="center"/>
    </xf>
    <xf numFmtId="0" fontId="6" fillId="10" borderId="24" xfId="0" applyFont="1" applyFill="1" applyBorder="1" applyAlignment="1">
      <alignment vertical="center"/>
    </xf>
    <xf numFmtId="0" fontId="6" fillId="8" borderId="26" xfId="0" applyFont="1" applyFill="1" applyBorder="1" applyAlignment="1">
      <alignment horizontal="left" vertical="center"/>
    </xf>
    <xf numFmtId="0" fontId="6" fillId="8" borderId="26" xfId="0" applyFont="1" applyFill="1" applyBorder="1" applyAlignment="1">
      <alignment vertical="center"/>
    </xf>
    <xf numFmtId="0" fontId="6" fillId="9" borderId="28" xfId="0" applyFont="1" applyFill="1" applyBorder="1" applyAlignment="1">
      <alignment vertical="center"/>
    </xf>
    <xf numFmtId="0" fontId="6" fillId="2" borderId="24" xfId="0" applyFont="1" applyFill="1" applyBorder="1" applyAlignment="1">
      <alignment vertical="center"/>
    </xf>
    <xf numFmtId="0" fontId="4" fillId="2" borderId="13" xfId="0" applyFont="1" applyFill="1" applyBorder="1" applyAlignment="1">
      <alignment horizontal="center" vertical="center" wrapText="1"/>
    </xf>
    <xf numFmtId="0" fontId="6" fillId="4" borderId="26" xfId="0" applyFont="1" applyFill="1" applyBorder="1" applyAlignment="1">
      <alignment vertical="center"/>
    </xf>
    <xf numFmtId="0" fontId="7" fillId="4" borderId="27" xfId="0" applyFont="1" applyFill="1" applyBorder="1" applyAlignment="1">
      <alignment horizontal="center" vertical="center"/>
    </xf>
    <xf numFmtId="0" fontId="6" fillId="3" borderId="27" xfId="0" applyFont="1" applyFill="1" applyBorder="1" applyAlignment="1">
      <alignment horizontal="left" vertical="center"/>
    </xf>
    <xf numFmtId="0" fontId="4" fillId="3" borderId="10" xfId="0" applyFont="1" applyFill="1" applyBorder="1" applyAlignment="1">
      <alignment horizontal="center" vertical="center" wrapText="1"/>
    </xf>
    <xf numFmtId="0" fontId="6" fillId="11" borderId="24" xfId="0" applyFont="1" applyFill="1" applyBorder="1" applyAlignment="1">
      <alignment vertical="center"/>
    </xf>
    <xf numFmtId="0" fontId="4" fillId="11" borderId="13" xfId="0" applyFont="1" applyFill="1" applyBorder="1" applyAlignment="1">
      <alignment horizontal="center" vertical="center" wrapText="1"/>
    </xf>
    <xf numFmtId="0" fontId="6" fillId="3" borderId="26" xfId="0" applyFont="1" applyFill="1" applyBorder="1" applyAlignment="1">
      <alignment horizontal="left" vertical="center"/>
    </xf>
    <xf numFmtId="0" fontId="3" fillId="6" borderId="29" xfId="0" applyFont="1" applyFill="1" applyBorder="1" applyAlignment="1">
      <alignment vertical="center"/>
    </xf>
    <xf numFmtId="0" fontId="4" fillId="3" borderId="11" xfId="0" applyFont="1" applyFill="1" applyBorder="1" applyAlignment="1">
      <alignment horizontal="center" vertical="center" wrapText="1"/>
    </xf>
    <xf numFmtId="0" fontId="4" fillId="2" borderId="14" xfId="0" applyFont="1" applyFill="1" applyBorder="1" applyAlignment="1">
      <alignment horizontal="center" vertical="center" wrapText="1"/>
    </xf>
    <xf numFmtId="0" fontId="4" fillId="10" borderId="14" xfId="0" applyFont="1" applyFill="1" applyBorder="1" applyAlignment="1">
      <alignment horizontal="center" vertical="center" wrapText="1"/>
    </xf>
    <xf numFmtId="0" fontId="4" fillId="15" borderId="14" xfId="0" applyFont="1" applyFill="1" applyBorder="1" applyAlignment="1">
      <alignment horizontal="center" vertical="center" wrapText="1"/>
    </xf>
    <xf numFmtId="0" fontId="4" fillId="15" borderId="11" xfId="0" applyFont="1" applyFill="1" applyBorder="1" applyAlignment="1">
      <alignment horizontal="center" vertical="center" wrapText="1"/>
    </xf>
    <xf numFmtId="0" fontId="4" fillId="17" borderId="2" xfId="0" applyFont="1" applyFill="1" applyBorder="1" applyAlignment="1">
      <alignment horizontal="center" vertical="center" wrapText="1"/>
    </xf>
    <xf numFmtId="0" fontId="4" fillId="17" borderId="11" xfId="0" applyFont="1" applyFill="1" applyBorder="1" applyAlignment="1">
      <alignment horizontal="center" vertical="center" wrapText="1"/>
    </xf>
    <xf numFmtId="164" fontId="4" fillId="7" borderId="14" xfId="0" applyNumberFormat="1" applyFont="1" applyFill="1" applyBorder="1" applyAlignment="1">
      <alignment horizontal="center" vertical="center" wrapText="1"/>
    </xf>
    <xf numFmtId="164" fontId="4" fillId="16" borderId="2" xfId="0" applyNumberFormat="1" applyFont="1" applyFill="1" applyBorder="1" applyAlignment="1">
      <alignment horizontal="center" vertical="center" wrapText="1"/>
    </xf>
    <xf numFmtId="0" fontId="4" fillId="12" borderId="14" xfId="0" applyFont="1" applyFill="1" applyBorder="1" applyAlignment="1">
      <alignment horizontal="center" vertical="center" wrapText="1"/>
    </xf>
    <xf numFmtId="164" fontId="4" fillId="14" borderId="2" xfId="0" applyNumberFormat="1" applyFont="1" applyFill="1" applyBorder="1" applyAlignment="1">
      <alignment horizontal="center" vertical="center" wrapText="1"/>
    </xf>
    <xf numFmtId="0" fontId="4" fillId="14" borderId="11" xfId="0" applyFont="1" applyFill="1" applyBorder="1" applyAlignment="1">
      <alignment horizontal="center" vertical="center" wrapText="1"/>
    </xf>
    <xf numFmtId="0" fontId="4" fillId="10" borderId="12" xfId="0" applyFont="1" applyFill="1" applyBorder="1" applyAlignment="1">
      <alignment horizontal="center" vertical="center" wrapText="1"/>
    </xf>
    <xf numFmtId="0" fontId="4" fillId="15" borderId="12" xfId="0" applyFont="1" applyFill="1" applyBorder="1" applyAlignment="1">
      <alignment horizontal="center" vertical="center" wrapText="1"/>
    </xf>
    <xf numFmtId="0" fontId="4" fillId="17" borderId="5" xfId="0" applyFont="1" applyFill="1" applyBorder="1" applyAlignment="1">
      <alignment horizontal="center" vertical="center" wrapText="1"/>
    </xf>
    <xf numFmtId="164" fontId="4" fillId="7" borderId="12" xfId="0" applyNumberFormat="1" applyFont="1" applyFill="1" applyBorder="1" applyAlignment="1">
      <alignment horizontal="center" vertical="center" wrapText="1"/>
    </xf>
    <xf numFmtId="164" fontId="4" fillId="2" borderId="5" xfId="0" applyNumberFormat="1" applyFont="1" applyFill="1" applyBorder="1" applyAlignment="1">
      <alignment horizontal="center" vertical="center" wrapText="1"/>
    </xf>
    <xf numFmtId="164" fontId="4" fillId="16" borderId="5" xfId="0" applyNumberFormat="1" applyFont="1" applyFill="1" applyBorder="1" applyAlignment="1">
      <alignment horizontal="center" vertical="center" wrapText="1"/>
    </xf>
    <xf numFmtId="0" fontId="4" fillId="5" borderId="17" xfId="0" applyFont="1" applyFill="1" applyBorder="1" applyAlignment="1">
      <alignment horizontal="center" vertical="center" wrapText="1"/>
    </xf>
    <xf numFmtId="0" fontId="4" fillId="5" borderId="19" xfId="0" applyFont="1" applyFill="1" applyBorder="1" applyAlignment="1">
      <alignment horizontal="center" vertical="center" wrapText="1"/>
    </xf>
    <xf numFmtId="0" fontId="4" fillId="5" borderId="16" xfId="0" applyFont="1" applyFill="1" applyBorder="1" applyAlignment="1">
      <alignment horizontal="center" vertical="center" wrapText="1"/>
    </xf>
    <xf numFmtId="0" fontId="6" fillId="18" borderId="28" xfId="0" applyFont="1" applyFill="1" applyBorder="1" applyAlignment="1">
      <alignment vertical="center"/>
    </xf>
    <xf numFmtId="0" fontId="6" fillId="18" borderId="27" xfId="0" applyFont="1" applyFill="1" applyBorder="1" applyAlignment="1">
      <alignment vertical="center"/>
    </xf>
    <xf numFmtId="0" fontId="1" fillId="4" borderId="8" xfId="0" applyFont="1" applyFill="1" applyBorder="1" applyAlignment="1">
      <alignment horizontal="center" vertical="center" wrapText="1"/>
    </xf>
    <xf numFmtId="0" fontId="6" fillId="3" borderId="27" xfId="0" applyFont="1" applyFill="1" applyBorder="1" applyAlignment="1">
      <alignment vertical="center"/>
    </xf>
    <xf numFmtId="0" fontId="4" fillId="2" borderId="30" xfId="0" applyFont="1" applyFill="1" applyBorder="1" applyAlignment="1">
      <alignment horizontal="center" vertical="center" wrapText="1"/>
    </xf>
    <xf numFmtId="0" fontId="6" fillId="2" borderId="31" xfId="0" applyFont="1" applyFill="1" applyBorder="1" applyAlignment="1">
      <alignment vertical="center"/>
    </xf>
    <xf numFmtId="0" fontId="6" fillId="2" borderId="5" xfId="0" applyFont="1" applyFill="1" applyBorder="1" applyAlignment="1">
      <alignment vertical="center"/>
    </xf>
    <xf numFmtId="0" fontId="6" fillId="2" borderId="30" xfId="0" applyFont="1" applyFill="1" applyBorder="1" applyAlignment="1">
      <alignment vertical="center"/>
    </xf>
    <xf numFmtId="0" fontId="6" fillId="2" borderId="16" xfId="0" applyFont="1" applyFill="1" applyBorder="1" applyAlignment="1">
      <alignment vertical="center"/>
    </xf>
    <xf numFmtId="0" fontId="6" fillId="3" borderId="32" xfId="0" applyFont="1" applyFill="1" applyBorder="1" applyAlignment="1">
      <alignment horizontal="left" vertical="center"/>
    </xf>
    <xf numFmtId="0" fontId="4" fillId="3" borderId="33" xfId="0" applyFont="1" applyFill="1" applyBorder="1" applyAlignment="1">
      <alignment horizontal="center" vertical="center" wrapText="1"/>
    </xf>
    <xf numFmtId="0" fontId="4" fillId="3" borderId="34" xfId="0" applyFont="1" applyFill="1" applyBorder="1" applyAlignment="1">
      <alignment horizontal="center" vertical="center" wrapText="1"/>
    </xf>
    <xf numFmtId="0" fontId="4" fillId="2" borderId="35" xfId="0" applyFont="1" applyFill="1" applyBorder="1" applyAlignment="1">
      <alignment horizontal="center" vertical="center" wrapText="1"/>
    </xf>
    <xf numFmtId="0" fontId="6" fillId="10" borderId="29" xfId="0" applyFont="1" applyFill="1" applyBorder="1" applyAlignment="1">
      <alignment vertical="center"/>
    </xf>
    <xf numFmtId="0" fontId="4" fillId="10" borderId="8" xfId="0" applyFont="1" applyFill="1" applyBorder="1" applyAlignment="1">
      <alignment horizontal="center" vertical="center" wrapText="1"/>
    </xf>
    <xf numFmtId="0" fontId="4" fillId="10" borderId="9" xfId="0" applyFont="1" applyFill="1" applyBorder="1" applyAlignment="1">
      <alignment horizontal="center" vertical="center" wrapText="1"/>
    </xf>
    <xf numFmtId="0" fontId="4" fillId="10" borderId="4" xfId="0" applyFont="1" applyFill="1" applyBorder="1" applyAlignment="1">
      <alignment horizontal="center" vertical="center" wrapText="1"/>
    </xf>
    <xf numFmtId="0" fontId="6" fillId="10" borderId="36" xfId="0" applyFont="1" applyFill="1" applyBorder="1" applyAlignment="1">
      <alignment vertical="center"/>
    </xf>
    <xf numFmtId="0" fontId="4" fillId="10" borderId="37" xfId="0" applyFont="1" applyFill="1" applyBorder="1" applyAlignment="1">
      <alignment horizontal="center" vertical="center" wrapText="1"/>
    </xf>
    <xf numFmtId="0" fontId="4" fillId="10" borderId="38" xfId="0" applyFont="1" applyFill="1" applyBorder="1" applyAlignment="1">
      <alignment horizontal="center" vertical="center" wrapText="1"/>
    </xf>
    <xf numFmtId="0" fontId="4" fillId="10" borderId="35" xfId="0" applyFont="1" applyFill="1" applyBorder="1" applyAlignment="1">
      <alignment horizontal="center" vertical="center" wrapText="1"/>
    </xf>
    <xf numFmtId="0" fontId="6" fillId="8" borderId="29" xfId="0" applyFont="1" applyFill="1" applyBorder="1" applyAlignment="1">
      <alignment vertical="center"/>
    </xf>
    <xf numFmtId="0" fontId="4" fillId="8" borderId="8" xfId="0" applyFont="1" applyFill="1" applyBorder="1" applyAlignment="1">
      <alignment horizontal="center" vertical="center" wrapText="1"/>
    </xf>
    <xf numFmtId="0" fontId="4" fillId="8" borderId="9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6" fillId="8" borderId="32" xfId="0" applyFont="1" applyFill="1" applyBorder="1" applyAlignment="1">
      <alignment vertical="center"/>
    </xf>
    <xf numFmtId="0" fontId="4" fillId="8" borderId="33" xfId="0" applyFont="1" applyFill="1" applyBorder="1" applyAlignment="1">
      <alignment horizontal="center" vertical="center" wrapText="1"/>
    </xf>
    <xf numFmtId="0" fontId="4" fillId="8" borderId="34" xfId="0" applyFont="1" applyFill="1" applyBorder="1" applyAlignment="1">
      <alignment horizontal="center" vertical="center" wrapText="1"/>
    </xf>
    <xf numFmtId="0" fontId="4" fillId="2" borderId="31" xfId="0" applyFont="1" applyFill="1" applyBorder="1" applyAlignment="1">
      <alignment horizontal="center" vertical="center" wrapText="1"/>
    </xf>
    <xf numFmtId="0" fontId="6" fillId="18" borderId="24" xfId="0" applyFont="1" applyFill="1" applyBorder="1" applyAlignment="1">
      <alignment vertical="center"/>
    </xf>
    <xf numFmtId="0" fontId="6" fillId="3" borderId="28" xfId="0" applyFont="1" applyFill="1" applyBorder="1" applyAlignment="1">
      <alignment horizontal="left" vertical="center"/>
    </xf>
    <xf numFmtId="0" fontId="4" fillId="11" borderId="37" xfId="0" applyFont="1" applyFill="1" applyBorder="1" applyAlignment="1">
      <alignment horizontal="center" vertical="center" wrapText="1"/>
    </xf>
    <xf numFmtId="0" fontId="6" fillId="11" borderId="36" xfId="0" applyFont="1" applyFill="1" applyBorder="1" applyAlignment="1">
      <alignment vertical="center"/>
    </xf>
    <xf numFmtId="0" fontId="4" fillId="17" borderId="1" xfId="0" applyFont="1" applyFill="1" applyBorder="1" applyAlignment="1">
      <alignment horizontal="center" vertical="center"/>
    </xf>
    <xf numFmtId="0" fontId="4" fillId="17" borderId="5" xfId="0" applyFont="1" applyFill="1" applyBorder="1" applyAlignment="1">
      <alignment horizontal="center" vertical="center"/>
    </xf>
    <xf numFmtId="0" fontId="6" fillId="13" borderId="40" xfId="0" applyFont="1" applyFill="1" applyBorder="1" applyAlignment="1">
      <alignment horizontal="left" vertical="center"/>
    </xf>
    <xf numFmtId="0" fontId="10" fillId="20" borderId="39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0" fillId="20" borderId="43" xfId="0" applyFont="1" applyFill="1" applyBorder="1" applyAlignment="1">
      <alignment horizontal="center" vertical="center" wrapText="1"/>
    </xf>
    <xf numFmtId="0" fontId="4" fillId="2" borderId="45" xfId="0" applyFont="1" applyFill="1" applyBorder="1" applyAlignment="1">
      <alignment horizontal="center" vertical="center" wrapText="1"/>
    </xf>
    <xf numFmtId="0" fontId="10" fillId="20" borderId="46" xfId="0" applyFont="1" applyFill="1" applyBorder="1" applyAlignment="1">
      <alignment horizontal="center" vertical="center" wrapText="1"/>
    </xf>
    <xf numFmtId="0" fontId="10" fillId="20" borderId="47" xfId="0" applyFont="1" applyFill="1" applyBorder="1" applyAlignment="1">
      <alignment horizontal="center" vertical="center" wrapText="1"/>
    </xf>
    <xf numFmtId="0" fontId="6" fillId="18" borderId="26" xfId="0" applyFont="1" applyFill="1" applyBorder="1" applyAlignment="1">
      <alignment vertical="center"/>
    </xf>
    <xf numFmtId="0" fontId="9" fillId="2" borderId="1" xfId="0" applyFont="1" applyFill="1" applyBorder="1" applyAlignment="1">
      <alignment horizontal="center" vertical="center" wrapText="1"/>
    </xf>
    <xf numFmtId="0" fontId="9" fillId="17" borderId="1" xfId="0" applyFont="1" applyFill="1" applyBorder="1" applyAlignment="1">
      <alignment horizontal="center" vertical="center" wrapText="1"/>
    </xf>
    <xf numFmtId="0" fontId="9" fillId="17" borderId="10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4" fillId="4" borderId="17" xfId="0" applyFont="1" applyFill="1" applyBorder="1" applyAlignment="1">
      <alignment horizontal="center" vertical="center" wrapText="1"/>
    </xf>
    <xf numFmtId="0" fontId="4" fillId="4" borderId="19" xfId="0" applyFont="1" applyFill="1" applyBorder="1" applyAlignment="1">
      <alignment horizontal="center" vertical="center" wrapText="1"/>
    </xf>
    <xf numFmtId="0" fontId="6" fillId="4" borderId="36" xfId="0" applyFont="1" applyFill="1" applyBorder="1" applyAlignment="1">
      <alignment vertical="center"/>
    </xf>
    <xf numFmtId="0" fontId="4" fillId="4" borderId="37" xfId="0" applyFont="1" applyFill="1" applyBorder="1" applyAlignment="1">
      <alignment horizontal="center" vertical="center" wrapText="1"/>
    </xf>
    <xf numFmtId="0" fontId="4" fillId="4" borderId="38" xfId="0" applyFont="1" applyFill="1" applyBorder="1" applyAlignment="1">
      <alignment horizontal="center" vertical="center" wrapText="1"/>
    </xf>
    <xf numFmtId="0" fontId="4" fillId="4" borderId="35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0" fontId="6" fillId="4" borderId="28" xfId="0" applyFont="1" applyFill="1" applyBorder="1" applyAlignment="1">
      <alignment horizontal="left" vertical="center"/>
    </xf>
    <xf numFmtId="0" fontId="4" fillId="4" borderId="16" xfId="0" applyFont="1" applyFill="1" applyBorder="1" applyAlignment="1">
      <alignment horizontal="center" vertical="center" wrapText="1"/>
    </xf>
    <xf numFmtId="0" fontId="6" fillId="4" borderId="48" xfId="0" applyFont="1" applyFill="1" applyBorder="1" applyAlignment="1">
      <alignment vertical="center"/>
    </xf>
    <xf numFmtId="0" fontId="4" fillId="4" borderId="42" xfId="0" applyFont="1" applyFill="1" applyBorder="1" applyAlignment="1">
      <alignment horizontal="center" vertical="center" wrapText="1"/>
    </xf>
    <xf numFmtId="0" fontId="4" fillId="4" borderId="44" xfId="0" applyFont="1" applyFill="1" applyBorder="1" applyAlignment="1">
      <alignment horizontal="center" vertical="center" wrapText="1"/>
    </xf>
    <xf numFmtId="0" fontId="4" fillId="4" borderId="41" xfId="0" applyFont="1" applyFill="1" applyBorder="1" applyAlignment="1">
      <alignment horizontal="center" vertical="center" wrapText="1"/>
    </xf>
    <xf numFmtId="0" fontId="6" fillId="9" borderId="36" xfId="0" applyFont="1" applyFill="1" applyBorder="1" applyAlignment="1">
      <alignment vertical="center"/>
    </xf>
    <xf numFmtId="0" fontId="4" fillId="9" borderId="37" xfId="0" applyFont="1" applyFill="1" applyBorder="1" applyAlignment="1">
      <alignment horizontal="center" vertical="center" wrapText="1"/>
    </xf>
    <xf numFmtId="0" fontId="4" fillId="3" borderId="17" xfId="0" applyFont="1" applyFill="1" applyBorder="1" applyAlignment="1">
      <alignment horizontal="center" vertical="center" wrapText="1"/>
    </xf>
    <xf numFmtId="0" fontId="4" fillId="3" borderId="19" xfId="0" applyFont="1" applyFill="1" applyBorder="1" applyAlignment="1">
      <alignment horizontal="center" vertical="center" wrapText="1"/>
    </xf>
    <xf numFmtId="0" fontId="4" fillId="9" borderId="31" xfId="0" applyFont="1" applyFill="1" applyBorder="1" applyAlignment="1">
      <alignment horizontal="center" vertical="center" wrapText="1"/>
    </xf>
    <xf numFmtId="0" fontId="4" fillId="9" borderId="33" xfId="0" applyFont="1" applyFill="1" applyBorder="1" applyAlignment="1">
      <alignment horizontal="center" vertical="center" wrapText="1"/>
    </xf>
    <xf numFmtId="0" fontId="4" fillId="9" borderId="49" xfId="0" applyFont="1" applyFill="1" applyBorder="1" applyAlignment="1">
      <alignment horizontal="center" vertical="center" wrapText="1"/>
    </xf>
    <xf numFmtId="0" fontId="4" fillId="9" borderId="35" xfId="0" applyFont="1" applyFill="1" applyBorder="1" applyAlignment="1">
      <alignment horizontal="center" vertical="center" wrapText="1"/>
    </xf>
    <xf numFmtId="0" fontId="6" fillId="9" borderId="27" xfId="0" applyFont="1" applyFill="1" applyBorder="1" applyAlignment="1">
      <alignment vertical="center"/>
    </xf>
    <xf numFmtId="0" fontId="4" fillId="9" borderId="3" xfId="0" applyFont="1" applyFill="1" applyBorder="1" applyAlignment="1">
      <alignment horizontal="center" vertical="center" wrapText="1"/>
    </xf>
    <xf numFmtId="0" fontId="4" fillId="9" borderId="7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4" fillId="9" borderId="30" xfId="0" applyFont="1" applyFill="1" applyBorder="1" applyAlignment="1">
      <alignment horizontal="center" vertical="center" wrapText="1"/>
    </xf>
    <xf numFmtId="0" fontId="6" fillId="18" borderId="36" xfId="0" applyFont="1" applyFill="1" applyBorder="1" applyAlignment="1">
      <alignment vertical="center"/>
    </xf>
    <xf numFmtId="0" fontId="4" fillId="18" borderId="37" xfId="0" applyFont="1" applyFill="1" applyBorder="1" applyAlignment="1">
      <alignment horizontal="center" vertical="center" wrapText="1"/>
    </xf>
    <xf numFmtId="0" fontId="4" fillId="18" borderId="35" xfId="0" applyFont="1" applyFill="1" applyBorder="1" applyAlignment="1">
      <alignment horizontal="center" vertical="center" wrapText="1"/>
    </xf>
    <xf numFmtId="0" fontId="4" fillId="5" borderId="0" xfId="0" applyFont="1" applyFill="1" applyAlignment="1">
      <alignment horizontal="center" vertical="center" wrapText="1"/>
    </xf>
    <xf numFmtId="0" fontId="6" fillId="3" borderId="32" xfId="0" applyFont="1" applyFill="1" applyBorder="1" applyAlignment="1">
      <alignment vertical="center"/>
    </xf>
    <xf numFmtId="0" fontId="4" fillId="4" borderId="33" xfId="0" applyFont="1" applyFill="1" applyBorder="1" applyAlignment="1">
      <alignment horizontal="center" vertical="center" wrapText="1"/>
    </xf>
    <xf numFmtId="0" fontId="6" fillId="2" borderId="36" xfId="0" applyFont="1" applyFill="1" applyBorder="1" applyAlignment="1">
      <alignment vertical="center"/>
    </xf>
    <xf numFmtId="0" fontId="4" fillId="2" borderId="37" xfId="0" applyFont="1" applyFill="1" applyBorder="1" applyAlignment="1">
      <alignment horizontal="center" vertical="center" wrapText="1"/>
    </xf>
    <xf numFmtId="0" fontId="9" fillId="19" borderId="37" xfId="0" applyFont="1" applyFill="1" applyBorder="1" applyAlignment="1">
      <alignment horizontal="center" vertical="center" wrapText="1"/>
    </xf>
    <xf numFmtId="0" fontId="4" fillId="2" borderId="38" xfId="0" applyFont="1" applyFill="1" applyBorder="1" applyAlignment="1">
      <alignment horizontal="center" vertical="center" wrapText="1"/>
    </xf>
    <xf numFmtId="0" fontId="4" fillId="11" borderId="35" xfId="0" applyFont="1" applyFill="1" applyBorder="1" applyAlignment="1">
      <alignment horizontal="center" vertical="center" wrapText="1"/>
    </xf>
    <xf numFmtId="0" fontId="4" fillId="17" borderId="2" xfId="0" applyFont="1" applyFill="1" applyBorder="1" applyAlignment="1">
      <alignment horizontal="center" vertical="center"/>
    </xf>
    <xf numFmtId="0" fontId="4" fillId="17" borderId="33" xfId="0" applyFont="1" applyFill="1" applyBorder="1" applyAlignment="1">
      <alignment horizontal="center" vertical="center"/>
    </xf>
    <xf numFmtId="0" fontId="6" fillId="13" borderId="50" xfId="0" applyFont="1" applyFill="1" applyBorder="1" applyAlignment="1">
      <alignment horizontal="left" vertical="center"/>
    </xf>
    <xf numFmtId="0" fontId="10" fillId="20" borderId="51" xfId="0" applyFont="1" applyFill="1" applyBorder="1" applyAlignment="1">
      <alignment horizontal="center" vertical="center" wrapText="1"/>
    </xf>
    <xf numFmtId="0" fontId="4" fillId="13" borderId="51" xfId="0" applyFont="1" applyFill="1" applyBorder="1" applyAlignment="1">
      <alignment horizontal="center" vertical="center" wrapText="1"/>
    </xf>
    <xf numFmtId="0" fontId="4" fillId="13" borderId="52" xfId="0" applyFont="1" applyFill="1" applyBorder="1" applyAlignment="1">
      <alignment horizontal="center" vertical="center" wrapText="1"/>
    </xf>
    <xf numFmtId="0" fontId="4" fillId="13" borderId="17" xfId="0" applyFont="1" applyFill="1" applyBorder="1" applyAlignment="1">
      <alignment horizontal="center" vertical="center" wrapText="1"/>
    </xf>
    <xf numFmtId="0" fontId="4" fillId="13" borderId="19" xfId="0" applyFont="1" applyFill="1" applyBorder="1" applyAlignment="1">
      <alignment horizontal="center" vertical="center" wrapText="1"/>
    </xf>
    <xf numFmtId="0" fontId="4" fillId="17" borderId="34" xfId="0" applyFont="1" applyFill="1" applyBorder="1" applyAlignment="1">
      <alignment horizontal="center" vertical="center"/>
    </xf>
    <xf numFmtId="0" fontId="4" fillId="17" borderId="31" xfId="0" applyFont="1" applyFill="1" applyBorder="1" applyAlignment="1">
      <alignment horizontal="center" vertical="center"/>
    </xf>
    <xf numFmtId="0" fontId="13" fillId="17" borderId="36" xfId="0" applyFont="1" applyFill="1" applyBorder="1" applyAlignment="1">
      <alignment horizontal="left" vertical="center"/>
    </xf>
    <xf numFmtId="0" fontId="4" fillId="17" borderId="37" xfId="0" applyFont="1" applyFill="1" applyBorder="1" applyAlignment="1">
      <alignment horizontal="center" vertical="center"/>
    </xf>
    <xf numFmtId="0" fontId="4" fillId="17" borderId="38" xfId="0" applyFont="1" applyFill="1" applyBorder="1" applyAlignment="1">
      <alignment horizontal="center" vertical="center"/>
    </xf>
    <xf numFmtId="0" fontId="4" fillId="17" borderId="35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9" fillId="17" borderId="33" xfId="0" applyFont="1" applyFill="1" applyBorder="1" applyAlignment="1">
      <alignment horizontal="center" vertical="center" wrapText="1"/>
    </xf>
    <xf numFmtId="0" fontId="4" fillId="17" borderId="33" xfId="0" applyFont="1" applyFill="1" applyBorder="1" applyAlignment="1">
      <alignment horizontal="center" vertical="center" wrapText="1"/>
    </xf>
    <xf numFmtId="0" fontId="4" fillId="17" borderId="34" xfId="0" applyFont="1" applyFill="1" applyBorder="1" applyAlignment="1">
      <alignment horizontal="center" vertical="center" wrapText="1"/>
    </xf>
    <xf numFmtId="0" fontId="4" fillId="17" borderId="31" xfId="0" applyFont="1" applyFill="1" applyBorder="1" applyAlignment="1">
      <alignment horizontal="center" vertical="center" wrapText="1"/>
    </xf>
    <xf numFmtId="0" fontId="9" fillId="17" borderId="36" xfId="0" applyFont="1" applyFill="1" applyBorder="1" applyAlignment="1">
      <alignment horizontal="center" vertical="center" wrapText="1"/>
    </xf>
    <xf numFmtId="0" fontId="9" fillId="17" borderId="37" xfId="0" applyFont="1" applyFill="1" applyBorder="1" applyAlignment="1">
      <alignment horizontal="center" vertical="center" wrapText="1"/>
    </xf>
    <xf numFmtId="0" fontId="4" fillId="17" borderId="37" xfId="0" applyFont="1" applyFill="1" applyBorder="1" applyAlignment="1">
      <alignment horizontal="center" vertical="center" wrapText="1"/>
    </xf>
    <xf numFmtId="0" fontId="4" fillId="17" borderId="38" xfId="0" applyFont="1" applyFill="1" applyBorder="1" applyAlignment="1">
      <alignment horizontal="center" vertical="center" wrapText="1"/>
    </xf>
    <xf numFmtId="0" fontId="4" fillId="17" borderId="35" xfId="0" applyFont="1" applyFill="1" applyBorder="1" applyAlignment="1">
      <alignment horizontal="center" vertical="center" wrapText="1"/>
    </xf>
    <xf numFmtId="0" fontId="6" fillId="17" borderId="32" xfId="0" applyFont="1" applyFill="1" applyBorder="1" applyAlignment="1">
      <alignment vertical="center"/>
    </xf>
    <xf numFmtId="0" fontId="6" fillId="17" borderId="35" xfId="0" applyFont="1" applyFill="1" applyBorder="1" applyAlignment="1">
      <alignment vertical="center"/>
    </xf>
    <xf numFmtId="0" fontId="9" fillId="2" borderId="33" xfId="0" applyFont="1" applyFill="1" applyBorder="1" applyAlignment="1">
      <alignment horizontal="center" vertical="center" wrapText="1"/>
    </xf>
    <xf numFmtId="0" fontId="4" fillId="2" borderId="33" xfId="0" applyFont="1" applyFill="1" applyBorder="1" applyAlignment="1">
      <alignment horizontal="center" vertical="center" wrapText="1"/>
    </xf>
    <xf numFmtId="0" fontId="4" fillId="2" borderId="34" xfId="0" applyFont="1" applyFill="1" applyBorder="1" applyAlignment="1">
      <alignment horizontal="center" vertical="center" wrapText="1"/>
    </xf>
    <xf numFmtId="0" fontId="6" fillId="3" borderId="36" xfId="0" applyFont="1" applyFill="1" applyBorder="1" applyAlignment="1">
      <alignment vertical="center"/>
    </xf>
    <xf numFmtId="0" fontId="4" fillId="3" borderId="37" xfId="0" applyFont="1" applyFill="1" applyBorder="1" applyAlignment="1">
      <alignment horizontal="center" vertical="center" wrapText="1"/>
    </xf>
    <xf numFmtId="0" fontId="4" fillId="3" borderId="38" xfId="0" applyFont="1" applyFill="1" applyBorder="1" applyAlignment="1">
      <alignment horizontal="center" vertical="center" wrapText="1"/>
    </xf>
    <xf numFmtId="0" fontId="4" fillId="17" borderId="3" xfId="0" applyFont="1" applyFill="1" applyBorder="1" applyAlignment="1">
      <alignment horizontal="center" vertical="center"/>
    </xf>
    <xf numFmtId="0" fontId="4" fillId="17" borderId="7" xfId="0" applyFont="1" applyFill="1" applyBorder="1" applyAlignment="1">
      <alignment horizontal="center" vertical="center"/>
    </xf>
    <xf numFmtId="0" fontId="4" fillId="17" borderId="30" xfId="0" applyFont="1" applyFill="1" applyBorder="1" applyAlignment="1">
      <alignment horizontal="center" vertical="center"/>
    </xf>
    <xf numFmtId="0" fontId="8" fillId="21" borderId="24" xfId="0" applyFont="1" applyFill="1" applyBorder="1" applyAlignment="1">
      <alignment vertical="center" wrapText="1"/>
    </xf>
    <xf numFmtId="0" fontId="8" fillId="21" borderId="26" xfId="0" applyFont="1" applyFill="1" applyBorder="1" applyAlignment="1">
      <alignment vertical="center" wrapText="1"/>
    </xf>
    <xf numFmtId="0" fontId="14" fillId="17" borderId="32" xfId="0" applyFont="1" applyFill="1" applyBorder="1" applyAlignment="1">
      <alignment vertical="center" wrapText="1"/>
    </xf>
    <xf numFmtId="0" fontId="14" fillId="17" borderId="25" xfId="0" applyFont="1" applyFill="1" applyBorder="1" applyAlignment="1">
      <alignment vertical="center" wrapText="1"/>
    </xf>
    <xf numFmtId="0" fontId="14" fillId="17" borderId="27" xfId="0" applyFont="1" applyFill="1" applyBorder="1" applyAlignment="1">
      <alignment vertical="center" wrapText="1"/>
    </xf>
    <xf numFmtId="0" fontId="1" fillId="5" borderId="8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vertical="center"/>
    </xf>
    <xf numFmtId="0" fontId="15" fillId="0" borderId="53" xfId="0" applyFont="1" applyBorder="1"/>
    <xf numFmtId="0" fontId="15" fillId="0" borderId="0" xfId="0" applyFont="1"/>
    <xf numFmtId="0" fontId="16" fillId="22" borderId="54" xfId="0" applyFont="1" applyFill="1" applyBorder="1" applyAlignment="1">
      <alignment horizontal="center" vertical="center" wrapText="1"/>
    </xf>
    <xf numFmtId="0" fontId="16" fillId="22" borderId="47" xfId="0" applyFont="1" applyFill="1" applyBorder="1" applyAlignment="1">
      <alignment horizontal="center" vertical="center" wrapText="1"/>
    </xf>
    <xf numFmtId="0" fontId="6" fillId="15" borderId="5" xfId="0" applyFont="1" applyFill="1" applyBorder="1" applyAlignment="1">
      <alignment vertical="center"/>
    </xf>
    <xf numFmtId="0" fontId="9" fillId="15" borderId="1" xfId="0" applyFont="1" applyFill="1" applyBorder="1" applyAlignment="1">
      <alignment horizontal="center" vertical="center" wrapText="1"/>
    </xf>
    <xf numFmtId="0" fontId="4" fillId="15" borderId="1" xfId="0" applyFont="1" applyFill="1" applyBorder="1" applyAlignment="1">
      <alignment horizontal="center" vertical="center" wrapText="1"/>
    </xf>
    <xf numFmtId="0" fontId="4" fillId="15" borderId="2" xfId="0" applyFont="1" applyFill="1" applyBorder="1" applyAlignment="1">
      <alignment horizontal="center" vertical="center" wrapText="1"/>
    </xf>
    <xf numFmtId="0" fontId="4" fillId="15" borderId="5" xfId="0" applyFont="1" applyFill="1" applyBorder="1" applyAlignment="1">
      <alignment horizontal="center" vertical="center" wrapText="1"/>
    </xf>
    <xf numFmtId="0" fontId="4" fillId="17" borderId="12" xfId="0" applyFont="1" applyFill="1" applyBorder="1" applyAlignment="1">
      <alignment horizontal="center" vertical="center" wrapText="1"/>
    </xf>
    <xf numFmtId="0" fontId="4" fillId="17" borderId="30" xfId="0" applyFont="1" applyFill="1" applyBorder="1" applyAlignment="1">
      <alignment horizontal="center" vertical="center" wrapText="1"/>
    </xf>
    <xf numFmtId="0" fontId="9" fillId="17" borderId="35" xfId="0" applyFont="1" applyFill="1" applyBorder="1" applyAlignment="1">
      <alignment horizontal="center" vertical="center" wrapText="1"/>
    </xf>
    <xf numFmtId="164" fontId="4" fillId="3" borderId="5" xfId="0" applyNumberFormat="1" applyFont="1" applyFill="1" applyBorder="1" applyAlignment="1">
      <alignment horizontal="center" vertical="center" wrapText="1"/>
    </xf>
    <xf numFmtId="164" fontId="4" fillId="3" borderId="6" xfId="0" applyNumberFormat="1" applyFont="1" applyFill="1" applyBorder="1" applyAlignment="1">
      <alignment horizontal="center" vertical="center" wrapText="1"/>
    </xf>
    <xf numFmtId="0" fontId="4" fillId="12" borderId="12" xfId="0" applyFont="1" applyFill="1" applyBorder="1" applyAlignment="1">
      <alignment horizontal="center" vertical="center" wrapText="1"/>
    </xf>
    <xf numFmtId="164" fontId="4" fillId="14" borderId="5" xfId="0" applyNumberFormat="1" applyFont="1" applyFill="1" applyBorder="1" applyAlignment="1">
      <alignment horizontal="center" vertical="center" wrapText="1"/>
    </xf>
    <xf numFmtId="0" fontId="4" fillId="14" borderId="6" xfId="0" applyFont="1" applyFill="1" applyBorder="1" applyAlignment="1">
      <alignment horizontal="center" vertical="center" wrapText="1"/>
    </xf>
    <xf numFmtId="0" fontId="10" fillId="20" borderId="55" xfId="0" applyFont="1" applyFill="1" applyBorder="1" applyAlignment="1">
      <alignment horizontal="center" vertical="center" wrapText="1"/>
    </xf>
    <xf numFmtId="0" fontId="4" fillId="13" borderId="16" xfId="0" applyFont="1" applyFill="1" applyBorder="1" applyAlignment="1">
      <alignment horizontal="center" vertical="center" wrapText="1"/>
    </xf>
    <xf numFmtId="0" fontId="4" fillId="11" borderId="56" xfId="0" applyFont="1" applyFill="1" applyBorder="1" applyAlignment="1">
      <alignment horizontal="center" vertical="center" wrapText="1"/>
    </xf>
    <xf numFmtId="0" fontId="4" fillId="3" borderId="57" xfId="0" applyFont="1" applyFill="1" applyBorder="1" applyAlignment="1">
      <alignment horizontal="center" vertical="center" wrapText="1"/>
    </xf>
    <xf numFmtId="0" fontId="4" fillId="3" borderId="58" xfId="0" applyFont="1" applyFill="1" applyBorder="1" applyAlignment="1">
      <alignment horizontal="center" vertical="center" wrapText="1"/>
    </xf>
    <xf numFmtId="0" fontId="4" fillId="3" borderId="59" xfId="0" applyFont="1" applyFill="1" applyBorder="1" applyAlignment="1">
      <alignment horizontal="center" vertical="center" wrapText="1"/>
    </xf>
    <xf numFmtId="0" fontId="4" fillId="11" borderId="60" xfId="0" applyFont="1" applyFill="1" applyBorder="1" applyAlignment="1">
      <alignment horizontal="center" vertical="center" wrapText="1"/>
    </xf>
    <xf numFmtId="0" fontId="4" fillId="3" borderId="61" xfId="0" applyFont="1" applyFill="1" applyBorder="1" applyAlignment="1">
      <alignment horizontal="center" vertical="center" wrapText="1"/>
    </xf>
    <xf numFmtId="0" fontId="4" fillId="3" borderId="52" xfId="0" applyFont="1" applyFill="1" applyBorder="1" applyAlignment="1">
      <alignment horizontal="center" vertical="center" wrapText="1"/>
    </xf>
    <xf numFmtId="0" fontId="9" fillId="19" borderId="56" xfId="0" applyFont="1" applyFill="1" applyBorder="1" applyAlignment="1">
      <alignment horizontal="center" vertical="center" wrapText="1"/>
    </xf>
    <xf numFmtId="0" fontId="4" fillId="4" borderId="61" xfId="0" applyFont="1" applyFill="1" applyBorder="1" applyAlignment="1">
      <alignment horizontal="center" vertical="center" wrapText="1"/>
    </xf>
    <xf numFmtId="0" fontId="4" fillId="2" borderId="56" xfId="0" applyFont="1" applyFill="1" applyBorder="1" applyAlignment="1">
      <alignment horizontal="center" vertical="center" wrapText="1"/>
    </xf>
    <xf numFmtId="0" fontId="4" fillId="9" borderId="56" xfId="0" applyFont="1" applyFill="1" applyBorder="1" applyAlignment="1">
      <alignment horizontal="center" vertical="center" wrapText="1"/>
    </xf>
    <xf numFmtId="0" fontId="4" fillId="9" borderId="57" xfId="0" applyFont="1" applyFill="1" applyBorder="1" applyAlignment="1">
      <alignment horizontal="center" vertical="center" wrapText="1"/>
    </xf>
    <xf numFmtId="0" fontId="4" fillId="9" borderId="61" xfId="0" applyFont="1" applyFill="1" applyBorder="1" applyAlignment="1">
      <alignment horizontal="center" vertical="center" wrapText="1"/>
    </xf>
    <xf numFmtId="0" fontId="4" fillId="18" borderId="56" xfId="0" applyFont="1" applyFill="1" applyBorder="1" applyAlignment="1">
      <alignment horizontal="center" vertical="center" wrapText="1"/>
    </xf>
    <xf numFmtId="0" fontId="4" fillId="2" borderId="60" xfId="0" applyFont="1" applyFill="1" applyBorder="1" applyAlignment="1">
      <alignment horizontal="center" vertical="center" wrapText="1"/>
    </xf>
    <xf numFmtId="0" fontId="4" fillId="2" borderId="58" xfId="0" applyFont="1" applyFill="1" applyBorder="1" applyAlignment="1">
      <alignment horizontal="center" vertical="center" wrapText="1"/>
    </xf>
    <xf numFmtId="0" fontId="4" fillId="4" borderId="59" xfId="0" applyFont="1" applyFill="1" applyBorder="1" applyAlignment="1">
      <alignment horizontal="center" vertical="center" wrapText="1"/>
    </xf>
    <xf numFmtId="0" fontId="4" fillId="4" borderId="62" xfId="0" applyFont="1" applyFill="1" applyBorder="1" applyAlignment="1">
      <alignment horizontal="center" vertical="center" wrapText="1"/>
    </xf>
    <xf numFmtId="0" fontId="4" fillId="10" borderId="63" xfId="0" applyFont="1" applyFill="1" applyBorder="1" applyAlignment="1">
      <alignment horizontal="center" vertical="center" wrapText="1"/>
    </xf>
    <xf numFmtId="0" fontId="4" fillId="4" borderId="56" xfId="0" applyFont="1" applyFill="1" applyBorder="1" applyAlignment="1">
      <alignment horizontal="center" vertical="center" wrapText="1"/>
    </xf>
    <xf numFmtId="0" fontId="4" fillId="8" borderId="63" xfId="0" applyFont="1" applyFill="1" applyBorder="1" applyAlignment="1">
      <alignment horizontal="center" vertical="center" wrapText="1"/>
    </xf>
    <xf numFmtId="0" fontId="4" fillId="8" borderId="57" xfId="0" applyFont="1" applyFill="1" applyBorder="1" applyAlignment="1">
      <alignment horizontal="center" vertical="center" wrapText="1"/>
    </xf>
    <xf numFmtId="0" fontId="4" fillId="8" borderId="58" xfId="0" applyFont="1" applyFill="1" applyBorder="1" applyAlignment="1">
      <alignment horizontal="center" vertical="center" wrapText="1"/>
    </xf>
    <xf numFmtId="0" fontId="4" fillId="8" borderId="59" xfId="0" applyFont="1" applyFill="1" applyBorder="1" applyAlignment="1">
      <alignment horizontal="center" vertical="center" wrapText="1"/>
    </xf>
    <xf numFmtId="0" fontId="4" fillId="10" borderId="60" xfId="0" applyFont="1" applyFill="1" applyBorder="1" applyAlignment="1">
      <alignment horizontal="center" vertical="center" wrapText="1"/>
    </xf>
    <xf numFmtId="0" fontId="4" fillId="10" borderId="56" xfId="0" applyFont="1" applyFill="1" applyBorder="1" applyAlignment="1">
      <alignment horizontal="center" vertical="center" wrapText="1"/>
    </xf>
    <xf numFmtId="0" fontId="4" fillId="4" borderId="52" xfId="0" applyFont="1" applyFill="1" applyBorder="1" applyAlignment="1">
      <alignment horizontal="center" vertical="center" wrapText="1"/>
    </xf>
    <xf numFmtId="0" fontId="4" fillId="5" borderId="60" xfId="0" applyFont="1" applyFill="1" applyBorder="1" applyAlignment="1">
      <alignment horizontal="center" vertical="center" wrapText="1"/>
    </xf>
    <xf numFmtId="0" fontId="4" fillId="5" borderId="59" xfId="0" applyFont="1" applyFill="1" applyBorder="1" applyAlignment="1">
      <alignment horizontal="center" vertical="center" wrapText="1"/>
    </xf>
    <xf numFmtId="0" fontId="4" fillId="5" borderId="52" xfId="0" applyFont="1" applyFill="1" applyBorder="1" applyAlignment="1">
      <alignment horizontal="center" vertical="center" wrapText="1"/>
    </xf>
    <xf numFmtId="0" fontId="4" fillId="15" borderId="60" xfId="0" applyFont="1" applyFill="1" applyBorder="1" applyAlignment="1">
      <alignment horizontal="center" vertical="center" wrapText="1"/>
    </xf>
    <xf numFmtId="0" fontId="4" fillId="15" borderId="59" xfId="0" applyFont="1" applyFill="1" applyBorder="1" applyAlignment="1">
      <alignment horizontal="center" vertical="center" wrapText="1"/>
    </xf>
    <xf numFmtId="0" fontId="4" fillId="3" borderId="56" xfId="0" applyFont="1" applyFill="1" applyBorder="1" applyAlignment="1">
      <alignment horizontal="center" vertical="center" wrapText="1"/>
    </xf>
    <xf numFmtId="0" fontId="9" fillId="2" borderId="61" xfId="0" applyFont="1" applyFill="1" applyBorder="1" applyAlignment="1">
      <alignment horizontal="center" vertical="center" wrapText="1"/>
    </xf>
    <xf numFmtId="0" fontId="9" fillId="17" borderId="56" xfId="0" applyFont="1" applyFill="1" applyBorder="1" applyAlignment="1">
      <alignment horizontal="center" vertical="center" wrapText="1"/>
    </xf>
    <xf numFmtId="0" fontId="9" fillId="17" borderId="58" xfId="0" applyFont="1" applyFill="1" applyBorder="1" applyAlignment="1">
      <alignment horizontal="center" vertical="center" wrapText="1"/>
    </xf>
    <xf numFmtId="164" fontId="4" fillId="7" borderId="60" xfId="0" applyNumberFormat="1" applyFont="1" applyFill="1" applyBorder="1" applyAlignment="1">
      <alignment horizontal="center" vertical="center" wrapText="1"/>
    </xf>
    <xf numFmtId="164" fontId="4" fillId="3" borderId="58" xfId="0" applyNumberFormat="1" applyFont="1" applyFill="1" applyBorder="1" applyAlignment="1">
      <alignment horizontal="center" vertical="center" wrapText="1"/>
    </xf>
    <xf numFmtId="164" fontId="4" fillId="16" borderId="58" xfId="0" applyNumberFormat="1" applyFont="1" applyFill="1" applyBorder="1" applyAlignment="1">
      <alignment horizontal="center" vertical="center" wrapText="1"/>
    </xf>
    <xf numFmtId="164" fontId="4" fillId="3" borderId="59" xfId="0" applyNumberFormat="1" applyFont="1" applyFill="1" applyBorder="1" applyAlignment="1">
      <alignment horizontal="center" vertical="center" wrapText="1"/>
    </xf>
    <xf numFmtId="0" fontId="4" fillId="12" borderId="60" xfId="0" applyFont="1" applyFill="1" applyBorder="1" applyAlignment="1">
      <alignment horizontal="center" vertical="center" wrapText="1"/>
    </xf>
    <xf numFmtId="164" fontId="4" fillId="14" borderId="58" xfId="0" applyNumberFormat="1" applyFont="1" applyFill="1" applyBorder="1" applyAlignment="1">
      <alignment horizontal="center" vertical="center" wrapText="1"/>
    </xf>
    <xf numFmtId="0" fontId="4" fillId="14" borderId="59" xfId="0" applyFont="1" applyFill="1" applyBorder="1" applyAlignment="1">
      <alignment horizontal="center" vertical="center" wrapText="1"/>
    </xf>
    <xf numFmtId="0" fontId="10" fillId="20" borderId="64" xfId="0" applyFont="1" applyFill="1" applyBorder="1" applyAlignment="1">
      <alignment horizontal="center" vertical="center" wrapText="1"/>
    </xf>
    <xf numFmtId="0" fontId="4" fillId="17" borderId="56" xfId="0" applyFont="1" applyFill="1" applyBorder="1" applyAlignment="1">
      <alignment horizontal="center" vertical="center"/>
    </xf>
    <xf numFmtId="0" fontId="4" fillId="17" borderId="57" xfId="0" applyFont="1" applyFill="1" applyBorder="1" applyAlignment="1">
      <alignment horizontal="center" vertical="center"/>
    </xf>
    <xf numFmtId="0" fontId="4" fillId="17" borderId="58" xfId="0" applyFont="1" applyFill="1" applyBorder="1" applyAlignment="1">
      <alignment horizontal="center" vertical="center"/>
    </xf>
    <xf numFmtId="0" fontId="4" fillId="17" borderId="61" xfId="0" applyFont="1" applyFill="1" applyBorder="1" applyAlignment="1">
      <alignment horizontal="center" vertical="center"/>
    </xf>
    <xf numFmtId="0" fontId="6" fillId="11" borderId="35" xfId="0" applyFont="1" applyFill="1" applyBorder="1" applyAlignment="1">
      <alignment vertical="center"/>
    </xf>
    <xf numFmtId="0" fontId="6" fillId="3" borderId="31" xfId="0" applyFont="1" applyFill="1" applyBorder="1" applyAlignment="1">
      <alignment horizontal="left" vertical="center"/>
    </xf>
    <xf numFmtId="0" fontId="6" fillId="3" borderId="5" xfId="0" applyFont="1" applyFill="1" applyBorder="1" applyAlignment="1">
      <alignment horizontal="left" vertical="center"/>
    </xf>
    <xf numFmtId="0" fontId="6" fillId="3" borderId="6" xfId="0" applyFont="1" applyFill="1" applyBorder="1" applyAlignment="1">
      <alignment horizontal="left" vertical="center"/>
    </xf>
    <xf numFmtId="0" fontId="6" fillId="11" borderId="12" xfId="0" applyFont="1" applyFill="1" applyBorder="1" applyAlignment="1">
      <alignment vertical="center"/>
    </xf>
    <xf numFmtId="0" fontId="6" fillId="3" borderId="30" xfId="0" applyFont="1" applyFill="1" applyBorder="1" applyAlignment="1">
      <alignment horizontal="left" vertical="center"/>
    </xf>
    <xf numFmtId="0" fontId="6" fillId="3" borderId="16" xfId="0" applyFont="1" applyFill="1" applyBorder="1" applyAlignment="1">
      <alignment horizontal="left" vertical="center"/>
    </xf>
    <xf numFmtId="0" fontId="6" fillId="2" borderId="35" xfId="0" applyFont="1" applyFill="1" applyBorder="1" applyAlignment="1">
      <alignment vertical="center"/>
    </xf>
    <xf numFmtId="0" fontId="6" fillId="3" borderId="31" xfId="0" applyFont="1" applyFill="1" applyBorder="1" applyAlignment="1">
      <alignment vertical="center"/>
    </xf>
    <xf numFmtId="0" fontId="6" fillId="3" borderId="30" xfId="0" applyFont="1" applyFill="1" applyBorder="1" applyAlignment="1">
      <alignment vertical="center"/>
    </xf>
    <xf numFmtId="0" fontId="6" fillId="9" borderId="35" xfId="0" applyFont="1" applyFill="1" applyBorder="1" applyAlignment="1">
      <alignment vertical="center"/>
    </xf>
    <xf numFmtId="0" fontId="6" fillId="9" borderId="16" xfId="0" applyFont="1" applyFill="1" applyBorder="1" applyAlignment="1">
      <alignment vertical="center"/>
    </xf>
    <xf numFmtId="0" fontId="6" fillId="9" borderId="30" xfId="0" applyFont="1" applyFill="1" applyBorder="1" applyAlignment="1">
      <alignment vertical="center"/>
    </xf>
    <xf numFmtId="0" fontId="6" fillId="18" borderId="35" xfId="0" applyFont="1" applyFill="1" applyBorder="1" applyAlignment="1">
      <alignment vertical="center"/>
    </xf>
    <xf numFmtId="0" fontId="6" fillId="18" borderId="16" xfId="0" applyFont="1" applyFill="1" applyBorder="1" applyAlignment="1">
      <alignment vertical="center"/>
    </xf>
    <xf numFmtId="0" fontId="6" fillId="18" borderId="30" xfId="0" applyFont="1" applyFill="1" applyBorder="1" applyAlignment="1">
      <alignment vertical="center"/>
    </xf>
    <xf numFmtId="0" fontId="6" fillId="2" borderId="12" xfId="0" applyFont="1" applyFill="1" applyBorder="1" applyAlignment="1">
      <alignment vertical="center"/>
    </xf>
    <xf numFmtId="0" fontId="6" fillId="3" borderId="5" xfId="0" applyFont="1" applyFill="1" applyBorder="1" applyAlignment="1">
      <alignment horizontal="center" vertical="center"/>
    </xf>
    <xf numFmtId="2" fontId="6" fillId="3" borderId="5" xfId="0" applyNumberFormat="1" applyFont="1" applyFill="1" applyBorder="1" applyAlignment="1">
      <alignment horizontal="center" vertical="center"/>
    </xf>
    <xf numFmtId="16" fontId="6" fillId="3" borderId="5" xfId="0" applyNumberFormat="1" applyFont="1" applyFill="1" applyBorder="1" applyAlignment="1">
      <alignment horizontal="center" vertical="center"/>
    </xf>
    <xf numFmtId="49" fontId="7" fillId="3" borderId="5" xfId="0" applyNumberFormat="1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/>
    </xf>
    <xf numFmtId="0" fontId="7" fillId="4" borderId="30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vertical="center"/>
    </xf>
    <xf numFmtId="0" fontId="6" fillId="4" borderId="6" xfId="0" applyFont="1" applyFill="1" applyBorder="1" applyAlignment="1">
      <alignment vertical="center"/>
    </xf>
    <xf numFmtId="0" fontId="6" fillId="4" borderId="41" xfId="0" applyFont="1" applyFill="1" applyBorder="1" applyAlignment="1">
      <alignment vertical="center"/>
    </xf>
    <xf numFmtId="0" fontId="6" fillId="10" borderId="4" xfId="0" applyFont="1" applyFill="1" applyBorder="1" applyAlignment="1">
      <alignment vertical="center"/>
    </xf>
    <xf numFmtId="0" fontId="6" fillId="4" borderId="35" xfId="0" applyFont="1" applyFill="1" applyBorder="1" applyAlignment="1">
      <alignment vertical="center"/>
    </xf>
    <xf numFmtId="0" fontId="6" fillId="8" borderId="4" xfId="0" applyFont="1" applyFill="1" applyBorder="1" applyAlignment="1">
      <alignment vertical="center"/>
    </xf>
    <xf numFmtId="0" fontId="6" fillId="8" borderId="31" xfId="0" applyFont="1" applyFill="1" applyBorder="1" applyAlignment="1">
      <alignment vertical="center"/>
    </xf>
    <xf numFmtId="0" fontId="6" fillId="8" borderId="5" xfId="0" applyFont="1" applyFill="1" applyBorder="1" applyAlignment="1">
      <alignment vertical="center"/>
    </xf>
    <xf numFmtId="0" fontId="6" fillId="8" borderId="6" xfId="0" applyFont="1" applyFill="1" applyBorder="1" applyAlignment="1">
      <alignment vertical="center"/>
    </xf>
    <xf numFmtId="0" fontId="6" fillId="10" borderId="12" xfId="0" applyFont="1" applyFill="1" applyBorder="1" applyAlignment="1">
      <alignment vertical="center"/>
    </xf>
    <xf numFmtId="0" fontId="6" fillId="10" borderId="35" xfId="0" applyFont="1" applyFill="1" applyBorder="1" applyAlignment="1">
      <alignment vertical="center"/>
    </xf>
    <xf numFmtId="0" fontId="6" fillId="8" borderId="5" xfId="0" applyFont="1" applyFill="1" applyBorder="1" applyAlignment="1">
      <alignment horizontal="left" vertical="center"/>
    </xf>
    <xf numFmtId="0" fontId="6" fillId="8" borderId="6" xfId="0" applyFont="1" applyFill="1" applyBorder="1" applyAlignment="1">
      <alignment horizontal="left" vertical="center"/>
    </xf>
    <xf numFmtId="0" fontId="6" fillId="4" borderId="16" xfId="0" applyFont="1" applyFill="1" applyBorder="1" applyAlignment="1">
      <alignment horizontal="left" vertical="center"/>
    </xf>
    <xf numFmtId="0" fontId="6" fillId="5" borderId="12" xfId="0" applyFont="1" applyFill="1" applyBorder="1" applyAlignment="1">
      <alignment vertical="center"/>
    </xf>
    <xf numFmtId="0" fontId="6" fillId="18" borderId="6" xfId="0" applyFont="1" applyFill="1" applyBorder="1" applyAlignment="1">
      <alignment vertical="center"/>
    </xf>
    <xf numFmtId="0" fontId="6" fillId="18" borderId="12" xfId="0" applyFont="1" applyFill="1" applyBorder="1" applyAlignment="1">
      <alignment vertical="center"/>
    </xf>
    <xf numFmtId="0" fontId="6" fillId="15" borderId="12" xfId="0" applyFont="1" applyFill="1" applyBorder="1" applyAlignment="1">
      <alignment vertical="center"/>
    </xf>
    <xf numFmtId="0" fontId="6" fillId="15" borderId="6" xfId="0" applyFont="1" applyFill="1" applyBorder="1" applyAlignment="1">
      <alignment vertical="center"/>
    </xf>
    <xf numFmtId="0" fontId="6" fillId="3" borderId="35" xfId="0" applyFont="1" applyFill="1" applyBorder="1" applyAlignment="1">
      <alignment vertical="center"/>
    </xf>
    <xf numFmtId="0" fontId="6" fillId="17" borderId="31" xfId="0" applyFont="1" applyFill="1" applyBorder="1" applyAlignment="1">
      <alignment vertical="center"/>
    </xf>
    <xf numFmtId="0" fontId="6" fillId="17" borderId="5" xfId="0" applyFont="1" applyFill="1" applyBorder="1" applyAlignment="1">
      <alignment vertical="center"/>
    </xf>
    <xf numFmtId="0" fontId="6" fillId="7" borderId="12" xfId="0" applyFont="1" applyFill="1" applyBorder="1" applyAlignment="1">
      <alignment vertical="center"/>
    </xf>
    <xf numFmtId="0" fontId="6" fillId="16" borderId="5" xfId="0" applyFont="1" applyFill="1" applyBorder="1" applyAlignment="1">
      <alignment vertical="center"/>
    </xf>
    <xf numFmtId="0" fontId="6" fillId="3" borderId="6" xfId="0" applyFont="1" applyFill="1" applyBorder="1" applyAlignment="1">
      <alignment vertical="center"/>
    </xf>
    <xf numFmtId="0" fontId="6" fillId="12" borderId="12" xfId="0" applyFont="1" applyFill="1" applyBorder="1" applyAlignment="1">
      <alignment horizontal="left" vertical="center"/>
    </xf>
    <xf numFmtId="0" fontId="6" fillId="14" borderId="5" xfId="0" applyFont="1" applyFill="1" applyBorder="1" applyAlignment="1">
      <alignment horizontal="left" vertical="center"/>
    </xf>
    <xf numFmtId="0" fontId="6" fillId="14" borderId="6" xfId="0" applyFont="1" applyFill="1" applyBorder="1" applyAlignment="1">
      <alignment horizontal="left" vertical="center"/>
    </xf>
    <xf numFmtId="0" fontId="6" fillId="13" borderId="5" xfId="0" applyFont="1" applyFill="1" applyBorder="1" applyAlignment="1">
      <alignment horizontal="left" vertical="center"/>
    </xf>
    <xf numFmtId="0" fontId="6" fillId="13" borderId="30" xfId="0" applyFont="1" applyFill="1" applyBorder="1" applyAlignment="1">
      <alignment horizontal="left" vertical="center"/>
    </xf>
    <xf numFmtId="0" fontId="13" fillId="17" borderId="35" xfId="0" applyFont="1" applyFill="1" applyBorder="1" applyAlignment="1">
      <alignment horizontal="left" vertical="center"/>
    </xf>
    <xf numFmtId="0" fontId="14" fillId="17" borderId="31" xfId="0" applyFont="1" applyFill="1" applyBorder="1" applyAlignment="1">
      <alignment vertical="center" wrapText="1"/>
    </xf>
    <xf numFmtId="0" fontId="14" fillId="17" borderId="5" xfId="0" applyFont="1" applyFill="1" applyBorder="1" applyAlignment="1">
      <alignment vertical="center" wrapText="1"/>
    </xf>
    <xf numFmtId="0" fontId="14" fillId="17" borderId="30" xfId="0" applyFont="1" applyFill="1" applyBorder="1" applyAlignment="1">
      <alignment vertical="center" wrapText="1"/>
    </xf>
    <xf numFmtId="0" fontId="8" fillId="21" borderId="12" xfId="0" applyFont="1" applyFill="1" applyBorder="1" applyAlignment="1">
      <alignment vertical="center" wrapText="1"/>
    </xf>
    <xf numFmtId="0" fontId="8" fillId="21" borderId="6" xfId="0" applyFont="1" applyFill="1" applyBorder="1" applyAlignment="1">
      <alignment vertical="center" wrapText="1"/>
    </xf>
    <xf numFmtId="0" fontId="6" fillId="13" borderId="31" xfId="0" applyFont="1" applyFill="1" applyBorder="1" applyAlignment="1">
      <alignment horizontal="left" vertical="center"/>
    </xf>
    <xf numFmtId="0" fontId="10" fillId="20" borderId="65" xfId="0" applyFont="1" applyFill="1" applyBorder="1" applyAlignment="1">
      <alignment horizontal="center" vertical="center" wrapText="1"/>
    </xf>
    <xf numFmtId="0" fontId="10" fillId="20" borderId="66" xfId="0" applyFont="1" applyFill="1" applyBorder="1" applyAlignment="1">
      <alignment horizontal="center" vertical="center" wrapText="1"/>
    </xf>
    <xf numFmtId="0" fontId="6" fillId="10" borderId="35" xfId="0" applyFont="1" applyFill="1" applyBorder="1" applyAlignment="1">
      <alignment horizontal="left" vertical="center"/>
    </xf>
    <xf numFmtId="20" fontId="4" fillId="21" borderId="13" xfId="0" applyNumberFormat="1" applyFont="1" applyFill="1" applyBorder="1" applyAlignment="1">
      <alignment horizontal="center" vertical="center"/>
    </xf>
    <xf numFmtId="20" fontId="4" fillId="21" borderId="10" xfId="0" applyNumberFormat="1" applyFont="1" applyFill="1" applyBorder="1" applyAlignment="1">
      <alignment horizontal="center" vertical="center"/>
    </xf>
    <xf numFmtId="0" fontId="4" fillId="21" borderId="13" xfId="0" applyFont="1" applyFill="1" applyBorder="1" applyAlignment="1">
      <alignment horizontal="center" vertical="center"/>
    </xf>
    <xf numFmtId="0" fontId="4" fillId="21" borderId="10" xfId="0" applyFont="1" applyFill="1" applyBorder="1" applyAlignment="1">
      <alignment horizontal="center" vertical="center"/>
    </xf>
    <xf numFmtId="20" fontId="4" fillId="21" borderId="14" xfId="0" applyNumberFormat="1" applyFont="1" applyFill="1" applyBorder="1" applyAlignment="1">
      <alignment horizontal="center" vertical="center"/>
    </xf>
    <xf numFmtId="20" fontId="4" fillId="21" borderId="11" xfId="0" applyNumberFormat="1" applyFont="1" applyFill="1" applyBorder="1" applyAlignment="1">
      <alignment horizontal="center" vertical="center"/>
    </xf>
    <xf numFmtId="20" fontId="4" fillId="21" borderId="12" xfId="0" applyNumberFormat="1" applyFont="1" applyFill="1" applyBorder="1" applyAlignment="1">
      <alignment horizontal="center" vertical="center"/>
    </xf>
    <xf numFmtId="20" fontId="4" fillId="21" borderId="6" xfId="0" applyNumberFormat="1" applyFont="1" applyFill="1" applyBorder="1" applyAlignment="1">
      <alignment horizontal="center" vertical="center"/>
    </xf>
    <xf numFmtId="20" fontId="4" fillId="21" borderId="60" xfId="0" applyNumberFormat="1" applyFont="1" applyFill="1" applyBorder="1" applyAlignment="1">
      <alignment horizontal="center" vertical="center"/>
    </xf>
    <xf numFmtId="20" fontId="4" fillId="21" borderId="59" xfId="0" applyNumberFormat="1" applyFont="1" applyFill="1" applyBorder="1" applyAlignment="1">
      <alignment horizontal="center" vertical="center"/>
    </xf>
    <xf numFmtId="0" fontId="1" fillId="23" borderId="8" xfId="0" applyFont="1" applyFill="1" applyBorder="1" applyAlignment="1">
      <alignment horizontal="center" vertical="center" wrapText="1"/>
    </xf>
    <xf numFmtId="0" fontId="4" fillId="23" borderId="37" xfId="0" applyFont="1" applyFill="1" applyBorder="1" applyAlignment="1">
      <alignment horizontal="center" vertical="center" wrapText="1"/>
    </xf>
    <xf numFmtId="0" fontId="4" fillId="23" borderId="33" xfId="0" applyFont="1" applyFill="1" applyBorder="1" applyAlignment="1">
      <alignment horizontal="center" vertical="center" wrapText="1"/>
    </xf>
    <xf numFmtId="0" fontId="4" fillId="23" borderId="1" xfId="0" applyFont="1" applyFill="1" applyBorder="1" applyAlignment="1">
      <alignment horizontal="center" vertical="center" wrapText="1"/>
    </xf>
    <xf numFmtId="0" fontId="4" fillId="23" borderId="10" xfId="0" applyFont="1" applyFill="1" applyBorder="1" applyAlignment="1">
      <alignment horizontal="center" vertical="center" wrapText="1"/>
    </xf>
    <xf numFmtId="0" fontId="4" fillId="23" borderId="13" xfId="0" applyFont="1" applyFill="1" applyBorder="1" applyAlignment="1">
      <alignment horizontal="center" vertical="center" wrapText="1"/>
    </xf>
    <xf numFmtId="0" fontId="4" fillId="23" borderId="3" xfId="0" applyFont="1" applyFill="1" applyBorder="1" applyAlignment="1">
      <alignment horizontal="center" vertical="center" wrapText="1"/>
    </xf>
    <xf numFmtId="0" fontId="4" fillId="23" borderId="17" xfId="0" applyFont="1" applyFill="1" applyBorder="1" applyAlignment="1">
      <alignment horizontal="center" vertical="center" wrapText="1"/>
    </xf>
    <xf numFmtId="0" fontId="4" fillId="23" borderId="42" xfId="0" applyFont="1" applyFill="1" applyBorder="1" applyAlignment="1">
      <alignment horizontal="center" vertical="center" wrapText="1"/>
    </xf>
    <xf numFmtId="0" fontId="4" fillId="23" borderId="8" xfId="0" applyFont="1" applyFill="1" applyBorder="1" applyAlignment="1">
      <alignment horizontal="center" vertical="center" wrapText="1"/>
    </xf>
    <xf numFmtId="164" fontId="4" fillId="23" borderId="13" xfId="0" applyNumberFormat="1" applyFont="1" applyFill="1" applyBorder="1" applyAlignment="1">
      <alignment horizontal="center" vertical="center" wrapText="1"/>
    </xf>
    <xf numFmtId="164" fontId="4" fillId="23" borderId="1" xfId="0" applyNumberFormat="1" applyFont="1" applyFill="1" applyBorder="1" applyAlignment="1">
      <alignment horizontal="center" vertical="center" wrapText="1"/>
    </xf>
    <xf numFmtId="164" fontId="4" fillId="23" borderId="10" xfId="0" applyNumberFormat="1" applyFont="1" applyFill="1" applyBorder="1" applyAlignment="1">
      <alignment horizontal="center" vertical="center" wrapText="1"/>
    </xf>
    <xf numFmtId="0" fontId="10" fillId="23" borderId="39" xfId="0" applyFont="1" applyFill="1" applyBorder="1" applyAlignment="1">
      <alignment horizontal="center" vertical="center" wrapText="1"/>
    </xf>
    <xf numFmtId="0" fontId="4" fillId="23" borderId="37" xfId="0" applyFont="1" applyFill="1" applyBorder="1" applyAlignment="1">
      <alignment horizontal="center" vertical="center"/>
    </xf>
    <xf numFmtId="0" fontId="4" fillId="23" borderId="33" xfId="0" applyFont="1" applyFill="1" applyBorder="1" applyAlignment="1">
      <alignment horizontal="center" vertical="center"/>
    </xf>
    <xf numFmtId="0" fontId="4" fillId="23" borderId="1" xfId="0" applyFont="1" applyFill="1" applyBorder="1" applyAlignment="1">
      <alignment horizontal="center" vertical="center"/>
    </xf>
    <xf numFmtId="0" fontId="4" fillId="23" borderId="3" xfId="0" applyFont="1" applyFill="1" applyBorder="1" applyAlignment="1">
      <alignment horizontal="center" vertical="center"/>
    </xf>
    <xf numFmtId="20" fontId="4" fillId="23" borderId="13" xfId="0" applyNumberFormat="1" applyFont="1" applyFill="1" applyBorder="1" applyAlignment="1">
      <alignment horizontal="center" vertical="center"/>
    </xf>
    <xf numFmtId="20" fontId="4" fillId="23" borderId="10" xfId="0" applyNumberFormat="1" applyFont="1" applyFill="1" applyBorder="1" applyAlignment="1">
      <alignment horizontal="center" vertical="center"/>
    </xf>
    <xf numFmtId="0" fontId="6" fillId="10" borderId="31" xfId="0" applyFont="1" applyFill="1" applyBorder="1" applyAlignment="1">
      <alignment vertical="center"/>
    </xf>
    <xf numFmtId="0" fontId="9" fillId="10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4" fillId="10" borderId="2" xfId="0" applyFont="1" applyFill="1" applyBorder="1" applyAlignment="1">
      <alignment horizontal="center" vertical="center" wrapText="1"/>
    </xf>
    <xf numFmtId="0" fontId="4" fillId="10" borderId="5" xfId="0" applyFont="1" applyFill="1" applyBorder="1" applyAlignment="1">
      <alignment horizontal="center" vertical="center" wrapText="1"/>
    </xf>
    <xf numFmtId="0" fontId="0" fillId="10" borderId="0" xfId="0" applyFill="1"/>
    <xf numFmtId="0" fontId="9" fillId="10" borderId="61" xfId="0" applyFont="1" applyFill="1" applyBorder="1" applyAlignment="1">
      <alignment horizontal="center" vertical="center" wrapText="1"/>
    </xf>
    <xf numFmtId="0" fontId="9" fillId="15" borderId="61" xfId="0" applyFont="1" applyFill="1" applyBorder="1" applyAlignment="1">
      <alignment horizontal="center" vertical="center" wrapText="1"/>
    </xf>
    <xf numFmtId="0" fontId="6" fillId="17" borderId="30" xfId="0" applyFont="1" applyFill="1" applyBorder="1" applyAlignment="1">
      <alignment vertical="center"/>
    </xf>
    <xf numFmtId="0" fontId="9" fillId="17" borderId="61" xfId="0" applyFont="1" applyFill="1" applyBorder="1" applyAlignment="1">
      <alignment horizontal="center" vertical="center" wrapText="1"/>
    </xf>
    <xf numFmtId="0" fontId="9" fillId="10" borderId="56" xfId="0" applyFont="1" applyFill="1" applyBorder="1" applyAlignment="1">
      <alignment horizontal="center" vertical="center" wrapText="1"/>
    </xf>
    <xf numFmtId="0" fontId="9" fillId="10" borderId="37" xfId="0" applyFont="1" applyFill="1" applyBorder="1" applyAlignment="1">
      <alignment horizontal="center" vertical="center" wrapText="1"/>
    </xf>
    <xf numFmtId="0" fontId="6" fillId="10" borderId="69" xfId="0" applyFont="1" applyFill="1" applyBorder="1" applyAlignment="1">
      <alignment vertical="center"/>
    </xf>
    <xf numFmtId="0" fontId="9" fillId="10" borderId="60" xfId="0" applyFont="1" applyFill="1" applyBorder="1" applyAlignment="1">
      <alignment horizontal="center" vertical="center" wrapText="1"/>
    </xf>
    <xf numFmtId="0" fontId="9" fillId="10" borderId="13" xfId="0" applyFont="1" applyFill="1" applyBorder="1" applyAlignment="1">
      <alignment horizontal="center" vertical="center" wrapText="1"/>
    </xf>
    <xf numFmtId="0" fontId="6" fillId="10" borderId="40" xfId="0" applyFont="1" applyFill="1" applyBorder="1" applyAlignment="1">
      <alignment vertical="center"/>
    </xf>
    <xf numFmtId="0" fontId="9" fillId="10" borderId="58" xfId="0" applyFont="1" applyFill="1" applyBorder="1" applyAlignment="1">
      <alignment horizontal="center" vertical="center" wrapText="1"/>
    </xf>
    <xf numFmtId="0" fontId="6" fillId="10" borderId="70" xfId="0" applyFont="1" applyFill="1" applyBorder="1" applyAlignment="1">
      <alignment vertical="center"/>
    </xf>
    <xf numFmtId="0" fontId="9" fillId="10" borderId="59" xfId="0" applyFont="1" applyFill="1" applyBorder="1" applyAlignment="1">
      <alignment horizontal="center" vertical="center" wrapText="1"/>
    </xf>
    <xf numFmtId="0" fontId="9" fillId="10" borderId="10" xfId="0" applyFont="1" applyFill="1" applyBorder="1" applyAlignment="1">
      <alignment horizontal="center" vertical="center" wrapText="1"/>
    </xf>
    <xf numFmtId="0" fontId="4" fillId="10" borderId="6" xfId="0" applyFont="1" applyFill="1" applyBorder="1" applyAlignment="1">
      <alignment horizontal="center" vertical="center" wrapText="1"/>
    </xf>
    <xf numFmtId="0" fontId="6" fillId="10" borderId="32" xfId="0" applyFont="1" applyFill="1" applyBorder="1" applyAlignment="1">
      <alignment vertical="center"/>
    </xf>
    <xf numFmtId="0" fontId="9" fillId="10" borderId="33" xfId="0" applyFont="1" applyFill="1" applyBorder="1" applyAlignment="1">
      <alignment horizontal="center" vertical="center" wrapText="1"/>
    </xf>
    <xf numFmtId="0" fontId="4" fillId="10" borderId="33" xfId="0" applyFont="1" applyFill="1" applyBorder="1" applyAlignment="1">
      <alignment horizontal="center" vertical="center" wrapText="1"/>
    </xf>
    <xf numFmtId="0" fontId="4" fillId="10" borderId="49" xfId="0" applyFont="1" applyFill="1" applyBorder="1" applyAlignment="1">
      <alignment horizontal="center" vertical="center" wrapText="1"/>
    </xf>
    <xf numFmtId="0" fontId="4" fillId="10" borderId="31" xfId="0" applyFont="1" applyFill="1" applyBorder="1" applyAlignment="1">
      <alignment horizontal="center" vertical="center" wrapText="1"/>
    </xf>
    <xf numFmtId="0" fontId="6" fillId="10" borderId="25" xfId="0" applyFont="1" applyFill="1" applyBorder="1" applyAlignment="1">
      <alignment vertical="center"/>
    </xf>
    <xf numFmtId="0" fontId="9" fillId="10" borderId="3" xfId="0" applyFont="1" applyFill="1" applyBorder="1" applyAlignment="1">
      <alignment horizontal="center" vertical="center" wrapText="1"/>
    </xf>
    <xf numFmtId="0" fontId="4" fillId="10" borderId="3" xfId="0" applyFont="1" applyFill="1" applyBorder="1" applyAlignment="1">
      <alignment horizontal="center" vertical="center" wrapText="1"/>
    </xf>
    <xf numFmtId="0" fontId="4" fillId="10" borderId="68" xfId="0" applyFont="1" applyFill="1" applyBorder="1" applyAlignment="1">
      <alignment horizontal="center" vertical="center" wrapText="1"/>
    </xf>
    <xf numFmtId="0" fontId="6" fillId="10" borderId="27" xfId="0" applyFont="1" applyFill="1" applyBorder="1" applyAlignment="1">
      <alignment vertical="center"/>
    </xf>
    <xf numFmtId="0" fontId="6" fillId="10" borderId="26" xfId="0" applyFont="1" applyFill="1" applyBorder="1" applyAlignment="1">
      <alignment vertical="center"/>
    </xf>
    <xf numFmtId="0" fontId="4" fillId="10" borderId="10" xfId="0" applyFont="1" applyFill="1" applyBorder="1" applyAlignment="1">
      <alignment horizontal="center" vertical="center" wrapText="1"/>
    </xf>
    <xf numFmtId="0" fontId="4" fillId="10" borderId="67" xfId="0" applyFont="1" applyFill="1" applyBorder="1" applyAlignment="1">
      <alignment horizontal="center" vertical="center" wrapText="1"/>
    </xf>
    <xf numFmtId="0" fontId="4" fillId="10" borderId="30" xfId="0" applyFont="1" applyFill="1" applyBorder="1" applyAlignment="1">
      <alignment horizontal="center" vertical="center" wrapText="1"/>
    </xf>
    <xf numFmtId="0" fontId="4" fillId="10" borderId="11" xfId="0" applyFont="1" applyFill="1" applyBorder="1" applyAlignment="1">
      <alignment horizontal="center" vertical="center" wrapText="1"/>
    </xf>
    <xf numFmtId="0" fontId="9" fillId="24" borderId="58" xfId="0" applyFont="1" applyFill="1" applyBorder="1" applyAlignment="1">
      <alignment horizontal="center" vertical="center" wrapText="1"/>
    </xf>
    <xf numFmtId="0" fontId="6" fillId="10" borderId="50" xfId="0" applyFont="1" applyFill="1" applyBorder="1" applyAlignment="1">
      <alignment vertical="center"/>
    </xf>
    <xf numFmtId="0" fontId="2" fillId="4" borderId="18" xfId="0" applyFont="1" applyFill="1" applyBorder="1" applyAlignment="1">
      <alignment horizontal="center" vertical="center"/>
    </xf>
    <xf numFmtId="0" fontId="2" fillId="4" borderId="23" xfId="0" applyFont="1" applyFill="1" applyBorder="1" applyAlignment="1">
      <alignment horizontal="center" vertical="center"/>
    </xf>
    <xf numFmtId="0" fontId="2" fillId="4" borderId="21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41" xfId="0" applyBorder="1" applyAlignment="1">
      <alignment horizontal="center" vertical="center" wrapText="1"/>
    </xf>
    <xf numFmtId="0" fontId="5" fillId="4" borderId="21" xfId="0" applyFont="1" applyFill="1" applyBorder="1" applyAlignment="1">
      <alignment horizontal="center" vertical="center"/>
    </xf>
    <xf numFmtId="0" fontId="5" fillId="4" borderId="20" xfId="0" applyFont="1" applyFill="1" applyBorder="1" applyAlignment="1">
      <alignment horizontal="center" vertical="center"/>
    </xf>
    <xf numFmtId="0" fontId="5" fillId="4" borderId="22" xfId="0" applyFont="1" applyFill="1" applyBorder="1" applyAlignment="1">
      <alignment horizontal="center" vertical="center"/>
    </xf>
    <xf numFmtId="0" fontId="6" fillId="4" borderId="21" xfId="0" applyFont="1" applyFill="1" applyBorder="1" applyAlignment="1">
      <alignment horizontal="center" vertical="center" wrapText="1"/>
    </xf>
    <xf numFmtId="0" fontId="6" fillId="4" borderId="20" xfId="0" applyFont="1" applyFill="1" applyBorder="1" applyAlignment="1">
      <alignment horizontal="center" vertical="center" wrapText="1"/>
    </xf>
    <xf numFmtId="0" fontId="6" fillId="4" borderId="22" xfId="0" applyFont="1" applyFill="1" applyBorder="1" applyAlignment="1">
      <alignment horizontal="center" vertical="center" wrapText="1"/>
    </xf>
  </cellXfs>
  <cellStyles count="1">
    <cellStyle name="Normal" xfId="0" builtinId="0"/>
  </cellStyles>
  <dxfs count="143"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b/>
        <i val="0"/>
        <strike val="0"/>
        <color rgb="FFFF000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088D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B232"/>
  <sheetViews>
    <sheetView workbookViewId="0"/>
  </sheetViews>
  <sheetFormatPr baseColWidth="10" defaultRowHeight="15" x14ac:dyDescent="0.25"/>
  <cols>
    <col min="2" max="2" width="99" bestFit="1" customWidth="1"/>
  </cols>
  <sheetData>
    <row r="1" spans="1:2" x14ac:dyDescent="0.25">
      <c r="A1" s="234" t="s">
        <v>605</v>
      </c>
      <c r="B1" s="235" t="s">
        <v>606</v>
      </c>
    </row>
    <row r="2" spans="1:2" x14ac:dyDescent="0.25">
      <c r="A2" t="s">
        <v>607</v>
      </c>
    </row>
    <row r="3" spans="1:2" x14ac:dyDescent="0.25">
      <c r="A3" s="232" t="s">
        <v>175</v>
      </c>
      <c r="B3" s="233" t="s">
        <v>176</v>
      </c>
    </row>
    <row r="4" spans="1:2" x14ac:dyDescent="0.25">
      <c r="A4" s="232" t="s">
        <v>177</v>
      </c>
      <c r="B4" s="233" t="s">
        <v>178</v>
      </c>
    </row>
    <row r="5" spans="1:2" x14ac:dyDescent="0.25">
      <c r="A5" s="232" t="s">
        <v>179</v>
      </c>
      <c r="B5" s="233" t="s">
        <v>180</v>
      </c>
    </row>
    <row r="6" spans="1:2" x14ac:dyDescent="0.25">
      <c r="A6" s="232" t="s">
        <v>181</v>
      </c>
      <c r="B6" s="233" t="s">
        <v>182</v>
      </c>
    </row>
    <row r="7" spans="1:2" x14ac:dyDescent="0.25">
      <c r="A7" s="232" t="s">
        <v>183</v>
      </c>
      <c r="B7" s="233" t="s">
        <v>184</v>
      </c>
    </row>
    <row r="8" spans="1:2" x14ac:dyDescent="0.25">
      <c r="A8" s="232" t="s">
        <v>185</v>
      </c>
      <c r="B8" s="233" t="s">
        <v>186</v>
      </c>
    </row>
    <row r="9" spans="1:2" x14ac:dyDescent="0.25">
      <c r="A9" s="232" t="s">
        <v>187</v>
      </c>
      <c r="B9" s="233" t="s">
        <v>188</v>
      </c>
    </row>
    <row r="10" spans="1:2" x14ac:dyDescent="0.25">
      <c r="A10" s="232" t="s">
        <v>189</v>
      </c>
      <c r="B10" s="233" t="s">
        <v>190</v>
      </c>
    </row>
    <row r="11" spans="1:2" x14ac:dyDescent="0.25">
      <c r="A11" s="232" t="s">
        <v>191</v>
      </c>
      <c r="B11" s="233" t="s">
        <v>192</v>
      </c>
    </row>
    <row r="12" spans="1:2" x14ac:dyDescent="0.25">
      <c r="A12" s="232" t="s">
        <v>193</v>
      </c>
      <c r="B12" s="233" t="s">
        <v>194</v>
      </c>
    </row>
    <row r="13" spans="1:2" x14ac:dyDescent="0.25">
      <c r="A13" s="232" t="s">
        <v>195</v>
      </c>
      <c r="B13" s="233" t="s">
        <v>196</v>
      </c>
    </row>
    <row r="14" spans="1:2" x14ac:dyDescent="0.25">
      <c r="A14" s="232" t="s">
        <v>197</v>
      </c>
      <c r="B14" s="233" t="s">
        <v>198</v>
      </c>
    </row>
    <row r="15" spans="1:2" x14ac:dyDescent="0.25">
      <c r="A15" s="232" t="s">
        <v>199</v>
      </c>
      <c r="B15" s="233" t="s">
        <v>200</v>
      </c>
    </row>
    <row r="16" spans="1:2" x14ac:dyDescent="0.25">
      <c r="A16" s="232" t="s">
        <v>201</v>
      </c>
      <c r="B16" s="233" t="s">
        <v>202</v>
      </c>
    </row>
    <row r="17" spans="1:2" x14ac:dyDescent="0.25">
      <c r="A17" s="232" t="s">
        <v>203</v>
      </c>
      <c r="B17" s="233" t="s">
        <v>204</v>
      </c>
    </row>
    <row r="18" spans="1:2" x14ac:dyDescent="0.25">
      <c r="A18" s="232" t="s">
        <v>205</v>
      </c>
      <c r="B18" s="233" t="s">
        <v>206</v>
      </c>
    </row>
    <row r="19" spans="1:2" x14ac:dyDescent="0.25">
      <c r="A19" s="232" t="s">
        <v>207</v>
      </c>
      <c r="B19" s="233" t="s">
        <v>208</v>
      </c>
    </row>
    <row r="20" spans="1:2" x14ac:dyDescent="0.25">
      <c r="A20" s="232" t="s">
        <v>209</v>
      </c>
      <c r="B20" s="233" t="s">
        <v>210</v>
      </c>
    </row>
    <row r="21" spans="1:2" x14ac:dyDescent="0.25">
      <c r="A21" s="232" t="s">
        <v>211</v>
      </c>
      <c r="B21" s="233" t="s">
        <v>212</v>
      </c>
    </row>
    <row r="22" spans="1:2" x14ac:dyDescent="0.25">
      <c r="A22" s="232" t="s">
        <v>213</v>
      </c>
      <c r="B22" s="233" t="s">
        <v>214</v>
      </c>
    </row>
    <row r="23" spans="1:2" x14ac:dyDescent="0.25">
      <c r="A23" s="232" t="s">
        <v>215</v>
      </c>
      <c r="B23" s="233" t="s">
        <v>216</v>
      </c>
    </row>
    <row r="24" spans="1:2" x14ac:dyDescent="0.25">
      <c r="A24" s="232" t="s">
        <v>217</v>
      </c>
      <c r="B24" s="233" t="s">
        <v>218</v>
      </c>
    </row>
    <row r="25" spans="1:2" x14ac:dyDescent="0.25">
      <c r="A25" s="232"/>
      <c r="B25" s="233"/>
    </row>
    <row r="26" spans="1:2" x14ac:dyDescent="0.25">
      <c r="A26" s="232" t="s">
        <v>608</v>
      </c>
      <c r="B26" s="233"/>
    </row>
    <row r="27" spans="1:2" x14ac:dyDescent="0.25">
      <c r="A27" s="232" t="s">
        <v>219</v>
      </c>
      <c r="B27" s="233" t="s">
        <v>220</v>
      </c>
    </row>
    <row r="28" spans="1:2" x14ac:dyDescent="0.25">
      <c r="A28" s="232" t="s">
        <v>221</v>
      </c>
      <c r="B28" s="233" t="s">
        <v>222</v>
      </c>
    </row>
    <row r="29" spans="1:2" x14ac:dyDescent="0.25">
      <c r="A29" s="232" t="s">
        <v>223</v>
      </c>
      <c r="B29" s="233" t="s">
        <v>224</v>
      </c>
    </row>
    <row r="30" spans="1:2" x14ac:dyDescent="0.25">
      <c r="A30" s="232" t="s">
        <v>225</v>
      </c>
      <c r="B30" s="233" t="s">
        <v>226</v>
      </c>
    </row>
    <row r="31" spans="1:2" x14ac:dyDescent="0.25">
      <c r="A31" s="232" t="s">
        <v>227</v>
      </c>
      <c r="B31" s="233" t="s">
        <v>228</v>
      </c>
    </row>
    <row r="32" spans="1:2" x14ac:dyDescent="0.25">
      <c r="A32" s="232" t="s">
        <v>229</v>
      </c>
      <c r="B32" s="233" t="s">
        <v>230</v>
      </c>
    </row>
    <row r="33" spans="1:2" x14ac:dyDescent="0.25">
      <c r="A33" s="232" t="s">
        <v>231</v>
      </c>
      <c r="B33" s="233" t="s">
        <v>232</v>
      </c>
    </row>
    <row r="34" spans="1:2" x14ac:dyDescent="0.25">
      <c r="A34" s="232"/>
      <c r="B34" s="233"/>
    </row>
    <row r="35" spans="1:2" x14ac:dyDescent="0.25">
      <c r="A35" s="232"/>
      <c r="B35" s="233"/>
    </row>
    <row r="36" spans="1:2" x14ac:dyDescent="0.25">
      <c r="A36" s="232" t="s">
        <v>609</v>
      </c>
      <c r="B36" s="233"/>
    </row>
    <row r="37" spans="1:2" x14ac:dyDescent="0.25">
      <c r="A37" s="232" t="s">
        <v>233</v>
      </c>
      <c r="B37" s="233" t="s">
        <v>234</v>
      </c>
    </row>
    <row r="38" spans="1:2" x14ac:dyDescent="0.25">
      <c r="A38" s="232" t="s">
        <v>235</v>
      </c>
      <c r="B38" s="233" t="s">
        <v>236</v>
      </c>
    </row>
    <row r="39" spans="1:2" x14ac:dyDescent="0.25">
      <c r="A39" s="232" t="s">
        <v>237</v>
      </c>
      <c r="B39" s="233" t="s">
        <v>238</v>
      </c>
    </row>
    <row r="40" spans="1:2" x14ac:dyDescent="0.25">
      <c r="A40" s="232" t="s">
        <v>239</v>
      </c>
      <c r="B40" s="233" t="s">
        <v>240</v>
      </c>
    </row>
    <row r="41" spans="1:2" x14ac:dyDescent="0.25">
      <c r="A41" s="232" t="s">
        <v>241</v>
      </c>
      <c r="B41" s="233" t="s">
        <v>242</v>
      </c>
    </row>
    <row r="42" spans="1:2" x14ac:dyDescent="0.25">
      <c r="A42" s="232" t="s">
        <v>243</v>
      </c>
      <c r="B42" s="233" t="s">
        <v>244</v>
      </c>
    </row>
    <row r="43" spans="1:2" x14ac:dyDescent="0.25">
      <c r="A43" s="232" t="s">
        <v>245</v>
      </c>
      <c r="B43" s="233" t="s">
        <v>246</v>
      </c>
    </row>
    <row r="44" spans="1:2" x14ac:dyDescent="0.25">
      <c r="A44" s="232" t="s">
        <v>247</v>
      </c>
      <c r="B44" s="233" t="s">
        <v>248</v>
      </c>
    </row>
    <row r="45" spans="1:2" x14ac:dyDescent="0.25">
      <c r="A45" s="232" t="s">
        <v>249</v>
      </c>
      <c r="B45" s="233" t="s">
        <v>250</v>
      </c>
    </row>
    <row r="46" spans="1:2" x14ac:dyDescent="0.25">
      <c r="A46" s="232" t="s">
        <v>251</v>
      </c>
      <c r="B46" s="233" t="s">
        <v>252</v>
      </c>
    </row>
    <row r="47" spans="1:2" x14ac:dyDescent="0.25">
      <c r="A47" s="232" t="s">
        <v>253</v>
      </c>
      <c r="B47" s="233" t="s">
        <v>254</v>
      </c>
    </row>
    <row r="48" spans="1:2" x14ac:dyDescent="0.25">
      <c r="A48" s="232" t="s">
        <v>255</v>
      </c>
      <c r="B48" s="233" t="s">
        <v>256</v>
      </c>
    </row>
    <row r="49" spans="1:2" x14ac:dyDescent="0.25">
      <c r="A49" s="232" t="s">
        <v>257</v>
      </c>
      <c r="B49" s="233" t="s">
        <v>258</v>
      </c>
    </row>
    <row r="50" spans="1:2" x14ac:dyDescent="0.25">
      <c r="A50" s="232" t="s">
        <v>259</v>
      </c>
      <c r="B50" s="233" t="s">
        <v>260</v>
      </c>
    </row>
    <row r="51" spans="1:2" x14ac:dyDescent="0.25">
      <c r="A51" s="232" t="s">
        <v>261</v>
      </c>
      <c r="B51" s="233" t="s">
        <v>262</v>
      </c>
    </row>
    <row r="52" spans="1:2" x14ac:dyDescent="0.25">
      <c r="A52" s="232" t="s">
        <v>263</v>
      </c>
      <c r="B52" s="233" t="s">
        <v>264</v>
      </c>
    </row>
    <row r="53" spans="1:2" x14ac:dyDescent="0.25">
      <c r="A53" s="232" t="s">
        <v>265</v>
      </c>
      <c r="B53" s="233" t="s">
        <v>266</v>
      </c>
    </row>
    <row r="54" spans="1:2" x14ac:dyDescent="0.25">
      <c r="A54" s="232" t="s">
        <v>267</v>
      </c>
      <c r="B54" s="233" t="s">
        <v>268</v>
      </c>
    </row>
    <row r="55" spans="1:2" x14ac:dyDescent="0.25">
      <c r="A55" s="232" t="s">
        <v>269</v>
      </c>
      <c r="B55" s="233" t="s">
        <v>270</v>
      </c>
    </row>
    <row r="56" spans="1:2" x14ac:dyDescent="0.25">
      <c r="A56" s="232" t="s">
        <v>271</v>
      </c>
      <c r="B56" s="233" t="s">
        <v>272</v>
      </c>
    </row>
    <row r="57" spans="1:2" x14ac:dyDescent="0.25">
      <c r="A57" s="232" t="s">
        <v>273</v>
      </c>
      <c r="B57" s="233" t="s">
        <v>274</v>
      </c>
    </row>
    <row r="58" spans="1:2" x14ac:dyDescent="0.25">
      <c r="A58" s="232" t="s">
        <v>275</v>
      </c>
      <c r="B58" s="233" t="s">
        <v>276</v>
      </c>
    </row>
    <row r="59" spans="1:2" x14ac:dyDescent="0.25">
      <c r="A59" s="232" t="s">
        <v>277</v>
      </c>
      <c r="B59" s="233" t="s">
        <v>278</v>
      </c>
    </row>
    <row r="60" spans="1:2" x14ac:dyDescent="0.25">
      <c r="A60" s="232" t="s">
        <v>279</v>
      </c>
      <c r="B60" s="233" t="s">
        <v>280</v>
      </c>
    </row>
    <row r="61" spans="1:2" x14ac:dyDescent="0.25">
      <c r="A61" s="232" t="s">
        <v>281</v>
      </c>
      <c r="B61" s="233" t="s">
        <v>282</v>
      </c>
    </row>
    <row r="62" spans="1:2" x14ac:dyDescent="0.25">
      <c r="A62" s="232"/>
      <c r="B62" s="233"/>
    </row>
    <row r="63" spans="1:2" x14ac:dyDescent="0.25">
      <c r="A63" s="232"/>
      <c r="B63" s="233"/>
    </row>
    <row r="64" spans="1:2" x14ac:dyDescent="0.25">
      <c r="A64" s="232" t="s">
        <v>610</v>
      </c>
      <c r="B64" s="233"/>
    </row>
    <row r="65" spans="1:2" x14ac:dyDescent="0.25">
      <c r="A65" s="232" t="s">
        <v>283</v>
      </c>
      <c r="B65" s="233" t="s">
        <v>284</v>
      </c>
    </row>
    <row r="66" spans="1:2" x14ac:dyDescent="0.25">
      <c r="A66" s="232" t="s">
        <v>285</v>
      </c>
      <c r="B66" s="233" t="s">
        <v>286</v>
      </c>
    </row>
    <row r="67" spans="1:2" x14ac:dyDescent="0.25">
      <c r="A67" s="232" t="s">
        <v>287</v>
      </c>
      <c r="B67" s="233" t="s">
        <v>288</v>
      </c>
    </row>
    <row r="68" spans="1:2" x14ac:dyDescent="0.25">
      <c r="A68" s="232" t="s">
        <v>289</v>
      </c>
      <c r="B68" s="233" t="s">
        <v>290</v>
      </c>
    </row>
    <row r="69" spans="1:2" x14ac:dyDescent="0.25">
      <c r="A69" s="232" t="s">
        <v>291</v>
      </c>
      <c r="B69" s="233" t="s">
        <v>292</v>
      </c>
    </row>
    <row r="70" spans="1:2" x14ac:dyDescent="0.25">
      <c r="A70" s="232" t="s">
        <v>293</v>
      </c>
      <c r="B70" s="233" t="s">
        <v>294</v>
      </c>
    </row>
    <row r="71" spans="1:2" x14ac:dyDescent="0.25">
      <c r="A71" s="232" t="s">
        <v>295</v>
      </c>
      <c r="B71" s="233" t="s">
        <v>296</v>
      </c>
    </row>
    <row r="72" spans="1:2" x14ac:dyDescent="0.25">
      <c r="A72" s="232" t="s">
        <v>297</v>
      </c>
      <c r="B72" s="233" t="s">
        <v>298</v>
      </c>
    </row>
    <row r="73" spans="1:2" x14ac:dyDescent="0.25">
      <c r="A73" s="232" t="s">
        <v>299</v>
      </c>
      <c r="B73" s="233" t="s">
        <v>300</v>
      </c>
    </row>
    <row r="74" spans="1:2" x14ac:dyDescent="0.25">
      <c r="A74" s="232" t="s">
        <v>301</v>
      </c>
      <c r="B74" s="233" t="s">
        <v>302</v>
      </c>
    </row>
    <row r="75" spans="1:2" x14ac:dyDescent="0.25">
      <c r="A75" s="232" t="s">
        <v>303</v>
      </c>
      <c r="B75" s="233" t="s">
        <v>304</v>
      </c>
    </row>
    <row r="76" spans="1:2" x14ac:dyDescent="0.25">
      <c r="A76" s="232" t="s">
        <v>305</v>
      </c>
      <c r="B76" s="233" t="s">
        <v>306</v>
      </c>
    </row>
    <row r="77" spans="1:2" x14ac:dyDescent="0.25">
      <c r="A77" s="232" t="s">
        <v>307</v>
      </c>
      <c r="B77" s="233" t="s">
        <v>308</v>
      </c>
    </row>
    <row r="78" spans="1:2" x14ac:dyDescent="0.25">
      <c r="A78" s="232" t="s">
        <v>309</v>
      </c>
      <c r="B78" s="233" t="s">
        <v>310</v>
      </c>
    </row>
    <row r="79" spans="1:2" x14ac:dyDescent="0.25">
      <c r="A79" s="232"/>
      <c r="B79" s="233"/>
    </row>
    <row r="80" spans="1:2" x14ac:dyDescent="0.25">
      <c r="A80" s="232"/>
      <c r="B80" s="233"/>
    </row>
    <row r="81" spans="1:2" x14ac:dyDescent="0.25">
      <c r="A81" s="232" t="s">
        <v>611</v>
      </c>
      <c r="B81" s="233"/>
    </row>
    <row r="82" spans="1:2" x14ac:dyDescent="0.25">
      <c r="A82" s="232" t="s">
        <v>407</v>
      </c>
      <c r="B82" s="233" t="s">
        <v>408</v>
      </c>
    </row>
    <row r="83" spans="1:2" x14ac:dyDescent="0.25">
      <c r="A83" s="232" t="s">
        <v>409</v>
      </c>
      <c r="B83" s="233" t="s">
        <v>410</v>
      </c>
    </row>
    <row r="84" spans="1:2" x14ac:dyDescent="0.25">
      <c r="A84" s="232" t="s">
        <v>411</v>
      </c>
      <c r="B84" s="233" t="s">
        <v>412</v>
      </c>
    </row>
    <row r="85" spans="1:2" x14ac:dyDescent="0.25">
      <c r="A85" s="232" t="s">
        <v>413</v>
      </c>
      <c r="B85" s="233" t="s">
        <v>414</v>
      </c>
    </row>
    <row r="86" spans="1:2" x14ac:dyDescent="0.25">
      <c r="A86" s="232" t="s">
        <v>415</v>
      </c>
      <c r="B86" s="233" t="s">
        <v>416</v>
      </c>
    </row>
    <row r="87" spans="1:2" x14ac:dyDescent="0.25">
      <c r="A87" s="232" t="s">
        <v>417</v>
      </c>
      <c r="B87" s="233" t="s">
        <v>418</v>
      </c>
    </row>
    <row r="88" spans="1:2" x14ac:dyDescent="0.25">
      <c r="A88" s="232" t="s">
        <v>419</v>
      </c>
      <c r="B88" s="233" t="s">
        <v>420</v>
      </c>
    </row>
    <row r="89" spans="1:2" x14ac:dyDescent="0.25">
      <c r="A89" s="232" t="s">
        <v>421</v>
      </c>
      <c r="B89" s="233" t="s">
        <v>422</v>
      </c>
    </row>
    <row r="90" spans="1:2" x14ac:dyDescent="0.25">
      <c r="A90" s="232" t="s">
        <v>423</v>
      </c>
      <c r="B90" s="233" t="s">
        <v>424</v>
      </c>
    </row>
    <row r="91" spans="1:2" x14ac:dyDescent="0.25">
      <c r="A91" s="232" t="s">
        <v>425</v>
      </c>
      <c r="B91" s="233" t="s">
        <v>426</v>
      </c>
    </row>
    <row r="92" spans="1:2" x14ac:dyDescent="0.25">
      <c r="A92" s="232" t="s">
        <v>427</v>
      </c>
      <c r="B92" s="233" t="s">
        <v>428</v>
      </c>
    </row>
    <row r="93" spans="1:2" x14ac:dyDescent="0.25">
      <c r="A93" s="232" t="s">
        <v>429</v>
      </c>
      <c r="B93" s="233" t="s">
        <v>430</v>
      </c>
    </row>
    <row r="94" spans="1:2" x14ac:dyDescent="0.25">
      <c r="A94" s="232" t="s">
        <v>431</v>
      </c>
      <c r="B94" s="233" t="s">
        <v>432</v>
      </c>
    </row>
    <row r="95" spans="1:2" x14ac:dyDescent="0.25">
      <c r="A95" s="232" t="s">
        <v>433</v>
      </c>
      <c r="B95" s="233" t="s">
        <v>434</v>
      </c>
    </row>
    <row r="96" spans="1:2" x14ac:dyDescent="0.25">
      <c r="A96" s="232" t="s">
        <v>435</v>
      </c>
      <c r="B96" s="233" t="s">
        <v>436</v>
      </c>
    </row>
    <row r="97" spans="1:2" x14ac:dyDescent="0.25">
      <c r="A97" s="232" t="s">
        <v>437</v>
      </c>
      <c r="B97" s="233" t="s">
        <v>438</v>
      </c>
    </row>
    <row r="98" spans="1:2" x14ac:dyDescent="0.25">
      <c r="A98" s="232" t="s">
        <v>439</v>
      </c>
      <c r="B98" s="233" t="s">
        <v>440</v>
      </c>
    </row>
    <row r="99" spans="1:2" x14ac:dyDescent="0.25">
      <c r="A99" s="232" t="s">
        <v>441</v>
      </c>
      <c r="B99" s="233" t="s">
        <v>442</v>
      </c>
    </row>
    <row r="100" spans="1:2" x14ac:dyDescent="0.25">
      <c r="A100" s="232" t="s">
        <v>443</v>
      </c>
      <c r="B100" s="233" t="s">
        <v>444</v>
      </c>
    </row>
    <row r="101" spans="1:2" x14ac:dyDescent="0.25">
      <c r="A101" s="232"/>
      <c r="B101" s="233"/>
    </row>
    <row r="102" spans="1:2" x14ac:dyDescent="0.25">
      <c r="A102" s="232"/>
      <c r="B102" s="233"/>
    </row>
    <row r="103" spans="1:2" x14ac:dyDescent="0.25">
      <c r="A103" s="232" t="s">
        <v>612</v>
      </c>
      <c r="B103" s="233"/>
    </row>
    <row r="104" spans="1:2" x14ac:dyDescent="0.25">
      <c r="A104" s="232" t="s">
        <v>311</v>
      </c>
      <c r="B104" s="233" t="s">
        <v>312</v>
      </c>
    </row>
    <row r="105" spans="1:2" x14ac:dyDescent="0.25">
      <c r="A105" s="232" t="s">
        <v>313</v>
      </c>
      <c r="B105" s="233" t="s">
        <v>314</v>
      </c>
    </row>
    <row r="106" spans="1:2" x14ac:dyDescent="0.25">
      <c r="A106" s="232" t="s">
        <v>315</v>
      </c>
      <c r="B106" s="233" t="s">
        <v>316</v>
      </c>
    </row>
    <row r="107" spans="1:2" x14ac:dyDescent="0.25">
      <c r="A107" s="232" t="s">
        <v>317</v>
      </c>
      <c r="B107" s="233" t="s">
        <v>318</v>
      </c>
    </row>
    <row r="108" spans="1:2" x14ac:dyDescent="0.25">
      <c r="A108" s="232" t="s">
        <v>319</v>
      </c>
      <c r="B108" s="233" t="s">
        <v>320</v>
      </c>
    </row>
    <row r="109" spans="1:2" x14ac:dyDescent="0.25">
      <c r="A109" s="232" t="s">
        <v>321</v>
      </c>
      <c r="B109" s="233" t="s">
        <v>322</v>
      </c>
    </row>
    <row r="110" spans="1:2" x14ac:dyDescent="0.25">
      <c r="A110" s="232" t="s">
        <v>323</v>
      </c>
      <c r="B110" s="233" t="s">
        <v>324</v>
      </c>
    </row>
    <row r="111" spans="1:2" x14ac:dyDescent="0.25">
      <c r="A111" s="232" t="s">
        <v>325</v>
      </c>
      <c r="B111" s="233" t="s">
        <v>326</v>
      </c>
    </row>
    <row r="112" spans="1:2" x14ac:dyDescent="0.25">
      <c r="A112" s="232" t="s">
        <v>327</v>
      </c>
      <c r="B112" s="233" t="s">
        <v>328</v>
      </c>
    </row>
    <row r="113" spans="1:2" x14ac:dyDescent="0.25">
      <c r="A113" s="232" t="s">
        <v>329</v>
      </c>
      <c r="B113" s="233" t="s">
        <v>330</v>
      </c>
    </row>
    <row r="114" spans="1:2" x14ac:dyDescent="0.25">
      <c r="A114" s="232" t="s">
        <v>331</v>
      </c>
      <c r="B114" s="233" t="s">
        <v>332</v>
      </c>
    </row>
    <row r="115" spans="1:2" x14ac:dyDescent="0.25">
      <c r="A115" s="232" t="s">
        <v>333</v>
      </c>
      <c r="B115" s="233" t="s">
        <v>334</v>
      </c>
    </row>
    <row r="116" spans="1:2" x14ac:dyDescent="0.25">
      <c r="A116" s="232" t="s">
        <v>335</v>
      </c>
      <c r="B116" s="233" t="s">
        <v>336</v>
      </c>
    </row>
    <row r="117" spans="1:2" x14ac:dyDescent="0.25">
      <c r="A117" s="232" t="s">
        <v>337</v>
      </c>
      <c r="B117" s="233" t="s">
        <v>338</v>
      </c>
    </row>
    <row r="118" spans="1:2" x14ac:dyDescent="0.25">
      <c r="A118" s="232" t="s">
        <v>339</v>
      </c>
      <c r="B118" s="233" t="s">
        <v>340</v>
      </c>
    </row>
    <row r="119" spans="1:2" x14ac:dyDescent="0.25">
      <c r="A119" s="232" t="s">
        <v>341</v>
      </c>
      <c r="B119" s="233" t="s">
        <v>342</v>
      </c>
    </row>
    <row r="120" spans="1:2" x14ac:dyDescent="0.25">
      <c r="A120" s="232" t="s">
        <v>343</v>
      </c>
      <c r="B120" s="233" t="s">
        <v>344</v>
      </c>
    </row>
    <row r="121" spans="1:2" x14ac:dyDescent="0.25">
      <c r="A121" s="232" t="s">
        <v>345</v>
      </c>
      <c r="B121" s="233" t="s">
        <v>346</v>
      </c>
    </row>
    <row r="122" spans="1:2" x14ac:dyDescent="0.25">
      <c r="A122" s="232" t="s">
        <v>347</v>
      </c>
      <c r="B122" s="233" t="s">
        <v>348</v>
      </c>
    </row>
    <row r="123" spans="1:2" x14ac:dyDescent="0.25">
      <c r="A123" s="232" t="s">
        <v>349</v>
      </c>
      <c r="B123" s="233" t="s">
        <v>350</v>
      </c>
    </row>
    <row r="124" spans="1:2" x14ac:dyDescent="0.25">
      <c r="A124" s="232" t="s">
        <v>351</v>
      </c>
      <c r="B124" s="233" t="s">
        <v>352</v>
      </c>
    </row>
    <row r="125" spans="1:2" x14ac:dyDescent="0.25">
      <c r="A125" s="232" t="s">
        <v>353</v>
      </c>
      <c r="B125" s="233" t="s">
        <v>354</v>
      </c>
    </row>
    <row r="126" spans="1:2" x14ac:dyDescent="0.25">
      <c r="A126" s="232" t="s">
        <v>355</v>
      </c>
      <c r="B126" s="233" t="s">
        <v>356</v>
      </c>
    </row>
    <row r="127" spans="1:2" x14ac:dyDescent="0.25">
      <c r="A127" s="232" t="s">
        <v>357</v>
      </c>
      <c r="B127" s="233" t="s">
        <v>358</v>
      </c>
    </row>
    <row r="128" spans="1:2" x14ac:dyDescent="0.25">
      <c r="A128" s="232" t="s">
        <v>359</v>
      </c>
      <c r="B128" s="233" t="s">
        <v>360</v>
      </c>
    </row>
    <row r="129" spans="1:2" x14ac:dyDescent="0.25">
      <c r="A129" s="232" t="s">
        <v>361</v>
      </c>
      <c r="B129" s="233" t="s">
        <v>362</v>
      </c>
    </row>
    <row r="130" spans="1:2" x14ac:dyDescent="0.25">
      <c r="A130" s="232" t="s">
        <v>363</v>
      </c>
      <c r="B130" s="233" t="s">
        <v>364</v>
      </c>
    </row>
    <row r="131" spans="1:2" x14ac:dyDescent="0.25">
      <c r="A131" s="232" t="s">
        <v>365</v>
      </c>
      <c r="B131" s="233" t="s">
        <v>366</v>
      </c>
    </row>
    <row r="132" spans="1:2" x14ac:dyDescent="0.25">
      <c r="A132" s="232" t="s">
        <v>367</v>
      </c>
      <c r="B132" s="233" t="s">
        <v>368</v>
      </c>
    </row>
    <row r="133" spans="1:2" x14ac:dyDescent="0.25">
      <c r="A133" s="232" t="s">
        <v>369</v>
      </c>
      <c r="B133" s="233" t="s">
        <v>370</v>
      </c>
    </row>
    <row r="134" spans="1:2" x14ac:dyDescent="0.25">
      <c r="A134" s="232" t="s">
        <v>371</v>
      </c>
      <c r="B134" s="233" t="s">
        <v>372</v>
      </c>
    </row>
    <row r="135" spans="1:2" x14ac:dyDescent="0.25">
      <c r="A135" s="232" t="s">
        <v>373</v>
      </c>
      <c r="B135" s="233" t="s">
        <v>374</v>
      </c>
    </row>
    <row r="136" spans="1:2" x14ac:dyDescent="0.25">
      <c r="A136" s="232" t="s">
        <v>375</v>
      </c>
      <c r="B136" s="233" t="s">
        <v>376</v>
      </c>
    </row>
    <row r="137" spans="1:2" x14ac:dyDescent="0.25">
      <c r="A137" s="232" t="s">
        <v>377</v>
      </c>
      <c r="B137" s="233" t="s">
        <v>378</v>
      </c>
    </row>
    <row r="138" spans="1:2" x14ac:dyDescent="0.25">
      <c r="A138" s="232" t="s">
        <v>379</v>
      </c>
      <c r="B138" s="233" t="s">
        <v>380</v>
      </c>
    </row>
    <row r="139" spans="1:2" x14ac:dyDescent="0.25">
      <c r="A139" s="232" t="s">
        <v>381</v>
      </c>
      <c r="B139" s="233" t="s">
        <v>382</v>
      </c>
    </row>
    <row r="140" spans="1:2" x14ac:dyDescent="0.25">
      <c r="A140" s="232" t="s">
        <v>383</v>
      </c>
      <c r="B140" s="233" t="s">
        <v>384</v>
      </c>
    </row>
    <row r="141" spans="1:2" x14ac:dyDescent="0.25">
      <c r="A141" s="232" t="s">
        <v>385</v>
      </c>
      <c r="B141" s="233" t="s">
        <v>386</v>
      </c>
    </row>
    <row r="142" spans="1:2" x14ac:dyDescent="0.25">
      <c r="A142" s="232" t="s">
        <v>387</v>
      </c>
      <c r="B142" s="233" t="s">
        <v>388</v>
      </c>
    </row>
    <row r="143" spans="1:2" x14ac:dyDescent="0.25">
      <c r="A143" s="232" t="s">
        <v>389</v>
      </c>
      <c r="B143" s="233" t="s">
        <v>390</v>
      </c>
    </row>
    <row r="144" spans="1:2" x14ac:dyDescent="0.25">
      <c r="A144" s="232" t="s">
        <v>391</v>
      </c>
      <c r="B144" s="233" t="s">
        <v>392</v>
      </c>
    </row>
    <row r="145" spans="1:2" x14ac:dyDescent="0.25">
      <c r="A145" s="232" t="s">
        <v>393</v>
      </c>
      <c r="B145" s="233" t="s">
        <v>394</v>
      </c>
    </row>
    <row r="146" spans="1:2" x14ac:dyDescent="0.25">
      <c r="A146" s="232" t="s">
        <v>395</v>
      </c>
      <c r="B146" s="233" t="s">
        <v>396</v>
      </c>
    </row>
    <row r="147" spans="1:2" x14ac:dyDescent="0.25">
      <c r="A147" s="232" t="s">
        <v>397</v>
      </c>
      <c r="B147" s="233" t="s">
        <v>398</v>
      </c>
    </row>
    <row r="148" spans="1:2" x14ac:dyDescent="0.25">
      <c r="A148" s="232" t="s">
        <v>399</v>
      </c>
      <c r="B148" s="233" t="s">
        <v>400</v>
      </c>
    </row>
    <row r="149" spans="1:2" x14ac:dyDescent="0.25">
      <c r="A149" s="232" t="s">
        <v>401</v>
      </c>
      <c r="B149" s="233" t="s">
        <v>402</v>
      </c>
    </row>
    <row r="150" spans="1:2" x14ac:dyDescent="0.25">
      <c r="A150" s="232" t="s">
        <v>403</v>
      </c>
      <c r="B150" s="233" t="s">
        <v>404</v>
      </c>
    </row>
    <row r="151" spans="1:2" x14ac:dyDescent="0.25">
      <c r="A151" s="232" t="s">
        <v>405</v>
      </c>
      <c r="B151" s="233" t="s">
        <v>406</v>
      </c>
    </row>
    <row r="152" spans="1:2" x14ac:dyDescent="0.25">
      <c r="A152" s="232" t="s">
        <v>445</v>
      </c>
      <c r="B152" s="233" t="s">
        <v>446</v>
      </c>
    </row>
    <row r="153" spans="1:2" x14ac:dyDescent="0.25">
      <c r="A153" s="232" t="s">
        <v>447</v>
      </c>
      <c r="B153" s="233" t="s">
        <v>448</v>
      </c>
    </row>
    <row r="154" spans="1:2" x14ac:dyDescent="0.25">
      <c r="A154" s="232" t="s">
        <v>449</v>
      </c>
      <c r="B154" s="233" t="s">
        <v>450</v>
      </c>
    </row>
    <row r="155" spans="1:2" x14ac:dyDescent="0.25">
      <c r="A155" s="232" t="s">
        <v>451</v>
      </c>
      <c r="B155" s="233" t="s">
        <v>452</v>
      </c>
    </row>
    <row r="156" spans="1:2" x14ac:dyDescent="0.25">
      <c r="A156" s="232" t="s">
        <v>453</v>
      </c>
      <c r="B156" s="233" t="s">
        <v>454</v>
      </c>
    </row>
    <row r="157" spans="1:2" x14ac:dyDescent="0.25">
      <c r="A157" s="232" t="s">
        <v>455</v>
      </c>
      <c r="B157" s="233" t="s">
        <v>456</v>
      </c>
    </row>
    <row r="158" spans="1:2" x14ac:dyDescent="0.25">
      <c r="A158" s="232" t="s">
        <v>457</v>
      </c>
      <c r="B158" s="233" t="s">
        <v>458</v>
      </c>
    </row>
    <row r="159" spans="1:2" x14ac:dyDescent="0.25">
      <c r="A159" s="232" t="s">
        <v>459</v>
      </c>
      <c r="B159" s="233" t="s">
        <v>460</v>
      </c>
    </row>
    <row r="160" spans="1:2" x14ac:dyDescent="0.25">
      <c r="A160" s="232" t="s">
        <v>461</v>
      </c>
      <c r="B160" s="233" t="s">
        <v>462</v>
      </c>
    </row>
    <row r="161" spans="1:2" x14ac:dyDescent="0.25">
      <c r="A161" s="232" t="s">
        <v>463</v>
      </c>
      <c r="B161" s="233" t="s">
        <v>464</v>
      </c>
    </row>
    <row r="162" spans="1:2" x14ac:dyDescent="0.25">
      <c r="A162" s="232" t="s">
        <v>465</v>
      </c>
      <c r="B162" s="233" t="s">
        <v>466</v>
      </c>
    </row>
    <row r="163" spans="1:2" x14ac:dyDescent="0.25">
      <c r="A163" s="232" t="s">
        <v>467</v>
      </c>
      <c r="B163" s="233" t="s">
        <v>468</v>
      </c>
    </row>
    <row r="164" spans="1:2" x14ac:dyDescent="0.25">
      <c r="A164" s="232" t="s">
        <v>469</v>
      </c>
      <c r="B164" s="233" t="s">
        <v>470</v>
      </c>
    </row>
    <row r="165" spans="1:2" x14ac:dyDescent="0.25">
      <c r="A165" s="232" t="s">
        <v>471</v>
      </c>
      <c r="B165" s="233" t="s">
        <v>472</v>
      </c>
    </row>
    <row r="166" spans="1:2" x14ac:dyDescent="0.25">
      <c r="A166" s="232" t="s">
        <v>473</v>
      </c>
      <c r="B166" s="233" t="s">
        <v>474</v>
      </c>
    </row>
    <row r="167" spans="1:2" x14ac:dyDescent="0.25">
      <c r="A167" s="232" t="s">
        <v>475</v>
      </c>
      <c r="B167" s="233" t="s">
        <v>476</v>
      </c>
    </row>
    <row r="168" spans="1:2" x14ac:dyDescent="0.25">
      <c r="A168" s="232" t="s">
        <v>477</v>
      </c>
      <c r="B168" s="233" t="s">
        <v>478</v>
      </c>
    </row>
    <row r="169" spans="1:2" x14ac:dyDescent="0.25">
      <c r="A169" s="232" t="s">
        <v>479</v>
      </c>
      <c r="B169" s="233" t="s">
        <v>480</v>
      </c>
    </row>
    <row r="170" spans="1:2" x14ac:dyDescent="0.25">
      <c r="A170" s="232" t="s">
        <v>481</v>
      </c>
      <c r="B170" s="233" t="s">
        <v>482</v>
      </c>
    </row>
    <row r="171" spans="1:2" x14ac:dyDescent="0.25">
      <c r="A171" s="232" t="s">
        <v>483</v>
      </c>
      <c r="B171" s="233" t="s">
        <v>484</v>
      </c>
    </row>
    <row r="172" spans="1:2" x14ac:dyDescent="0.25">
      <c r="A172" s="232" t="s">
        <v>485</v>
      </c>
      <c r="B172" s="233" t="s">
        <v>486</v>
      </c>
    </row>
    <row r="173" spans="1:2" x14ac:dyDescent="0.25">
      <c r="A173" s="232" t="s">
        <v>487</v>
      </c>
      <c r="B173" s="233" t="s">
        <v>488</v>
      </c>
    </row>
    <row r="174" spans="1:2" x14ac:dyDescent="0.25">
      <c r="A174" s="232" t="s">
        <v>489</v>
      </c>
      <c r="B174" s="233" t="s">
        <v>490</v>
      </c>
    </row>
    <row r="175" spans="1:2" x14ac:dyDescent="0.25">
      <c r="A175" s="232" t="s">
        <v>491</v>
      </c>
      <c r="B175" s="233" t="s">
        <v>492</v>
      </c>
    </row>
    <row r="176" spans="1:2" x14ac:dyDescent="0.25">
      <c r="A176" s="232" t="s">
        <v>493</v>
      </c>
      <c r="B176" s="233" t="s">
        <v>494</v>
      </c>
    </row>
    <row r="177" spans="1:2" x14ac:dyDescent="0.25">
      <c r="A177" s="232" t="s">
        <v>495</v>
      </c>
      <c r="B177" s="233" t="s">
        <v>496</v>
      </c>
    </row>
    <row r="178" spans="1:2" x14ac:dyDescent="0.25">
      <c r="A178" s="232" t="s">
        <v>497</v>
      </c>
      <c r="B178" s="233" t="s">
        <v>498</v>
      </c>
    </row>
    <row r="179" spans="1:2" x14ac:dyDescent="0.25">
      <c r="A179" s="232" t="s">
        <v>499</v>
      </c>
      <c r="B179" s="233" t="s">
        <v>500</v>
      </c>
    </row>
    <row r="180" spans="1:2" x14ac:dyDescent="0.25">
      <c r="A180" s="232" t="s">
        <v>501</v>
      </c>
      <c r="B180" s="233" t="s">
        <v>502</v>
      </c>
    </row>
    <row r="181" spans="1:2" x14ac:dyDescent="0.25">
      <c r="A181" s="232" t="s">
        <v>503</v>
      </c>
      <c r="B181" s="233" t="s">
        <v>504</v>
      </c>
    </row>
    <row r="182" spans="1:2" x14ac:dyDescent="0.25">
      <c r="A182" s="232" t="s">
        <v>505</v>
      </c>
      <c r="B182" s="233" t="s">
        <v>506</v>
      </c>
    </row>
    <row r="183" spans="1:2" x14ac:dyDescent="0.25">
      <c r="A183" s="232" t="s">
        <v>507</v>
      </c>
      <c r="B183" s="233" t="s">
        <v>508</v>
      </c>
    </row>
    <row r="184" spans="1:2" x14ac:dyDescent="0.25">
      <c r="A184" s="232" t="s">
        <v>509</v>
      </c>
      <c r="B184" s="233" t="s">
        <v>510</v>
      </c>
    </row>
    <row r="185" spans="1:2" x14ac:dyDescent="0.25">
      <c r="A185" s="232" t="s">
        <v>511</v>
      </c>
      <c r="B185" s="233" t="s">
        <v>512</v>
      </c>
    </row>
    <row r="186" spans="1:2" x14ac:dyDescent="0.25">
      <c r="A186" s="232" t="s">
        <v>513</v>
      </c>
      <c r="B186" s="233" t="s">
        <v>514</v>
      </c>
    </row>
    <row r="187" spans="1:2" x14ac:dyDescent="0.25">
      <c r="A187" s="232" t="s">
        <v>515</v>
      </c>
      <c r="B187" s="233" t="s">
        <v>516</v>
      </c>
    </row>
    <row r="188" spans="1:2" x14ac:dyDescent="0.25">
      <c r="A188" s="232" t="s">
        <v>517</v>
      </c>
      <c r="B188" s="233" t="s">
        <v>518</v>
      </c>
    </row>
    <row r="189" spans="1:2" x14ac:dyDescent="0.25">
      <c r="A189" s="232" t="s">
        <v>519</v>
      </c>
      <c r="B189" s="233" t="s">
        <v>520</v>
      </c>
    </row>
    <row r="190" spans="1:2" x14ac:dyDescent="0.25">
      <c r="A190" s="232" t="s">
        <v>521</v>
      </c>
      <c r="B190" s="233" t="s">
        <v>522</v>
      </c>
    </row>
    <row r="191" spans="1:2" x14ac:dyDescent="0.25">
      <c r="A191" s="232" t="s">
        <v>523</v>
      </c>
      <c r="B191" s="233" t="s">
        <v>524</v>
      </c>
    </row>
    <row r="192" spans="1:2" x14ac:dyDescent="0.25">
      <c r="A192" s="232" t="s">
        <v>525</v>
      </c>
      <c r="B192" s="233" t="s">
        <v>526</v>
      </c>
    </row>
    <row r="193" spans="1:2" x14ac:dyDescent="0.25">
      <c r="A193" s="232" t="s">
        <v>527</v>
      </c>
      <c r="B193" s="233" t="s">
        <v>528</v>
      </c>
    </row>
    <row r="194" spans="1:2" x14ac:dyDescent="0.25">
      <c r="A194" s="232" t="s">
        <v>529</v>
      </c>
      <c r="B194" s="233" t="s">
        <v>530</v>
      </c>
    </row>
    <row r="195" spans="1:2" x14ac:dyDescent="0.25">
      <c r="A195" s="232" t="s">
        <v>531</v>
      </c>
      <c r="B195" s="233" t="s">
        <v>532</v>
      </c>
    </row>
    <row r="196" spans="1:2" x14ac:dyDescent="0.25">
      <c r="A196" s="232" t="s">
        <v>533</v>
      </c>
      <c r="B196" s="233" t="s">
        <v>534</v>
      </c>
    </row>
    <row r="197" spans="1:2" x14ac:dyDescent="0.25">
      <c r="A197" s="232" t="s">
        <v>535</v>
      </c>
      <c r="B197" s="233" t="s">
        <v>536</v>
      </c>
    </row>
    <row r="198" spans="1:2" x14ac:dyDescent="0.25">
      <c r="A198" s="232" t="s">
        <v>537</v>
      </c>
      <c r="B198" s="233" t="s">
        <v>538</v>
      </c>
    </row>
    <row r="199" spans="1:2" x14ac:dyDescent="0.25">
      <c r="A199" s="232" t="s">
        <v>539</v>
      </c>
      <c r="B199" s="233" t="s">
        <v>540</v>
      </c>
    </row>
    <row r="200" spans="1:2" x14ac:dyDescent="0.25">
      <c r="A200" s="232" t="s">
        <v>541</v>
      </c>
      <c r="B200" s="233" t="s">
        <v>542</v>
      </c>
    </row>
    <row r="201" spans="1:2" x14ac:dyDescent="0.25">
      <c r="A201" s="232" t="s">
        <v>543</v>
      </c>
      <c r="B201" s="233" t="s">
        <v>544</v>
      </c>
    </row>
    <row r="202" spans="1:2" x14ac:dyDescent="0.25">
      <c r="A202" s="232" t="s">
        <v>545</v>
      </c>
      <c r="B202" s="233" t="s">
        <v>546</v>
      </c>
    </row>
    <row r="203" spans="1:2" x14ac:dyDescent="0.25">
      <c r="A203" s="232" t="s">
        <v>547</v>
      </c>
      <c r="B203" s="233" t="s">
        <v>548</v>
      </c>
    </row>
    <row r="204" spans="1:2" x14ac:dyDescent="0.25">
      <c r="A204" s="232" t="s">
        <v>549</v>
      </c>
      <c r="B204" s="233" t="s">
        <v>550</v>
      </c>
    </row>
    <row r="205" spans="1:2" x14ac:dyDescent="0.25">
      <c r="A205" s="232" t="s">
        <v>551</v>
      </c>
      <c r="B205" s="233" t="s">
        <v>552</v>
      </c>
    </row>
    <row r="206" spans="1:2" x14ac:dyDescent="0.25">
      <c r="A206" s="232" t="s">
        <v>553</v>
      </c>
      <c r="B206" s="233" t="s">
        <v>554</v>
      </c>
    </row>
    <row r="207" spans="1:2" x14ac:dyDescent="0.25">
      <c r="A207" s="232" t="s">
        <v>555</v>
      </c>
      <c r="B207" s="233" t="s">
        <v>556</v>
      </c>
    </row>
    <row r="208" spans="1:2" x14ac:dyDescent="0.25">
      <c r="A208" s="232" t="s">
        <v>557</v>
      </c>
      <c r="B208" s="233" t="s">
        <v>558</v>
      </c>
    </row>
    <row r="209" spans="1:2" x14ac:dyDescent="0.25">
      <c r="A209" s="232" t="s">
        <v>559</v>
      </c>
      <c r="B209" s="233" t="s">
        <v>560</v>
      </c>
    </row>
    <row r="210" spans="1:2" x14ac:dyDescent="0.25">
      <c r="A210" s="232" t="s">
        <v>561</v>
      </c>
      <c r="B210" s="233" t="s">
        <v>562</v>
      </c>
    </row>
    <row r="211" spans="1:2" x14ac:dyDescent="0.25">
      <c r="A211" s="232" t="s">
        <v>563</v>
      </c>
      <c r="B211" s="233" t="s">
        <v>564</v>
      </c>
    </row>
    <row r="212" spans="1:2" x14ac:dyDescent="0.25">
      <c r="A212" s="232" t="s">
        <v>565</v>
      </c>
      <c r="B212" s="233" t="s">
        <v>566</v>
      </c>
    </row>
    <row r="213" spans="1:2" x14ac:dyDescent="0.25">
      <c r="A213" s="232" t="s">
        <v>567</v>
      </c>
      <c r="B213" s="233" t="s">
        <v>568</v>
      </c>
    </row>
    <row r="214" spans="1:2" x14ac:dyDescent="0.25">
      <c r="A214" s="232" t="s">
        <v>569</v>
      </c>
      <c r="B214" s="233" t="s">
        <v>570</v>
      </c>
    </row>
    <row r="215" spans="1:2" x14ac:dyDescent="0.25">
      <c r="A215" s="232" t="s">
        <v>571</v>
      </c>
      <c r="B215" s="233" t="s">
        <v>572</v>
      </c>
    </row>
    <row r="216" spans="1:2" x14ac:dyDescent="0.25">
      <c r="A216" s="232" t="s">
        <v>573</v>
      </c>
      <c r="B216" s="233" t="s">
        <v>574</v>
      </c>
    </row>
    <row r="217" spans="1:2" x14ac:dyDescent="0.25">
      <c r="A217" s="232" t="s">
        <v>575</v>
      </c>
      <c r="B217" s="233" t="s">
        <v>576</v>
      </c>
    </row>
    <row r="218" spans="1:2" x14ac:dyDescent="0.25">
      <c r="A218" s="232" t="s">
        <v>577</v>
      </c>
      <c r="B218" s="233" t="s">
        <v>578</v>
      </c>
    </row>
    <row r="219" spans="1:2" x14ac:dyDescent="0.25">
      <c r="A219" s="232" t="s">
        <v>579</v>
      </c>
      <c r="B219" s="233" t="s">
        <v>580</v>
      </c>
    </row>
    <row r="220" spans="1:2" x14ac:dyDescent="0.25">
      <c r="A220" s="232" t="s">
        <v>581</v>
      </c>
      <c r="B220" s="233" t="s">
        <v>582</v>
      </c>
    </row>
    <row r="221" spans="1:2" x14ac:dyDescent="0.25">
      <c r="A221" s="232" t="s">
        <v>583</v>
      </c>
      <c r="B221" s="233" t="s">
        <v>584</v>
      </c>
    </row>
    <row r="222" spans="1:2" x14ac:dyDescent="0.25">
      <c r="A222" s="232" t="s">
        <v>585</v>
      </c>
      <c r="B222" s="233" t="s">
        <v>586</v>
      </c>
    </row>
    <row r="223" spans="1:2" x14ac:dyDescent="0.25">
      <c r="A223" s="232" t="s">
        <v>587</v>
      </c>
      <c r="B223" s="233" t="s">
        <v>588</v>
      </c>
    </row>
    <row r="224" spans="1:2" x14ac:dyDescent="0.25">
      <c r="A224" s="232" t="s">
        <v>589</v>
      </c>
      <c r="B224" s="233" t="s">
        <v>590</v>
      </c>
    </row>
    <row r="225" spans="1:2" x14ac:dyDescent="0.25">
      <c r="A225" s="232" t="s">
        <v>591</v>
      </c>
      <c r="B225" s="233" t="s">
        <v>592</v>
      </c>
    </row>
    <row r="226" spans="1:2" x14ac:dyDescent="0.25">
      <c r="A226" s="232" t="s">
        <v>593</v>
      </c>
      <c r="B226" s="233" t="s">
        <v>594</v>
      </c>
    </row>
    <row r="227" spans="1:2" x14ac:dyDescent="0.25">
      <c r="A227" s="232" t="s">
        <v>595</v>
      </c>
      <c r="B227" s="233" t="s">
        <v>596</v>
      </c>
    </row>
    <row r="228" spans="1:2" x14ac:dyDescent="0.25">
      <c r="A228" s="232" t="s">
        <v>597</v>
      </c>
      <c r="B228" s="233" t="s">
        <v>598</v>
      </c>
    </row>
    <row r="229" spans="1:2" x14ac:dyDescent="0.25">
      <c r="A229" s="232" t="s">
        <v>599</v>
      </c>
      <c r="B229" s="233" t="s">
        <v>600</v>
      </c>
    </row>
    <row r="230" spans="1:2" x14ac:dyDescent="0.25">
      <c r="A230" s="232" t="s">
        <v>601</v>
      </c>
      <c r="B230" s="233" t="s">
        <v>602</v>
      </c>
    </row>
    <row r="231" spans="1:2" x14ac:dyDescent="0.25">
      <c r="A231" s="232" t="s">
        <v>603</v>
      </c>
      <c r="B231" s="233" t="s">
        <v>604</v>
      </c>
    </row>
    <row r="232" spans="1:2" x14ac:dyDescent="0.25">
      <c r="A232" s="232"/>
      <c r="B232" s="23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AI286"/>
  <sheetViews>
    <sheetView zoomScale="80" zoomScaleNormal="80" workbookViewId="0">
      <pane xSplit="1" ySplit="3" topLeftCell="B204" activePane="bottomRight" state="frozen"/>
      <selection activeCell="AG3" sqref="AG3"/>
      <selection pane="topRight" activeCell="AG3" sqref="AG3"/>
      <selection pane="bottomLeft" activeCell="AG3" sqref="AG3"/>
      <selection pane="bottomRight" activeCell="A213" sqref="A213"/>
    </sheetView>
  </sheetViews>
  <sheetFormatPr baseColWidth="10" defaultRowHeight="15" x14ac:dyDescent="0.25"/>
  <cols>
    <col min="1" max="1" width="34.7109375" customWidth="1"/>
    <col min="2" max="13" width="8.28515625" customWidth="1"/>
    <col min="14" max="14" width="10.140625" customWidth="1"/>
    <col min="15" max="27" width="8.28515625" customWidth="1"/>
    <col min="28" max="28" width="9.7109375" customWidth="1"/>
    <col min="29" max="32" width="8.28515625" customWidth="1"/>
    <col min="33" max="33" width="11.140625" customWidth="1"/>
    <col min="34" max="34" width="12.42578125" customWidth="1"/>
  </cols>
  <sheetData>
    <row r="1" spans="1:33" ht="21.75" thickBot="1" x14ac:dyDescent="0.3">
      <c r="A1" s="431"/>
      <c r="B1" s="432"/>
      <c r="C1" s="432"/>
      <c r="D1" s="432"/>
      <c r="E1" s="432"/>
      <c r="F1" s="432"/>
      <c r="G1" s="432"/>
      <c r="H1" s="432"/>
      <c r="I1" s="432"/>
      <c r="J1" s="432"/>
      <c r="K1" s="432"/>
      <c r="L1" s="432"/>
      <c r="M1" s="432"/>
      <c r="N1" s="432"/>
      <c r="O1" s="432"/>
      <c r="P1" s="432"/>
      <c r="Q1" s="432"/>
      <c r="R1" s="432"/>
      <c r="S1" s="432"/>
      <c r="T1" s="432"/>
      <c r="U1" s="432"/>
      <c r="V1" s="432"/>
      <c r="W1" s="432"/>
      <c r="X1" s="432"/>
      <c r="Y1" s="432"/>
      <c r="Z1" s="432"/>
      <c r="AA1" s="432"/>
      <c r="AB1" s="432"/>
      <c r="AC1" s="432"/>
      <c r="AD1" s="432"/>
      <c r="AE1" s="432"/>
      <c r="AF1" s="432"/>
      <c r="AG1" s="433"/>
    </row>
    <row r="2" spans="1:33" ht="21.75" thickBot="1" x14ac:dyDescent="0.3">
      <c r="A2" s="82" t="s">
        <v>172</v>
      </c>
      <c r="B2" s="230">
        <v>1</v>
      </c>
      <c r="C2" s="230">
        <f t="shared" ref="C2:AA2" si="0">+B2+1</f>
        <v>2</v>
      </c>
      <c r="D2" s="230">
        <f t="shared" si="0"/>
        <v>3</v>
      </c>
      <c r="E2" s="230">
        <f t="shared" si="0"/>
        <v>4</v>
      </c>
      <c r="F2" s="230">
        <f t="shared" si="0"/>
        <v>5</v>
      </c>
      <c r="G2" s="230">
        <f t="shared" si="0"/>
        <v>6</v>
      </c>
      <c r="H2" s="230">
        <f t="shared" si="0"/>
        <v>7</v>
      </c>
      <c r="I2" s="230">
        <f t="shared" si="0"/>
        <v>8</v>
      </c>
      <c r="J2" s="230">
        <f t="shared" si="0"/>
        <v>9</v>
      </c>
      <c r="K2" s="230">
        <f t="shared" si="0"/>
        <v>10</v>
      </c>
      <c r="L2" s="230">
        <f t="shared" si="0"/>
        <v>11</v>
      </c>
      <c r="M2" s="230">
        <f t="shared" si="0"/>
        <v>12</v>
      </c>
      <c r="N2" s="230">
        <f t="shared" si="0"/>
        <v>13</v>
      </c>
      <c r="O2" s="230">
        <f t="shared" si="0"/>
        <v>14</v>
      </c>
      <c r="P2" s="230">
        <f t="shared" si="0"/>
        <v>15</v>
      </c>
      <c r="Q2" s="230">
        <f t="shared" si="0"/>
        <v>16</v>
      </c>
      <c r="R2" s="230">
        <f t="shared" si="0"/>
        <v>17</v>
      </c>
      <c r="S2" s="230">
        <f t="shared" si="0"/>
        <v>18</v>
      </c>
      <c r="T2" s="230">
        <f t="shared" si="0"/>
        <v>19</v>
      </c>
      <c r="U2" s="230">
        <f t="shared" si="0"/>
        <v>20</v>
      </c>
      <c r="V2" s="230">
        <f t="shared" si="0"/>
        <v>21</v>
      </c>
      <c r="W2" s="230">
        <f t="shared" si="0"/>
        <v>22</v>
      </c>
      <c r="X2" s="230">
        <f t="shared" si="0"/>
        <v>23</v>
      </c>
      <c r="Y2" s="230">
        <f t="shared" si="0"/>
        <v>24</v>
      </c>
      <c r="Z2" s="230">
        <f t="shared" si="0"/>
        <v>25</v>
      </c>
      <c r="AA2" s="230">
        <f t="shared" si="0"/>
        <v>26</v>
      </c>
      <c r="AB2" s="230">
        <v>27</v>
      </c>
      <c r="AC2" s="230">
        <f>+AB2+1</f>
        <v>28</v>
      </c>
      <c r="AD2" s="230">
        <v>29</v>
      </c>
      <c r="AE2" s="230">
        <v>30</v>
      </c>
      <c r="AF2" s="230">
        <v>31</v>
      </c>
      <c r="AG2" s="3" t="s">
        <v>80</v>
      </c>
    </row>
    <row r="3" spans="1:33" ht="19.5" thickBot="1" x14ac:dyDescent="0.3">
      <c r="A3" s="136" t="s">
        <v>0</v>
      </c>
      <c r="B3" s="135">
        <f t="shared" ref="B3:AF3" si="1">SUM(B4:B27)</f>
        <v>0</v>
      </c>
      <c r="C3" s="135">
        <f t="shared" si="1"/>
        <v>0</v>
      </c>
      <c r="D3" s="135">
        <f t="shared" si="1"/>
        <v>0</v>
      </c>
      <c r="E3" s="135">
        <f t="shared" si="1"/>
        <v>0</v>
      </c>
      <c r="F3" s="135">
        <f t="shared" si="1"/>
        <v>0</v>
      </c>
      <c r="G3" s="135">
        <f t="shared" si="1"/>
        <v>0</v>
      </c>
      <c r="H3" s="135">
        <f t="shared" si="1"/>
        <v>0</v>
      </c>
      <c r="I3" s="135">
        <f t="shared" si="1"/>
        <v>0</v>
      </c>
      <c r="J3" s="135">
        <f t="shared" si="1"/>
        <v>0</v>
      </c>
      <c r="K3" s="135">
        <f t="shared" si="1"/>
        <v>0</v>
      </c>
      <c r="L3" s="135">
        <f t="shared" si="1"/>
        <v>0</v>
      </c>
      <c r="M3" s="135">
        <f t="shared" si="1"/>
        <v>0</v>
      </c>
      <c r="N3" s="135">
        <f t="shared" si="1"/>
        <v>0</v>
      </c>
      <c r="O3" s="135">
        <f t="shared" si="1"/>
        <v>0</v>
      </c>
      <c r="P3" s="135">
        <f t="shared" si="1"/>
        <v>0</v>
      </c>
      <c r="Q3" s="135">
        <f t="shared" si="1"/>
        <v>0</v>
      </c>
      <c r="R3" s="135">
        <f t="shared" si="1"/>
        <v>0</v>
      </c>
      <c r="S3" s="135">
        <f t="shared" si="1"/>
        <v>0</v>
      </c>
      <c r="T3" s="135">
        <f t="shared" si="1"/>
        <v>0</v>
      </c>
      <c r="U3" s="135">
        <f t="shared" si="1"/>
        <v>0</v>
      </c>
      <c r="V3" s="135">
        <f t="shared" si="1"/>
        <v>0</v>
      </c>
      <c r="W3" s="135">
        <f t="shared" si="1"/>
        <v>0</v>
      </c>
      <c r="X3" s="135">
        <f t="shared" si="1"/>
        <v>0</v>
      </c>
      <c r="Y3" s="135">
        <f t="shared" si="1"/>
        <v>0</v>
      </c>
      <c r="Z3" s="135">
        <f t="shared" si="1"/>
        <v>0</v>
      </c>
      <c r="AA3" s="135">
        <f t="shared" si="1"/>
        <v>0</v>
      </c>
      <c r="AB3" s="135">
        <f t="shared" si="1"/>
        <v>0</v>
      </c>
      <c r="AC3" s="135">
        <f t="shared" si="1"/>
        <v>0</v>
      </c>
      <c r="AD3" s="135">
        <f t="shared" si="1"/>
        <v>0</v>
      </c>
      <c r="AE3" s="135">
        <f t="shared" si="1"/>
        <v>0</v>
      </c>
      <c r="AF3" s="135">
        <f t="shared" si="1"/>
        <v>0</v>
      </c>
      <c r="AG3" s="187">
        <f>SUM(B3:AF3)</f>
        <v>0</v>
      </c>
    </row>
    <row r="4" spans="1:33" ht="18.75" x14ac:dyDescent="0.25">
      <c r="A4" s="113" t="s">
        <v>54</v>
      </c>
      <c r="B4" s="114"/>
      <c r="C4" s="114"/>
      <c r="D4" s="114"/>
      <c r="E4" s="114"/>
      <c r="F4" s="114"/>
      <c r="G4" s="114"/>
      <c r="H4" s="114"/>
      <c r="I4" s="114"/>
      <c r="J4" s="114"/>
      <c r="K4" s="114"/>
      <c r="L4" s="114"/>
      <c r="M4" s="114"/>
      <c r="N4" s="114"/>
      <c r="O4" s="114"/>
      <c r="P4" s="114"/>
      <c r="Q4" s="114"/>
      <c r="R4" s="114"/>
      <c r="S4" s="114"/>
      <c r="T4" s="114"/>
      <c r="U4" s="114"/>
      <c r="V4" s="114"/>
      <c r="W4" s="114"/>
      <c r="X4" s="114"/>
      <c r="Y4" s="114"/>
      <c r="Z4" s="114"/>
      <c r="AA4" s="114"/>
      <c r="AB4" s="114"/>
      <c r="AC4" s="114"/>
      <c r="AD4" s="114"/>
      <c r="AE4" s="114"/>
      <c r="AF4" s="115"/>
      <c r="AG4" s="132">
        <f t="shared" ref="AG4:AG83" si="2">SUM(B4:AF4)</f>
        <v>0</v>
      </c>
    </row>
    <row r="5" spans="1:33" ht="18.75" x14ac:dyDescent="0.25">
      <c r="A5" s="41" t="s">
        <v>55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8"/>
      <c r="AG5" s="4">
        <f t="shared" si="2"/>
        <v>0</v>
      </c>
    </row>
    <row r="6" spans="1:33" ht="18.75" x14ac:dyDescent="0.25">
      <c r="A6" s="41" t="s">
        <v>56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8"/>
      <c r="AG6" s="4">
        <f t="shared" si="2"/>
        <v>0</v>
      </c>
    </row>
    <row r="7" spans="1:33" ht="18.75" x14ac:dyDescent="0.25">
      <c r="A7" s="41" t="s">
        <v>38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8"/>
      <c r="AG7" s="4">
        <f t="shared" si="2"/>
        <v>0</v>
      </c>
    </row>
    <row r="8" spans="1:33" ht="18.75" x14ac:dyDescent="0.25">
      <c r="A8" s="41" t="s">
        <v>39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8"/>
      <c r="AG8" s="4">
        <f t="shared" si="2"/>
        <v>0</v>
      </c>
    </row>
    <row r="9" spans="1:33" ht="18.75" x14ac:dyDescent="0.25">
      <c r="A9" s="41" t="s">
        <v>40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8"/>
      <c r="AG9" s="4">
        <f t="shared" si="2"/>
        <v>0</v>
      </c>
    </row>
    <row r="10" spans="1:33" ht="18.75" x14ac:dyDescent="0.25">
      <c r="A10" s="41" t="s">
        <v>41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8"/>
      <c r="AG10" s="4">
        <f t="shared" si="2"/>
        <v>0</v>
      </c>
    </row>
    <row r="11" spans="1:33" ht="18.75" x14ac:dyDescent="0.25">
      <c r="A11" s="41" t="s">
        <v>42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8"/>
      <c r="AG11" s="4">
        <f t="shared" si="2"/>
        <v>0</v>
      </c>
    </row>
    <row r="12" spans="1:33" ht="18.75" x14ac:dyDescent="0.25">
      <c r="A12" s="41" t="s">
        <v>43</v>
      </c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8"/>
      <c r="AG12" s="4">
        <f t="shared" si="2"/>
        <v>0</v>
      </c>
    </row>
    <row r="13" spans="1:33" ht="18.75" x14ac:dyDescent="0.25">
      <c r="A13" s="41" t="s">
        <v>44</v>
      </c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8"/>
      <c r="AG13" s="4">
        <f t="shared" si="2"/>
        <v>0</v>
      </c>
    </row>
    <row r="14" spans="1:33" ht="18.75" x14ac:dyDescent="0.25">
      <c r="A14" s="41" t="s">
        <v>45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8"/>
      <c r="AG14" s="4">
        <f t="shared" si="2"/>
        <v>0</v>
      </c>
    </row>
    <row r="15" spans="1:33" ht="18.75" x14ac:dyDescent="0.25">
      <c r="A15" s="41" t="s">
        <v>46</v>
      </c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8"/>
      <c r="AG15" s="4">
        <f t="shared" si="2"/>
        <v>0</v>
      </c>
    </row>
    <row r="16" spans="1:33" ht="18.75" x14ac:dyDescent="0.25">
      <c r="A16" s="41" t="s">
        <v>47</v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8"/>
      <c r="AG16" s="4">
        <f t="shared" si="2"/>
        <v>0</v>
      </c>
    </row>
    <row r="17" spans="1:33" ht="18.75" x14ac:dyDescent="0.25">
      <c r="A17" s="41" t="s">
        <v>48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8"/>
      <c r="AG17" s="4">
        <f t="shared" si="2"/>
        <v>0</v>
      </c>
    </row>
    <row r="18" spans="1:33" ht="18.75" x14ac:dyDescent="0.25">
      <c r="A18" s="41" t="s">
        <v>49</v>
      </c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8"/>
      <c r="AG18" s="4">
        <f t="shared" si="2"/>
        <v>0</v>
      </c>
    </row>
    <row r="19" spans="1:33" ht="18.75" x14ac:dyDescent="0.25">
      <c r="A19" s="41" t="s">
        <v>50</v>
      </c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8"/>
      <c r="AG19" s="4">
        <f t="shared" si="2"/>
        <v>0</v>
      </c>
    </row>
    <row r="20" spans="1:33" ht="18.75" x14ac:dyDescent="0.25">
      <c r="A20" s="41" t="s">
        <v>33</v>
      </c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8"/>
      <c r="AG20" s="4">
        <f t="shared" si="2"/>
        <v>0</v>
      </c>
    </row>
    <row r="21" spans="1:33" ht="18.75" x14ac:dyDescent="0.25">
      <c r="A21" s="41" t="s">
        <v>34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8"/>
      <c r="AG21" s="4">
        <f t="shared" si="2"/>
        <v>0</v>
      </c>
    </row>
    <row r="22" spans="1:33" ht="18.75" x14ac:dyDescent="0.25">
      <c r="A22" s="41" t="s">
        <v>35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8"/>
      <c r="AG22" s="4">
        <f t="shared" si="2"/>
        <v>0</v>
      </c>
    </row>
    <row r="23" spans="1:33" ht="18.75" x14ac:dyDescent="0.25">
      <c r="A23" s="41" t="s">
        <v>36</v>
      </c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8"/>
      <c r="AG23" s="4">
        <f t="shared" si="2"/>
        <v>0</v>
      </c>
    </row>
    <row r="24" spans="1:33" ht="18.75" x14ac:dyDescent="0.25">
      <c r="A24" s="41" t="s">
        <v>51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8"/>
      <c r="AG24" s="4">
        <f t="shared" si="2"/>
        <v>0</v>
      </c>
    </row>
    <row r="25" spans="1:33" ht="18.75" x14ac:dyDescent="0.25">
      <c r="A25" s="41" t="s">
        <v>52</v>
      </c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8"/>
      <c r="AG25" s="4">
        <f t="shared" si="2"/>
        <v>0</v>
      </c>
    </row>
    <row r="26" spans="1:33" ht="18.75" x14ac:dyDescent="0.25">
      <c r="A26" s="41" t="s">
        <v>37</v>
      </c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8"/>
      <c r="AG26" s="4">
        <f t="shared" si="2"/>
        <v>0</v>
      </c>
    </row>
    <row r="27" spans="1:33" ht="19.5" thickBot="1" x14ac:dyDescent="0.3">
      <c r="A27" s="81" t="s">
        <v>53</v>
      </c>
      <c r="B27" s="78"/>
      <c r="C27" s="78"/>
      <c r="D27" s="78"/>
      <c r="E27" s="78"/>
      <c r="F27" s="78"/>
      <c r="G27" s="78"/>
      <c r="H27" s="78"/>
      <c r="I27" s="78"/>
      <c r="J27" s="78"/>
      <c r="K27" s="78"/>
      <c r="L27" s="78"/>
      <c r="M27" s="78"/>
      <c r="N27" s="78"/>
      <c r="O27" s="78"/>
      <c r="P27" s="78"/>
      <c r="Q27" s="78"/>
      <c r="R27" s="78"/>
      <c r="S27" s="78"/>
      <c r="T27" s="78"/>
      <c r="U27" s="78"/>
      <c r="V27" s="78"/>
      <c r="W27" s="78"/>
      <c r="X27" s="78"/>
      <c r="Y27" s="78"/>
      <c r="Z27" s="78"/>
      <c r="AA27" s="78"/>
      <c r="AB27" s="78"/>
      <c r="AC27" s="78"/>
      <c r="AD27" s="78"/>
      <c r="AE27" s="78"/>
      <c r="AF27" s="83"/>
      <c r="AG27" s="4">
        <f t="shared" si="2"/>
        <v>0</v>
      </c>
    </row>
    <row r="28" spans="1:33" ht="18.75" x14ac:dyDescent="0.25">
      <c r="A28" s="79" t="s">
        <v>107</v>
      </c>
      <c r="B28" s="80">
        <f>SUM(B29:B52)</f>
        <v>0</v>
      </c>
      <c r="C28" s="80">
        <f t="shared" ref="C28:AF28" si="3">SUM(C29:C52)</f>
        <v>0</v>
      </c>
      <c r="D28" s="80">
        <f t="shared" si="3"/>
        <v>0</v>
      </c>
      <c r="E28" s="80">
        <f t="shared" si="3"/>
        <v>0</v>
      </c>
      <c r="F28" s="80">
        <f t="shared" si="3"/>
        <v>0</v>
      </c>
      <c r="G28" s="80">
        <f t="shared" si="3"/>
        <v>0</v>
      </c>
      <c r="H28" s="80">
        <f t="shared" si="3"/>
        <v>0</v>
      </c>
      <c r="I28" s="80">
        <f t="shared" si="3"/>
        <v>0</v>
      </c>
      <c r="J28" s="80">
        <f t="shared" si="3"/>
        <v>0</v>
      </c>
      <c r="K28" s="80">
        <f t="shared" si="3"/>
        <v>0</v>
      </c>
      <c r="L28" s="80">
        <f t="shared" si="3"/>
        <v>0</v>
      </c>
      <c r="M28" s="80">
        <f t="shared" si="3"/>
        <v>0</v>
      </c>
      <c r="N28" s="80">
        <f t="shared" si="3"/>
        <v>0</v>
      </c>
      <c r="O28" s="80">
        <f t="shared" si="3"/>
        <v>0</v>
      </c>
      <c r="P28" s="80">
        <f t="shared" si="3"/>
        <v>0</v>
      </c>
      <c r="Q28" s="80">
        <f t="shared" si="3"/>
        <v>0</v>
      </c>
      <c r="R28" s="80">
        <f t="shared" si="3"/>
        <v>0</v>
      </c>
      <c r="S28" s="80">
        <f t="shared" si="3"/>
        <v>0</v>
      </c>
      <c r="T28" s="80">
        <f t="shared" si="3"/>
        <v>0</v>
      </c>
      <c r="U28" s="80">
        <f t="shared" si="3"/>
        <v>0</v>
      </c>
      <c r="V28" s="80">
        <f t="shared" si="3"/>
        <v>0</v>
      </c>
      <c r="W28" s="80">
        <f t="shared" si="3"/>
        <v>0</v>
      </c>
      <c r="X28" s="80">
        <f t="shared" si="3"/>
        <v>0</v>
      </c>
      <c r="Y28" s="80">
        <f t="shared" si="3"/>
        <v>0</v>
      </c>
      <c r="Z28" s="80">
        <f t="shared" si="3"/>
        <v>0</v>
      </c>
      <c r="AA28" s="80">
        <f t="shared" si="3"/>
        <v>0</v>
      </c>
      <c r="AB28" s="80">
        <f t="shared" si="3"/>
        <v>0</v>
      </c>
      <c r="AC28" s="80">
        <f t="shared" si="3"/>
        <v>0</v>
      </c>
      <c r="AD28" s="80">
        <f t="shared" si="3"/>
        <v>0</v>
      </c>
      <c r="AE28" s="80">
        <f>SUM(AE29:AE52)</f>
        <v>0</v>
      </c>
      <c r="AF28" s="80">
        <f t="shared" si="3"/>
        <v>0</v>
      </c>
      <c r="AG28" s="150">
        <f t="shared" si="2"/>
        <v>0</v>
      </c>
    </row>
    <row r="29" spans="1:33" ht="18.75" x14ac:dyDescent="0.25">
      <c r="A29" s="41" t="s">
        <v>54</v>
      </c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8"/>
      <c r="AG29" s="4">
        <f t="shared" si="2"/>
        <v>0</v>
      </c>
    </row>
    <row r="30" spans="1:33" ht="18.75" x14ac:dyDescent="0.25">
      <c r="A30" s="41" t="s">
        <v>55</v>
      </c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8"/>
      <c r="AG30" s="4">
        <f t="shared" si="2"/>
        <v>0</v>
      </c>
    </row>
    <row r="31" spans="1:33" ht="18.75" x14ac:dyDescent="0.25">
      <c r="A31" s="41" t="s">
        <v>56</v>
      </c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8"/>
      <c r="AG31" s="4">
        <f t="shared" si="2"/>
        <v>0</v>
      </c>
    </row>
    <row r="32" spans="1:33" ht="18.75" x14ac:dyDescent="0.25">
      <c r="A32" s="41" t="s">
        <v>38</v>
      </c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8"/>
      <c r="AG32" s="4">
        <f t="shared" si="2"/>
        <v>0</v>
      </c>
    </row>
    <row r="33" spans="1:33" ht="18.75" x14ac:dyDescent="0.25">
      <c r="A33" s="41" t="s">
        <v>39</v>
      </c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8"/>
      <c r="AG33" s="4">
        <f t="shared" si="2"/>
        <v>0</v>
      </c>
    </row>
    <row r="34" spans="1:33" ht="18.75" x14ac:dyDescent="0.25">
      <c r="A34" s="41" t="s">
        <v>40</v>
      </c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8"/>
      <c r="AG34" s="4">
        <f t="shared" si="2"/>
        <v>0</v>
      </c>
    </row>
    <row r="35" spans="1:33" ht="18.75" x14ac:dyDescent="0.25">
      <c r="A35" s="41" t="s">
        <v>41</v>
      </c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8"/>
      <c r="AG35" s="4">
        <f t="shared" si="2"/>
        <v>0</v>
      </c>
    </row>
    <row r="36" spans="1:33" ht="18.75" x14ac:dyDescent="0.25">
      <c r="A36" s="41" t="s">
        <v>42</v>
      </c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8"/>
      <c r="AG36" s="4">
        <f t="shared" si="2"/>
        <v>0</v>
      </c>
    </row>
    <row r="37" spans="1:33" ht="18.75" x14ac:dyDescent="0.25">
      <c r="A37" s="41" t="s">
        <v>43</v>
      </c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8"/>
      <c r="AG37" s="4">
        <f t="shared" si="2"/>
        <v>0</v>
      </c>
    </row>
    <row r="38" spans="1:33" ht="18.75" x14ac:dyDescent="0.25">
      <c r="A38" s="41" t="s">
        <v>44</v>
      </c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8"/>
      <c r="AG38" s="4">
        <f t="shared" si="2"/>
        <v>0</v>
      </c>
    </row>
    <row r="39" spans="1:33" ht="18.75" x14ac:dyDescent="0.25">
      <c r="A39" s="41" t="s">
        <v>45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8"/>
      <c r="AG39" s="4">
        <f t="shared" si="2"/>
        <v>0</v>
      </c>
    </row>
    <row r="40" spans="1:33" ht="18.75" x14ac:dyDescent="0.25">
      <c r="A40" s="41" t="s">
        <v>46</v>
      </c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8"/>
      <c r="AG40" s="4">
        <f t="shared" si="2"/>
        <v>0</v>
      </c>
    </row>
    <row r="41" spans="1:33" ht="18.75" x14ac:dyDescent="0.25">
      <c r="A41" s="41" t="s">
        <v>47</v>
      </c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8"/>
      <c r="AG41" s="4">
        <f t="shared" si="2"/>
        <v>0</v>
      </c>
    </row>
    <row r="42" spans="1:33" ht="18.75" x14ac:dyDescent="0.25">
      <c r="A42" s="41" t="s">
        <v>48</v>
      </c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8"/>
      <c r="AG42" s="4">
        <f t="shared" si="2"/>
        <v>0</v>
      </c>
    </row>
    <row r="43" spans="1:33" ht="18.75" x14ac:dyDescent="0.25">
      <c r="A43" s="41" t="s">
        <v>49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8"/>
      <c r="AG43" s="4">
        <f t="shared" si="2"/>
        <v>0</v>
      </c>
    </row>
    <row r="44" spans="1:33" ht="18.75" x14ac:dyDescent="0.25">
      <c r="A44" s="41" t="s">
        <v>50</v>
      </c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8"/>
      <c r="AG44" s="4">
        <f t="shared" si="2"/>
        <v>0</v>
      </c>
    </row>
    <row r="45" spans="1:33" ht="18.75" x14ac:dyDescent="0.25">
      <c r="A45" s="41" t="s">
        <v>33</v>
      </c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8"/>
      <c r="AG45" s="4">
        <f t="shared" si="2"/>
        <v>0</v>
      </c>
    </row>
    <row r="46" spans="1:33" ht="18.75" x14ac:dyDescent="0.25">
      <c r="A46" s="41" t="s">
        <v>34</v>
      </c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8"/>
      <c r="AG46" s="4">
        <f t="shared" si="2"/>
        <v>0</v>
      </c>
    </row>
    <row r="47" spans="1:33" ht="18.75" x14ac:dyDescent="0.25">
      <c r="A47" s="41" t="s">
        <v>35</v>
      </c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8"/>
      <c r="AG47" s="4">
        <f t="shared" si="2"/>
        <v>0</v>
      </c>
    </row>
    <row r="48" spans="1:33" ht="18.75" x14ac:dyDescent="0.25">
      <c r="A48" s="41" t="s">
        <v>36</v>
      </c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8"/>
      <c r="AG48" s="4">
        <f t="shared" si="2"/>
        <v>0</v>
      </c>
    </row>
    <row r="49" spans="1:33" ht="18.75" x14ac:dyDescent="0.25">
      <c r="A49" s="41" t="s">
        <v>51</v>
      </c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8"/>
      <c r="AG49" s="4">
        <f t="shared" si="2"/>
        <v>0</v>
      </c>
    </row>
    <row r="50" spans="1:33" ht="18.75" x14ac:dyDescent="0.25">
      <c r="A50" s="41" t="s">
        <v>52</v>
      </c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8"/>
      <c r="AG50" s="4">
        <f t="shared" si="2"/>
        <v>0</v>
      </c>
    </row>
    <row r="51" spans="1:33" ht="18.75" x14ac:dyDescent="0.25">
      <c r="A51" s="41" t="s">
        <v>37</v>
      </c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8"/>
      <c r="AG51" s="4">
        <f t="shared" si="2"/>
        <v>0</v>
      </c>
    </row>
    <row r="52" spans="1:33" ht="19.5" thickBot="1" x14ac:dyDescent="0.3">
      <c r="A52" s="77" t="s">
        <v>53</v>
      </c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10"/>
      <c r="AG52" s="108">
        <f t="shared" si="2"/>
        <v>0</v>
      </c>
    </row>
    <row r="53" spans="1:33" ht="19.5" thickBot="1" x14ac:dyDescent="0.3">
      <c r="A53" s="136" t="s">
        <v>108</v>
      </c>
      <c r="B53" s="135">
        <f t="shared" ref="B53:AF53" si="4">SUM(B54:B77)</f>
        <v>0</v>
      </c>
      <c r="C53" s="135">
        <f t="shared" si="4"/>
        <v>0</v>
      </c>
      <c r="D53" s="135">
        <f t="shared" si="4"/>
        <v>0</v>
      </c>
      <c r="E53" s="135">
        <f t="shared" si="4"/>
        <v>0</v>
      </c>
      <c r="F53" s="135">
        <f t="shared" si="4"/>
        <v>0</v>
      </c>
      <c r="G53" s="135">
        <f t="shared" si="4"/>
        <v>0</v>
      </c>
      <c r="H53" s="135">
        <f t="shared" si="4"/>
        <v>0</v>
      </c>
      <c r="I53" s="135">
        <f t="shared" si="4"/>
        <v>0</v>
      </c>
      <c r="J53" s="135">
        <f t="shared" si="4"/>
        <v>0</v>
      </c>
      <c r="K53" s="135">
        <f t="shared" si="4"/>
        <v>0</v>
      </c>
      <c r="L53" s="135">
        <f t="shared" si="4"/>
        <v>0</v>
      </c>
      <c r="M53" s="135">
        <f t="shared" si="4"/>
        <v>0</v>
      </c>
      <c r="N53" s="135">
        <f t="shared" si="4"/>
        <v>0</v>
      </c>
      <c r="O53" s="135">
        <f t="shared" si="4"/>
        <v>0</v>
      </c>
      <c r="P53" s="135">
        <f t="shared" si="4"/>
        <v>0</v>
      </c>
      <c r="Q53" s="135">
        <f t="shared" si="4"/>
        <v>0</v>
      </c>
      <c r="R53" s="135">
        <f t="shared" si="4"/>
        <v>0</v>
      </c>
      <c r="S53" s="135">
        <f t="shared" si="4"/>
        <v>0</v>
      </c>
      <c r="T53" s="135">
        <f t="shared" si="4"/>
        <v>0</v>
      </c>
      <c r="U53" s="135">
        <f t="shared" si="4"/>
        <v>0</v>
      </c>
      <c r="V53" s="135">
        <f t="shared" si="4"/>
        <v>0</v>
      </c>
      <c r="W53" s="135">
        <f t="shared" si="4"/>
        <v>0</v>
      </c>
      <c r="X53" s="135">
        <f t="shared" si="4"/>
        <v>0</v>
      </c>
      <c r="Y53" s="135">
        <f t="shared" si="4"/>
        <v>0</v>
      </c>
      <c r="Z53" s="135">
        <f t="shared" si="4"/>
        <v>0</v>
      </c>
      <c r="AA53" s="135">
        <f t="shared" si="4"/>
        <v>0</v>
      </c>
      <c r="AB53" s="135">
        <f t="shared" si="4"/>
        <v>0</v>
      </c>
      <c r="AC53" s="135">
        <f t="shared" si="4"/>
        <v>0</v>
      </c>
      <c r="AD53" s="135">
        <f t="shared" si="4"/>
        <v>0</v>
      </c>
      <c r="AE53" s="135">
        <f t="shared" si="4"/>
        <v>0</v>
      </c>
      <c r="AF53" s="135">
        <f t="shared" si="4"/>
        <v>0</v>
      </c>
      <c r="AG53" s="116">
        <f t="shared" si="2"/>
        <v>0</v>
      </c>
    </row>
    <row r="54" spans="1:33" ht="18.75" x14ac:dyDescent="0.25">
      <c r="A54" s="113" t="s">
        <v>54</v>
      </c>
      <c r="B54" s="114"/>
      <c r="C54" s="114"/>
      <c r="D54" s="7"/>
      <c r="E54" s="114"/>
      <c r="F54" s="114"/>
      <c r="G54" s="7"/>
      <c r="H54" s="114"/>
      <c r="I54" s="114"/>
      <c r="J54" s="114"/>
      <c r="K54" s="114"/>
      <c r="L54" s="114"/>
      <c r="M54" s="114"/>
      <c r="N54" s="114"/>
      <c r="O54" s="114"/>
      <c r="P54" s="114"/>
      <c r="Q54" s="114"/>
      <c r="R54" s="114"/>
      <c r="S54" s="114"/>
      <c r="T54" s="114"/>
      <c r="U54" s="114"/>
      <c r="V54" s="114"/>
      <c r="W54" s="114"/>
      <c r="X54" s="114"/>
      <c r="Y54" s="114"/>
      <c r="Z54" s="114"/>
      <c r="AA54" s="114"/>
      <c r="AB54" s="114"/>
      <c r="AC54" s="114"/>
      <c r="AD54" s="114"/>
      <c r="AE54" s="114"/>
      <c r="AF54" s="115"/>
      <c r="AG54" s="132">
        <f t="shared" si="2"/>
        <v>0</v>
      </c>
    </row>
    <row r="55" spans="1:33" ht="18.75" x14ac:dyDescent="0.25">
      <c r="A55" s="41" t="s">
        <v>55</v>
      </c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8"/>
      <c r="AG55" s="4">
        <f t="shared" si="2"/>
        <v>0</v>
      </c>
    </row>
    <row r="56" spans="1:33" ht="18.75" x14ac:dyDescent="0.25">
      <c r="A56" s="41" t="s">
        <v>56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8"/>
      <c r="AG56" s="4">
        <f t="shared" si="2"/>
        <v>0</v>
      </c>
    </row>
    <row r="57" spans="1:33" ht="18.75" x14ac:dyDescent="0.25">
      <c r="A57" s="41" t="s">
        <v>38</v>
      </c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8"/>
      <c r="AG57" s="4">
        <f t="shared" si="2"/>
        <v>0</v>
      </c>
    </row>
    <row r="58" spans="1:33" ht="18.75" x14ac:dyDescent="0.25">
      <c r="A58" s="41" t="s">
        <v>39</v>
      </c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8"/>
      <c r="AG58" s="4">
        <f t="shared" si="2"/>
        <v>0</v>
      </c>
    </row>
    <row r="59" spans="1:33" ht="18.75" x14ac:dyDescent="0.25">
      <c r="A59" s="41" t="s">
        <v>40</v>
      </c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8"/>
      <c r="AG59" s="4">
        <f t="shared" si="2"/>
        <v>0</v>
      </c>
    </row>
    <row r="60" spans="1:33" ht="18.75" x14ac:dyDescent="0.25">
      <c r="A60" s="41" t="s">
        <v>41</v>
      </c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8"/>
      <c r="AG60" s="4">
        <f t="shared" si="2"/>
        <v>0</v>
      </c>
    </row>
    <row r="61" spans="1:33" ht="18.75" x14ac:dyDescent="0.25">
      <c r="A61" s="41" t="s">
        <v>42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8"/>
      <c r="AG61" s="4">
        <f t="shared" si="2"/>
        <v>0</v>
      </c>
    </row>
    <row r="62" spans="1:33" ht="18.75" x14ac:dyDescent="0.25">
      <c r="A62" s="41" t="s">
        <v>43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8"/>
      <c r="AG62" s="4">
        <f t="shared" si="2"/>
        <v>0</v>
      </c>
    </row>
    <row r="63" spans="1:33" ht="18.75" x14ac:dyDescent="0.25">
      <c r="A63" s="41" t="s">
        <v>44</v>
      </c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8"/>
      <c r="AG63" s="4">
        <f t="shared" si="2"/>
        <v>0</v>
      </c>
    </row>
    <row r="64" spans="1:33" ht="18.75" x14ac:dyDescent="0.25">
      <c r="A64" s="41" t="s">
        <v>45</v>
      </c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8"/>
      <c r="AG64" s="4">
        <f t="shared" si="2"/>
        <v>0</v>
      </c>
    </row>
    <row r="65" spans="1:33" ht="18.75" x14ac:dyDescent="0.25">
      <c r="A65" s="41" t="s">
        <v>46</v>
      </c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8"/>
      <c r="AG65" s="4">
        <f t="shared" si="2"/>
        <v>0</v>
      </c>
    </row>
    <row r="66" spans="1:33" ht="18.75" x14ac:dyDescent="0.25">
      <c r="A66" s="41" t="s">
        <v>47</v>
      </c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8"/>
      <c r="AG66" s="4">
        <f t="shared" si="2"/>
        <v>0</v>
      </c>
    </row>
    <row r="67" spans="1:33" ht="18.75" x14ac:dyDescent="0.25">
      <c r="A67" s="41" t="s">
        <v>48</v>
      </c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8"/>
      <c r="AG67" s="4">
        <f t="shared" si="2"/>
        <v>0</v>
      </c>
    </row>
    <row r="68" spans="1:33" ht="18.75" x14ac:dyDescent="0.25">
      <c r="A68" s="41" t="s">
        <v>49</v>
      </c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8"/>
      <c r="AG68" s="4">
        <f t="shared" si="2"/>
        <v>0</v>
      </c>
    </row>
    <row r="69" spans="1:33" ht="18.75" x14ac:dyDescent="0.25">
      <c r="A69" s="41" t="s">
        <v>50</v>
      </c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8"/>
      <c r="AG69" s="4">
        <f t="shared" si="2"/>
        <v>0</v>
      </c>
    </row>
    <row r="70" spans="1:33" ht="18.75" x14ac:dyDescent="0.25">
      <c r="A70" s="41" t="s">
        <v>33</v>
      </c>
      <c r="B70" s="114"/>
      <c r="C70" s="114"/>
      <c r="D70" s="7"/>
      <c r="E70" s="114"/>
      <c r="F70" s="114"/>
      <c r="G70" s="7"/>
      <c r="H70" s="114"/>
      <c r="I70" s="7"/>
      <c r="J70" s="114"/>
      <c r="K70" s="114"/>
      <c r="L70" s="114"/>
      <c r="M70" s="114"/>
      <c r="N70" s="114"/>
      <c r="O70" s="114"/>
      <c r="P70" s="114"/>
      <c r="Q70" s="114"/>
      <c r="R70" s="114"/>
      <c r="S70" s="114"/>
      <c r="T70" s="114"/>
      <c r="U70" s="114"/>
      <c r="V70" s="114"/>
      <c r="W70" s="114"/>
      <c r="X70" s="114"/>
      <c r="Y70" s="114"/>
      <c r="Z70" s="114"/>
      <c r="AA70" s="114"/>
      <c r="AB70" s="114"/>
      <c r="AC70" s="114"/>
      <c r="AD70" s="114"/>
      <c r="AE70" s="114"/>
      <c r="AF70" s="115"/>
      <c r="AG70" s="4">
        <f t="shared" si="2"/>
        <v>0</v>
      </c>
    </row>
    <row r="71" spans="1:33" ht="18.75" x14ac:dyDescent="0.25">
      <c r="A71" s="41" t="s">
        <v>34</v>
      </c>
      <c r="B71" s="114"/>
      <c r="C71" s="114"/>
      <c r="D71" s="7"/>
      <c r="E71" s="114"/>
      <c r="F71" s="114"/>
      <c r="G71" s="7"/>
      <c r="H71" s="114"/>
      <c r="I71" s="7"/>
      <c r="J71" s="114"/>
      <c r="K71" s="114"/>
      <c r="L71" s="114"/>
      <c r="M71" s="114"/>
      <c r="N71" s="114"/>
      <c r="O71" s="114"/>
      <c r="P71" s="114"/>
      <c r="Q71" s="114"/>
      <c r="R71" s="114"/>
      <c r="S71" s="114"/>
      <c r="T71" s="114"/>
      <c r="U71" s="114"/>
      <c r="V71" s="114"/>
      <c r="W71" s="114"/>
      <c r="X71" s="114"/>
      <c r="Y71" s="114"/>
      <c r="Z71" s="114"/>
      <c r="AA71" s="114"/>
      <c r="AB71" s="114"/>
      <c r="AC71" s="114"/>
      <c r="AD71" s="114"/>
      <c r="AE71" s="114"/>
      <c r="AF71" s="115"/>
      <c r="AG71" s="4">
        <f t="shared" si="2"/>
        <v>0</v>
      </c>
    </row>
    <row r="72" spans="1:33" ht="18.75" x14ac:dyDescent="0.25">
      <c r="A72" s="41" t="s">
        <v>35</v>
      </c>
      <c r="B72" s="114"/>
      <c r="C72" s="114"/>
      <c r="D72" s="7"/>
      <c r="E72" s="114"/>
      <c r="F72" s="114"/>
      <c r="G72" s="7"/>
      <c r="H72" s="114"/>
      <c r="I72" s="7"/>
      <c r="J72" s="114"/>
      <c r="K72" s="114"/>
      <c r="L72" s="114"/>
      <c r="M72" s="114"/>
      <c r="N72" s="114"/>
      <c r="O72" s="114"/>
      <c r="P72" s="114"/>
      <c r="Q72" s="114"/>
      <c r="R72" s="114"/>
      <c r="S72" s="114"/>
      <c r="T72" s="114"/>
      <c r="U72" s="114"/>
      <c r="V72" s="114"/>
      <c r="W72" s="114"/>
      <c r="X72" s="114"/>
      <c r="Y72" s="114"/>
      <c r="Z72" s="114"/>
      <c r="AA72" s="114"/>
      <c r="AB72" s="114"/>
      <c r="AC72" s="114"/>
      <c r="AD72" s="114"/>
      <c r="AE72" s="114"/>
      <c r="AF72" s="115"/>
      <c r="AG72" s="4">
        <f t="shared" si="2"/>
        <v>0</v>
      </c>
    </row>
    <row r="73" spans="1:33" ht="18.75" x14ac:dyDescent="0.25">
      <c r="A73" s="41" t="s">
        <v>36</v>
      </c>
      <c r="B73" s="114"/>
      <c r="C73" s="114"/>
      <c r="D73" s="7"/>
      <c r="E73" s="114"/>
      <c r="F73" s="114"/>
      <c r="G73" s="7"/>
      <c r="H73" s="114"/>
      <c r="I73" s="7"/>
      <c r="J73" s="114"/>
      <c r="K73" s="114"/>
      <c r="L73" s="114"/>
      <c r="M73" s="114"/>
      <c r="N73" s="114"/>
      <c r="O73" s="114"/>
      <c r="P73" s="114"/>
      <c r="Q73" s="114"/>
      <c r="R73" s="114"/>
      <c r="S73" s="114"/>
      <c r="T73" s="114"/>
      <c r="U73" s="114"/>
      <c r="V73" s="114"/>
      <c r="W73" s="114"/>
      <c r="X73" s="114"/>
      <c r="Y73" s="114"/>
      <c r="Z73" s="114"/>
      <c r="AA73" s="114"/>
      <c r="AB73" s="114"/>
      <c r="AC73" s="114"/>
      <c r="AD73" s="114"/>
      <c r="AE73" s="114"/>
      <c r="AF73" s="115"/>
      <c r="AG73" s="4">
        <f t="shared" si="2"/>
        <v>0</v>
      </c>
    </row>
    <row r="74" spans="1:33" ht="18.75" x14ac:dyDescent="0.25">
      <c r="A74" s="41" t="s">
        <v>51</v>
      </c>
      <c r="B74" s="114"/>
      <c r="C74" s="114"/>
      <c r="D74" s="7"/>
      <c r="E74" s="114"/>
      <c r="F74" s="114"/>
      <c r="G74" s="7"/>
      <c r="H74" s="114"/>
      <c r="I74" s="7"/>
      <c r="J74" s="114"/>
      <c r="K74" s="114"/>
      <c r="L74" s="114"/>
      <c r="M74" s="114"/>
      <c r="N74" s="114"/>
      <c r="O74" s="114"/>
      <c r="P74" s="114"/>
      <c r="Q74" s="114"/>
      <c r="R74" s="114"/>
      <c r="S74" s="114"/>
      <c r="T74" s="114"/>
      <c r="U74" s="114"/>
      <c r="V74" s="114"/>
      <c r="W74" s="114"/>
      <c r="X74" s="114"/>
      <c r="Y74" s="114"/>
      <c r="Z74" s="114"/>
      <c r="AA74" s="114"/>
      <c r="AB74" s="114"/>
      <c r="AC74" s="114"/>
      <c r="AD74" s="114"/>
      <c r="AE74" s="114"/>
      <c r="AF74" s="115"/>
      <c r="AG74" s="4">
        <f t="shared" si="2"/>
        <v>0</v>
      </c>
    </row>
    <row r="75" spans="1:33" ht="18.75" x14ac:dyDescent="0.25">
      <c r="A75" s="41" t="s">
        <v>52</v>
      </c>
      <c r="B75" s="114"/>
      <c r="C75" s="114"/>
      <c r="D75" s="7"/>
      <c r="E75" s="114"/>
      <c r="F75" s="114"/>
      <c r="G75" s="7"/>
      <c r="H75" s="114"/>
      <c r="I75" s="7"/>
      <c r="J75" s="114"/>
      <c r="K75" s="114"/>
      <c r="L75" s="114"/>
      <c r="M75" s="114"/>
      <c r="N75" s="114"/>
      <c r="O75" s="114"/>
      <c r="P75" s="114"/>
      <c r="Q75" s="114"/>
      <c r="R75" s="114"/>
      <c r="S75" s="114"/>
      <c r="T75" s="114"/>
      <c r="U75" s="114"/>
      <c r="V75" s="114"/>
      <c r="W75" s="114"/>
      <c r="X75" s="114"/>
      <c r="Y75" s="114"/>
      <c r="Z75" s="114"/>
      <c r="AA75" s="114"/>
      <c r="AB75" s="114"/>
      <c r="AC75" s="114"/>
      <c r="AD75" s="114"/>
      <c r="AE75" s="114"/>
      <c r="AF75" s="115"/>
      <c r="AG75" s="4">
        <f t="shared" si="2"/>
        <v>0</v>
      </c>
    </row>
    <row r="76" spans="1:33" ht="18.75" x14ac:dyDescent="0.25">
      <c r="A76" s="41" t="s">
        <v>37</v>
      </c>
      <c r="B76" s="114"/>
      <c r="C76" s="114"/>
      <c r="D76" s="7"/>
      <c r="E76" s="114"/>
      <c r="F76" s="114"/>
      <c r="G76" s="7"/>
      <c r="H76" s="114"/>
      <c r="I76" s="7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X76" s="114"/>
      <c r="Y76" s="114"/>
      <c r="Z76" s="114"/>
      <c r="AA76" s="114"/>
      <c r="AB76" s="114"/>
      <c r="AC76" s="114"/>
      <c r="AD76" s="114"/>
      <c r="AE76" s="114"/>
      <c r="AF76" s="115"/>
      <c r="AG76" s="4">
        <f t="shared" si="2"/>
        <v>0</v>
      </c>
    </row>
    <row r="77" spans="1:33" ht="19.5" thickBot="1" x14ac:dyDescent="0.3">
      <c r="A77" s="134" t="s">
        <v>53</v>
      </c>
      <c r="B77" s="166"/>
      <c r="C77" s="166"/>
      <c r="D77" s="9"/>
      <c r="E77" s="166"/>
      <c r="F77" s="166"/>
      <c r="G77" s="9"/>
      <c r="H77" s="166"/>
      <c r="I77" s="9"/>
      <c r="J77" s="166"/>
      <c r="K77" s="166"/>
      <c r="L77" s="166"/>
      <c r="M77" s="166"/>
      <c r="N77" s="166"/>
      <c r="O77" s="166"/>
      <c r="P77" s="166"/>
      <c r="Q77" s="166"/>
      <c r="R77" s="166"/>
      <c r="S77" s="166"/>
      <c r="T77" s="166"/>
      <c r="U77" s="166"/>
      <c r="V77" s="166"/>
      <c r="W77" s="166"/>
      <c r="X77" s="166"/>
      <c r="Y77" s="166"/>
      <c r="Z77" s="166"/>
      <c r="AA77" s="166"/>
      <c r="AB77" s="166"/>
      <c r="AC77" s="166"/>
      <c r="AD77" s="166"/>
      <c r="AE77" s="166"/>
      <c r="AF77" s="167"/>
      <c r="AG77" s="108">
        <f t="shared" si="2"/>
        <v>0</v>
      </c>
    </row>
    <row r="78" spans="1:33" ht="19.5" hidden="1" customHeight="1" thickBot="1" x14ac:dyDescent="0.3">
      <c r="A78" s="183" t="s">
        <v>99</v>
      </c>
      <c r="B78" s="185">
        <f t="shared" ref="B78:AF78" si="5">SUM(B79:B80)</f>
        <v>0</v>
      </c>
      <c r="C78" s="185">
        <f t="shared" si="5"/>
        <v>0</v>
      </c>
      <c r="D78" s="185">
        <f t="shared" si="5"/>
        <v>0</v>
      </c>
      <c r="E78" s="184">
        <f t="shared" si="5"/>
        <v>0</v>
      </c>
      <c r="F78" s="184">
        <f t="shared" si="5"/>
        <v>0</v>
      </c>
      <c r="G78" s="184">
        <f t="shared" si="5"/>
        <v>0</v>
      </c>
      <c r="H78" s="184">
        <f t="shared" si="5"/>
        <v>0</v>
      </c>
      <c r="I78" s="184">
        <f t="shared" si="5"/>
        <v>0</v>
      </c>
      <c r="J78" s="184">
        <f t="shared" si="5"/>
        <v>0</v>
      </c>
      <c r="K78" s="184">
        <f t="shared" si="5"/>
        <v>0</v>
      </c>
      <c r="L78" s="184">
        <f t="shared" si="5"/>
        <v>0</v>
      </c>
      <c r="M78" s="184">
        <f t="shared" si="5"/>
        <v>0</v>
      </c>
      <c r="N78" s="184">
        <f t="shared" si="5"/>
        <v>0</v>
      </c>
      <c r="O78" s="184">
        <f>SUM(O79:O80)</f>
        <v>0</v>
      </c>
      <c r="P78" s="184">
        <f t="shared" si="5"/>
        <v>0</v>
      </c>
      <c r="Q78" s="184">
        <f t="shared" si="5"/>
        <v>0</v>
      </c>
      <c r="R78" s="184">
        <f t="shared" si="5"/>
        <v>0</v>
      </c>
      <c r="S78" s="184">
        <f t="shared" si="5"/>
        <v>0</v>
      </c>
      <c r="T78" s="184">
        <f t="shared" si="5"/>
        <v>0</v>
      </c>
      <c r="U78" s="184">
        <f t="shared" si="5"/>
        <v>0</v>
      </c>
      <c r="V78" s="184">
        <f t="shared" si="5"/>
        <v>0</v>
      </c>
      <c r="W78" s="184">
        <f t="shared" si="5"/>
        <v>0</v>
      </c>
      <c r="X78" s="184">
        <f t="shared" si="5"/>
        <v>0</v>
      </c>
      <c r="Y78" s="184">
        <f t="shared" si="5"/>
        <v>0</v>
      </c>
      <c r="Z78" s="184">
        <f t="shared" si="5"/>
        <v>0</v>
      </c>
      <c r="AA78" s="184">
        <f t="shared" si="5"/>
        <v>0</v>
      </c>
      <c r="AB78" s="184">
        <f t="shared" si="5"/>
        <v>0</v>
      </c>
      <c r="AC78" s="184">
        <f t="shared" si="5"/>
        <v>0</v>
      </c>
      <c r="AD78" s="184">
        <f t="shared" si="5"/>
        <v>0</v>
      </c>
      <c r="AE78" s="184">
        <f t="shared" si="5"/>
        <v>0</v>
      </c>
      <c r="AF78" s="186">
        <f t="shared" si="5"/>
        <v>0</v>
      </c>
      <c r="AG78" s="116">
        <f t="shared" si="2"/>
        <v>0</v>
      </c>
    </row>
    <row r="79" spans="1:33" ht="19.5" hidden="1" customHeight="1" thickBot="1" x14ac:dyDescent="0.3">
      <c r="A79" s="181" t="s">
        <v>58</v>
      </c>
      <c r="B79" s="114">
        <f t="shared" ref="B79:AF79" si="6">SUM(B4:B27)-B80</f>
        <v>0</v>
      </c>
      <c r="C79" s="114">
        <f t="shared" si="6"/>
        <v>0</v>
      </c>
      <c r="D79" s="114">
        <f t="shared" si="6"/>
        <v>0</v>
      </c>
      <c r="E79" s="114">
        <f t="shared" si="6"/>
        <v>0</v>
      </c>
      <c r="F79" s="114">
        <f t="shared" si="6"/>
        <v>0</v>
      </c>
      <c r="G79" s="114">
        <f t="shared" si="6"/>
        <v>0</v>
      </c>
      <c r="H79" s="114">
        <f t="shared" si="6"/>
        <v>0</v>
      </c>
      <c r="I79" s="114">
        <f t="shared" si="6"/>
        <v>0</v>
      </c>
      <c r="J79" s="114">
        <f t="shared" si="6"/>
        <v>0</v>
      </c>
      <c r="K79" s="114">
        <f t="shared" si="6"/>
        <v>0</v>
      </c>
      <c r="L79" s="114">
        <f t="shared" si="6"/>
        <v>0</v>
      </c>
      <c r="M79" s="114">
        <f t="shared" si="6"/>
        <v>0</v>
      </c>
      <c r="N79" s="114">
        <f t="shared" si="6"/>
        <v>0</v>
      </c>
      <c r="O79" s="114">
        <f t="shared" si="6"/>
        <v>0</v>
      </c>
      <c r="P79" s="114">
        <f t="shared" si="6"/>
        <v>0</v>
      </c>
      <c r="Q79" s="114">
        <f t="shared" si="6"/>
        <v>0</v>
      </c>
      <c r="R79" s="114">
        <f t="shared" si="6"/>
        <v>0</v>
      </c>
      <c r="S79" s="114">
        <f t="shared" si="6"/>
        <v>0</v>
      </c>
      <c r="T79" s="114">
        <f t="shared" si="6"/>
        <v>0</v>
      </c>
      <c r="U79" s="114">
        <f t="shared" si="6"/>
        <v>0</v>
      </c>
      <c r="V79" s="114">
        <f t="shared" si="6"/>
        <v>0</v>
      </c>
      <c r="W79" s="114">
        <f t="shared" si="6"/>
        <v>0</v>
      </c>
      <c r="X79" s="114">
        <f t="shared" si="6"/>
        <v>0</v>
      </c>
      <c r="Y79" s="114">
        <f t="shared" si="6"/>
        <v>0</v>
      </c>
      <c r="Z79" s="114">
        <f t="shared" si="6"/>
        <v>0</v>
      </c>
      <c r="AA79" s="114">
        <f t="shared" si="6"/>
        <v>0</v>
      </c>
      <c r="AB79" s="114">
        <f t="shared" si="6"/>
        <v>0</v>
      </c>
      <c r="AC79" s="114">
        <f t="shared" si="6"/>
        <v>0</v>
      </c>
      <c r="AD79" s="114">
        <f t="shared" si="6"/>
        <v>0</v>
      </c>
      <c r="AE79" s="114">
        <f t="shared" si="6"/>
        <v>0</v>
      </c>
      <c r="AF79" s="114">
        <f t="shared" si="6"/>
        <v>0</v>
      </c>
      <c r="AG79" s="132">
        <f t="shared" si="2"/>
        <v>0</v>
      </c>
    </row>
    <row r="80" spans="1:33" ht="19.5" hidden="1" customHeight="1" thickBot="1" x14ac:dyDescent="0.3">
      <c r="A80" s="107" t="s">
        <v>57</v>
      </c>
      <c r="B80" s="11"/>
      <c r="C80" s="11"/>
      <c r="D80" s="9">
        <v>0</v>
      </c>
      <c r="E80" s="9">
        <v>0</v>
      </c>
      <c r="F80" s="9">
        <f>SUM(F4:F12)</f>
        <v>0</v>
      </c>
      <c r="G80" s="9">
        <f>SUM(G4:G12)</f>
        <v>0</v>
      </c>
      <c r="H80" s="9">
        <f>SUM(H4:H12)</f>
        <v>0</v>
      </c>
      <c r="I80" s="11"/>
      <c r="J80" s="11"/>
      <c r="K80" s="9">
        <v>0</v>
      </c>
      <c r="L80" s="9">
        <v>0</v>
      </c>
      <c r="M80" s="9">
        <f>SUM(M4:M12)</f>
        <v>0</v>
      </c>
      <c r="N80" s="9">
        <f>SUM(N4:N12)</f>
        <v>0</v>
      </c>
      <c r="O80" s="9">
        <f>SUM(O4:O12)</f>
        <v>0</v>
      </c>
      <c r="P80" s="11"/>
      <c r="Q80" s="11"/>
      <c r="R80" s="9">
        <f>SUM(R4:R12)</f>
        <v>0</v>
      </c>
      <c r="S80" s="9">
        <f>SUM(S4:S12)</f>
        <v>0</v>
      </c>
      <c r="T80" s="9">
        <f>SUM(T4:T12)</f>
        <v>0</v>
      </c>
      <c r="U80" s="9">
        <f>SUM(U4:U12)</f>
        <v>0</v>
      </c>
      <c r="V80" s="9">
        <f>SUM(V4:V12)</f>
        <v>0</v>
      </c>
      <c r="W80" s="11"/>
      <c r="X80" s="11"/>
      <c r="Y80" s="9">
        <f>SUM(Y4:Y12)</f>
        <v>0</v>
      </c>
      <c r="Z80" s="11"/>
      <c r="AA80" s="9">
        <f>SUM(AA4:AA12)</f>
        <v>0</v>
      </c>
      <c r="AB80" s="9">
        <f>SUM(AB4:AB12)</f>
        <v>0</v>
      </c>
      <c r="AC80" s="9">
        <f>SUM(AC4:AC12)</f>
        <v>0</v>
      </c>
      <c r="AD80" s="11"/>
      <c r="AE80" s="11"/>
      <c r="AF80" s="9">
        <f>SUM(AF4:AF12)</f>
        <v>0</v>
      </c>
      <c r="AG80" s="108">
        <f t="shared" si="2"/>
        <v>0</v>
      </c>
    </row>
    <row r="81" spans="1:35" ht="19.5" thickBot="1" x14ac:dyDescent="0.3">
      <c r="A81" s="183" t="s">
        <v>98</v>
      </c>
      <c r="B81" s="184">
        <f t="shared" ref="B81:AF81" si="7">SUM(B82:B83)</f>
        <v>0</v>
      </c>
      <c r="C81" s="184">
        <f t="shared" si="7"/>
        <v>0</v>
      </c>
      <c r="D81" s="184">
        <f t="shared" si="7"/>
        <v>0</v>
      </c>
      <c r="E81" s="184">
        <f t="shared" si="7"/>
        <v>0</v>
      </c>
      <c r="F81" s="184">
        <f t="shared" si="7"/>
        <v>0</v>
      </c>
      <c r="G81" s="184">
        <f t="shared" si="7"/>
        <v>0</v>
      </c>
      <c r="H81" s="184">
        <f t="shared" si="7"/>
        <v>0</v>
      </c>
      <c r="I81" s="184">
        <f t="shared" si="7"/>
        <v>0</v>
      </c>
      <c r="J81" s="184">
        <f t="shared" si="7"/>
        <v>0</v>
      </c>
      <c r="K81" s="184">
        <f t="shared" si="7"/>
        <v>0</v>
      </c>
      <c r="L81" s="184">
        <f t="shared" si="7"/>
        <v>0</v>
      </c>
      <c r="M81" s="184">
        <f t="shared" si="7"/>
        <v>0</v>
      </c>
      <c r="N81" s="184">
        <f t="shared" si="7"/>
        <v>0</v>
      </c>
      <c r="O81" s="184">
        <f t="shared" si="7"/>
        <v>0</v>
      </c>
      <c r="P81" s="184">
        <f t="shared" si="7"/>
        <v>0</v>
      </c>
      <c r="Q81" s="184">
        <f t="shared" si="7"/>
        <v>0</v>
      </c>
      <c r="R81" s="184">
        <f t="shared" si="7"/>
        <v>0</v>
      </c>
      <c r="S81" s="184">
        <f t="shared" si="7"/>
        <v>0</v>
      </c>
      <c r="T81" s="184">
        <f t="shared" si="7"/>
        <v>0</v>
      </c>
      <c r="U81" s="184">
        <f t="shared" si="7"/>
        <v>0</v>
      </c>
      <c r="V81" s="184">
        <f t="shared" si="7"/>
        <v>0</v>
      </c>
      <c r="W81" s="184">
        <f t="shared" si="7"/>
        <v>0</v>
      </c>
      <c r="X81" s="184">
        <f t="shared" si="7"/>
        <v>0</v>
      </c>
      <c r="Y81" s="184">
        <f t="shared" si="7"/>
        <v>0</v>
      </c>
      <c r="Z81" s="184">
        <f>SUM(Z82:Z83)</f>
        <v>0</v>
      </c>
      <c r="AA81" s="184">
        <f t="shared" si="7"/>
        <v>0</v>
      </c>
      <c r="AB81" s="184">
        <f t="shared" si="7"/>
        <v>0</v>
      </c>
      <c r="AC81" s="184">
        <f t="shared" si="7"/>
        <v>0</v>
      </c>
      <c r="AD81" s="184">
        <f t="shared" si="7"/>
        <v>0</v>
      </c>
      <c r="AE81" s="184">
        <f t="shared" si="7"/>
        <v>0</v>
      </c>
      <c r="AF81" s="184">
        <f t="shared" si="7"/>
        <v>0</v>
      </c>
      <c r="AG81" s="116">
        <f t="shared" si="2"/>
        <v>0</v>
      </c>
      <c r="AH81" s="180" t="str">
        <f>IF(AG81&lt;&gt;AG53,"*","")</f>
        <v/>
      </c>
    </row>
    <row r="82" spans="1:35" ht="18.75" x14ac:dyDescent="0.25">
      <c r="A82" s="181" t="s">
        <v>57</v>
      </c>
      <c r="B82" s="114">
        <f t="shared" ref="B82:AF82" si="8">SUM(B54:B62)</f>
        <v>0</v>
      </c>
      <c r="C82" s="114">
        <f t="shared" si="8"/>
        <v>0</v>
      </c>
      <c r="D82" s="114">
        <f t="shared" si="8"/>
        <v>0</v>
      </c>
      <c r="E82" s="114">
        <f t="shared" si="8"/>
        <v>0</v>
      </c>
      <c r="F82" s="114">
        <f t="shared" si="8"/>
        <v>0</v>
      </c>
      <c r="G82" s="114">
        <f t="shared" si="8"/>
        <v>0</v>
      </c>
      <c r="H82" s="114">
        <f t="shared" si="8"/>
        <v>0</v>
      </c>
      <c r="I82" s="114">
        <f t="shared" si="8"/>
        <v>0</v>
      </c>
      <c r="J82" s="114">
        <f t="shared" si="8"/>
        <v>0</v>
      </c>
      <c r="K82" s="114">
        <f t="shared" si="8"/>
        <v>0</v>
      </c>
      <c r="L82" s="114">
        <f t="shared" si="8"/>
        <v>0</v>
      </c>
      <c r="M82" s="114">
        <f t="shared" si="8"/>
        <v>0</v>
      </c>
      <c r="N82" s="114">
        <f t="shared" si="8"/>
        <v>0</v>
      </c>
      <c r="O82" s="114">
        <f t="shared" si="8"/>
        <v>0</v>
      </c>
      <c r="P82" s="114">
        <f t="shared" si="8"/>
        <v>0</v>
      </c>
      <c r="Q82" s="114">
        <f t="shared" si="8"/>
        <v>0</v>
      </c>
      <c r="R82" s="114">
        <f t="shared" si="8"/>
        <v>0</v>
      </c>
      <c r="S82" s="114">
        <f t="shared" si="8"/>
        <v>0</v>
      </c>
      <c r="T82" s="114">
        <f t="shared" si="8"/>
        <v>0</v>
      </c>
      <c r="U82" s="114">
        <f t="shared" si="8"/>
        <v>0</v>
      </c>
      <c r="V82" s="114">
        <f t="shared" si="8"/>
        <v>0</v>
      </c>
      <c r="W82" s="114">
        <f t="shared" si="8"/>
        <v>0</v>
      </c>
      <c r="X82" s="114">
        <f t="shared" si="8"/>
        <v>0</v>
      </c>
      <c r="Y82" s="114">
        <f t="shared" si="8"/>
        <v>0</v>
      </c>
      <c r="Z82" s="114">
        <f t="shared" si="8"/>
        <v>0</v>
      </c>
      <c r="AA82" s="114">
        <f t="shared" si="8"/>
        <v>0</v>
      </c>
      <c r="AB82" s="114">
        <f t="shared" si="8"/>
        <v>0</v>
      </c>
      <c r="AC82" s="114">
        <f t="shared" si="8"/>
        <v>0</v>
      </c>
      <c r="AD82" s="114">
        <f t="shared" si="8"/>
        <v>0</v>
      </c>
      <c r="AE82" s="114">
        <f t="shared" si="8"/>
        <v>0</v>
      </c>
      <c r="AF82" s="114">
        <f t="shared" si="8"/>
        <v>0</v>
      </c>
      <c r="AG82" s="132">
        <f t="shared" si="2"/>
        <v>0</v>
      </c>
    </row>
    <row r="83" spans="1:35" ht="19.5" thickBot="1" x14ac:dyDescent="0.3">
      <c r="A83" s="107" t="s">
        <v>58</v>
      </c>
      <c r="B83" s="9">
        <f t="shared" ref="B83" si="9">SUM(B54:B77)-B82</f>
        <v>0</v>
      </c>
      <c r="C83" s="9">
        <f t="shared" ref="C83" si="10">SUM(C54:C77)-C82</f>
        <v>0</v>
      </c>
      <c r="D83" s="9">
        <f t="shared" ref="D83:AF83" si="11">SUM(D54:D77)-D82</f>
        <v>0</v>
      </c>
      <c r="E83" s="9">
        <f t="shared" si="11"/>
        <v>0</v>
      </c>
      <c r="F83" s="9">
        <f t="shared" si="11"/>
        <v>0</v>
      </c>
      <c r="G83" s="9">
        <f t="shared" si="11"/>
        <v>0</v>
      </c>
      <c r="H83" s="9">
        <f t="shared" si="11"/>
        <v>0</v>
      </c>
      <c r="I83" s="9">
        <f t="shared" si="11"/>
        <v>0</v>
      </c>
      <c r="J83" s="9">
        <f t="shared" si="11"/>
        <v>0</v>
      </c>
      <c r="K83" s="9">
        <f t="shared" si="11"/>
        <v>0</v>
      </c>
      <c r="L83" s="9">
        <f t="shared" si="11"/>
        <v>0</v>
      </c>
      <c r="M83" s="9">
        <f t="shared" si="11"/>
        <v>0</v>
      </c>
      <c r="N83" s="9">
        <f t="shared" si="11"/>
        <v>0</v>
      </c>
      <c r="O83" s="9">
        <f t="shared" si="11"/>
        <v>0</v>
      </c>
      <c r="P83" s="9">
        <f t="shared" si="11"/>
        <v>0</v>
      </c>
      <c r="Q83" s="9">
        <f t="shared" si="11"/>
        <v>0</v>
      </c>
      <c r="R83" s="9">
        <f t="shared" si="11"/>
        <v>0</v>
      </c>
      <c r="S83" s="9">
        <f t="shared" si="11"/>
        <v>0</v>
      </c>
      <c r="T83" s="9">
        <f t="shared" si="11"/>
        <v>0</v>
      </c>
      <c r="U83" s="9">
        <f t="shared" si="11"/>
        <v>0</v>
      </c>
      <c r="V83" s="9">
        <f t="shared" si="11"/>
        <v>0</v>
      </c>
      <c r="W83" s="9">
        <f t="shared" si="11"/>
        <v>0</v>
      </c>
      <c r="X83" s="9">
        <f t="shared" si="11"/>
        <v>0</v>
      </c>
      <c r="Y83" s="9">
        <f t="shared" si="11"/>
        <v>0</v>
      </c>
      <c r="Z83" s="9">
        <f t="shared" si="11"/>
        <v>0</v>
      </c>
      <c r="AA83" s="9">
        <f t="shared" si="11"/>
        <v>0</v>
      </c>
      <c r="AB83" s="9">
        <f t="shared" si="11"/>
        <v>0</v>
      </c>
      <c r="AC83" s="9">
        <f t="shared" si="11"/>
        <v>0</v>
      </c>
      <c r="AD83" s="9">
        <f t="shared" si="11"/>
        <v>0</v>
      </c>
      <c r="AE83" s="9">
        <f t="shared" si="11"/>
        <v>0</v>
      </c>
      <c r="AF83" s="9">
        <f t="shared" si="11"/>
        <v>0</v>
      </c>
      <c r="AG83" s="4">
        <f t="shared" si="2"/>
        <v>0</v>
      </c>
    </row>
    <row r="84" spans="1:35" ht="19.5" thickBot="1" x14ac:dyDescent="0.3">
      <c r="A84" s="164" t="s">
        <v>146</v>
      </c>
      <c r="B84" s="165">
        <f>SUM(B85:B86)</f>
        <v>0</v>
      </c>
      <c r="C84" s="165">
        <f t="shared" ref="C84:AF84" si="12">SUM(C85:C86)</f>
        <v>0</v>
      </c>
      <c r="D84" s="165">
        <f t="shared" si="12"/>
        <v>0</v>
      </c>
      <c r="E84" s="165">
        <f t="shared" si="12"/>
        <v>0</v>
      </c>
      <c r="F84" s="165">
        <f t="shared" si="12"/>
        <v>0</v>
      </c>
      <c r="G84" s="165">
        <f t="shared" si="12"/>
        <v>0</v>
      </c>
      <c r="H84" s="165">
        <f t="shared" si="12"/>
        <v>0</v>
      </c>
      <c r="I84" s="165">
        <f t="shared" si="12"/>
        <v>0</v>
      </c>
      <c r="J84" s="165">
        <f t="shared" si="12"/>
        <v>0</v>
      </c>
      <c r="K84" s="165">
        <f t="shared" si="12"/>
        <v>0</v>
      </c>
      <c r="L84" s="165">
        <f t="shared" si="12"/>
        <v>0</v>
      </c>
      <c r="M84" s="165">
        <f t="shared" si="12"/>
        <v>0</v>
      </c>
      <c r="N84" s="165">
        <f t="shared" si="12"/>
        <v>0</v>
      </c>
      <c r="O84" s="165">
        <f t="shared" si="12"/>
        <v>0</v>
      </c>
      <c r="P84" s="165">
        <f t="shared" si="12"/>
        <v>0</v>
      </c>
      <c r="Q84" s="165">
        <f t="shared" si="12"/>
        <v>0</v>
      </c>
      <c r="R84" s="165">
        <f t="shared" si="12"/>
        <v>0</v>
      </c>
      <c r="S84" s="165">
        <f t="shared" si="12"/>
        <v>0</v>
      </c>
      <c r="T84" s="165">
        <f t="shared" si="12"/>
        <v>0</v>
      </c>
      <c r="U84" s="165">
        <f t="shared" si="12"/>
        <v>0</v>
      </c>
      <c r="V84" s="165">
        <f t="shared" si="12"/>
        <v>0</v>
      </c>
      <c r="W84" s="165">
        <f t="shared" si="12"/>
        <v>0</v>
      </c>
      <c r="X84" s="165">
        <f t="shared" si="12"/>
        <v>0</v>
      </c>
      <c r="Y84" s="165">
        <f t="shared" si="12"/>
        <v>0</v>
      </c>
      <c r="Z84" s="165">
        <f t="shared" si="12"/>
        <v>0</v>
      </c>
      <c r="AA84" s="165">
        <f t="shared" si="12"/>
        <v>0</v>
      </c>
      <c r="AB84" s="165">
        <f t="shared" si="12"/>
        <v>0</v>
      </c>
      <c r="AC84" s="165">
        <f t="shared" si="12"/>
        <v>0</v>
      </c>
      <c r="AD84" s="165">
        <f t="shared" si="12"/>
        <v>0</v>
      </c>
      <c r="AE84" s="165">
        <f t="shared" si="12"/>
        <v>0</v>
      </c>
      <c r="AF84" s="165">
        <f t="shared" si="12"/>
        <v>0</v>
      </c>
      <c r="AG84" s="171">
        <f t="shared" ref="AG84:AG126" si="13">SUM(B84:AF84)</f>
        <v>0</v>
      </c>
      <c r="AH84" s="180" t="str">
        <f>IF(AG84&lt;&gt;AG82+AG83,"*","")</f>
        <v/>
      </c>
      <c r="AI84" s="434" t="s">
        <v>1</v>
      </c>
    </row>
    <row r="85" spans="1:35" ht="18.75" x14ac:dyDescent="0.25">
      <c r="A85" s="72" t="s">
        <v>144</v>
      </c>
      <c r="B85" s="169"/>
      <c r="C85" s="169"/>
      <c r="D85" s="169"/>
      <c r="E85" s="169"/>
      <c r="F85" s="169"/>
      <c r="G85" s="169"/>
      <c r="H85" s="169"/>
      <c r="I85" s="169"/>
      <c r="J85" s="169"/>
      <c r="K85" s="169"/>
      <c r="L85" s="169"/>
      <c r="M85" s="169"/>
      <c r="N85" s="169"/>
      <c r="O85" s="169"/>
      <c r="P85" s="169"/>
      <c r="Q85" s="169"/>
      <c r="R85" s="169"/>
      <c r="S85" s="169"/>
      <c r="T85" s="169"/>
      <c r="U85" s="169"/>
      <c r="V85" s="169"/>
      <c r="W85" s="169"/>
      <c r="X85" s="169"/>
      <c r="Y85" s="169"/>
      <c r="Z85" s="169"/>
      <c r="AA85" s="169"/>
      <c r="AB85" s="169"/>
      <c r="AC85" s="169"/>
      <c r="AD85" s="169"/>
      <c r="AE85" s="169"/>
      <c r="AF85" s="170"/>
      <c r="AG85" s="168">
        <f t="shared" si="13"/>
        <v>0</v>
      </c>
      <c r="AI85" s="435"/>
    </row>
    <row r="86" spans="1:35" ht="19.5" thickBot="1" x14ac:dyDescent="0.3">
      <c r="A86" s="172" t="s">
        <v>145</v>
      </c>
      <c r="B86" s="173"/>
      <c r="C86" s="173"/>
      <c r="D86" s="173"/>
      <c r="E86" s="173"/>
      <c r="F86" s="173"/>
      <c r="G86" s="173"/>
      <c r="H86" s="173"/>
      <c r="I86" s="173"/>
      <c r="J86" s="173"/>
      <c r="K86" s="173"/>
      <c r="L86" s="173"/>
      <c r="M86" s="173"/>
      <c r="N86" s="173"/>
      <c r="O86" s="173"/>
      <c r="P86" s="173"/>
      <c r="Q86" s="173"/>
      <c r="R86" s="173"/>
      <c r="S86" s="173"/>
      <c r="T86" s="173"/>
      <c r="U86" s="173"/>
      <c r="V86" s="173"/>
      <c r="W86" s="173"/>
      <c r="X86" s="173"/>
      <c r="Y86" s="173"/>
      <c r="Z86" s="173"/>
      <c r="AA86" s="173"/>
      <c r="AB86" s="173"/>
      <c r="AC86" s="173"/>
      <c r="AD86" s="173"/>
      <c r="AE86" s="173"/>
      <c r="AF86" s="174"/>
      <c r="AG86" s="176">
        <f t="shared" si="13"/>
        <v>0</v>
      </c>
      <c r="AI86" s="436"/>
    </row>
    <row r="87" spans="1:35" ht="19.5" thickBot="1" x14ac:dyDescent="0.3">
      <c r="A87" s="177" t="s">
        <v>147</v>
      </c>
      <c r="B87" s="178">
        <f>SUM(B88:B92)</f>
        <v>0</v>
      </c>
      <c r="C87" s="178">
        <f t="shared" ref="C87:AF87" si="14">SUM(C88:C92)</f>
        <v>0</v>
      </c>
      <c r="D87" s="178">
        <f t="shared" si="14"/>
        <v>0</v>
      </c>
      <c r="E87" s="178">
        <f t="shared" si="14"/>
        <v>0</v>
      </c>
      <c r="F87" s="178">
        <f t="shared" si="14"/>
        <v>0</v>
      </c>
      <c r="G87" s="178">
        <f t="shared" si="14"/>
        <v>0</v>
      </c>
      <c r="H87" s="178">
        <f t="shared" si="14"/>
        <v>0</v>
      </c>
      <c r="I87" s="178">
        <f t="shared" si="14"/>
        <v>0</v>
      </c>
      <c r="J87" s="178">
        <f t="shared" si="14"/>
        <v>0</v>
      </c>
      <c r="K87" s="178">
        <f t="shared" si="14"/>
        <v>0</v>
      </c>
      <c r="L87" s="178">
        <f t="shared" si="14"/>
        <v>0</v>
      </c>
      <c r="M87" s="178">
        <f t="shared" si="14"/>
        <v>0</v>
      </c>
      <c r="N87" s="178">
        <f t="shared" si="14"/>
        <v>0</v>
      </c>
      <c r="O87" s="178">
        <f t="shared" si="14"/>
        <v>0</v>
      </c>
      <c r="P87" s="178">
        <f t="shared" si="14"/>
        <v>0</v>
      </c>
      <c r="Q87" s="178">
        <f t="shared" si="14"/>
        <v>0</v>
      </c>
      <c r="R87" s="178">
        <f t="shared" si="14"/>
        <v>0</v>
      </c>
      <c r="S87" s="178">
        <f t="shared" si="14"/>
        <v>0</v>
      </c>
      <c r="T87" s="178">
        <f t="shared" si="14"/>
        <v>0</v>
      </c>
      <c r="U87" s="178">
        <f t="shared" si="14"/>
        <v>0</v>
      </c>
      <c r="V87" s="178">
        <f t="shared" si="14"/>
        <v>0</v>
      </c>
      <c r="W87" s="178">
        <f t="shared" si="14"/>
        <v>0</v>
      </c>
      <c r="X87" s="178">
        <f t="shared" si="14"/>
        <v>0</v>
      </c>
      <c r="Y87" s="178">
        <f t="shared" si="14"/>
        <v>0</v>
      </c>
      <c r="Z87" s="178">
        <f t="shared" si="14"/>
        <v>0</v>
      </c>
      <c r="AA87" s="178">
        <f t="shared" si="14"/>
        <v>0</v>
      </c>
      <c r="AB87" s="178">
        <f t="shared" si="14"/>
        <v>0</v>
      </c>
      <c r="AC87" s="178">
        <f t="shared" si="14"/>
        <v>0</v>
      </c>
      <c r="AD87" s="178">
        <f t="shared" si="14"/>
        <v>0</v>
      </c>
      <c r="AE87" s="178">
        <f t="shared" si="14"/>
        <v>0</v>
      </c>
      <c r="AF87" s="178">
        <f t="shared" si="14"/>
        <v>0</v>
      </c>
      <c r="AG87" s="179">
        <f t="shared" si="13"/>
        <v>0</v>
      </c>
      <c r="AH87" s="175" t="str">
        <f>IF(AG87&lt;&gt;AG84,"*","")</f>
        <v/>
      </c>
    </row>
    <row r="88" spans="1:35" ht="18.75" x14ac:dyDescent="0.25">
      <c r="A88" s="104" t="s">
        <v>127</v>
      </c>
      <c r="B88" s="166"/>
      <c r="C88" s="166"/>
      <c r="D88" s="166"/>
      <c r="E88" s="166"/>
      <c r="F88" s="166"/>
      <c r="G88" s="166"/>
      <c r="H88" s="166"/>
      <c r="I88" s="166"/>
      <c r="J88" s="166"/>
      <c r="K88" s="166"/>
      <c r="L88" s="166"/>
      <c r="M88" s="166"/>
      <c r="N88" s="166"/>
      <c r="O88" s="166"/>
      <c r="P88" s="166"/>
      <c r="Q88" s="166"/>
      <c r="R88" s="166"/>
      <c r="S88" s="166"/>
      <c r="T88" s="166"/>
      <c r="U88" s="166"/>
      <c r="V88" s="166"/>
      <c r="W88" s="166"/>
      <c r="X88" s="166"/>
      <c r="Y88" s="166"/>
      <c r="Z88" s="166"/>
      <c r="AA88" s="166"/>
      <c r="AB88" s="166"/>
      <c r="AC88" s="166"/>
      <c r="AD88" s="166"/>
      <c r="AE88" s="166"/>
      <c r="AF88" s="167"/>
      <c r="AG88" s="132">
        <f t="shared" si="13"/>
        <v>0</v>
      </c>
    </row>
    <row r="89" spans="1:35" ht="18.75" x14ac:dyDescent="0.25">
      <c r="A89" s="105" t="s">
        <v>73</v>
      </c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10"/>
      <c r="AG89" s="4">
        <f t="shared" si="13"/>
        <v>0</v>
      </c>
    </row>
    <row r="90" spans="1:35" ht="18.75" x14ac:dyDescent="0.25">
      <c r="A90" s="105" t="s">
        <v>74</v>
      </c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10"/>
      <c r="AG90" s="4">
        <f t="shared" si="13"/>
        <v>0</v>
      </c>
    </row>
    <row r="91" spans="1:35" ht="18.75" x14ac:dyDescent="0.25">
      <c r="A91" s="105" t="s">
        <v>75</v>
      </c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10"/>
      <c r="AG91" s="4">
        <f t="shared" si="13"/>
        <v>0</v>
      </c>
    </row>
    <row r="92" spans="1:35" ht="19.5" thickBot="1" x14ac:dyDescent="0.3">
      <c r="A92" s="105" t="s">
        <v>76</v>
      </c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10"/>
      <c r="AG92" s="4">
        <f t="shared" si="13"/>
        <v>0</v>
      </c>
    </row>
    <row r="93" spans="1:35" ht="18.75" x14ac:dyDescent="0.25">
      <c r="A93" s="73" t="s">
        <v>615</v>
      </c>
      <c r="B93" s="74">
        <f t="shared" ref="B93:AF93" si="15">+B94+B100</f>
        <v>0</v>
      </c>
      <c r="C93" s="74">
        <f t="shared" si="15"/>
        <v>0</v>
      </c>
      <c r="D93" s="74">
        <f t="shared" si="15"/>
        <v>0</v>
      </c>
      <c r="E93" s="74">
        <f t="shared" si="15"/>
        <v>0</v>
      </c>
      <c r="F93" s="74">
        <f t="shared" si="15"/>
        <v>0</v>
      </c>
      <c r="G93" s="74">
        <f t="shared" si="15"/>
        <v>0</v>
      </c>
      <c r="H93" s="74">
        <f t="shared" si="15"/>
        <v>0</v>
      </c>
      <c r="I93" s="74">
        <f t="shared" si="15"/>
        <v>0</v>
      </c>
      <c r="J93" s="74">
        <f t="shared" si="15"/>
        <v>0</v>
      </c>
      <c r="K93" s="74">
        <f t="shared" si="15"/>
        <v>0</v>
      </c>
      <c r="L93" s="74">
        <f t="shared" si="15"/>
        <v>0</v>
      </c>
      <c r="M93" s="74">
        <f t="shared" si="15"/>
        <v>0</v>
      </c>
      <c r="N93" s="74">
        <f t="shared" si="15"/>
        <v>0</v>
      </c>
      <c r="O93" s="74">
        <f t="shared" si="15"/>
        <v>0</v>
      </c>
      <c r="P93" s="74">
        <f t="shared" si="15"/>
        <v>0</v>
      </c>
      <c r="Q93" s="74">
        <f t="shared" si="15"/>
        <v>0</v>
      </c>
      <c r="R93" s="74">
        <f t="shared" si="15"/>
        <v>0</v>
      </c>
      <c r="S93" s="74">
        <f t="shared" si="15"/>
        <v>0</v>
      </c>
      <c r="T93" s="74">
        <f t="shared" si="15"/>
        <v>0</v>
      </c>
      <c r="U93" s="74">
        <f t="shared" si="15"/>
        <v>0</v>
      </c>
      <c r="V93" s="74">
        <f t="shared" si="15"/>
        <v>0</v>
      </c>
      <c r="W93" s="74">
        <f t="shared" si="15"/>
        <v>0</v>
      </c>
      <c r="X93" s="74">
        <f t="shared" si="15"/>
        <v>0</v>
      </c>
      <c r="Y93" s="74">
        <f t="shared" si="15"/>
        <v>0</v>
      </c>
      <c r="Z93" s="74">
        <f t="shared" si="15"/>
        <v>0</v>
      </c>
      <c r="AA93" s="74">
        <f t="shared" si="15"/>
        <v>0</v>
      </c>
      <c r="AB93" s="74">
        <f t="shared" si="15"/>
        <v>0</v>
      </c>
      <c r="AC93" s="74">
        <f t="shared" si="15"/>
        <v>0</v>
      </c>
      <c r="AD93" s="74">
        <f t="shared" si="15"/>
        <v>0</v>
      </c>
      <c r="AE93" s="74">
        <f t="shared" si="15"/>
        <v>0</v>
      </c>
      <c r="AF93" s="84">
        <f t="shared" si="15"/>
        <v>0</v>
      </c>
      <c r="AG93" s="150">
        <f t="shared" si="13"/>
        <v>0</v>
      </c>
      <c r="AH93" s="37" t="str">
        <f>IF(AG93&lt;&gt;AG28,"*","")</f>
        <v/>
      </c>
    </row>
    <row r="94" spans="1:35" ht="18.75" x14ac:dyDescent="0.25">
      <c r="A94" s="42" t="s">
        <v>65</v>
      </c>
      <c r="B94" s="17">
        <f t="shared" ref="B94:AF94" si="16">SUM(B95:B99)</f>
        <v>0</v>
      </c>
      <c r="C94" s="17">
        <f t="shared" si="16"/>
        <v>0</v>
      </c>
      <c r="D94" s="17">
        <f t="shared" si="16"/>
        <v>0</v>
      </c>
      <c r="E94" s="17">
        <f t="shared" si="16"/>
        <v>0</v>
      </c>
      <c r="F94" s="17">
        <f t="shared" si="16"/>
        <v>0</v>
      </c>
      <c r="G94" s="17">
        <f t="shared" si="16"/>
        <v>0</v>
      </c>
      <c r="H94" s="17">
        <f t="shared" si="16"/>
        <v>0</v>
      </c>
      <c r="I94" s="17">
        <f t="shared" si="16"/>
        <v>0</v>
      </c>
      <c r="J94" s="17">
        <f t="shared" si="16"/>
        <v>0</v>
      </c>
      <c r="K94" s="17">
        <f t="shared" si="16"/>
        <v>0</v>
      </c>
      <c r="L94" s="17">
        <f t="shared" si="16"/>
        <v>0</v>
      </c>
      <c r="M94" s="17">
        <f t="shared" si="16"/>
        <v>0</v>
      </c>
      <c r="N94" s="17">
        <f t="shared" si="16"/>
        <v>0</v>
      </c>
      <c r="O94" s="17">
        <f t="shared" si="16"/>
        <v>0</v>
      </c>
      <c r="P94" s="17">
        <f t="shared" si="16"/>
        <v>0</v>
      </c>
      <c r="Q94" s="17">
        <f t="shared" si="16"/>
        <v>0</v>
      </c>
      <c r="R94" s="17">
        <f t="shared" si="16"/>
        <v>0</v>
      </c>
      <c r="S94" s="17">
        <f t="shared" si="16"/>
        <v>0</v>
      </c>
      <c r="T94" s="17">
        <f t="shared" si="16"/>
        <v>0</v>
      </c>
      <c r="U94" s="17">
        <f t="shared" si="16"/>
        <v>0</v>
      </c>
      <c r="V94" s="17">
        <f t="shared" si="16"/>
        <v>0</v>
      </c>
      <c r="W94" s="17">
        <f t="shared" si="16"/>
        <v>0</v>
      </c>
      <c r="X94" s="17">
        <f t="shared" si="16"/>
        <v>0</v>
      </c>
      <c r="Y94" s="17">
        <f t="shared" si="16"/>
        <v>0</v>
      </c>
      <c r="Z94" s="17">
        <f t="shared" si="16"/>
        <v>0</v>
      </c>
      <c r="AA94" s="17">
        <f t="shared" si="16"/>
        <v>0</v>
      </c>
      <c r="AB94" s="17">
        <f t="shared" si="16"/>
        <v>0</v>
      </c>
      <c r="AC94" s="17">
        <f t="shared" si="16"/>
        <v>0</v>
      </c>
      <c r="AD94" s="17">
        <f t="shared" si="16"/>
        <v>0</v>
      </c>
      <c r="AE94" s="17">
        <f t="shared" si="16"/>
        <v>0</v>
      </c>
      <c r="AF94" s="18">
        <f t="shared" si="16"/>
        <v>0</v>
      </c>
      <c r="AG94" s="4">
        <f t="shared" si="13"/>
        <v>0</v>
      </c>
    </row>
    <row r="95" spans="1:35" ht="18.75" x14ac:dyDescent="0.25">
      <c r="A95" s="44" t="s">
        <v>81</v>
      </c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8"/>
      <c r="AG95" s="4">
        <f t="shared" si="13"/>
        <v>0</v>
      </c>
    </row>
    <row r="96" spans="1:35" ht="18.75" x14ac:dyDescent="0.25">
      <c r="A96" s="45" t="s">
        <v>82</v>
      </c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141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8"/>
      <c r="AG96" s="4">
        <f t="shared" si="13"/>
        <v>0</v>
      </c>
    </row>
    <row r="97" spans="1:33" ht="18.75" x14ac:dyDescent="0.25">
      <c r="A97" s="46" t="s">
        <v>70</v>
      </c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8"/>
      <c r="AG97" s="4">
        <f t="shared" si="13"/>
        <v>0</v>
      </c>
    </row>
    <row r="98" spans="1:33" ht="18.75" x14ac:dyDescent="0.25">
      <c r="A98" s="47" t="s">
        <v>6</v>
      </c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8"/>
      <c r="AG98" s="4">
        <f t="shared" si="13"/>
        <v>0</v>
      </c>
    </row>
    <row r="99" spans="1:33" ht="18.75" x14ac:dyDescent="0.25">
      <c r="A99" s="48" t="s">
        <v>7</v>
      </c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8"/>
      <c r="AG99" s="4">
        <f t="shared" si="13"/>
        <v>0</v>
      </c>
    </row>
    <row r="100" spans="1:33" ht="18.75" x14ac:dyDescent="0.25">
      <c r="A100" s="42" t="s">
        <v>66</v>
      </c>
      <c r="B100" s="17">
        <f t="shared" ref="B100:AF100" si="17">SUM(B101:B115)</f>
        <v>0</v>
      </c>
      <c r="C100" s="17">
        <f t="shared" si="17"/>
        <v>0</v>
      </c>
      <c r="D100" s="17">
        <f t="shared" si="17"/>
        <v>0</v>
      </c>
      <c r="E100" s="17">
        <f t="shared" si="17"/>
        <v>0</v>
      </c>
      <c r="F100" s="17">
        <f t="shared" si="17"/>
        <v>0</v>
      </c>
      <c r="G100" s="17">
        <f t="shared" si="17"/>
        <v>0</v>
      </c>
      <c r="H100" s="17">
        <f t="shared" si="17"/>
        <v>0</v>
      </c>
      <c r="I100" s="17">
        <f t="shared" si="17"/>
        <v>0</v>
      </c>
      <c r="J100" s="17">
        <f t="shared" si="17"/>
        <v>0</v>
      </c>
      <c r="K100" s="17">
        <f t="shared" si="17"/>
        <v>0</v>
      </c>
      <c r="L100" s="17">
        <f t="shared" si="17"/>
        <v>0</v>
      </c>
      <c r="M100" s="17">
        <f t="shared" si="17"/>
        <v>0</v>
      </c>
      <c r="N100" s="17">
        <f t="shared" si="17"/>
        <v>0</v>
      </c>
      <c r="O100" s="17">
        <f t="shared" si="17"/>
        <v>0</v>
      </c>
      <c r="P100" s="17">
        <f t="shared" si="17"/>
        <v>0</v>
      </c>
      <c r="Q100" s="17">
        <f t="shared" si="17"/>
        <v>0</v>
      </c>
      <c r="R100" s="17">
        <f t="shared" si="17"/>
        <v>0</v>
      </c>
      <c r="S100" s="17">
        <f t="shared" si="17"/>
        <v>0</v>
      </c>
      <c r="T100" s="17">
        <f t="shared" si="17"/>
        <v>0</v>
      </c>
      <c r="U100" s="17">
        <f t="shared" si="17"/>
        <v>0</v>
      </c>
      <c r="V100" s="17">
        <f t="shared" si="17"/>
        <v>0</v>
      </c>
      <c r="W100" s="17">
        <f t="shared" si="17"/>
        <v>0</v>
      </c>
      <c r="X100" s="17">
        <f t="shared" si="17"/>
        <v>0</v>
      </c>
      <c r="Y100" s="17">
        <f t="shared" si="17"/>
        <v>0</v>
      </c>
      <c r="Z100" s="17">
        <f t="shared" si="17"/>
        <v>0</v>
      </c>
      <c r="AA100" s="17">
        <f t="shared" si="17"/>
        <v>0</v>
      </c>
      <c r="AB100" s="17">
        <f t="shared" si="17"/>
        <v>0</v>
      </c>
      <c r="AC100" s="17">
        <f t="shared" si="17"/>
        <v>0</v>
      </c>
      <c r="AD100" s="17">
        <f t="shared" si="17"/>
        <v>0</v>
      </c>
      <c r="AE100" s="17">
        <f t="shared" si="17"/>
        <v>0</v>
      </c>
      <c r="AF100" s="18">
        <f t="shared" si="17"/>
        <v>0</v>
      </c>
      <c r="AG100" s="4">
        <f t="shared" si="13"/>
        <v>0</v>
      </c>
    </row>
    <row r="101" spans="1:33" ht="18.75" x14ac:dyDescent="0.25">
      <c r="A101" s="48" t="s">
        <v>8</v>
      </c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8"/>
      <c r="AG101" s="4">
        <f t="shared" si="13"/>
        <v>0</v>
      </c>
    </row>
    <row r="102" spans="1:33" ht="18.75" x14ac:dyDescent="0.25">
      <c r="A102" s="48" t="s">
        <v>9</v>
      </c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8"/>
      <c r="AG102" s="4">
        <f t="shared" si="13"/>
        <v>0</v>
      </c>
    </row>
    <row r="103" spans="1:33" ht="18.75" x14ac:dyDescent="0.25">
      <c r="A103" s="49" t="s">
        <v>10</v>
      </c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8"/>
      <c r="AG103" s="4">
        <f t="shared" si="13"/>
        <v>0</v>
      </c>
    </row>
    <row r="104" spans="1:33" ht="18.75" x14ac:dyDescent="0.25">
      <c r="A104" s="49" t="s">
        <v>11</v>
      </c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8"/>
      <c r="AG104" s="4">
        <f t="shared" si="13"/>
        <v>0</v>
      </c>
    </row>
    <row r="105" spans="1:33" ht="18.75" x14ac:dyDescent="0.25">
      <c r="A105" s="49" t="s">
        <v>12</v>
      </c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8"/>
      <c r="AG105" s="4">
        <f t="shared" si="13"/>
        <v>0</v>
      </c>
    </row>
    <row r="106" spans="1:33" ht="18.75" x14ac:dyDescent="0.25">
      <c r="A106" s="49" t="s">
        <v>13</v>
      </c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8"/>
      <c r="AG106" s="4">
        <f t="shared" si="13"/>
        <v>0</v>
      </c>
    </row>
    <row r="107" spans="1:33" ht="18.75" x14ac:dyDescent="0.25">
      <c r="A107" s="49" t="s">
        <v>14</v>
      </c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8"/>
      <c r="AG107" s="4">
        <f t="shared" si="13"/>
        <v>0</v>
      </c>
    </row>
    <row r="108" spans="1:33" ht="18.75" x14ac:dyDescent="0.25">
      <c r="A108" s="49" t="s">
        <v>15</v>
      </c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8"/>
      <c r="AG108" s="4">
        <f t="shared" si="13"/>
        <v>0</v>
      </c>
    </row>
    <row r="109" spans="1:33" ht="18.75" x14ac:dyDescent="0.25">
      <c r="A109" s="49" t="s">
        <v>16</v>
      </c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8"/>
      <c r="AG109" s="4">
        <f t="shared" si="13"/>
        <v>0</v>
      </c>
    </row>
    <row r="110" spans="1:33" ht="18.75" x14ac:dyDescent="0.25">
      <c r="A110" s="49" t="s">
        <v>17</v>
      </c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8"/>
      <c r="AG110" s="4">
        <f t="shared" si="13"/>
        <v>0</v>
      </c>
    </row>
    <row r="111" spans="1:33" ht="18.75" x14ac:dyDescent="0.25">
      <c r="A111" s="49" t="s">
        <v>18</v>
      </c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8"/>
      <c r="AG111" s="4">
        <f t="shared" si="13"/>
        <v>0</v>
      </c>
    </row>
    <row r="112" spans="1:33" ht="18.75" x14ac:dyDescent="0.25">
      <c r="A112" s="49" t="s">
        <v>19</v>
      </c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8"/>
      <c r="AG112" s="4">
        <f>SUM(B112:AF112)</f>
        <v>0</v>
      </c>
    </row>
    <row r="113" spans="1:33" ht="18.75" x14ac:dyDescent="0.25">
      <c r="A113" s="49" t="s">
        <v>20</v>
      </c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8"/>
      <c r="AG113" s="4">
        <f t="shared" si="13"/>
        <v>0</v>
      </c>
    </row>
    <row r="114" spans="1:33" ht="18.75" x14ac:dyDescent="0.25">
      <c r="A114" s="49" t="s">
        <v>21</v>
      </c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8"/>
      <c r="AG114" s="4">
        <f t="shared" si="13"/>
        <v>0</v>
      </c>
    </row>
    <row r="115" spans="1:33" ht="19.5" thickBot="1" x14ac:dyDescent="0.3">
      <c r="A115" s="76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2"/>
      <c r="AG115" s="4">
        <f t="shared" si="13"/>
        <v>0</v>
      </c>
    </row>
    <row r="116" spans="1:33" ht="18.75" x14ac:dyDescent="0.25">
      <c r="A116" s="73" t="s">
        <v>61</v>
      </c>
      <c r="B116" s="74">
        <f t="shared" ref="B116:AF116" si="18">SUM(B117:B129)</f>
        <v>0</v>
      </c>
      <c r="C116" s="74">
        <f t="shared" si="18"/>
        <v>0</v>
      </c>
      <c r="D116" s="74">
        <f t="shared" si="18"/>
        <v>0</v>
      </c>
      <c r="E116" s="74">
        <f t="shared" si="18"/>
        <v>0</v>
      </c>
      <c r="F116" s="74">
        <f t="shared" si="18"/>
        <v>0</v>
      </c>
      <c r="G116" s="74">
        <f t="shared" si="18"/>
        <v>0</v>
      </c>
      <c r="H116" s="74">
        <f t="shared" si="18"/>
        <v>0</v>
      </c>
      <c r="I116" s="74">
        <f t="shared" si="18"/>
        <v>0</v>
      </c>
      <c r="J116" s="74">
        <f t="shared" si="18"/>
        <v>0</v>
      </c>
      <c r="K116" s="74">
        <f t="shared" si="18"/>
        <v>0</v>
      </c>
      <c r="L116" s="74">
        <f t="shared" si="18"/>
        <v>0</v>
      </c>
      <c r="M116" s="74">
        <f t="shared" si="18"/>
        <v>0</v>
      </c>
      <c r="N116" s="74">
        <f t="shared" si="18"/>
        <v>0</v>
      </c>
      <c r="O116" s="74">
        <f t="shared" si="18"/>
        <v>0</v>
      </c>
      <c r="P116" s="74">
        <f t="shared" si="18"/>
        <v>0</v>
      </c>
      <c r="Q116" s="74">
        <f t="shared" si="18"/>
        <v>0</v>
      </c>
      <c r="R116" s="74">
        <f t="shared" si="18"/>
        <v>0</v>
      </c>
      <c r="S116" s="74">
        <f t="shared" si="18"/>
        <v>0</v>
      </c>
      <c r="T116" s="74">
        <f t="shared" si="18"/>
        <v>0</v>
      </c>
      <c r="U116" s="74">
        <f t="shared" si="18"/>
        <v>0</v>
      </c>
      <c r="V116" s="74">
        <f t="shared" si="18"/>
        <v>0</v>
      </c>
      <c r="W116" s="74">
        <f t="shared" si="18"/>
        <v>0</v>
      </c>
      <c r="X116" s="74">
        <f t="shared" si="18"/>
        <v>0</v>
      </c>
      <c r="Y116" s="74">
        <f t="shared" si="18"/>
        <v>0</v>
      </c>
      <c r="Z116" s="74">
        <f t="shared" si="18"/>
        <v>0</v>
      </c>
      <c r="AA116" s="74">
        <f t="shared" si="18"/>
        <v>0</v>
      </c>
      <c r="AB116" s="74">
        <f t="shared" si="18"/>
        <v>0</v>
      </c>
      <c r="AC116" s="74">
        <f t="shared" si="18"/>
        <v>0</v>
      </c>
      <c r="AD116" s="74">
        <f t="shared" si="18"/>
        <v>0</v>
      </c>
      <c r="AE116" s="74">
        <f t="shared" si="18"/>
        <v>0</v>
      </c>
      <c r="AF116" s="84">
        <f t="shared" si="18"/>
        <v>0</v>
      </c>
      <c r="AG116" s="4">
        <f t="shared" si="13"/>
        <v>0</v>
      </c>
    </row>
    <row r="117" spans="1:33" ht="18.75" x14ac:dyDescent="0.25">
      <c r="A117" s="43" t="s">
        <v>59</v>
      </c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8"/>
      <c r="AG117" s="4">
        <f t="shared" si="13"/>
        <v>0</v>
      </c>
    </row>
    <row r="118" spans="1:33" ht="19.5" hidden="1" customHeight="1" thickBot="1" x14ac:dyDescent="0.3">
      <c r="A118" s="43" t="s">
        <v>23</v>
      </c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8"/>
      <c r="AG118" s="4">
        <f t="shared" si="13"/>
        <v>0</v>
      </c>
    </row>
    <row r="119" spans="1:33" ht="19.5" hidden="1" customHeight="1" thickBot="1" x14ac:dyDescent="0.3">
      <c r="A119" s="43" t="s">
        <v>24</v>
      </c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8"/>
      <c r="AG119" s="4">
        <f t="shared" si="13"/>
        <v>0</v>
      </c>
    </row>
    <row r="120" spans="1:33" ht="19.5" hidden="1" customHeight="1" thickBot="1" x14ac:dyDescent="0.3">
      <c r="A120" s="43" t="s">
        <v>25</v>
      </c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8"/>
      <c r="AG120" s="4">
        <f t="shared" si="13"/>
        <v>0</v>
      </c>
    </row>
    <row r="121" spans="1:33" ht="19.5" hidden="1" customHeight="1" thickBot="1" x14ac:dyDescent="0.3">
      <c r="A121" s="43" t="s">
        <v>26</v>
      </c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8"/>
      <c r="AG121" s="4">
        <f t="shared" si="13"/>
        <v>0</v>
      </c>
    </row>
    <row r="122" spans="1:33" ht="19.5" hidden="1" customHeight="1" thickBot="1" x14ac:dyDescent="0.3">
      <c r="A122" s="43" t="s">
        <v>27</v>
      </c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8"/>
      <c r="AG122" s="4">
        <f t="shared" si="13"/>
        <v>0</v>
      </c>
    </row>
    <row r="123" spans="1:33" ht="19.5" hidden="1" customHeight="1" thickBot="1" x14ac:dyDescent="0.3">
      <c r="A123" s="43" t="s">
        <v>28</v>
      </c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8"/>
      <c r="AG123" s="4">
        <f t="shared" si="13"/>
        <v>0</v>
      </c>
    </row>
    <row r="124" spans="1:33" ht="19.5" hidden="1" customHeight="1" thickBot="1" x14ac:dyDescent="0.3">
      <c r="A124" s="43" t="s">
        <v>29</v>
      </c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8"/>
      <c r="AG124" s="4">
        <f t="shared" si="13"/>
        <v>0</v>
      </c>
    </row>
    <row r="125" spans="1:33" ht="19.5" hidden="1" customHeight="1" thickBot="1" x14ac:dyDescent="0.3">
      <c r="A125" s="41" t="s">
        <v>30</v>
      </c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8"/>
      <c r="AG125" s="4">
        <f t="shared" si="13"/>
        <v>0</v>
      </c>
    </row>
    <row r="126" spans="1:33" ht="19.5" hidden="1" customHeight="1" thickBot="1" x14ac:dyDescent="0.3">
      <c r="A126" s="41" t="s">
        <v>31</v>
      </c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8"/>
      <c r="AG126" s="4">
        <f t="shared" si="13"/>
        <v>0</v>
      </c>
    </row>
    <row r="127" spans="1:33" ht="19.5" hidden="1" customHeight="1" thickBot="1" x14ac:dyDescent="0.3">
      <c r="A127" s="41" t="s">
        <v>32</v>
      </c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8"/>
      <c r="AG127" s="4">
        <f t="shared" ref="AG127:AG133" si="19">SUM(B127:AF127)</f>
        <v>0</v>
      </c>
    </row>
    <row r="128" spans="1:33" ht="19.5" hidden="1" customHeight="1" thickBot="1" x14ac:dyDescent="0.3">
      <c r="A128" s="43" t="s">
        <v>60</v>
      </c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8"/>
      <c r="AG128" s="4">
        <f t="shared" si="19"/>
        <v>0</v>
      </c>
    </row>
    <row r="129" spans="1:35" ht="19.5" thickBot="1" x14ac:dyDescent="0.3">
      <c r="A129" s="75" t="s">
        <v>86</v>
      </c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4"/>
      <c r="AG129" s="4">
        <f t="shared" si="19"/>
        <v>0</v>
      </c>
    </row>
    <row r="130" spans="1:35" ht="18.75" x14ac:dyDescent="0.25">
      <c r="A130" s="73" t="s">
        <v>109</v>
      </c>
      <c r="B130" s="74">
        <f t="shared" ref="B130:AF130" si="20">SUM(B131:B143)</f>
        <v>0</v>
      </c>
      <c r="C130" s="74">
        <f t="shared" si="20"/>
        <v>0</v>
      </c>
      <c r="D130" s="74">
        <f t="shared" si="20"/>
        <v>0</v>
      </c>
      <c r="E130" s="74">
        <f t="shared" si="20"/>
        <v>0</v>
      </c>
      <c r="F130" s="74">
        <f t="shared" si="20"/>
        <v>0</v>
      </c>
      <c r="G130" s="74">
        <f t="shared" si="20"/>
        <v>0</v>
      </c>
      <c r="H130" s="74">
        <f t="shared" si="20"/>
        <v>0</v>
      </c>
      <c r="I130" s="74">
        <f t="shared" si="20"/>
        <v>0</v>
      </c>
      <c r="J130" s="74">
        <f t="shared" si="20"/>
        <v>0</v>
      </c>
      <c r="K130" s="74">
        <f t="shared" si="20"/>
        <v>0</v>
      </c>
      <c r="L130" s="74">
        <f t="shared" si="20"/>
        <v>0</v>
      </c>
      <c r="M130" s="74">
        <f t="shared" si="20"/>
        <v>0</v>
      </c>
      <c r="N130" s="74">
        <f t="shared" si="20"/>
        <v>0</v>
      </c>
      <c r="O130" s="74">
        <f t="shared" si="20"/>
        <v>0</v>
      </c>
      <c r="P130" s="74">
        <f t="shared" si="20"/>
        <v>0</v>
      </c>
      <c r="Q130" s="74">
        <f t="shared" si="20"/>
        <v>0</v>
      </c>
      <c r="R130" s="74">
        <f t="shared" si="20"/>
        <v>0</v>
      </c>
      <c r="S130" s="74">
        <f t="shared" si="20"/>
        <v>0</v>
      </c>
      <c r="T130" s="74">
        <f t="shared" si="20"/>
        <v>0</v>
      </c>
      <c r="U130" s="74">
        <f t="shared" si="20"/>
        <v>0</v>
      </c>
      <c r="V130" s="74">
        <f t="shared" si="20"/>
        <v>0</v>
      </c>
      <c r="W130" s="74">
        <f t="shared" si="20"/>
        <v>0</v>
      </c>
      <c r="X130" s="74">
        <f t="shared" si="20"/>
        <v>0</v>
      </c>
      <c r="Y130" s="74">
        <f t="shared" si="20"/>
        <v>0</v>
      </c>
      <c r="Z130" s="74">
        <f t="shared" si="20"/>
        <v>0</v>
      </c>
      <c r="AA130" s="74">
        <f t="shared" si="20"/>
        <v>0</v>
      </c>
      <c r="AB130" s="74">
        <f t="shared" si="20"/>
        <v>0</v>
      </c>
      <c r="AC130" s="74">
        <f t="shared" si="20"/>
        <v>0</v>
      </c>
      <c r="AD130" s="74">
        <f t="shared" si="20"/>
        <v>0</v>
      </c>
      <c r="AE130" s="74">
        <f t="shared" si="20"/>
        <v>0</v>
      </c>
      <c r="AF130" s="84">
        <f t="shared" si="20"/>
        <v>0</v>
      </c>
      <c r="AG130" s="150">
        <f t="shared" si="19"/>
        <v>0</v>
      </c>
      <c r="AH130" s="1" t="str">
        <f>IF(AG130&lt;&gt;AG93,"*","")</f>
        <v/>
      </c>
    </row>
    <row r="131" spans="1:35" ht="18.75" x14ac:dyDescent="0.25">
      <c r="A131" s="43" t="s">
        <v>59</v>
      </c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8"/>
      <c r="AG131" s="4">
        <f t="shared" si="19"/>
        <v>0</v>
      </c>
    </row>
    <row r="132" spans="1:35" ht="18.75" x14ac:dyDescent="0.25">
      <c r="A132" s="43" t="s">
        <v>23</v>
      </c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8"/>
      <c r="AG132" s="4">
        <f t="shared" si="19"/>
        <v>0</v>
      </c>
    </row>
    <row r="133" spans="1:35" ht="18.75" x14ac:dyDescent="0.25">
      <c r="A133" s="43" t="s">
        <v>24</v>
      </c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8"/>
      <c r="AG133" s="4">
        <f t="shared" si="19"/>
        <v>0</v>
      </c>
    </row>
    <row r="134" spans="1:35" ht="18.75" x14ac:dyDescent="0.25">
      <c r="A134" s="43" t="s">
        <v>25</v>
      </c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8"/>
      <c r="AG134" s="4">
        <f t="shared" ref="AG134:AG147" si="21">SUM(B134:AF134)</f>
        <v>0</v>
      </c>
    </row>
    <row r="135" spans="1:35" ht="18.75" x14ac:dyDescent="0.25">
      <c r="A135" s="43" t="s">
        <v>26</v>
      </c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8"/>
      <c r="AG135" s="4">
        <f t="shared" si="21"/>
        <v>0</v>
      </c>
    </row>
    <row r="136" spans="1:35" ht="18.75" x14ac:dyDescent="0.25">
      <c r="A136" s="43" t="s">
        <v>27</v>
      </c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8"/>
      <c r="AG136" s="4">
        <f t="shared" si="21"/>
        <v>0</v>
      </c>
    </row>
    <row r="137" spans="1:35" ht="18.75" x14ac:dyDescent="0.25">
      <c r="A137" s="43" t="s">
        <v>28</v>
      </c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8"/>
      <c r="AG137" s="4">
        <f t="shared" si="21"/>
        <v>0</v>
      </c>
    </row>
    <row r="138" spans="1:35" ht="18.75" x14ac:dyDescent="0.25">
      <c r="A138" s="43" t="s">
        <v>29</v>
      </c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8"/>
      <c r="AG138" s="4">
        <f t="shared" si="21"/>
        <v>0</v>
      </c>
    </row>
    <row r="139" spans="1:35" ht="18.75" x14ac:dyDescent="0.25">
      <c r="A139" s="41" t="s">
        <v>30</v>
      </c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8"/>
      <c r="AG139" s="4">
        <f t="shared" si="21"/>
        <v>0</v>
      </c>
    </row>
    <row r="140" spans="1:35" ht="18.75" x14ac:dyDescent="0.25">
      <c r="A140" s="41" t="s">
        <v>31</v>
      </c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8"/>
      <c r="AG140" s="4">
        <f t="shared" si="21"/>
        <v>0</v>
      </c>
    </row>
    <row r="141" spans="1:35" ht="18.75" x14ac:dyDescent="0.25">
      <c r="A141" s="41" t="s">
        <v>32</v>
      </c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8"/>
      <c r="AG141" s="4">
        <f t="shared" si="21"/>
        <v>0</v>
      </c>
    </row>
    <row r="142" spans="1:35" ht="18.75" x14ac:dyDescent="0.25">
      <c r="A142" s="43" t="s">
        <v>60</v>
      </c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8"/>
      <c r="AG142" s="4">
        <f t="shared" si="21"/>
        <v>0</v>
      </c>
    </row>
    <row r="143" spans="1:35" ht="19.5" thickBot="1" x14ac:dyDescent="0.3">
      <c r="A143" s="75" t="s">
        <v>86</v>
      </c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4"/>
      <c r="AG143" s="108">
        <f t="shared" si="21"/>
        <v>0</v>
      </c>
    </row>
    <row r="144" spans="1:35" ht="19.5" thickBot="1" x14ac:dyDescent="0.3">
      <c r="A144" s="164" t="s">
        <v>89</v>
      </c>
      <c r="B144" s="165">
        <f t="shared" ref="B144:AD144" si="22">+B146+B156+B158+B167</f>
        <v>0</v>
      </c>
      <c r="C144" s="165">
        <f t="shared" si="22"/>
        <v>0</v>
      </c>
      <c r="D144" s="165">
        <f t="shared" si="22"/>
        <v>0</v>
      </c>
      <c r="E144" s="165">
        <f t="shared" si="22"/>
        <v>0</v>
      </c>
      <c r="F144" s="165">
        <f t="shared" si="22"/>
        <v>0</v>
      </c>
      <c r="G144" s="165">
        <f t="shared" si="22"/>
        <v>0</v>
      </c>
      <c r="H144" s="165">
        <f t="shared" si="22"/>
        <v>0</v>
      </c>
      <c r="I144" s="165">
        <f t="shared" si="22"/>
        <v>0</v>
      </c>
      <c r="J144" s="165">
        <f t="shared" si="22"/>
        <v>0</v>
      </c>
      <c r="K144" s="165">
        <f t="shared" si="22"/>
        <v>0</v>
      </c>
      <c r="L144" s="165">
        <f t="shared" si="22"/>
        <v>0</v>
      </c>
      <c r="M144" s="165">
        <f t="shared" si="22"/>
        <v>0</v>
      </c>
      <c r="N144" s="165">
        <f t="shared" si="22"/>
        <v>0</v>
      </c>
      <c r="O144" s="165">
        <f t="shared" si="22"/>
        <v>0</v>
      </c>
      <c r="P144" s="165">
        <f t="shared" si="22"/>
        <v>0</v>
      </c>
      <c r="Q144" s="165">
        <f t="shared" si="22"/>
        <v>0</v>
      </c>
      <c r="R144" s="165">
        <f t="shared" si="22"/>
        <v>0</v>
      </c>
      <c r="S144" s="165">
        <f t="shared" si="22"/>
        <v>0</v>
      </c>
      <c r="T144" s="165">
        <f t="shared" si="22"/>
        <v>0</v>
      </c>
      <c r="U144" s="165">
        <f t="shared" si="22"/>
        <v>0</v>
      </c>
      <c r="V144" s="165">
        <f t="shared" si="22"/>
        <v>0</v>
      </c>
      <c r="W144" s="165">
        <f t="shared" si="22"/>
        <v>0</v>
      </c>
      <c r="X144" s="165">
        <f t="shared" si="22"/>
        <v>0</v>
      </c>
      <c r="Y144" s="165">
        <f t="shared" si="22"/>
        <v>0</v>
      </c>
      <c r="Z144" s="165">
        <f t="shared" si="22"/>
        <v>0</v>
      </c>
      <c r="AA144" s="165">
        <f t="shared" si="22"/>
        <v>0</v>
      </c>
      <c r="AB144" s="165">
        <f t="shared" si="22"/>
        <v>0</v>
      </c>
      <c r="AC144" s="165">
        <f t="shared" si="22"/>
        <v>0</v>
      </c>
      <c r="AD144" s="165">
        <f t="shared" si="22"/>
        <v>0</v>
      </c>
      <c r="AE144" s="165">
        <f>+AE146+AE156+AE158+AE167</f>
        <v>0</v>
      </c>
      <c r="AF144" s="165">
        <f t="shared" ref="AF144" si="23">+AF146+AF156+AF158+AF167</f>
        <v>0</v>
      </c>
      <c r="AG144" s="116">
        <f t="shared" si="21"/>
        <v>0</v>
      </c>
      <c r="AH144" s="38" t="str">
        <f>IF(AG144&lt;&gt;AG93,"*","")</f>
        <v/>
      </c>
      <c r="AI144" t="s">
        <v>140</v>
      </c>
    </row>
    <row r="145" spans="1:34" ht="19.5" thickBot="1" x14ac:dyDescent="0.3">
      <c r="A145" s="160" t="s">
        <v>98</v>
      </c>
      <c r="B145" s="161">
        <f t="shared" ref="B145:AD145" si="24">+B149+B155+B157+B172</f>
        <v>0</v>
      </c>
      <c r="C145" s="161">
        <f t="shared" si="24"/>
        <v>0</v>
      </c>
      <c r="D145" s="161">
        <f t="shared" si="24"/>
        <v>0</v>
      </c>
      <c r="E145" s="161">
        <f t="shared" si="24"/>
        <v>0</v>
      </c>
      <c r="F145" s="161">
        <f t="shared" si="24"/>
        <v>0</v>
      </c>
      <c r="G145" s="161">
        <f t="shared" si="24"/>
        <v>0</v>
      </c>
      <c r="H145" s="161">
        <f t="shared" si="24"/>
        <v>0</v>
      </c>
      <c r="I145" s="161">
        <f t="shared" si="24"/>
        <v>0</v>
      </c>
      <c r="J145" s="161">
        <f t="shared" si="24"/>
        <v>0</v>
      </c>
      <c r="K145" s="161">
        <f t="shared" si="24"/>
        <v>0</v>
      </c>
      <c r="L145" s="161">
        <f t="shared" si="24"/>
        <v>0</v>
      </c>
      <c r="M145" s="161">
        <f t="shared" si="24"/>
        <v>0</v>
      </c>
      <c r="N145" s="161">
        <f t="shared" si="24"/>
        <v>0</v>
      </c>
      <c r="O145" s="161">
        <f t="shared" si="24"/>
        <v>0</v>
      </c>
      <c r="P145" s="161">
        <f t="shared" si="24"/>
        <v>0</v>
      </c>
      <c r="Q145" s="161">
        <f t="shared" si="24"/>
        <v>0</v>
      </c>
      <c r="R145" s="161">
        <f t="shared" si="24"/>
        <v>0</v>
      </c>
      <c r="S145" s="161">
        <f t="shared" si="24"/>
        <v>0</v>
      </c>
      <c r="T145" s="161">
        <f t="shared" si="24"/>
        <v>0</v>
      </c>
      <c r="U145" s="161">
        <f t="shared" si="24"/>
        <v>0</v>
      </c>
      <c r="V145" s="161">
        <f t="shared" si="24"/>
        <v>0</v>
      </c>
      <c r="W145" s="161">
        <f t="shared" si="24"/>
        <v>0</v>
      </c>
      <c r="X145" s="161">
        <f t="shared" si="24"/>
        <v>0</v>
      </c>
      <c r="Y145" s="161">
        <f t="shared" si="24"/>
        <v>0</v>
      </c>
      <c r="Z145" s="161">
        <f t="shared" si="24"/>
        <v>0</v>
      </c>
      <c r="AA145" s="161">
        <f t="shared" si="24"/>
        <v>0</v>
      </c>
      <c r="AB145" s="161">
        <f t="shared" si="24"/>
        <v>0</v>
      </c>
      <c r="AC145" s="161">
        <f t="shared" si="24"/>
        <v>0</v>
      </c>
      <c r="AD145" s="161">
        <f t="shared" si="24"/>
        <v>0</v>
      </c>
      <c r="AE145" s="161">
        <f>+AE149+AE155+AE157+AE172</f>
        <v>0</v>
      </c>
      <c r="AF145" s="162">
        <f t="shared" ref="AF145" si="25">+AF149+AF155+AF157+AF172</f>
        <v>0</v>
      </c>
      <c r="AG145" s="163">
        <f t="shared" si="21"/>
        <v>0</v>
      </c>
      <c r="AH145" s="1"/>
    </row>
    <row r="146" spans="1:34" ht="19.5" thickBot="1" x14ac:dyDescent="0.3">
      <c r="A146" s="117" t="s">
        <v>69</v>
      </c>
      <c r="B146" s="118">
        <f t="shared" ref="B146:AG147" si="26">+B148+B154</f>
        <v>0</v>
      </c>
      <c r="C146" s="118">
        <f t="shared" si="26"/>
        <v>0</v>
      </c>
      <c r="D146" s="118">
        <f t="shared" si="26"/>
        <v>0</v>
      </c>
      <c r="E146" s="118">
        <f t="shared" si="26"/>
        <v>0</v>
      </c>
      <c r="F146" s="118">
        <f t="shared" si="26"/>
        <v>0</v>
      </c>
      <c r="G146" s="118">
        <f t="shared" si="26"/>
        <v>0</v>
      </c>
      <c r="H146" s="118">
        <f t="shared" si="26"/>
        <v>0</v>
      </c>
      <c r="I146" s="118">
        <f t="shared" si="26"/>
        <v>0</v>
      </c>
      <c r="J146" s="118">
        <f t="shared" si="26"/>
        <v>0</v>
      </c>
      <c r="K146" s="118">
        <f t="shared" si="26"/>
        <v>0</v>
      </c>
      <c r="L146" s="118">
        <f t="shared" si="26"/>
        <v>0</v>
      </c>
      <c r="M146" s="118">
        <f t="shared" si="26"/>
        <v>0</v>
      </c>
      <c r="N146" s="118">
        <f t="shared" si="26"/>
        <v>0</v>
      </c>
      <c r="O146" s="118">
        <f t="shared" si="26"/>
        <v>0</v>
      </c>
      <c r="P146" s="118">
        <f t="shared" si="26"/>
        <v>0</v>
      </c>
      <c r="Q146" s="118">
        <f t="shared" si="26"/>
        <v>0</v>
      </c>
      <c r="R146" s="118">
        <f t="shared" si="26"/>
        <v>0</v>
      </c>
      <c r="S146" s="118">
        <f t="shared" si="26"/>
        <v>0</v>
      </c>
      <c r="T146" s="118">
        <f t="shared" si="26"/>
        <v>0</v>
      </c>
      <c r="U146" s="118">
        <f t="shared" si="26"/>
        <v>0</v>
      </c>
      <c r="V146" s="118">
        <f t="shared" si="26"/>
        <v>0</v>
      </c>
      <c r="W146" s="118">
        <f t="shared" si="26"/>
        <v>0</v>
      </c>
      <c r="X146" s="118">
        <f t="shared" si="26"/>
        <v>0</v>
      </c>
      <c r="Y146" s="118">
        <f t="shared" si="26"/>
        <v>0</v>
      </c>
      <c r="Z146" s="118">
        <f t="shared" si="26"/>
        <v>0</v>
      </c>
      <c r="AA146" s="118">
        <f t="shared" si="26"/>
        <v>0</v>
      </c>
      <c r="AB146" s="118">
        <f t="shared" si="26"/>
        <v>0</v>
      </c>
      <c r="AC146" s="118">
        <f t="shared" si="26"/>
        <v>0</v>
      </c>
      <c r="AD146" s="118">
        <f t="shared" si="26"/>
        <v>0</v>
      </c>
      <c r="AE146" s="118">
        <f t="shared" si="26"/>
        <v>0</v>
      </c>
      <c r="AF146" s="119">
        <f t="shared" si="26"/>
        <v>0</v>
      </c>
      <c r="AG146" s="120">
        <f t="shared" si="26"/>
        <v>0</v>
      </c>
    </row>
    <row r="147" spans="1:34" ht="19.5" thickBot="1" x14ac:dyDescent="0.3">
      <c r="A147" s="153" t="s">
        <v>130</v>
      </c>
      <c r="B147" s="154">
        <f t="shared" si="26"/>
        <v>0</v>
      </c>
      <c r="C147" s="154">
        <f t="shared" si="26"/>
        <v>0</v>
      </c>
      <c r="D147" s="154">
        <f t="shared" si="26"/>
        <v>0</v>
      </c>
      <c r="E147" s="154">
        <f t="shared" si="26"/>
        <v>0</v>
      </c>
      <c r="F147" s="154">
        <f t="shared" si="26"/>
        <v>0</v>
      </c>
      <c r="G147" s="154">
        <f t="shared" si="26"/>
        <v>0</v>
      </c>
      <c r="H147" s="154">
        <f t="shared" si="26"/>
        <v>0</v>
      </c>
      <c r="I147" s="154">
        <f t="shared" si="26"/>
        <v>0</v>
      </c>
      <c r="J147" s="154">
        <f t="shared" si="26"/>
        <v>0</v>
      </c>
      <c r="K147" s="154">
        <f t="shared" si="26"/>
        <v>0</v>
      </c>
      <c r="L147" s="154">
        <f t="shared" si="26"/>
        <v>0</v>
      </c>
      <c r="M147" s="154">
        <f t="shared" si="26"/>
        <v>0</v>
      </c>
      <c r="N147" s="154">
        <f t="shared" si="26"/>
        <v>0</v>
      </c>
      <c r="O147" s="154">
        <f t="shared" si="26"/>
        <v>0</v>
      </c>
      <c r="P147" s="154">
        <f t="shared" si="26"/>
        <v>0</v>
      </c>
      <c r="Q147" s="154">
        <f t="shared" si="26"/>
        <v>0</v>
      </c>
      <c r="R147" s="154">
        <f t="shared" si="26"/>
        <v>0</v>
      </c>
      <c r="S147" s="154">
        <f t="shared" si="26"/>
        <v>0</v>
      </c>
      <c r="T147" s="154">
        <f t="shared" si="26"/>
        <v>0</v>
      </c>
      <c r="U147" s="154">
        <f t="shared" si="26"/>
        <v>0</v>
      </c>
      <c r="V147" s="154">
        <f t="shared" si="26"/>
        <v>0</v>
      </c>
      <c r="W147" s="154">
        <f t="shared" si="26"/>
        <v>0</v>
      </c>
      <c r="X147" s="154">
        <f t="shared" si="26"/>
        <v>0</v>
      </c>
      <c r="Y147" s="154">
        <f t="shared" si="26"/>
        <v>0</v>
      </c>
      <c r="Z147" s="154">
        <f t="shared" si="26"/>
        <v>0</v>
      </c>
      <c r="AA147" s="154">
        <f t="shared" si="26"/>
        <v>0</v>
      </c>
      <c r="AB147" s="154">
        <f>+AB149+AB155</f>
        <v>0</v>
      </c>
      <c r="AC147" s="154">
        <f t="shared" si="26"/>
        <v>0</v>
      </c>
      <c r="AD147" s="154">
        <f t="shared" si="26"/>
        <v>0</v>
      </c>
      <c r="AE147" s="154">
        <f t="shared" si="26"/>
        <v>0</v>
      </c>
      <c r="AF147" s="155"/>
      <c r="AG147" s="156">
        <f t="shared" si="21"/>
        <v>0</v>
      </c>
    </row>
    <row r="148" spans="1:34" ht="19.5" thickBot="1" x14ac:dyDescent="0.3">
      <c r="A148" s="125" t="s">
        <v>68</v>
      </c>
      <c r="B148" s="126">
        <f>SUM(B150:B153)</f>
        <v>0</v>
      </c>
      <c r="C148" s="126">
        <f t="shared" ref="C148:AF148" si="27">SUM(C150:C153)</f>
        <v>0</v>
      </c>
      <c r="D148" s="126">
        <f t="shared" si="27"/>
        <v>0</v>
      </c>
      <c r="E148" s="126">
        <f t="shared" si="27"/>
        <v>0</v>
      </c>
      <c r="F148" s="126">
        <f t="shared" si="27"/>
        <v>0</v>
      </c>
      <c r="G148" s="126">
        <f t="shared" si="27"/>
        <v>0</v>
      </c>
      <c r="H148" s="126">
        <f t="shared" si="27"/>
        <v>0</v>
      </c>
      <c r="I148" s="126">
        <f t="shared" si="27"/>
        <v>0</v>
      </c>
      <c r="J148" s="126">
        <f t="shared" si="27"/>
        <v>0</v>
      </c>
      <c r="K148" s="126">
        <f t="shared" si="27"/>
        <v>0</v>
      </c>
      <c r="L148" s="126">
        <f t="shared" si="27"/>
        <v>0</v>
      </c>
      <c r="M148" s="126">
        <f t="shared" si="27"/>
        <v>0</v>
      </c>
      <c r="N148" s="126">
        <f t="shared" si="27"/>
        <v>0</v>
      </c>
      <c r="O148" s="126">
        <f t="shared" si="27"/>
        <v>0</v>
      </c>
      <c r="P148" s="126">
        <f t="shared" si="27"/>
        <v>0</v>
      </c>
      <c r="Q148" s="126">
        <f t="shared" si="27"/>
        <v>0</v>
      </c>
      <c r="R148" s="126">
        <f t="shared" si="27"/>
        <v>0</v>
      </c>
      <c r="S148" s="126">
        <f t="shared" si="27"/>
        <v>0</v>
      </c>
      <c r="T148" s="126">
        <f t="shared" si="27"/>
        <v>0</v>
      </c>
      <c r="U148" s="126">
        <f t="shared" si="27"/>
        <v>0</v>
      </c>
      <c r="V148" s="126">
        <f t="shared" si="27"/>
        <v>0</v>
      </c>
      <c r="W148" s="126">
        <f t="shared" si="27"/>
        <v>0</v>
      </c>
      <c r="X148" s="126">
        <f t="shared" si="27"/>
        <v>0</v>
      </c>
      <c r="Y148" s="126">
        <f t="shared" si="27"/>
        <v>0</v>
      </c>
      <c r="Z148" s="126">
        <f t="shared" si="27"/>
        <v>0</v>
      </c>
      <c r="AA148" s="126">
        <f t="shared" si="27"/>
        <v>0</v>
      </c>
      <c r="AB148" s="126">
        <f t="shared" si="27"/>
        <v>0</v>
      </c>
      <c r="AC148" s="126">
        <f t="shared" si="27"/>
        <v>0</v>
      </c>
      <c r="AD148" s="126">
        <f t="shared" si="27"/>
        <v>0</v>
      </c>
      <c r="AE148" s="126">
        <f t="shared" si="27"/>
        <v>0</v>
      </c>
      <c r="AF148" s="127">
        <f t="shared" si="27"/>
        <v>0</v>
      </c>
      <c r="AG148" s="128">
        <f t="shared" ref="AG148:AG234" si="28">SUM(B148:AF148)</f>
        <v>0</v>
      </c>
    </row>
    <row r="149" spans="1:34" ht="19.5" thickBot="1" x14ac:dyDescent="0.3">
      <c r="A149" s="153" t="s">
        <v>131</v>
      </c>
      <c r="B149" s="154"/>
      <c r="C149" s="154"/>
      <c r="D149" s="154"/>
      <c r="E149" s="154"/>
      <c r="F149" s="154"/>
      <c r="G149" s="154"/>
      <c r="H149" s="154"/>
      <c r="I149" s="154"/>
      <c r="J149" s="154"/>
      <c r="K149" s="154"/>
      <c r="L149" s="154"/>
      <c r="M149" s="154"/>
      <c r="N149" s="154"/>
      <c r="O149" s="154"/>
      <c r="P149" s="154"/>
      <c r="Q149" s="154"/>
      <c r="R149" s="154"/>
      <c r="S149" s="154"/>
      <c r="T149" s="154"/>
      <c r="U149" s="154"/>
      <c r="V149" s="154"/>
      <c r="W149" s="154"/>
      <c r="X149" s="154"/>
      <c r="Y149" s="154"/>
      <c r="Z149" s="154"/>
      <c r="AA149" s="154"/>
      <c r="AB149" s="154"/>
      <c r="AC149" s="154"/>
      <c r="AD149" s="154"/>
      <c r="AE149" s="154"/>
      <c r="AF149" s="155"/>
      <c r="AG149" s="156">
        <f t="shared" si="28"/>
        <v>0</v>
      </c>
    </row>
    <row r="150" spans="1:34" ht="18.75" x14ac:dyDescent="0.25">
      <c r="A150" s="129" t="s">
        <v>100</v>
      </c>
      <c r="B150" s="130"/>
      <c r="C150" s="130"/>
      <c r="D150" s="130"/>
      <c r="E150" s="130"/>
      <c r="F150" s="130"/>
      <c r="G150" s="130"/>
      <c r="H150" s="130"/>
      <c r="I150" s="130"/>
      <c r="J150" s="130"/>
      <c r="K150" s="130"/>
      <c r="L150" s="130"/>
      <c r="M150" s="130"/>
      <c r="N150" s="130"/>
      <c r="O150" s="130"/>
      <c r="P150" s="130"/>
      <c r="Q150" s="130"/>
      <c r="R150" s="130"/>
      <c r="S150" s="130"/>
      <c r="T150" s="130"/>
      <c r="U150" s="130"/>
      <c r="V150" s="130"/>
      <c r="W150" s="130"/>
      <c r="X150" s="130"/>
      <c r="Y150" s="130"/>
      <c r="Z150" s="130"/>
      <c r="AA150" s="130"/>
      <c r="AB150" s="130"/>
      <c r="AC150" s="130"/>
      <c r="AD150" s="130"/>
      <c r="AE150" s="130"/>
      <c r="AF150" s="131"/>
      <c r="AG150" s="132">
        <f t="shared" si="28"/>
        <v>0</v>
      </c>
    </row>
    <row r="151" spans="1:34" ht="18.75" x14ac:dyDescent="0.25">
      <c r="A151" s="50" t="s">
        <v>101</v>
      </c>
      <c r="B151" s="29"/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  <c r="AA151" s="29"/>
      <c r="AB151" s="29"/>
      <c r="AC151" s="29"/>
      <c r="AD151" s="29"/>
      <c r="AE151" s="29"/>
      <c r="AF151" s="21"/>
      <c r="AG151" s="4">
        <f t="shared" si="28"/>
        <v>0</v>
      </c>
    </row>
    <row r="152" spans="1:34" ht="18.75" x14ac:dyDescent="0.25">
      <c r="A152" s="50" t="s">
        <v>102</v>
      </c>
      <c r="B152" s="29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  <c r="AA152" s="29"/>
      <c r="AB152" s="29"/>
      <c r="AC152" s="29"/>
      <c r="AD152" s="29"/>
      <c r="AE152" s="29"/>
      <c r="AF152" s="21"/>
      <c r="AG152" s="4">
        <f t="shared" si="28"/>
        <v>0</v>
      </c>
    </row>
    <row r="153" spans="1:34" ht="19.5" thickBot="1" x14ac:dyDescent="0.3">
      <c r="A153" s="71" t="s">
        <v>103</v>
      </c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  <c r="AA153" s="30"/>
      <c r="AB153" s="30"/>
      <c r="AC153" s="30"/>
      <c r="AD153" s="30"/>
      <c r="AE153" s="30"/>
      <c r="AF153" s="22"/>
      <c r="AG153" s="28">
        <f t="shared" si="28"/>
        <v>0</v>
      </c>
    </row>
    <row r="154" spans="1:34" ht="19.5" thickBot="1" x14ac:dyDescent="0.3">
      <c r="A154" s="125" t="s">
        <v>67</v>
      </c>
      <c r="B154" s="126"/>
      <c r="C154" s="126"/>
      <c r="D154" s="126"/>
      <c r="E154" s="126"/>
      <c r="F154" s="126"/>
      <c r="G154" s="126"/>
      <c r="H154" s="126"/>
      <c r="I154" s="126"/>
      <c r="J154" s="126"/>
      <c r="K154" s="126"/>
      <c r="L154" s="126"/>
      <c r="M154" s="126"/>
      <c r="N154" s="126"/>
      <c r="O154" s="126"/>
      <c r="P154" s="126"/>
      <c r="Q154" s="126"/>
      <c r="R154" s="126"/>
      <c r="S154" s="126"/>
      <c r="T154" s="126"/>
      <c r="U154" s="126"/>
      <c r="V154" s="126"/>
      <c r="W154" s="126"/>
      <c r="X154" s="126"/>
      <c r="Y154" s="126"/>
      <c r="Z154" s="126"/>
      <c r="AA154" s="126"/>
      <c r="AB154" s="126"/>
      <c r="AC154" s="126"/>
      <c r="AD154" s="126"/>
      <c r="AE154" s="126"/>
      <c r="AF154" s="127"/>
      <c r="AG154" s="128">
        <f t="shared" si="28"/>
        <v>0</v>
      </c>
    </row>
    <row r="155" spans="1:34" ht="19.5" thickBot="1" x14ac:dyDescent="0.3">
      <c r="A155" s="153" t="s">
        <v>132</v>
      </c>
      <c r="B155" s="154"/>
      <c r="C155" s="154"/>
      <c r="D155" s="154"/>
      <c r="E155" s="154"/>
      <c r="F155" s="154"/>
      <c r="G155" s="154"/>
      <c r="H155" s="154"/>
      <c r="I155" s="154"/>
      <c r="J155" s="154"/>
      <c r="K155" s="154"/>
      <c r="L155" s="154"/>
      <c r="M155" s="154"/>
      <c r="N155" s="154"/>
      <c r="O155" s="154"/>
      <c r="P155" s="154"/>
      <c r="Q155" s="154"/>
      <c r="R155" s="154"/>
      <c r="S155" s="154"/>
      <c r="T155" s="154"/>
      <c r="U155" s="154"/>
      <c r="V155" s="154"/>
      <c r="W155" s="154"/>
      <c r="X155" s="154"/>
      <c r="Y155" s="154"/>
      <c r="Z155" s="154"/>
      <c r="AA155" s="154"/>
      <c r="AB155" s="154"/>
      <c r="AC155" s="154"/>
      <c r="AD155" s="154"/>
      <c r="AE155" s="154"/>
      <c r="AF155" s="155"/>
      <c r="AG155" s="156">
        <f t="shared" si="28"/>
        <v>0</v>
      </c>
    </row>
    <row r="156" spans="1:34" ht="18.75" x14ac:dyDescent="0.25">
      <c r="A156" s="69" t="s">
        <v>62</v>
      </c>
      <c r="B156" s="56"/>
      <c r="C156" s="56"/>
      <c r="D156" s="56"/>
      <c r="E156" s="56"/>
      <c r="F156" s="56"/>
      <c r="G156" s="56"/>
      <c r="H156" s="56"/>
      <c r="I156" s="56"/>
      <c r="J156" s="56"/>
      <c r="K156" s="56"/>
      <c r="L156" s="56"/>
      <c r="M156" s="56"/>
      <c r="N156" s="56"/>
      <c r="O156" s="56"/>
      <c r="P156" s="56"/>
      <c r="Q156" s="56"/>
      <c r="R156" s="56"/>
      <c r="S156" s="56"/>
      <c r="T156" s="56"/>
      <c r="U156" s="56"/>
      <c r="V156" s="56"/>
      <c r="W156" s="56"/>
      <c r="X156" s="56"/>
      <c r="Y156" s="56"/>
      <c r="Z156" s="56"/>
      <c r="AA156" s="56"/>
      <c r="AB156" s="56"/>
      <c r="AC156" s="56"/>
      <c r="AD156" s="56"/>
      <c r="AE156" s="56"/>
      <c r="AF156" s="85"/>
      <c r="AG156" s="95">
        <f t="shared" si="28"/>
        <v>0</v>
      </c>
      <c r="AH156" s="2" t="s">
        <v>84</v>
      </c>
    </row>
    <row r="157" spans="1:34" ht="19.5" thickBot="1" x14ac:dyDescent="0.3">
      <c r="A157" s="75" t="s">
        <v>1</v>
      </c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4"/>
      <c r="AG157" s="157">
        <f t="shared" si="28"/>
        <v>0</v>
      </c>
      <c r="AH157" s="2"/>
    </row>
    <row r="158" spans="1:34" ht="19.5" thickBot="1" x14ac:dyDescent="0.3">
      <c r="A158" s="121" t="s">
        <v>22</v>
      </c>
      <c r="B158" s="122">
        <f t="shared" ref="B158:AF158" si="29">SUM(B159:B166)</f>
        <v>0</v>
      </c>
      <c r="C158" s="122">
        <f t="shared" si="29"/>
        <v>0</v>
      </c>
      <c r="D158" s="122">
        <f t="shared" si="29"/>
        <v>0</v>
      </c>
      <c r="E158" s="122">
        <f t="shared" si="29"/>
        <v>0</v>
      </c>
      <c r="F158" s="122">
        <f t="shared" si="29"/>
        <v>0</v>
      </c>
      <c r="G158" s="122">
        <f t="shared" si="29"/>
        <v>0</v>
      </c>
      <c r="H158" s="122">
        <f t="shared" si="29"/>
        <v>0</v>
      </c>
      <c r="I158" s="122">
        <f t="shared" si="29"/>
        <v>0</v>
      </c>
      <c r="J158" s="122">
        <f t="shared" si="29"/>
        <v>0</v>
      </c>
      <c r="K158" s="122">
        <f t="shared" si="29"/>
        <v>0</v>
      </c>
      <c r="L158" s="122">
        <f t="shared" si="29"/>
        <v>0</v>
      </c>
      <c r="M158" s="122">
        <f t="shared" si="29"/>
        <v>0</v>
      </c>
      <c r="N158" s="122">
        <f t="shared" si="29"/>
        <v>0</v>
      </c>
      <c r="O158" s="122">
        <f t="shared" si="29"/>
        <v>0</v>
      </c>
      <c r="P158" s="122">
        <f t="shared" si="29"/>
        <v>0</v>
      </c>
      <c r="Q158" s="122">
        <f t="shared" si="29"/>
        <v>0</v>
      </c>
      <c r="R158" s="122">
        <f t="shared" si="29"/>
        <v>0</v>
      </c>
      <c r="S158" s="122">
        <f t="shared" si="29"/>
        <v>0</v>
      </c>
      <c r="T158" s="122">
        <f t="shared" si="29"/>
        <v>0</v>
      </c>
      <c r="U158" s="122">
        <f t="shared" si="29"/>
        <v>0</v>
      </c>
      <c r="V158" s="122">
        <f t="shared" si="29"/>
        <v>0</v>
      </c>
      <c r="W158" s="122">
        <f t="shared" si="29"/>
        <v>0</v>
      </c>
      <c r="X158" s="122">
        <f t="shared" si="29"/>
        <v>0</v>
      </c>
      <c r="Y158" s="122">
        <f t="shared" si="29"/>
        <v>0</v>
      </c>
      <c r="Z158" s="122">
        <f t="shared" si="29"/>
        <v>0</v>
      </c>
      <c r="AA158" s="122">
        <f t="shared" si="29"/>
        <v>0</v>
      </c>
      <c r="AB158" s="122">
        <f t="shared" si="29"/>
        <v>0</v>
      </c>
      <c r="AC158" s="122">
        <f t="shared" si="29"/>
        <v>0</v>
      </c>
      <c r="AD158" s="122">
        <f t="shared" si="29"/>
        <v>0</v>
      </c>
      <c r="AE158" s="122">
        <f t="shared" si="29"/>
        <v>0</v>
      </c>
      <c r="AF158" s="123">
        <f t="shared" si="29"/>
        <v>0</v>
      </c>
      <c r="AG158" s="124">
        <f t="shared" si="28"/>
        <v>0</v>
      </c>
    </row>
    <row r="159" spans="1:34" ht="18.75" x14ac:dyDescent="0.25">
      <c r="A159" s="129" t="s">
        <v>23</v>
      </c>
      <c r="B159" s="130"/>
      <c r="C159" s="130"/>
      <c r="D159" s="130"/>
      <c r="E159" s="130"/>
      <c r="F159" s="130"/>
      <c r="G159" s="130"/>
      <c r="H159" s="130"/>
      <c r="I159" s="130"/>
      <c r="J159" s="130"/>
      <c r="K159" s="130"/>
      <c r="L159" s="130"/>
      <c r="M159" s="130"/>
      <c r="N159" s="130"/>
      <c r="O159" s="130"/>
      <c r="P159" s="130"/>
      <c r="Q159" s="130"/>
      <c r="R159" s="130"/>
      <c r="S159" s="130"/>
      <c r="T159" s="130"/>
      <c r="U159" s="130"/>
      <c r="V159" s="130"/>
      <c r="W159" s="130"/>
      <c r="X159" s="130"/>
      <c r="Y159" s="130"/>
      <c r="Z159" s="130"/>
      <c r="AA159" s="130"/>
      <c r="AB159" s="130"/>
      <c r="AC159" s="130"/>
      <c r="AD159" s="130"/>
      <c r="AE159" s="130"/>
      <c r="AF159" s="131"/>
      <c r="AG159" s="132">
        <f t="shared" si="28"/>
        <v>0</v>
      </c>
    </row>
    <row r="160" spans="1:34" ht="18.75" x14ac:dyDescent="0.25">
      <c r="A160" s="50" t="s">
        <v>24</v>
      </c>
      <c r="B160" s="29"/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  <c r="AA160" s="29"/>
      <c r="AB160" s="29"/>
      <c r="AC160" s="29"/>
      <c r="AD160" s="29"/>
      <c r="AE160" s="29"/>
      <c r="AF160" s="21"/>
      <c r="AG160" s="4">
        <f t="shared" si="28"/>
        <v>0</v>
      </c>
    </row>
    <row r="161" spans="1:34" ht="18.75" x14ac:dyDescent="0.25">
      <c r="A161" s="50" t="s">
        <v>59</v>
      </c>
      <c r="B161" s="29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  <c r="AA161" s="29"/>
      <c r="AB161" s="29"/>
      <c r="AC161" s="29"/>
      <c r="AD161" s="29"/>
      <c r="AE161" s="29"/>
      <c r="AF161" s="21"/>
      <c r="AG161" s="4">
        <f t="shared" si="28"/>
        <v>0</v>
      </c>
    </row>
    <row r="162" spans="1:34" ht="18.75" x14ac:dyDescent="0.25">
      <c r="A162" s="50" t="s">
        <v>25</v>
      </c>
      <c r="B162" s="29"/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  <c r="AF162" s="21"/>
      <c r="AG162" s="4">
        <f t="shared" si="28"/>
        <v>0</v>
      </c>
    </row>
    <row r="163" spans="1:34" ht="18.75" x14ac:dyDescent="0.25">
      <c r="A163" s="50" t="s">
        <v>26</v>
      </c>
      <c r="B163" s="29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  <c r="AA163" s="29"/>
      <c r="AB163" s="29"/>
      <c r="AC163" s="29"/>
      <c r="AD163" s="29"/>
      <c r="AE163" s="29"/>
      <c r="AF163" s="21"/>
      <c r="AG163" s="4">
        <f t="shared" si="28"/>
        <v>0</v>
      </c>
    </row>
    <row r="164" spans="1:34" ht="18.75" x14ac:dyDescent="0.25">
      <c r="A164" s="50" t="s">
        <v>27</v>
      </c>
      <c r="B164" s="29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  <c r="AA164" s="29"/>
      <c r="AB164" s="29"/>
      <c r="AC164" s="29"/>
      <c r="AD164" s="29"/>
      <c r="AE164" s="29"/>
      <c r="AF164" s="21"/>
      <c r="AG164" s="4">
        <f t="shared" si="28"/>
        <v>0</v>
      </c>
    </row>
    <row r="165" spans="1:34" ht="18.75" x14ac:dyDescent="0.25">
      <c r="A165" s="50" t="s">
        <v>28</v>
      </c>
      <c r="B165" s="29"/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1"/>
      <c r="AG165" s="4">
        <f t="shared" si="28"/>
        <v>0</v>
      </c>
    </row>
    <row r="166" spans="1:34" ht="19.5" thickBot="1" x14ac:dyDescent="0.3">
      <c r="A166" s="71" t="s">
        <v>29</v>
      </c>
      <c r="B166" s="30"/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  <c r="AA166" s="30"/>
      <c r="AB166" s="30"/>
      <c r="AC166" s="30"/>
      <c r="AD166" s="30"/>
      <c r="AE166" s="30"/>
      <c r="AF166" s="22"/>
      <c r="AG166" s="28">
        <f t="shared" si="28"/>
        <v>0</v>
      </c>
    </row>
    <row r="167" spans="1:34" ht="18.75" x14ac:dyDescent="0.25">
      <c r="A167" s="69" t="s">
        <v>71</v>
      </c>
      <c r="B167" s="56">
        <f t="shared" ref="B167:AF167" si="30">SUM(B168:B171)</f>
        <v>0</v>
      </c>
      <c r="C167" s="56">
        <f t="shared" si="30"/>
        <v>0</v>
      </c>
      <c r="D167" s="56">
        <f t="shared" si="30"/>
        <v>0</v>
      </c>
      <c r="E167" s="56">
        <f t="shared" si="30"/>
        <v>0</v>
      </c>
      <c r="F167" s="56">
        <f t="shared" si="30"/>
        <v>0</v>
      </c>
      <c r="G167" s="56">
        <f t="shared" si="30"/>
        <v>0</v>
      </c>
      <c r="H167" s="56">
        <f t="shared" si="30"/>
        <v>0</v>
      </c>
      <c r="I167" s="56">
        <f t="shared" si="30"/>
        <v>0</v>
      </c>
      <c r="J167" s="56">
        <f t="shared" si="30"/>
        <v>0</v>
      </c>
      <c r="K167" s="56">
        <f t="shared" si="30"/>
        <v>0</v>
      </c>
      <c r="L167" s="56">
        <f t="shared" si="30"/>
        <v>0</v>
      </c>
      <c r="M167" s="56">
        <f t="shared" si="30"/>
        <v>0</v>
      </c>
      <c r="N167" s="56">
        <f t="shared" si="30"/>
        <v>0</v>
      </c>
      <c r="O167" s="56">
        <f t="shared" si="30"/>
        <v>0</v>
      </c>
      <c r="P167" s="56">
        <f t="shared" si="30"/>
        <v>0</v>
      </c>
      <c r="Q167" s="56">
        <f t="shared" si="30"/>
        <v>0</v>
      </c>
      <c r="R167" s="56">
        <f t="shared" si="30"/>
        <v>0</v>
      </c>
      <c r="S167" s="56">
        <f t="shared" si="30"/>
        <v>0</v>
      </c>
      <c r="T167" s="56">
        <f t="shared" si="30"/>
        <v>0</v>
      </c>
      <c r="U167" s="56">
        <f t="shared" si="30"/>
        <v>0</v>
      </c>
      <c r="V167" s="56">
        <f t="shared" si="30"/>
        <v>0</v>
      </c>
      <c r="W167" s="56">
        <f t="shared" si="30"/>
        <v>0</v>
      </c>
      <c r="X167" s="56">
        <f t="shared" si="30"/>
        <v>0</v>
      </c>
      <c r="Y167" s="56">
        <f t="shared" si="30"/>
        <v>0</v>
      </c>
      <c r="Z167" s="56">
        <f t="shared" si="30"/>
        <v>0</v>
      </c>
      <c r="AA167" s="56">
        <f t="shared" si="30"/>
        <v>0</v>
      </c>
      <c r="AB167" s="56">
        <f t="shared" si="30"/>
        <v>0</v>
      </c>
      <c r="AC167" s="56">
        <f t="shared" si="30"/>
        <v>0</v>
      </c>
      <c r="AD167" s="56">
        <f t="shared" si="30"/>
        <v>0</v>
      </c>
      <c r="AE167" s="56">
        <f t="shared" si="30"/>
        <v>0</v>
      </c>
      <c r="AF167" s="85">
        <f t="shared" si="30"/>
        <v>0</v>
      </c>
      <c r="AG167" s="95">
        <f t="shared" si="28"/>
        <v>0</v>
      </c>
    </row>
    <row r="168" spans="1:34" ht="18.75" x14ac:dyDescent="0.25">
      <c r="A168" s="51" t="s">
        <v>30</v>
      </c>
      <c r="B168" s="29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  <c r="AA168" s="29"/>
      <c r="AB168" s="29"/>
      <c r="AC168" s="29"/>
      <c r="AD168" s="29"/>
      <c r="AE168" s="29"/>
      <c r="AF168" s="21"/>
      <c r="AG168" s="4">
        <f t="shared" si="28"/>
        <v>0</v>
      </c>
    </row>
    <row r="169" spans="1:34" ht="18.75" x14ac:dyDescent="0.25">
      <c r="A169" s="51" t="s">
        <v>31</v>
      </c>
      <c r="B169" s="29"/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  <c r="AF169" s="21"/>
      <c r="AG169" s="4">
        <f t="shared" si="28"/>
        <v>0</v>
      </c>
    </row>
    <row r="170" spans="1:34" ht="18.75" x14ac:dyDescent="0.25">
      <c r="A170" s="51" t="s">
        <v>32</v>
      </c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1"/>
      <c r="AG170" s="4">
        <f t="shared" si="28"/>
        <v>0</v>
      </c>
    </row>
    <row r="171" spans="1:34" ht="19.5" thickBot="1" x14ac:dyDescent="0.3">
      <c r="A171" s="70" t="s">
        <v>87</v>
      </c>
      <c r="B171" s="30"/>
      <c r="C171" s="30"/>
      <c r="D171" s="30"/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  <c r="AA171" s="30"/>
      <c r="AB171" s="30"/>
      <c r="AC171" s="30"/>
      <c r="AD171" s="30"/>
      <c r="AE171" s="30"/>
      <c r="AF171" s="22"/>
      <c r="AG171" s="28">
        <f t="shared" si="28"/>
        <v>0</v>
      </c>
    </row>
    <row r="172" spans="1:34" ht="19.5" thickBot="1" x14ac:dyDescent="0.3">
      <c r="A172" s="158" t="s">
        <v>128</v>
      </c>
      <c r="B172" s="151"/>
      <c r="C172" s="151"/>
      <c r="D172" s="151"/>
      <c r="E172" s="151"/>
      <c r="F172" s="151"/>
      <c r="G172" s="151"/>
      <c r="H172" s="151"/>
      <c r="I172" s="151"/>
      <c r="J172" s="151"/>
      <c r="K172" s="151"/>
      <c r="L172" s="151"/>
      <c r="M172" s="151"/>
      <c r="N172" s="151"/>
      <c r="O172" s="151"/>
      <c r="P172" s="151"/>
      <c r="Q172" s="151"/>
      <c r="R172" s="151"/>
      <c r="S172" s="151"/>
      <c r="T172" s="151"/>
      <c r="U172" s="151"/>
      <c r="V172" s="151"/>
      <c r="W172" s="151"/>
      <c r="X172" s="151"/>
      <c r="Y172" s="151"/>
      <c r="Z172" s="151"/>
      <c r="AA172" s="151"/>
      <c r="AB172" s="151"/>
      <c r="AC172" s="151"/>
      <c r="AD172" s="151"/>
      <c r="AE172" s="151"/>
      <c r="AF172" s="152"/>
      <c r="AG172" s="159">
        <f t="shared" si="28"/>
        <v>0</v>
      </c>
    </row>
    <row r="173" spans="1:34" ht="18.75" x14ac:dyDescent="0.25">
      <c r="A173" s="68" t="s">
        <v>2</v>
      </c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23"/>
      <c r="AG173" s="5">
        <f t="shared" si="28"/>
        <v>0</v>
      </c>
      <c r="AH173" s="2" t="s">
        <v>137</v>
      </c>
    </row>
    <row r="174" spans="1:34" ht="19.5" thickBot="1" x14ac:dyDescent="0.3">
      <c r="A174" s="146" t="s">
        <v>3</v>
      </c>
      <c r="B174" s="16">
        <f>SUM(B175:B176)</f>
        <v>0</v>
      </c>
      <c r="C174" s="16">
        <f t="shared" ref="C174:AF174" si="31">SUM(C175:C176)</f>
        <v>0</v>
      </c>
      <c r="D174" s="16">
        <f t="shared" si="31"/>
        <v>0</v>
      </c>
      <c r="E174" s="16">
        <f t="shared" si="31"/>
        <v>0</v>
      </c>
      <c r="F174" s="16">
        <f t="shared" si="31"/>
        <v>0</v>
      </c>
      <c r="G174" s="16">
        <f t="shared" si="31"/>
        <v>0</v>
      </c>
      <c r="H174" s="16">
        <f t="shared" si="31"/>
        <v>0</v>
      </c>
      <c r="I174" s="16">
        <f t="shared" si="31"/>
        <v>0</v>
      </c>
      <c r="J174" s="16">
        <f t="shared" si="31"/>
        <v>0</v>
      </c>
      <c r="K174" s="16">
        <f t="shared" si="31"/>
        <v>0</v>
      </c>
      <c r="L174" s="16">
        <f t="shared" si="31"/>
        <v>0</v>
      </c>
      <c r="M174" s="16">
        <f t="shared" si="31"/>
        <v>0</v>
      </c>
      <c r="N174" s="16">
        <f t="shared" si="31"/>
        <v>0</v>
      </c>
      <c r="O174" s="16">
        <f t="shared" si="31"/>
        <v>0</v>
      </c>
      <c r="P174" s="16">
        <f t="shared" si="31"/>
        <v>0</v>
      </c>
      <c r="Q174" s="16">
        <f t="shared" si="31"/>
        <v>0</v>
      </c>
      <c r="R174" s="16">
        <f t="shared" si="31"/>
        <v>0</v>
      </c>
      <c r="S174" s="16">
        <f t="shared" si="31"/>
        <v>0</v>
      </c>
      <c r="T174" s="16">
        <f t="shared" si="31"/>
        <v>0</v>
      </c>
      <c r="U174" s="16">
        <f t="shared" si="31"/>
        <v>0</v>
      </c>
      <c r="V174" s="16">
        <f t="shared" si="31"/>
        <v>0</v>
      </c>
      <c r="W174" s="16">
        <f t="shared" si="31"/>
        <v>0</v>
      </c>
      <c r="X174" s="16">
        <f t="shared" si="31"/>
        <v>0</v>
      </c>
      <c r="Y174" s="16">
        <f t="shared" si="31"/>
        <v>0</v>
      </c>
      <c r="Z174" s="16">
        <f t="shared" si="31"/>
        <v>0</v>
      </c>
      <c r="AA174" s="16">
        <f t="shared" si="31"/>
        <v>0</v>
      </c>
      <c r="AB174" s="16">
        <f t="shared" si="31"/>
        <v>0</v>
      </c>
      <c r="AC174" s="16">
        <f t="shared" si="31"/>
        <v>0</v>
      </c>
      <c r="AD174" s="16">
        <f t="shared" si="31"/>
        <v>0</v>
      </c>
      <c r="AE174" s="16">
        <f t="shared" si="31"/>
        <v>0</v>
      </c>
      <c r="AF174" s="24">
        <f t="shared" si="31"/>
        <v>0</v>
      </c>
      <c r="AG174" s="6">
        <f t="shared" si="28"/>
        <v>0</v>
      </c>
      <c r="AH174" s="2" t="s">
        <v>138</v>
      </c>
    </row>
    <row r="175" spans="1:34" ht="18.75" x14ac:dyDescent="0.25">
      <c r="A175" s="133" t="s">
        <v>120</v>
      </c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23"/>
      <c r="AG175" s="5">
        <f t="shared" si="28"/>
        <v>0</v>
      </c>
      <c r="AH175" s="2" t="s">
        <v>138</v>
      </c>
    </row>
    <row r="176" spans="1:34" ht="19.5" thickBot="1" x14ac:dyDescent="0.3">
      <c r="A176" s="104" t="s">
        <v>119</v>
      </c>
      <c r="B176" s="101"/>
      <c r="C176" s="101"/>
      <c r="D176" s="101"/>
      <c r="E176" s="101"/>
      <c r="F176" s="101"/>
      <c r="G176" s="101"/>
      <c r="H176" s="101"/>
      <c r="I176" s="101"/>
      <c r="J176" s="101"/>
      <c r="K176" s="101"/>
      <c r="L176" s="101"/>
      <c r="M176" s="101"/>
      <c r="N176" s="101"/>
      <c r="O176" s="101"/>
      <c r="P176" s="101"/>
      <c r="Q176" s="101"/>
      <c r="R176" s="101"/>
      <c r="S176" s="101"/>
      <c r="T176" s="101"/>
      <c r="U176" s="101"/>
      <c r="V176" s="101"/>
      <c r="W176" s="101"/>
      <c r="X176" s="101"/>
      <c r="Y176" s="101"/>
      <c r="Z176" s="101"/>
      <c r="AA176" s="101"/>
      <c r="AB176" s="101"/>
      <c r="AC176" s="101"/>
      <c r="AD176" s="101"/>
      <c r="AE176" s="101"/>
      <c r="AF176" s="102"/>
      <c r="AG176" s="103">
        <f t="shared" si="28"/>
        <v>0</v>
      </c>
      <c r="AH176" s="2" t="s">
        <v>138</v>
      </c>
    </row>
    <row r="177" spans="1:34" ht="18.75" x14ac:dyDescent="0.25">
      <c r="A177" s="64" t="s">
        <v>105</v>
      </c>
      <c r="B177" s="65"/>
      <c r="C177" s="65"/>
      <c r="D177" s="65"/>
      <c r="E177" s="65"/>
      <c r="F177" s="65"/>
      <c r="G177" s="65"/>
      <c r="H177" s="65"/>
      <c r="I177" s="65"/>
      <c r="J177" s="65"/>
      <c r="K177" s="65"/>
      <c r="L177" s="65"/>
      <c r="M177" s="65"/>
      <c r="N177" s="65"/>
      <c r="O177" s="65"/>
      <c r="P177" s="65"/>
      <c r="Q177" s="65"/>
      <c r="R177" s="65"/>
      <c r="S177" s="65"/>
      <c r="T177" s="65"/>
      <c r="U177" s="65"/>
      <c r="V177" s="65"/>
      <c r="W177" s="65"/>
      <c r="X177" s="65"/>
      <c r="Y177" s="65"/>
      <c r="Z177" s="65"/>
      <c r="AA177" s="65"/>
      <c r="AB177" s="65"/>
      <c r="AC177" s="65"/>
      <c r="AD177" s="65"/>
      <c r="AE177" s="65"/>
      <c r="AF177" s="86"/>
      <c r="AG177" s="96">
        <f t="shared" si="28"/>
        <v>0</v>
      </c>
    </row>
    <row r="178" spans="1:34" ht="19.5" thickBot="1" x14ac:dyDescent="0.3">
      <c r="A178" s="66" t="s">
        <v>104</v>
      </c>
      <c r="B178" s="67"/>
      <c r="C178" s="67"/>
      <c r="D178" s="67"/>
      <c r="E178" s="67"/>
      <c r="F178" s="67"/>
      <c r="G178" s="67"/>
      <c r="H178" s="67"/>
      <c r="I178" s="67"/>
      <c r="J178" s="67"/>
      <c r="K178" s="67"/>
      <c r="L178" s="67"/>
      <c r="M178" s="67"/>
      <c r="N178" s="67"/>
      <c r="O178" s="67"/>
      <c r="P178" s="67"/>
      <c r="Q178" s="67"/>
      <c r="R178" s="67"/>
      <c r="S178" s="67"/>
      <c r="T178" s="67"/>
      <c r="U178" s="67"/>
      <c r="V178" s="67"/>
      <c r="W178" s="67"/>
      <c r="X178" s="67"/>
      <c r="Y178" s="67"/>
      <c r="Z178" s="67"/>
      <c r="AA178" s="67"/>
      <c r="AB178" s="67"/>
      <c r="AC178" s="67"/>
      <c r="AD178" s="67"/>
      <c r="AE178" s="67"/>
      <c r="AF178" s="87"/>
      <c r="AG178" s="32">
        <f t="shared" si="28"/>
        <v>0</v>
      </c>
    </row>
    <row r="179" spans="1:34" ht="19.5" thickBot="1" x14ac:dyDescent="0.3">
      <c r="A179" s="219" t="s">
        <v>149</v>
      </c>
      <c r="B179" s="220">
        <f t="shared" ref="B179:AF179" si="32">SUM(B180:B205)</f>
        <v>0</v>
      </c>
      <c r="C179" s="220">
        <f t="shared" si="32"/>
        <v>0</v>
      </c>
      <c r="D179" s="220">
        <f t="shared" si="32"/>
        <v>0</v>
      </c>
      <c r="E179" s="220">
        <f t="shared" si="32"/>
        <v>0</v>
      </c>
      <c r="F179" s="220">
        <f t="shared" si="32"/>
        <v>0</v>
      </c>
      <c r="G179" s="220">
        <f t="shared" si="32"/>
        <v>0</v>
      </c>
      <c r="H179" s="220">
        <f t="shared" si="32"/>
        <v>0</v>
      </c>
      <c r="I179" s="220">
        <f t="shared" si="32"/>
        <v>0</v>
      </c>
      <c r="J179" s="220">
        <f t="shared" si="32"/>
        <v>0</v>
      </c>
      <c r="K179" s="220">
        <f t="shared" si="32"/>
        <v>0</v>
      </c>
      <c r="L179" s="220">
        <f t="shared" si="32"/>
        <v>0</v>
      </c>
      <c r="M179" s="220">
        <f t="shared" si="32"/>
        <v>0</v>
      </c>
      <c r="N179" s="220">
        <f t="shared" si="32"/>
        <v>0</v>
      </c>
      <c r="O179" s="220">
        <f t="shared" si="32"/>
        <v>0</v>
      </c>
      <c r="P179" s="220">
        <f t="shared" si="32"/>
        <v>0</v>
      </c>
      <c r="Q179" s="220">
        <f t="shared" si="32"/>
        <v>0</v>
      </c>
      <c r="R179" s="220">
        <f t="shared" si="32"/>
        <v>0</v>
      </c>
      <c r="S179" s="220">
        <f t="shared" si="32"/>
        <v>0</v>
      </c>
      <c r="T179" s="220">
        <f t="shared" si="32"/>
        <v>0</v>
      </c>
      <c r="U179" s="220">
        <f t="shared" si="32"/>
        <v>0</v>
      </c>
      <c r="V179" s="220">
        <f t="shared" si="32"/>
        <v>0</v>
      </c>
      <c r="W179" s="220">
        <f t="shared" si="32"/>
        <v>0</v>
      </c>
      <c r="X179" s="220">
        <f t="shared" si="32"/>
        <v>0</v>
      </c>
      <c r="Y179" s="220">
        <f t="shared" si="32"/>
        <v>0</v>
      </c>
      <c r="Z179" s="220">
        <f t="shared" si="32"/>
        <v>0</v>
      </c>
      <c r="AA179" s="220">
        <f t="shared" si="32"/>
        <v>0</v>
      </c>
      <c r="AB179" s="220">
        <f t="shared" si="32"/>
        <v>0</v>
      </c>
      <c r="AC179" s="220">
        <f t="shared" si="32"/>
        <v>0</v>
      </c>
      <c r="AD179" s="220">
        <f t="shared" si="32"/>
        <v>0</v>
      </c>
      <c r="AE179" s="220">
        <f t="shared" si="32"/>
        <v>0</v>
      </c>
      <c r="AF179" s="221">
        <f t="shared" si="32"/>
        <v>0</v>
      </c>
      <c r="AG179" s="156">
        <f t="shared" si="28"/>
        <v>0</v>
      </c>
      <c r="AH179" s="38"/>
    </row>
    <row r="180" spans="1:34" ht="18.75" x14ac:dyDescent="0.25">
      <c r="A180" s="109" t="s">
        <v>4</v>
      </c>
      <c r="B180" s="216"/>
      <c r="C180" s="216"/>
      <c r="D180" s="216"/>
      <c r="E180" s="216"/>
      <c r="F180" s="216"/>
      <c r="G180" s="216"/>
      <c r="H180" s="216"/>
      <c r="I180" s="216"/>
      <c r="J180" s="216"/>
      <c r="K180" s="216"/>
      <c r="L180" s="216"/>
      <c r="M180" s="216"/>
      <c r="N180" s="217"/>
      <c r="O180" s="217"/>
      <c r="P180" s="217"/>
      <c r="Q180" s="217"/>
      <c r="R180" s="217"/>
      <c r="S180" s="217"/>
      <c r="T180" s="217"/>
      <c r="U180" s="217"/>
      <c r="V180" s="217"/>
      <c r="W180" s="217"/>
      <c r="X180" s="217"/>
      <c r="Y180" s="217"/>
      <c r="Z180" s="217"/>
      <c r="AA180" s="217"/>
      <c r="AB180" s="217"/>
      <c r="AC180" s="217"/>
      <c r="AD180" s="217"/>
      <c r="AE180" s="217"/>
      <c r="AF180" s="218"/>
      <c r="AG180" s="31">
        <f t="shared" si="28"/>
        <v>0</v>
      </c>
    </row>
    <row r="181" spans="1:34" ht="18.75" x14ac:dyDescent="0.25">
      <c r="A181" s="109" t="s">
        <v>122</v>
      </c>
      <c r="B181" s="147"/>
      <c r="C181" s="147"/>
      <c r="D181" s="147"/>
      <c r="E181" s="147"/>
      <c r="F181" s="147"/>
      <c r="G181" s="147"/>
      <c r="H181" s="147"/>
      <c r="I181" s="147"/>
      <c r="J181" s="147"/>
      <c r="K181" s="147"/>
      <c r="L181" s="147"/>
      <c r="M181" s="14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  <c r="AE181" s="17"/>
      <c r="AF181" s="18"/>
      <c r="AG181" s="4">
        <f t="shared" si="28"/>
        <v>0</v>
      </c>
    </row>
    <row r="182" spans="1:34" ht="18.75" x14ac:dyDescent="0.25">
      <c r="A182" s="109" t="s">
        <v>123</v>
      </c>
      <c r="B182" s="147"/>
      <c r="C182" s="147"/>
      <c r="D182" s="147"/>
      <c r="E182" s="147"/>
      <c r="F182" s="147"/>
      <c r="G182" s="147"/>
      <c r="H182" s="147"/>
      <c r="I182" s="147"/>
      <c r="J182" s="147"/>
      <c r="K182" s="147"/>
      <c r="L182" s="147"/>
      <c r="M182" s="14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  <c r="AD182" s="17"/>
      <c r="AE182" s="17"/>
      <c r="AF182" s="18"/>
      <c r="AG182" s="4">
        <f t="shared" si="28"/>
        <v>0</v>
      </c>
    </row>
    <row r="183" spans="1:34" ht="18.75" x14ac:dyDescent="0.25">
      <c r="A183" s="109" t="s">
        <v>614</v>
      </c>
      <c r="B183" s="147"/>
      <c r="C183" s="147"/>
      <c r="D183" s="147"/>
      <c r="E183" s="147"/>
      <c r="F183" s="147"/>
      <c r="G183" s="147"/>
      <c r="H183" s="147"/>
      <c r="I183" s="147"/>
      <c r="J183" s="147"/>
      <c r="K183" s="147"/>
      <c r="L183" s="147"/>
      <c r="M183" s="14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  <c r="AE183" s="17"/>
      <c r="AF183" s="18"/>
      <c r="AG183" s="4">
        <f t="shared" ref="AG183:AG184" si="33">SUM(B183:AF183)</f>
        <v>0</v>
      </c>
    </row>
    <row r="184" spans="1:34" s="398" customFormat="1" ht="18.75" x14ac:dyDescent="0.25">
      <c r="A184" s="393" t="s">
        <v>621</v>
      </c>
      <c r="B184" s="394"/>
      <c r="C184" s="394"/>
      <c r="D184" s="394"/>
      <c r="E184" s="394"/>
      <c r="F184" s="394"/>
      <c r="G184" s="394"/>
      <c r="H184" s="394"/>
      <c r="I184" s="394"/>
      <c r="J184" s="394"/>
      <c r="K184" s="394"/>
      <c r="L184" s="394"/>
      <c r="M184" s="394"/>
      <c r="N184" s="395"/>
      <c r="O184" s="395"/>
      <c r="P184" s="395"/>
      <c r="Q184" s="395"/>
      <c r="R184" s="395"/>
      <c r="S184" s="395"/>
      <c r="T184" s="395"/>
      <c r="U184" s="395"/>
      <c r="V184" s="395"/>
      <c r="W184" s="395"/>
      <c r="X184" s="395"/>
      <c r="Y184" s="395"/>
      <c r="Z184" s="395"/>
      <c r="AA184" s="395"/>
      <c r="AB184" s="395"/>
      <c r="AC184" s="395"/>
      <c r="AD184" s="395"/>
      <c r="AE184" s="395"/>
      <c r="AF184" s="396"/>
      <c r="AG184" s="397">
        <f t="shared" si="33"/>
        <v>0</v>
      </c>
    </row>
    <row r="185" spans="1:34" ht="18.75" x14ac:dyDescent="0.25">
      <c r="A185" s="109" t="s">
        <v>165</v>
      </c>
      <c r="B185" s="147"/>
      <c r="C185" s="147"/>
      <c r="D185" s="147"/>
      <c r="E185" s="147"/>
      <c r="F185" s="147"/>
      <c r="G185" s="147"/>
      <c r="H185" s="147"/>
      <c r="I185" s="147"/>
      <c r="J185" s="147"/>
      <c r="K185" s="147"/>
      <c r="L185" s="147"/>
      <c r="M185" s="14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  <c r="AF185" s="18"/>
      <c r="AG185" s="4">
        <f t="shared" si="28"/>
        <v>0</v>
      </c>
    </row>
    <row r="186" spans="1:34" ht="18.75" x14ac:dyDescent="0.25">
      <c r="A186" s="109" t="s">
        <v>141</v>
      </c>
      <c r="B186" s="147"/>
      <c r="C186" s="147"/>
      <c r="D186" s="147"/>
      <c r="E186" s="147"/>
      <c r="F186" s="147"/>
      <c r="G186" s="147"/>
      <c r="H186" s="147"/>
      <c r="I186" s="147"/>
      <c r="J186" s="147"/>
      <c r="K186" s="147"/>
      <c r="L186" s="147"/>
      <c r="M186" s="14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  <c r="AF186" s="18"/>
      <c r="AG186" s="4">
        <f t="shared" si="28"/>
        <v>0</v>
      </c>
    </row>
    <row r="187" spans="1:34" ht="18.75" x14ac:dyDescent="0.25">
      <c r="A187" s="109" t="s">
        <v>613</v>
      </c>
      <c r="B187" s="147"/>
      <c r="C187" s="147"/>
      <c r="D187" s="147"/>
      <c r="E187" s="147"/>
      <c r="F187" s="147"/>
      <c r="G187" s="147"/>
      <c r="H187" s="147"/>
      <c r="I187" s="147"/>
      <c r="J187" s="147"/>
      <c r="K187" s="147"/>
      <c r="L187" s="147"/>
      <c r="M187" s="14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  <c r="AF187" s="18"/>
      <c r="AG187" s="4">
        <f t="shared" si="28"/>
        <v>0</v>
      </c>
    </row>
    <row r="188" spans="1:34" ht="18.75" x14ac:dyDescent="0.25">
      <c r="A188" s="109" t="s">
        <v>139</v>
      </c>
      <c r="B188" s="147"/>
      <c r="C188" s="147"/>
      <c r="D188" s="147"/>
      <c r="E188" s="147"/>
      <c r="F188" s="147"/>
      <c r="G188" s="147"/>
      <c r="H188" s="147"/>
      <c r="I188" s="147"/>
      <c r="J188" s="147"/>
      <c r="K188" s="147"/>
      <c r="L188" s="147"/>
      <c r="M188" s="14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  <c r="AD188" s="17"/>
      <c r="AE188" s="17"/>
      <c r="AF188" s="18"/>
      <c r="AG188" s="4">
        <f t="shared" si="28"/>
        <v>0</v>
      </c>
    </row>
    <row r="189" spans="1:34" ht="18.75" x14ac:dyDescent="0.25">
      <c r="A189" s="110" t="s">
        <v>63</v>
      </c>
      <c r="B189" s="147"/>
      <c r="C189" s="147"/>
      <c r="D189" s="147"/>
      <c r="E189" s="147"/>
      <c r="F189" s="147"/>
      <c r="G189" s="147"/>
      <c r="H189" s="147"/>
      <c r="I189" s="147"/>
      <c r="J189" s="147"/>
      <c r="K189" s="147"/>
      <c r="L189" s="147"/>
      <c r="M189" s="14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  <c r="AE189" s="17"/>
      <c r="AF189" s="18"/>
      <c r="AG189" s="4">
        <f t="shared" si="28"/>
        <v>0</v>
      </c>
    </row>
    <row r="190" spans="1:34" ht="18.75" x14ac:dyDescent="0.25">
      <c r="A190" s="110" t="s">
        <v>142</v>
      </c>
      <c r="B190" s="147"/>
      <c r="C190" s="147"/>
      <c r="D190" s="147"/>
      <c r="E190" s="147"/>
      <c r="F190" s="147"/>
      <c r="G190" s="147"/>
      <c r="H190" s="147"/>
      <c r="I190" s="147"/>
      <c r="J190" s="147"/>
      <c r="K190" s="147"/>
      <c r="L190" s="147"/>
      <c r="M190" s="14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  <c r="AE190" s="17"/>
      <c r="AF190" s="18"/>
      <c r="AG190" s="4">
        <f t="shared" si="28"/>
        <v>0</v>
      </c>
    </row>
    <row r="191" spans="1:34" ht="18.75" x14ac:dyDescent="0.25">
      <c r="A191" s="110" t="s">
        <v>168</v>
      </c>
      <c r="B191" s="147"/>
      <c r="C191" s="147"/>
      <c r="D191" s="147"/>
      <c r="E191" s="147"/>
      <c r="F191" s="147"/>
      <c r="G191" s="147"/>
      <c r="H191" s="147"/>
      <c r="I191" s="147"/>
      <c r="J191" s="147"/>
      <c r="K191" s="147"/>
      <c r="L191" s="147"/>
      <c r="M191" s="14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  <c r="AE191" s="17"/>
      <c r="AF191" s="18"/>
      <c r="AG191" s="4">
        <f t="shared" si="28"/>
        <v>0</v>
      </c>
    </row>
    <row r="192" spans="1:34" ht="18.75" x14ac:dyDescent="0.25">
      <c r="A192" s="110" t="s">
        <v>169</v>
      </c>
      <c r="B192" s="147"/>
      <c r="C192" s="147"/>
      <c r="D192" s="147"/>
      <c r="E192" s="147"/>
      <c r="F192" s="147"/>
      <c r="G192" s="147"/>
      <c r="H192" s="147"/>
      <c r="I192" s="147"/>
      <c r="J192" s="147"/>
      <c r="K192" s="147"/>
      <c r="L192" s="147"/>
      <c r="M192" s="14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  <c r="AE192" s="17"/>
      <c r="AF192" s="18"/>
      <c r="AG192" s="4">
        <f t="shared" si="28"/>
        <v>0</v>
      </c>
    </row>
    <row r="193" spans="1:34" ht="18.75" x14ac:dyDescent="0.25">
      <c r="A193" s="236" t="s">
        <v>5</v>
      </c>
      <c r="B193" s="237"/>
      <c r="C193" s="237"/>
      <c r="D193" s="237"/>
      <c r="E193" s="237"/>
      <c r="F193" s="237"/>
      <c r="G193" s="237"/>
      <c r="H193" s="237"/>
      <c r="I193" s="237"/>
      <c r="J193" s="237"/>
      <c r="K193" s="237"/>
      <c r="L193" s="237"/>
      <c r="M193" s="237"/>
      <c r="N193" s="238"/>
      <c r="O193" s="238"/>
      <c r="P193" s="238"/>
      <c r="Q193" s="238"/>
      <c r="R193" s="238"/>
      <c r="S193" s="238"/>
      <c r="T193" s="238"/>
      <c r="U193" s="238"/>
      <c r="V193" s="238"/>
      <c r="W193" s="238"/>
      <c r="X193" s="238"/>
      <c r="Y193" s="238"/>
      <c r="Z193" s="238"/>
      <c r="AA193" s="238"/>
      <c r="AB193" s="238"/>
      <c r="AC193" s="238"/>
      <c r="AD193" s="238"/>
      <c r="AE193" s="238"/>
      <c r="AF193" s="239"/>
      <c r="AG193" s="240">
        <f t="shared" ref="AG193" si="34">SUM(B193:AF193)</f>
        <v>0</v>
      </c>
    </row>
    <row r="194" spans="1:34" ht="18.75" x14ac:dyDescent="0.25">
      <c r="A194" s="111" t="s">
        <v>174</v>
      </c>
      <c r="B194" s="147"/>
      <c r="C194" s="147"/>
      <c r="D194" s="147"/>
      <c r="E194" s="147"/>
      <c r="F194" s="147"/>
      <c r="G194" s="147"/>
      <c r="H194" s="147"/>
      <c r="I194" s="147"/>
      <c r="J194" s="147"/>
      <c r="K194" s="147"/>
      <c r="L194" s="147"/>
      <c r="M194" s="14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  <c r="AE194" s="17"/>
      <c r="AF194" s="18"/>
      <c r="AG194" s="4">
        <f t="shared" si="28"/>
        <v>0</v>
      </c>
    </row>
    <row r="195" spans="1:34" ht="18.75" x14ac:dyDescent="0.25">
      <c r="A195" s="111" t="s">
        <v>171</v>
      </c>
      <c r="B195" s="147"/>
      <c r="C195" s="147"/>
      <c r="D195" s="147"/>
      <c r="E195" s="147"/>
      <c r="F195" s="147"/>
      <c r="G195" s="147"/>
      <c r="H195" s="147"/>
      <c r="I195" s="147"/>
      <c r="J195" s="147"/>
      <c r="K195" s="147"/>
      <c r="L195" s="147"/>
      <c r="M195" s="14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  <c r="AE195" s="17"/>
      <c r="AF195" s="18"/>
      <c r="AG195" s="4">
        <f t="shared" si="28"/>
        <v>0</v>
      </c>
    </row>
    <row r="196" spans="1:34" ht="18.75" x14ac:dyDescent="0.25">
      <c r="A196" s="111" t="s">
        <v>173</v>
      </c>
      <c r="B196" s="147"/>
      <c r="C196" s="147"/>
      <c r="D196" s="147"/>
      <c r="E196" s="147"/>
      <c r="F196" s="147"/>
      <c r="G196" s="147"/>
      <c r="H196" s="147"/>
      <c r="I196" s="147"/>
      <c r="J196" s="147"/>
      <c r="K196" s="147"/>
      <c r="L196" s="147"/>
      <c r="M196" s="14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  <c r="AE196" s="17"/>
      <c r="AF196" s="18"/>
      <c r="AG196" s="4">
        <f t="shared" si="28"/>
        <v>0</v>
      </c>
    </row>
    <row r="197" spans="1:34" ht="18.75" x14ac:dyDescent="0.25">
      <c r="A197" s="111" t="s">
        <v>88</v>
      </c>
      <c r="B197" s="147"/>
      <c r="C197" s="147"/>
      <c r="D197" s="147"/>
      <c r="E197" s="147"/>
      <c r="F197" s="147"/>
      <c r="G197" s="147"/>
      <c r="H197" s="147"/>
      <c r="I197" s="147"/>
      <c r="J197" s="147"/>
      <c r="K197" s="147"/>
      <c r="L197" s="147"/>
      <c r="M197" s="14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  <c r="AE197" s="17"/>
      <c r="AF197" s="18"/>
      <c r="AG197" s="4">
        <f t="shared" si="28"/>
        <v>0</v>
      </c>
    </row>
    <row r="198" spans="1:34" ht="18.75" x14ac:dyDescent="0.25">
      <c r="A198" s="111" t="s">
        <v>617</v>
      </c>
      <c r="B198" s="147"/>
      <c r="C198" s="147"/>
      <c r="D198" s="147"/>
      <c r="E198" s="147"/>
      <c r="F198" s="147"/>
      <c r="G198" s="147"/>
      <c r="H198" s="147"/>
      <c r="I198" s="147"/>
      <c r="J198" s="147"/>
      <c r="K198" s="147"/>
      <c r="L198" s="147"/>
      <c r="M198" s="14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  <c r="AE198" s="17"/>
      <c r="AF198" s="18"/>
      <c r="AG198" s="4">
        <f t="shared" ref="AG198" si="35">SUM(B198:AF198)</f>
        <v>0</v>
      </c>
    </row>
    <row r="199" spans="1:34" ht="18.75" x14ac:dyDescent="0.25">
      <c r="A199" s="111" t="s">
        <v>143</v>
      </c>
      <c r="B199" s="147"/>
      <c r="C199" s="147"/>
      <c r="D199" s="147"/>
      <c r="E199" s="147"/>
      <c r="F199" s="147"/>
      <c r="G199" s="147"/>
      <c r="H199" s="147"/>
      <c r="I199" s="147"/>
      <c r="J199" s="147"/>
      <c r="K199" s="147"/>
      <c r="L199" s="147"/>
      <c r="M199" s="14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  <c r="AE199" s="17"/>
      <c r="AF199" s="18"/>
      <c r="AG199" s="4">
        <f t="shared" si="28"/>
        <v>0</v>
      </c>
    </row>
    <row r="200" spans="1:34" ht="18.75" x14ac:dyDescent="0.25">
      <c r="A200" s="110" t="s">
        <v>124</v>
      </c>
      <c r="B200" s="147"/>
      <c r="C200" s="147"/>
      <c r="D200" s="147"/>
      <c r="E200" s="147"/>
      <c r="F200" s="147"/>
      <c r="G200" s="147"/>
      <c r="H200" s="147"/>
      <c r="I200" s="147"/>
      <c r="J200" s="147"/>
      <c r="K200" s="147"/>
      <c r="L200" s="147"/>
      <c r="M200" s="14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  <c r="AE200" s="17"/>
      <c r="AF200" s="18"/>
      <c r="AG200" s="4">
        <f t="shared" si="28"/>
        <v>0</v>
      </c>
    </row>
    <row r="201" spans="1:34" ht="18.75" x14ac:dyDescent="0.25">
      <c r="A201" s="110" t="s">
        <v>167</v>
      </c>
      <c r="B201" s="147"/>
      <c r="C201" s="147"/>
      <c r="D201" s="147"/>
      <c r="E201" s="147"/>
      <c r="F201" s="147"/>
      <c r="G201" s="147"/>
      <c r="H201" s="147"/>
      <c r="I201" s="147"/>
      <c r="J201" s="147"/>
      <c r="K201" s="147"/>
      <c r="L201" s="147"/>
      <c r="M201" s="14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  <c r="AD201" s="17"/>
      <c r="AE201" s="17"/>
      <c r="AF201" s="18"/>
      <c r="AG201" s="4">
        <f t="shared" si="28"/>
        <v>0</v>
      </c>
    </row>
    <row r="202" spans="1:34" ht="18.75" x14ac:dyDescent="0.25">
      <c r="A202" s="110" t="s">
        <v>125</v>
      </c>
      <c r="B202" s="147"/>
      <c r="C202" s="147"/>
      <c r="D202" s="147"/>
      <c r="E202" s="147"/>
      <c r="F202" s="147"/>
      <c r="G202" s="147"/>
      <c r="H202" s="147"/>
      <c r="I202" s="147"/>
      <c r="J202" s="147"/>
      <c r="K202" s="147"/>
      <c r="L202" s="147"/>
      <c r="M202" s="14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  <c r="AC202" s="17"/>
      <c r="AD202" s="17"/>
      <c r="AE202" s="17"/>
      <c r="AF202" s="18"/>
      <c r="AG202" s="4">
        <f t="shared" si="28"/>
        <v>0</v>
      </c>
    </row>
    <row r="203" spans="1:34" ht="18.75" x14ac:dyDescent="0.25">
      <c r="A203" s="110" t="s">
        <v>126</v>
      </c>
      <c r="B203" s="202"/>
      <c r="C203" s="202"/>
      <c r="D203" s="202"/>
      <c r="E203" s="202"/>
      <c r="F203" s="202"/>
      <c r="G203" s="202"/>
      <c r="H203" s="202"/>
      <c r="I203" s="202"/>
      <c r="J203" s="202"/>
      <c r="K203" s="202"/>
      <c r="L203" s="202"/>
      <c r="M203" s="202"/>
      <c r="N203" s="203"/>
      <c r="O203" s="203"/>
      <c r="P203" s="203"/>
      <c r="Q203" s="203"/>
      <c r="R203" s="203"/>
      <c r="S203" s="203"/>
      <c r="T203" s="203"/>
      <c r="U203" s="203"/>
      <c r="V203" s="203"/>
      <c r="W203" s="203"/>
      <c r="X203" s="203"/>
      <c r="Y203" s="203"/>
      <c r="Z203" s="203"/>
      <c r="AA203" s="203"/>
      <c r="AB203" s="203"/>
      <c r="AC203" s="203"/>
      <c r="AD203" s="203"/>
      <c r="AE203" s="203"/>
      <c r="AF203" s="204"/>
      <c r="AG203" s="4">
        <f t="shared" si="28"/>
        <v>0</v>
      </c>
    </row>
    <row r="204" spans="1:34" ht="18.75" x14ac:dyDescent="0.25">
      <c r="A204" s="112" t="s">
        <v>170</v>
      </c>
      <c r="B204" s="202"/>
      <c r="C204" s="202"/>
      <c r="D204" s="202"/>
      <c r="E204" s="202"/>
      <c r="F204" s="202"/>
      <c r="G204" s="202"/>
      <c r="H204" s="202"/>
      <c r="I204" s="202"/>
      <c r="J204" s="202"/>
      <c r="K204" s="202"/>
      <c r="L204" s="202"/>
      <c r="M204" s="202"/>
      <c r="N204" s="203"/>
      <c r="O204" s="203"/>
      <c r="P204" s="203"/>
      <c r="Q204" s="203"/>
      <c r="R204" s="203"/>
      <c r="S204" s="203"/>
      <c r="T204" s="203"/>
      <c r="U204" s="203"/>
      <c r="V204" s="203"/>
      <c r="W204" s="203"/>
      <c r="X204" s="203"/>
      <c r="Y204" s="203"/>
      <c r="Z204" s="203"/>
      <c r="AA204" s="203"/>
      <c r="AB204" s="203"/>
      <c r="AC204" s="203"/>
      <c r="AD204" s="203"/>
      <c r="AE204" s="203"/>
      <c r="AF204" s="204"/>
      <c r="AG204" s="4">
        <f t="shared" si="28"/>
        <v>0</v>
      </c>
    </row>
    <row r="205" spans="1:34" ht="19.5" thickBot="1" x14ac:dyDescent="0.3">
      <c r="A205" s="231" t="s">
        <v>166</v>
      </c>
      <c r="B205" s="202"/>
      <c r="C205" s="202"/>
      <c r="D205" s="202"/>
      <c r="E205" s="202"/>
      <c r="F205" s="202"/>
      <c r="G205" s="202"/>
      <c r="H205" s="202"/>
      <c r="I205" s="202"/>
      <c r="J205" s="202"/>
      <c r="K205" s="202"/>
      <c r="L205" s="202"/>
      <c r="M205" s="202"/>
      <c r="N205" s="203"/>
      <c r="O205" s="203"/>
      <c r="P205" s="203"/>
      <c r="Q205" s="203"/>
      <c r="R205" s="203"/>
      <c r="S205" s="203"/>
      <c r="T205" s="203"/>
      <c r="U205" s="203"/>
      <c r="V205" s="203"/>
      <c r="W205" s="203"/>
      <c r="X205" s="203"/>
      <c r="Y205" s="203"/>
      <c r="Z205" s="203"/>
      <c r="AA205" s="203"/>
      <c r="AB205" s="203"/>
      <c r="AC205" s="203"/>
      <c r="AD205" s="203"/>
      <c r="AE205" s="203"/>
      <c r="AF205" s="204"/>
      <c r="AG205" s="28">
        <f t="shared" si="28"/>
        <v>0</v>
      </c>
    </row>
    <row r="206" spans="1:34" ht="19.5" thickBot="1" x14ac:dyDescent="0.3">
      <c r="A206" s="215" t="s">
        <v>83</v>
      </c>
      <c r="B206" s="209">
        <f>SUM(B207:B211)</f>
        <v>0</v>
      </c>
      <c r="C206" s="210">
        <f t="shared" ref="C206:AF206" si="36">SUM(C207:C211)</f>
        <v>0</v>
      </c>
      <c r="D206" s="210">
        <f t="shared" si="36"/>
        <v>0</v>
      </c>
      <c r="E206" s="210">
        <f t="shared" si="36"/>
        <v>0</v>
      </c>
      <c r="F206" s="210">
        <f t="shared" si="36"/>
        <v>0</v>
      </c>
      <c r="G206" s="210">
        <f t="shared" si="36"/>
        <v>0</v>
      </c>
      <c r="H206" s="210">
        <f t="shared" si="36"/>
        <v>0</v>
      </c>
      <c r="I206" s="210">
        <f t="shared" si="36"/>
        <v>0</v>
      </c>
      <c r="J206" s="210">
        <f t="shared" si="36"/>
        <v>0</v>
      </c>
      <c r="K206" s="210">
        <f t="shared" si="36"/>
        <v>0</v>
      </c>
      <c r="L206" s="210">
        <f t="shared" si="36"/>
        <v>0</v>
      </c>
      <c r="M206" s="210">
        <f t="shared" si="36"/>
        <v>0</v>
      </c>
      <c r="N206" s="211">
        <f t="shared" si="36"/>
        <v>0</v>
      </c>
      <c r="O206" s="211">
        <f t="shared" si="36"/>
        <v>0</v>
      </c>
      <c r="P206" s="211">
        <f t="shared" si="36"/>
        <v>0</v>
      </c>
      <c r="Q206" s="211">
        <f t="shared" si="36"/>
        <v>0</v>
      </c>
      <c r="R206" s="211">
        <f t="shared" si="36"/>
        <v>0</v>
      </c>
      <c r="S206" s="211">
        <f t="shared" si="36"/>
        <v>0</v>
      </c>
      <c r="T206" s="211">
        <f t="shared" si="36"/>
        <v>0</v>
      </c>
      <c r="U206" s="211">
        <f t="shared" si="36"/>
        <v>0</v>
      </c>
      <c r="V206" s="211">
        <f t="shared" si="36"/>
        <v>0</v>
      </c>
      <c r="W206" s="211">
        <f t="shared" si="36"/>
        <v>0</v>
      </c>
      <c r="X206" s="211">
        <f t="shared" si="36"/>
        <v>0</v>
      </c>
      <c r="Y206" s="211">
        <f t="shared" si="36"/>
        <v>0</v>
      </c>
      <c r="Z206" s="211">
        <f t="shared" si="36"/>
        <v>0</v>
      </c>
      <c r="AA206" s="211">
        <f t="shared" si="36"/>
        <v>0</v>
      </c>
      <c r="AB206" s="211">
        <f t="shared" si="36"/>
        <v>0</v>
      </c>
      <c r="AC206" s="211">
        <f t="shared" si="36"/>
        <v>0</v>
      </c>
      <c r="AD206" s="211">
        <f t="shared" si="36"/>
        <v>0</v>
      </c>
      <c r="AE206" s="211">
        <f t="shared" si="36"/>
        <v>0</v>
      </c>
      <c r="AF206" s="212">
        <f t="shared" si="36"/>
        <v>0</v>
      </c>
      <c r="AG206" s="213">
        <f t="shared" si="28"/>
        <v>0</v>
      </c>
      <c r="AH206" s="180" t="str">
        <f>IF(AG206&lt;&gt;AG93,"X","")</f>
        <v/>
      </c>
    </row>
    <row r="207" spans="1:34" ht="18.75" x14ac:dyDescent="0.25">
      <c r="A207" s="214" t="s">
        <v>72</v>
      </c>
      <c r="B207" s="205"/>
      <c r="C207" s="205"/>
      <c r="D207" s="205"/>
      <c r="E207" s="205"/>
      <c r="F207" s="205"/>
      <c r="G207" s="205"/>
      <c r="H207" s="205"/>
      <c r="I207" s="205"/>
      <c r="J207" s="205"/>
      <c r="K207" s="205"/>
      <c r="L207" s="205"/>
      <c r="M207" s="205"/>
      <c r="N207" s="206"/>
      <c r="O207" s="206"/>
      <c r="P207" s="206"/>
      <c r="Q207" s="206"/>
      <c r="R207" s="206"/>
      <c r="S207" s="206"/>
      <c r="T207" s="206"/>
      <c r="U207" s="206"/>
      <c r="V207" s="206"/>
      <c r="W207" s="206"/>
      <c r="X207" s="206"/>
      <c r="Y207" s="206"/>
      <c r="Z207" s="206"/>
      <c r="AA207" s="206"/>
      <c r="AB207" s="206"/>
      <c r="AC207" s="206"/>
      <c r="AD207" s="206"/>
      <c r="AE207" s="206"/>
      <c r="AF207" s="207"/>
      <c r="AG207" s="208">
        <f t="shared" si="28"/>
        <v>0</v>
      </c>
    </row>
    <row r="208" spans="1:34" ht="18.75" x14ac:dyDescent="0.25">
      <c r="A208" s="52" t="s">
        <v>73</v>
      </c>
      <c r="B208" s="148"/>
      <c r="C208" s="148"/>
      <c r="D208" s="148"/>
      <c r="E208" s="148"/>
      <c r="F208" s="148"/>
      <c r="G208" s="148"/>
      <c r="H208" s="148"/>
      <c r="I208" s="148"/>
      <c r="J208" s="148"/>
      <c r="K208" s="148"/>
      <c r="L208" s="148"/>
      <c r="M208" s="148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  <c r="AA208" s="33"/>
      <c r="AB208" s="33"/>
      <c r="AC208" s="33"/>
      <c r="AD208" s="33"/>
      <c r="AE208" s="33"/>
      <c r="AF208" s="88"/>
      <c r="AG208" s="97">
        <f t="shared" si="28"/>
        <v>0</v>
      </c>
    </row>
    <row r="209" spans="1:34" ht="18.75" x14ac:dyDescent="0.25">
      <c r="A209" s="52" t="s">
        <v>74</v>
      </c>
      <c r="B209" s="148"/>
      <c r="C209" s="148"/>
      <c r="D209" s="148"/>
      <c r="E209" s="148"/>
      <c r="F209" s="148"/>
      <c r="G209" s="148"/>
      <c r="H209" s="148"/>
      <c r="I209" s="148"/>
      <c r="J209" s="148"/>
      <c r="K209" s="148"/>
      <c r="L209" s="148"/>
      <c r="M209" s="148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  <c r="AA209" s="33"/>
      <c r="AB209" s="33"/>
      <c r="AC209" s="33"/>
      <c r="AD209" s="33"/>
      <c r="AE209" s="33"/>
      <c r="AF209" s="88"/>
      <c r="AG209" s="97">
        <f t="shared" si="28"/>
        <v>0</v>
      </c>
    </row>
    <row r="210" spans="1:34" ht="18.75" x14ac:dyDescent="0.25">
      <c r="A210" s="52" t="s">
        <v>75</v>
      </c>
      <c r="B210" s="148"/>
      <c r="C210" s="148"/>
      <c r="D210" s="148"/>
      <c r="E210" s="148"/>
      <c r="F210" s="148"/>
      <c r="G210" s="148"/>
      <c r="H210" s="148"/>
      <c r="I210" s="148"/>
      <c r="J210" s="148"/>
      <c r="K210" s="148"/>
      <c r="L210" s="148"/>
      <c r="M210" s="148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  <c r="AA210" s="33"/>
      <c r="AB210" s="33"/>
      <c r="AC210" s="33"/>
      <c r="AD210" s="33"/>
      <c r="AE210" s="33"/>
      <c r="AF210" s="88"/>
      <c r="AG210" s="97">
        <f t="shared" si="28"/>
        <v>0</v>
      </c>
    </row>
    <row r="211" spans="1:34" ht="19.5" thickBot="1" x14ac:dyDescent="0.3">
      <c r="A211" s="63" t="s">
        <v>76</v>
      </c>
      <c r="B211" s="149"/>
      <c r="C211" s="149"/>
      <c r="D211" s="149"/>
      <c r="E211" s="149"/>
      <c r="F211" s="149"/>
      <c r="G211" s="149"/>
      <c r="H211" s="149"/>
      <c r="I211" s="149"/>
      <c r="J211" s="149"/>
      <c r="K211" s="149"/>
      <c r="L211" s="149"/>
      <c r="M211" s="149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  <c r="AA211" s="34"/>
      <c r="AB211" s="34"/>
      <c r="AC211" s="34"/>
      <c r="AD211" s="34"/>
      <c r="AE211" s="34"/>
      <c r="AF211" s="89"/>
      <c r="AG211" s="35">
        <f t="shared" si="28"/>
        <v>0</v>
      </c>
    </row>
    <row r="212" spans="1:34" ht="19.5" thickBot="1" x14ac:dyDescent="0.3">
      <c r="A212" s="121" t="s">
        <v>622</v>
      </c>
      <c r="B212" s="404"/>
      <c r="C212" s="404"/>
      <c r="D212" s="404"/>
      <c r="E212" s="404"/>
      <c r="F212" s="404"/>
      <c r="G212" s="404"/>
      <c r="H212" s="404"/>
      <c r="I212" s="404"/>
      <c r="J212" s="404"/>
      <c r="K212" s="404"/>
      <c r="L212" s="404"/>
      <c r="M212" s="404"/>
      <c r="N212" s="122"/>
      <c r="O212" s="122"/>
      <c r="P212" s="122"/>
      <c r="Q212" s="122"/>
      <c r="R212" s="122"/>
      <c r="S212" s="122"/>
      <c r="T212" s="122"/>
      <c r="U212" s="122"/>
      <c r="V212" s="122"/>
      <c r="W212" s="122"/>
      <c r="X212" s="122"/>
      <c r="Y212" s="122"/>
      <c r="Z212" s="122"/>
      <c r="AA212" s="122"/>
      <c r="AB212" s="122"/>
      <c r="AC212" s="122"/>
      <c r="AD212" s="122"/>
      <c r="AE212" s="122"/>
      <c r="AF212" s="123"/>
      <c r="AG212" s="124">
        <f t="shared" ref="AG212:AG217" si="37">SUM(B212:AF212)</f>
        <v>0</v>
      </c>
    </row>
    <row r="213" spans="1:34" ht="18.75" x14ac:dyDescent="0.25">
      <c r="A213" s="414" t="s">
        <v>624</v>
      </c>
      <c r="B213" s="415"/>
      <c r="C213" s="415"/>
      <c r="D213" s="415"/>
      <c r="E213" s="415"/>
      <c r="F213" s="415"/>
      <c r="G213" s="415"/>
      <c r="H213" s="415"/>
      <c r="I213" s="415"/>
      <c r="J213" s="415"/>
      <c r="K213" s="415"/>
      <c r="L213" s="415"/>
      <c r="M213" s="415"/>
      <c r="N213" s="416"/>
      <c r="O213" s="416"/>
      <c r="P213" s="416"/>
      <c r="Q213" s="416"/>
      <c r="R213" s="416"/>
      <c r="S213" s="416"/>
      <c r="T213" s="416"/>
      <c r="U213" s="416"/>
      <c r="V213" s="416"/>
      <c r="W213" s="416"/>
      <c r="X213" s="416"/>
      <c r="Y213" s="416"/>
      <c r="Z213" s="416"/>
      <c r="AA213" s="416"/>
      <c r="AB213" s="416"/>
      <c r="AC213" s="416"/>
      <c r="AD213" s="416"/>
      <c r="AE213" s="416"/>
      <c r="AF213" s="417"/>
      <c r="AG213" s="418">
        <f t="shared" si="37"/>
        <v>0</v>
      </c>
    </row>
    <row r="214" spans="1:34" ht="18.75" x14ac:dyDescent="0.25">
      <c r="A214" s="419" t="s">
        <v>626</v>
      </c>
      <c r="B214" s="420"/>
      <c r="C214" s="420"/>
      <c r="D214" s="420"/>
      <c r="E214" s="420"/>
      <c r="F214" s="420"/>
      <c r="G214" s="420"/>
      <c r="H214" s="420"/>
      <c r="I214" s="420"/>
      <c r="J214" s="420"/>
      <c r="K214" s="420"/>
      <c r="L214" s="420"/>
      <c r="M214" s="420"/>
      <c r="N214" s="421"/>
      <c r="O214" s="421"/>
      <c r="P214" s="421"/>
      <c r="Q214" s="421"/>
      <c r="R214" s="421"/>
      <c r="S214" s="421"/>
      <c r="T214" s="421"/>
      <c r="U214" s="421"/>
      <c r="V214" s="421"/>
      <c r="W214" s="421"/>
      <c r="X214" s="421"/>
      <c r="Y214" s="421"/>
      <c r="Z214" s="421"/>
      <c r="AA214" s="421"/>
      <c r="AB214" s="421"/>
      <c r="AC214" s="421"/>
      <c r="AD214" s="421"/>
      <c r="AE214" s="421"/>
      <c r="AF214" s="422"/>
      <c r="AG214" s="397">
        <f t="shared" si="37"/>
        <v>0</v>
      </c>
    </row>
    <row r="215" spans="1:34" ht="18.75" x14ac:dyDescent="0.25">
      <c r="A215" s="423" t="s">
        <v>630</v>
      </c>
      <c r="B215" s="420"/>
      <c r="C215" s="420"/>
      <c r="D215" s="420"/>
      <c r="E215" s="420"/>
      <c r="F215" s="420"/>
      <c r="G215" s="420"/>
      <c r="H215" s="420"/>
      <c r="I215" s="420"/>
      <c r="J215" s="420"/>
      <c r="K215" s="420"/>
      <c r="L215" s="420"/>
      <c r="M215" s="420"/>
      <c r="N215" s="421"/>
      <c r="O215" s="421"/>
      <c r="P215" s="421"/>
      <c r="Q215" s="421"/>
      <c r="R215" s="421"/>
      <c r="S215" s="421"/>
      <c r="T215" s="421"/>
      <c r="U215" s="421"/>
      <c r="V215" s="421"/>
      <c r="W215" s="421"/>
      <c r="X215" s="421"/>
      <c r="Y215" s="421"/>
      <c r="Z215" s="421"/>
      <c r="AA215" s="421"/>
      <c r="AB215" s="421"/>
      <c r="AC215" s="421"/>
      <c r="AD215" s="421"/>
      <c r="AE215" s="421"/>
      <c r="AF215" s="422"/>
      <c r="AG215" s="397">
        <f t="shared" si="37"/>
        <v>0</v>
      </c>
    </row>
    <row r="216" spans="1:34" ht="18.75" x14ac:dyDescent="0.25">
      <c r="A216" s="423" t="s">
        <v>631</v>
      </c>
      <c r="B216" s="420"/>
      <c r="C216" s="420"/>
      <c r="D216" s="420"/>
      <c r="E216" s="420"/>
      <c r="F216" s="420"/>
      <c r="G216" s="420"/>
      <c r="H216" s="420"/>
      <c r="I216" s="420"/>
      <c r="J216" s="420"/>
      <c r="K216" s="420"/>
      <c r="L216" s="420"/>
      <c r="M216" s="420"/>
      <c r="N216" s="421"/>
      <c r="O216" s="421"/>
      <c r="P216" s="421"/>
      <c r="Q216" s="421"/>
      <c r="R216" s="421"/>
      <c r="S216" s="421"/>
      <c r="T216" s="421"/>
      <c r="U216" s="421"/>
      <c r="V216" s="421"/>
      <c r="W216" s="421"/>
      <c r="X216" s="421"/>
      <c r="Y216" s="421"/>
      <c r="Z216" s="421"/>
      <c r="AA216" s="421"/>
      <c r="AB216" s="421"/>
      <c r="AC216" s="421"/>
      <c r="AD216" s="421"/>
      <c r="AE216" s="421"/>
      <c r="AF216" s="422"/>
      <c r="AG216" s="397">
        <f t="shared" ref="AG216" si="38">SUM(B216:AF216)</f>
        <v>0</v>
      </c>
    </row>
    <row r="217" spans="1:34" ht="18.75" x14ac:dyDescent="0.25">
      <c r="A217" s="423" t="s">
        <v>627</v>
      </c>
      <c r="B217" s="420"/>
      <c r="C217" s="420"/>
      <c r="D217" s="420"/>
      <c r="E217" s="420"/>
      <c r="F217" s="420"/>
      <c r="G217" s="420"/>
      <c r="H217" s="420"/>
      <c r="I217" s="420"/>
      <c r="J217" s="420"/>
      <c r="K217" s="420"/>
      <c r="L217" s="420"/>
      <c r="M217" s="420"/>
      <c r="N217" s="421"/>
      <c r="O217" s="421"/>
      <c r="P217" s="421"/>
      <c r="Q217" s="421"/>
      <c r="R217" s="421"/>
      <c r="S217" s="421"/>
      <c r="T217" s="421"/>
      <c r="U217" s="421"/>
      <c r="V217" s="421"/>
      <c r="W217" s="421"/>
      <c r="X217" s="421"/>
      <c r="Y217" s="421"/>
      <c r="Z217" s="421"/>
      <c r="AA217" s="421"/>
      <c r="AB217" s="421"/>
      <c r="AC217" s="421"/>
      <c r="AD217" s="421"/>
      <c r="AE217" s="421"/>
      <c r="AF217" s="422"/>
      <c r="AG217" s="397">
        <f t="shared" si="37"/>
        <v>0</v>
      </c>
    </row>
    <row r="218" spans="1:34" ht="19.5" thickBot="1" x14ac:dyDescent="0.3">
      <c r="A218" s="424" t="s">
        <v>623</v>
      </c>
      <c r="B218" s="412"/>
      <c r="C218" s="412"/>
      <c r="D218" s="412"/>
      <c r="E218" s="412"/>
      <c r="F218" s="412"/>
      <c r="G218" s="412"/>
      <c r="H218" s="412"/>
      <c r="I218" s="412"/>
      <c r="J218" s="412"/>
      <c r="K218" s="412"/>
      <c r="L218" s="412"/>
      <c r="M218" s="412"/>
      <c r="N218" s="425"/>
      <c r="O218" s="425"/>
      <c r="P218" s="425"/>
      <c r="Q218" s="425"/>
      <c r="R218" s="425"/>
      <c r="S218" s="425"/>
      <c r="T218" s="425"/>
      <c r="U218" s="425"/>
      <c r="V218" s="425"/>
      <c r="W218" s="425"/>
      <c r="X218" s="425"/>
      <c r="Y218" s="425"/>
      <c r="Z218" s="425"/>
      <c r="AA218" s="425"/>
      <c r="AB218" s="425"/>
      <c r="AC218" s="425"/>
      <c r="AD218" s="425"/>
      <c r="AE218" s="425"/>
      <c r="AF218" s="426"/>
      <c r="AG218" s="397">
        <f>SUM(B218:AF218)</f>
        <v>0</v>
      </c>
    </row>
    <row r="219" spans="1:34" ht="18.75" x14ac:dyDescent="0.25">
      <c r="A219" s="69" t="s">
        <v>628</v>
      </c>
      <c r="B219" s="407"/>
      <c r="C219" s="407"/>
      <c r="D219" s="407"/>
      <c r="E219" s="407"/>
      <c r="F219" s="407"/>
      <c r="G219" s="407"/>
      <c r="H219" s="407"/>
      <c r="I219" s="407"/>
      <c r="J219" s="407"/>
      <c r="K219" s="407"/>
      <c r="L219" s="407"/>
      <c r="M219" s="407"/>
      <c r="N219" s="56"/>
      <c r="O219" s="56"/>
      <c r="P219" s="56"/>
      <c r="Q219" s="56"/>
      <c r="R219" s="56"/>
      <c r="S219" s="56"/>
      <c r="T219" s="56"/>
      <c r="U219" s="56"/>
      <c r="V219" s="56"/>
      <c r="W219" s="56"/>
      <c r="X219" s="56"/>
      <c r="Y219" s="56"/>
      <c r="Z219" s="56"/>
      <c r="AA219" s="56"/>
      <c r="AB219" s="56"/>
      <c r="AC219" s="56"/>
      <c r="AD219" s="56"/>
      <c r="AE219" s="56"/>
      <c r="AF219" s="85"/>
      <c r="AG219" s="95">
        <f>SUM(B219:AF219)</f>
        <v>0</v>
      </c>
    </row>
    <row r="220" spans="1:34" ht="19.5" thickBot="1" x14ac:dyDescent="0.3">
      <c r="A220" s="424" t="s">
        <v>629</v>
      </c>
      <c r="B220" s="412">
        <f>+B212-B219</f>
        <v>0</v>
      </c>
      <c r="C220" s="412">
        <f t="shared" ref="C220:AF220" si="39">+C212-C219</f>
        <v>0</v>
      </c>
      <c r="D220" s="412">
        <f t="shared" si="39"/>
        <v>0</v>
      </c>
      <c r="E220" s="412">
        <f t="shared" si="39"/>
        <v>0</v>
      </c>
      <c r="F220" s="412">
        <f t="shared" si="39"/>
        <v>0</v>
      </c>
      <c r="G220" s="412">
        <f t="shared" si="39"/>
        <v>0</v>
      </c>
      <c r="H220" s="412">
        <f t="shared" si="39"/>
        <v>0</v>
      </c>
      <c r="I220" s="412">
        <f t="shared" si="39"/>
        <v>0</v>
      </c>
      <c r="J220" s="412">
        <f t="shared" si="39"/>
        <v>0</v>
      </c>
      <c r="K220" s="412">
        <f t="shared" si="39"/>
        <v>0</v>
      </c>
      <c r="L220" s="412">
        <f t="shared" si="39"/>
        <v>0</v>
      </c>
      <c r="M220" s="412">
        <f t="shared" si="39"/>
        <v>0</v>
      </c>
      <c r="N220" s="425">
        <f t="shared" si="39"/>
        <v>0</v>
      </c>
      <c r="O220" s="425">
        <f t="shared" si="39"/>
        <v>0</v>
      </c>
      <c r="P220" s="425">
        <f t="shared" si="39"/>
        <v>0</v>
      </c>
      <c r="Q220" s="425">
        <f t="shared" si="39"/>
        <v>0</v>
      </c>
      <c r="R220" s="425">
        <f t="shared" si="39"/>
        <v>0</v>
      </c>
      <c r="S220" s="425">
        <f t="shared" si="39"/>
        <v>0</v>
      </c>
      <c r="T220" s="425">
        <f t="shared" si="39"/>
        <v>0</v>
      </c>
      <c r="U220" s="425">
        <f t="shared" si="39"/>
        <v>0</v>
      </c>
      <c r="V220" s="425">
        <f t="shared" si="39"/>
        <v>0</v>
      </c>
      <c r="W220" s="425">
        <f t="shared" si="39"/>
        <v>0</v>
      </c>
      <c r="X220" s="425">
        <f t="shared" si="39"/>
        <v>0</v>
      </c>
      <c r="Y220" s="425">
        <f t="shared" si="39"/>
        <v>0</v>
      </c>
      <c r="Z220" s="425">
        <f t="shared" si="39"/>
        <v>0</v>
      </c>
      <c r="AA220" s="425">
        <f t="shared" si="39"/>
        <v>0</v>
      </c>
      <c r="AB220" s="425">
        <f t="shared" si="39"/>
        <v>0</v>
      </c>
      <c r="AC220" s="425">
        <f t="shared" si="39"/>
        <v>0</v>
      </c>
      <c r="AD220" s="425">
        <f t="shared" si="39"/>
        <v>0</v>
      </c>
      <c r="AE220" s="425">
        <f t="shared" si="39"/>
        <v>0</v>
      </c>
      <c r="AF220" s="428">
        <f t="shared" si="39"/>
        <v>0</v>
      </c>
      <c r="AG220" s="413">
        <f>SUM(B220:AF220)</f>
        <v>0</v>
      </c>
    </row>
    <row r="221" spans="1:34" ht="19.5" thickBot="1" x14ac:dyDescent="0.3">
      <c r="A221" s="60" t="s">
        <v>64</v>
      </c>
      <c r="B221" s="61"/>
      <c r="C221" s="61"/>
      <c r="D221" s="61"/>
      <c r="E221" s="61"/>
      <c r="F221" s="61"/>
      <c r="G221" s="61"/>
      <c r="H221" s="61"/>
      <c r="I221" s="61"/>
      <c r="J221" s="61"/>
      <c r="K221" s="61"/>
      <c r="L221" s="61"/>
      <c r="M221" s="61"/>
      <c r="N221" s="61"/>
      <c r="O221" s="61"/>
      <c r="P221" s="61"/>
      <c r="Q221" s="61"/>
      <c r="R221" s="61"/>
      <c r="S221" s="61"/>
      <c r="T221" s="61"/>
      <c r="U221" s="61"/>
      <c r="V221" s="61"/>
      <c r="W221" s="61"/>
      <c r="X221" s="61"/>
      <c r="Y221" s="61"/>
      <c r="Z221" s="61"/>
      <c r="AA221" s="61"/>
      <c r="AB221" s="61"/>
      <c r="AC221" s="61"/>
      <c r="AD221" s="61"/>
      <c r="AE221" s="61"/>
      <c r="AF221" s="90"/>
      <c r="AG221" s="98"/>
    </row>
    <row r="222" spans="1:34" ht="18.75" x14ac:dyDescent="0.25">
      <c r="A222" s="43" t="s">
        <v>77</v>
      </c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19"/>
      <c r="AF222" s="25"/>
      <c r="AG222" s="99">
        <f t="shared" si="28"/>
        <v>0</v>
      </c>
      <c r="AH222" s="437" t="s">
        <v>85</v>
      </c>
    </row>
    <row r="223" spans="1:34" ht="18.75" x14ac:dyDescent="0.25">
      <c r="A223" s="53" t="s">
        <v>110</v>
      </c>
      <c r="B223" s="39"/>
      <c r="C223" s="39"/>
      <c r="D223" s="39"/>
      <c r="E223" s="39"/>
      <c r="F223" s="39"/>
      <c r="G223" s="39"/>
      <c r="H223" s="39"/>
      <c r="I223" s="39"/>
      <c r="J223" s="39"/>
      <c r="K223" s="39"/>
      <c r="L223" s="39"/>
      <c r="M223" s="39"/>
      <c r="N223" s="39"/>
      <c r="O223" s="39"/>
      <c r="P223" s="39"/>
      <c r="Q223" s="39"/>
      <c r="R223" s="39"/>
      <c r="S223" s="39"/>
      <c r="T223" s="39"/>
      <c r="U223" s="39"/>
      <c r="V223" s="39"/>
      <c r="W223" s="39"/>
      <c r="X223" s="39"/>
      <c r="Y223" s="39"/>
      <c r="Z223" s="39"/>
      <c r="AA223" s="39"/>
      <c r="AB223" s="39"/>
      <c r="AC223" s="39"/>
      <c r="AD223" s="39"/>
      <c r="AE223" s="39"/>
      <c r="AF223" s="91"/>
      <c r="AG223" s="100">
        <f t="shared" si="28"/>
        <v>0</v>
      </c>
      <c r="AH223" s="438"/>
    </row>
    <row r="224" spans="1:34" ht="18.75" x14ac:dyDescent="0.25">
      <c r="A224" s="53" t="s">
        <v>111</v>
      </c>
      <c r="B224" s="39"/>
      <c r="C224" s="39"/>
      <c r="D224" s="39"/>
      <c r="E224" s="39"/>
      <c r="F224" s="39"/>
      <c r="G224" s="39"/>
      <c r="H224" s="39"/>
      <c r="I224" s="39"/>
      <c r="J224" s="39"/>
      <c r="K224" s="39"/>
      <c r="L224" s="39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  <c r="Y224" s="39"/>
      <c r="Z224" s="39"/>
      <c r="AA224" s="39"/>
      <c r="AB224" s="39"/>
      <c r="AC224" s="39"/>
      <c r="AD224" s="39"/>
      <c r="AE224" s="39"/>
      <c r="AF224" s="91"/>
      <c r="AG224" s="100">
        <f t="shared" si="28"/>
        <v>0</v>
      </c>
      <c r="AH224" s="438"/>
    </row>
    <row r="225" spans="1:34" ht="18.75" x14ac:dyDescent="0.25">
      <c r="A225" s="53" t="s">
        <v>112</v>
      </c>
      <c r="B225" s="39"/>
      <c r="C225" s="39"/>
      <c r="D225" s="39"/>
      <c r="E225" s="39"/>
      <c r="F225" s="39"/>
      <c r="G225" s="39"/>
      <c r="H225" s="39"/>
      <c r="I225" s="39"/>
      <c r="J225" s="39"/>
      <c r="K225" s="39"/>
      <c r="L225" s="39"/>
      <c r="M225" s="39"/>
      <c r="N225" s="39"/>
      <c r="O225" s="39"/>
      <c r="P225" s="39"/>
      <c r="Q225" s="39"/>
      <c r="R225" s="39"/>
      <c r="S225" s="39"/>
      <c r="T225" s="39"/>
      <c r="U225" s="39"/>
      <c r="V225" s="39"/>
      <c r="W225" s="39"/>
      <c r="X225" s="39"/>
      <c r="Y225" s="39"/>
      <c r="Z225" s="39"/>
      <c r="AA225" s="39"/>
      <c r="AB225" s="39"/>
      <c r="AC225" s="39"/>
      <c r="AD225" s="39"/>
      <c r="AE225" s="39"/>
      <c r="AF225" s="91"/>
      <c r="AG225" s="100">
        <f t="shared" si="28"/>
        <v>0</v>
      </c>
      <c r="AH225" s="438"/>
    </row>
    <row r="226" spans="1:34" ht="18.75" x14ac:dyDescent="0.25">
      <c r="A226" s="53" t="s">
        <v>113</v>
      </c>
      <c r="B226" s="39"/>
      <c r="C226" s="39"/>
      <c r="D226" s="39"/>
      <c r="E226" s="39"/>
      <c r="F226" s="39"/>
      <c r="G226" s="39"/>
      <c r="H226" s="39"/>
      <c r="I226" s="39"/>
      <c r="J226" s="39"/>
      <c r="K226" s="39"/>
      <c r="L226" s="39"/>
      <c r="M226" s="39"/>
      <c r="N226" s="39"/>
      <c r="O226" s="39"/>
      <c r="P226" s="39"/>
      <c r="Q226" s="39"/>
      <c r="R226" s="39"/>
      <c r="S226" s="39"/>
      <c r="T226" s="39"/>
      <c r="U226" s="39"/>
      <c r="V226" s="39"/>
      <c r="W226" s="39"/>
      <c r="X226" s="39"/>
      <c r="Y226" s="39"/>
      <c r="Z226" s="39"/>
      <c r="AA226" s="39"/>
      <c r="AB226" s="39"/>
      <c r="AC226" s="39"/>
      <c r="AD226" s="39"/>
      <c r="AE226" s="39"/>
      <c r="AF226" s="91"/>
      <c r="AG226" s="100">
        <f t="shared" si="28"/>
        <v>0</v>
      </c>
      <c r="AH226" s="438"/>
    </row>
    <row r="227" spans="1:34" ht="18.75" x14ac:dyDescent="0.25">
      <c r="A227" s="53" t="s">
        <v>114</v>
      </c>
      <c r="B227" s="39"/>
      <c r="C227" s="39"/>
      <c r="D227" s="39"/>
      <c r="E227" s="39"/>
      <c r="F227" s="39"/>
      <c r="G227" s="39"/>
      <c r="H227" s="39"/>
      <c r="I227" s="39"/>
      <c r="J227" s="39"/>
      <c r="K227" s="39"/>
      <c r="L227" s="39"/>
      <c r="M227" s="39"/>
      <c r="N227" s="39"/>
      <c r="O227" s="39"/>
      <c r="P227" s="39"/>
      <c r="Q227" s="39"/>
      <c r="R227" s="39"/>
      <c r="S227" s="39"/>
      <c r="T227" s="39"/>
      <c r="U227" s="39"/>
      <c r="V227" s="39"/>
      <c r="W227" s="39"/>
      <c r="X227" s="39"/>
      <c r="Y227" s="39"/>
      <c r="Z227" s="39"/>
      <c r="AA227" s="39"/>
      <c r="AB227" s="39"/>
      <c r="AC227" s="39"/>
      <c r="AD227" s="39"/>
      <c r="AE227" s="39"/>
      <c r="AF227" s="91"/>
      <c r="AG227" s="100">
        <f t="shared" ref="AG227:AG229" si="40">SUM(B227:AF227)</f>
        <v>0</v>
      </c>
      <c r="AH227" s="438"/>
    </row>
    <row r="228" spans="1:34" ht="18.75" x14ac:dyDescent="0.25">
      <c r="A228" s="53" t="s">
        <v>115</v>
      </c>
      <c r="B228" s="39"/>
      <c r="C228" s="39"/>
      <c r="D228" s="39"/>
      <c r="E228" s="39"/>
      <c r="F228" s="39"/>
      <c r="G228" s="39"/>
      <c r="H228" s="39"/>
      <c r="I228" s="39"/>
      <c r="J228" s="39"/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39"/>
      <c r="AA228" s="39"/>
      <c r="AB228" s="39"/>
      <c r="AC228" s="39"/>
      <c r="AD228" s="39"/>
      <c r="AE228" s="39"/>
      <c r="AF228" s="91"/>
      <c r="AG228" s="100">
        <f t="shared" si="40"/>
        <v>0</v>
      </c>
      <c r="AH228" s="438"/>
    </row>
    <row r="229" spans="1:34" ht="18.75" x14ac:dyDescent="0.25">
      <c r="A229" s="53" t="s">
        <v>116</v>
      </c>
      <c r="B229" s="39"/>
      <c r="C229" s="39"/>
      <c r="D229" s="39"/>
      <c r="E229" s="39"/>
      <c r="F229" s="39"/>
      <c r="G229" s="39"/>
      <c r="H229" s="39"/>
      <c r="I229" s="39"/>
      <c r="J229" s="39"/>
      <c r="K229" s="39"/>
      <c r="L229" s="39"/>
      <c r="M229" s="39"/>
      <c r="N229" s="39"/>
      <c r="O229" s="39"/>
      <c r="P229" s="39"/>
      <c r="Q229" s="39"/>
      <c r="R229" s="39"/>
      <c r="S229" s="39"/>
      <c r="T229" s="39"/>
      <c r="U229" s="39"/>
      <c r="V229" s="39"/>
      <c r="W229" s="39"/>
      <c r="X229" s="39"/>
      <c r="Y229" s="39"/>
      <c r="Z229" s="39"/>
      <c r="AA229" s="39"/>
      <c r="AB229" s="39"/>
      <c r="AC229" s="39"/>
      <c r="AD229" s="39"/>
      <c r="AE229" s="39"/>
      <c r="AF229" s="91"/>
      <c r="AG229" s="100">
        <f t="shared" si="40"/>
        <v>0</v>
      </c>
      <c r="AH229" s="438"/>
    </row>
    <row r="230" spans="1:34" ht="18.75" x14ac:dyDescent="0.25">
      <c r="A230" s="53" t="s">
        <v>117</v>
      </c>
      <c r="B230" s="39"/>
      <c r="C230" s="39"/>
      <c r="D230" s="39"/>
      <c r="E230" s="39"/>
      <c r="F230" s="39"/>
      <c r="G230" s="39"/>
      <c r="H230" s="39"/>
      <c r="I230" s="39"/>
      <c r="J230" s="39"/>
      <c r="K230" s="39"/>
      <c r="L230" s="39"/>
      <c r="M230" s="39"/>
      <c r="N230" s="39"/>
      <c r="O230" s="39"/>
      <c r="P230" s="39"/>
      <c r="Q230" s="39"/>
      <c r="R230" s="39"/>
      <c r="S230" s="39"/>
      <c r="T230" s="39"/>
      <c r="U230" s="39"/>
      <c r="V230" s="39"/>
      <c r="W230" s="39"/>
      <c r="X230" s="39"/>
      <c r="Y230" s="39"/>
      <c r="Z230" s="39"/>
      <c r="AA230" s="39"/>
      <c r="AB230" s="39"/>
      <c r="AC230" s="39"/>
      <c r="AD230" s="39"/>
      <c r="AE230" s="39"/>
      <c r="AF230" s="91"/>
      <c r="AG230" s="100">
        <f t="shared" si="28"/>
        <v>0</v>
      </c>
      <c r="AH230" s="438"/>
    </row>
    <row r="231" spans="1:34" ht="18.75" x14ac:dyDescent="0.25">
      <c r="A231" s="43" t="s">
        <v>150</v>
      </c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19"/>
      <c r="AD231" s="19"/>
      <c r="AE231" s="19"/>
      <c r="AF231" s="25"/>
      <c r="AG231" s="99">
        <f t="shared" si="28"/>
        <v>0</v>
      </c>
      <c r="AH231" s="438"/>
    </row>
    <row r="232" spans="1:34" ht="18.75" x14ac:dyDescent="0.25">
      <c r="A232" s="43" t="s">
        <v>78</v>
      </c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  <c r="AC232" s="19"/>
      <c r="AD232" s="19"/>
      <c r="AE232" s="19"/>
      <c r="AF232" s="25"/>
      <c r="AG232" s="99">
        <f t="shared" si="28"/>
        <v>0</v>
      </c>
      <c r="AH232" s="438"/>
    </row>
    <row r="233" spans="1:34" ht="19.5" thickBot="1" x14ac:dyDescent="0.3">
      <c r="A233" s="43" t="s">
        <v>79</v>
      </c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  <c r="AE233" s="19"/>
      <c r="AF233" s="25"/>
      <c r="AG233" s="99">
        <f t="shared" si="28"/>
        <v>0</v>
      </c>
      <c r="AH233" s="439"/>
    </row>
    <row r="234" spans="1:34" ht="24" thickBot="1" x14ac:dyDescent="0.3">
      <c r="A234" s="62" t="s">
        <v>118</v>
      </c>
      <c r="B234" s="20">
        <f>+B233+B232+B222+B231</f>
        <v>0</v>
      </c>
      <c r="C234" s="20">
        <f t="shared" ref="C234:AF234" si="41">+C233+C232+C222+C231</f>
        <v>0</v>
      </c>
      <c r="D234" s="20">
        <f t="shared" si="41"/>
        <v>0</v>
      </c>
      <c r="E234" s="20">
        <f t="shared" si="41"/>
        <v>0</v>
      </c>
      <c r="F234" s="20">
        <f t="shared" si="41"/>
        <v>0</v>
      </c>
      <c r="G234" s="20">
        <f t="shared" si="41"/>
        <v>0</v>
      </c>
      <c r="H234" s="20">
        <f t="shared" si="41"/>
        <v>0</v>
      </c>
      <c r="I234" s="20">
        <f t="shared" si="41"/>
        <v>0</v>
      </c>
      <c r="J234" s="20">
        <f t="shared" si="41"/>
        <v>0</v>
      </c>
      <c r="K234" s="20">
        <f t="shared" si="41"/>
        <v>0</v>
      </c>
      <c r="L234" s="20">
        <f t="shared" si="41"/>
        <v>0</v>
      </c>
      <c r="M234" s="20">
        <f t="shared" si="41"/>
        <v>0</v>
      </c>
      <c r="N234" s="20">
        <f t="shared" si="41"/>
        <v>0</v>
      </c>
      <c r="O234" s="20">
        <f t="shared" si="41"/>
        <v>0</v>
      </c>
      <c r="P234" s="20">
        <f t="shared" si="41"/>
        <v>0</v>
      </c>
      <c r="Q234" s="20">
        <f t="shared" si="41"/>
        <v>0</v>
      </c>
      <c r="R234" s="20">
        <f t="shared" si="41"/>
        <v>0</v>
      </c>
      <c r="S234" s="20">
        <f t="shared" si="41"/>
        <v>0</v>
      </c>
      <c r="T234" s="20">
        <f t="shared" si="41"/>
        <v>0</v>
      </c>
      <c r="U234" s="20">
        <f t="shared" si="41"/>
        <v>0</v>
      </c>
      <c r="V234" s="20">
        <f t="shared" si="41"/>
        <v>0</v>
      </c>
      <c r="W234" s="20">
        <f t="shared" si="41"/>
        <v>0</v>
      </c>
      <c r="X234" s="20">
        <f t="shared" si="41"/>
        <v>0</v>
      </c>
      <c r="Y234" s="20">
        <f t="shared" si="41"/>
        <v>0</v>
      </c>
      <c r="Z234" s="20">
        <f t="shared" si="41"/>
        <v>0</v>
      </c>
      <c r="AA234" s="20">
        <f t="shared" si="41"/>
        <v>0</v>
      </c>
      <c r="AB234" s="20">
        <f t="shared" si="41"/>
        <v>0</v>
      </c>
      <c r="AC234" s="20">
        <f t="shared" si="41"/>
        <v>0</v>
      </c>
      <c r="AD234" s="20">
        <f t="shared" si="41"/>
        <v>0</v>
      </c>
      <c r="AE234" s="20">
        <f t="shared" si="41"/>
        <v>0</v>
      </c>
      <c r="AF234" s="26">
        <f t="shared" si="41"/>
        <v>0</v>
      </c>
      <c r="AG234" s="99">
        <f t="shared" si="28"/>
        <v>0</v>
      </c>
      <c r="AH234" s="36"/>
    </row>
    <row r="235" spans="1:34" ht="18.75" x14ac:dyDescent="0.25">
      <c r="A235" s="57" t="s">
        <v>90</v>
      </c>
      <c r="B235" s="27"/>
      <c r="C235" s="27"/>
      <c r="D235" s="27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  <c r="AA235" s="27"/>
      <c r="AB235" s="27"/>
      <c r="AC235" s="27"/>
      <c r="AD235" s="27"/>
      <c r="AE235" s="27"/>
      <c r="AF235" s="92"/>
      <c r="AG235" s="31">
        <f t="shared" ref="AG235:AG248" si="42">SUM(B235:AF235)</f>
        <v>0</v>
      </c>
      <c r="AH235" s="440" t="s">
        <v>96</v>
      </c>
    </row>
    <row r="236" spans="1:34" ht="18.75" x14ac:dyDescent="0.25">
      <c r="A236" s="54" t="s">
        <v>91</v>
      </c>
      <c r="B236" s="40"/>
      <c r="C236" s="40"/>
      <c r="D236" s="40"/>
      <c r="E236" s="40"/>
      <c r="F236" s="40"/>
      <c r="G236" s="40"/>
      <c r="H236" s="40"/>
      <c r="I236" s="40"/>
      <c r="J236" s="40"/>
      <c r="K236" s="40"/>
      <c r="L236" s="40"/>
      <c r="M236" s="40"/>
      <c r="N236" s="40"/>
      <c r="O236" s="40"/>
      <c r="P236" s="40"/>
      <c r="Q236" s="40"/>
      <c r="R236" s="40"/>
      <c r="S236" s="40"/>
      <c r="T236" s="40"/>
      <c r="U236" s="40"/>
      <c r="V236" s="40"/>
      <c r="W236" s="40"/>
      <c r="X236" s="40"/>
      <c r="Y236" s="40"/>
      <c r="Z236" s="40"/>
      <c r="AA236" s="40"/>
      <c r="AB236" s="40"/>
      <c r="AC236" s="40"/>
      <c r="AD236" s="40"/>
      <c r="AE236" s="40"/>
      <c r="AF236" s="93"/>
      <c r="AG236" s="99">
        <f t="shared" si="42"/>
        <v>0</v>
      </c>
      <c r="AH236" s="441"/>
    </row>
    <row r="237" spans="1:34" ht="19.5" thickBot="1" x14ac:dyDescent="0.3">
      <c r="A237" s="58" t="s">
        <v>97</v>
      </c>
      <c r="B237" s="59"/>
      <c r="C237" s="59"/>
      <c r="D237" s="59"/>
      <c r="E237" s="59"/>
      <c r="F237" s="59"/>
      <c r="G237" s="59"/>
      <c r="H237" s="59"/>
      <c r="I237" s="59"/>
      <c r="J237" s="59"/>
      <c r="K237" s="59"/>
      <c r="L237" s="59"/>
      <c r="M237" s="59"/>
      <c r="N237" s="59"/>
      <c r="O237" s="59"/>
      <c r="P237" s="59"/>
      <c r="Q237" s="59"/>
      <c r="R237" s="59"/>
      <c r="S237" s="59"/>
      <c r="T237" s="59"/>
      <c r="U237" s="59"/>
      <c r="V237" s="59"/>
      <c r="W237" s="59"/>
      <c r="X237" s="59"/>
      <c r="Y237" s="59"/>
      <c r="Z237" s="59"/>
      <c r="AA237" s="59"/>
      <c r="AB237" s="59"/>
      <c r="AC237" s="59"/>
      <c r="AD237" s="59"/>
      <c r="AE237" s="59"/>
      <c r="AF237" s="94"/>
      <c r="AG237" s="28">
        <f t="shared" si="42"/>
        <v>0</v>
      </c>
      <c r="AH237" s="442"/>
    </row>
    <row r="238" spans="1:34" ht="18.75" x14ac:dyDescent="0.25">
      <c r="A238" s="55" t="s">
        <v>92</v>
      </c>
      <c r="B238" s="118">
        <f>SUM(B239:B241)</f>
        <v>0</v>
      </c>
      <c r="C238" s="118">
        <f t="shared" ref="C238:AF238" si="43">SUM(C239:C241)</f>
        <v>0</v>
      </c>
      <c r="D238" s="118">
        <f t="shared" si="43"/>
        <v>0</v>
      </c>
      <c r="E238" s="118">
        <f t="shared" si="43"/>
        <v>0</v>
      </c>
      <c r="F238" s="118">
        <f t="shared" si="43"/>
        <v>0</v>
      </c>
      <c r="G238" s="118">
        <f t="shared" si="43"/>
        <v>0</v>
      </c>
      <c r="H238" s="118">
        <f t="shared" si="43"/>
        <v>0</v>
      </c>
      <c r="I238" s="118">
        <f t="shared" si="43"/>
        <v>0</v>
      </c>
      <c r="J238" s="118">
        <f t="shared" si="43"/>
        <v>0</v>
      </c>
      <c r="K238" s="118">
        <f t="shared" si="43"/>
        <v>0</v>
      </c>
      <c r="L238" s="118">
        <f t="shared" si="43"/>
        <v>0</v>
      </c>
      <c r="M238" s="118">
        <f t="shared" si="43"/>
        <v>0</v>
      </c>
      <c r="N238" s="118">
        <f t="shared" si="43"/>
        <v>0</v>
      </c>
      <c r="O238" s="118">
        <f t="shared" si="43"/>
        <v>0</v>
      </c>
      <c r="P238" s="118">
        <f t="shared" si="43"/>
        <v>0</v>
      </c>
      <c r="Q238" s="118">
        <f t="shared" si="43"/>
        <v>0</v>
      </c>
      <c r="R238" s="118">
        <f t="shared" si="43"/>
        <v>0</v>
      </c>
      <c r="S238" s="118">
        <f t="shared" si="43"/>
        <v>0</v>
      </c>
      <c r="T238" s="118">
        <f t="shared" si="43"/>
        <v>0</v>
      </c>
      <c r="U238" s="118">
        <f t="shared" si="43"/>
        <v>0</v>
      </c>
      <c r="V238" s="118">
        <f t="shared" si="43"/>
        <v>0</v>
      </c>
      <c r="W238" s="118">
        <f t="shared" si="43"/>
        <v>0</v>
      </c>
      <c r="X238" s="118">
        <f t="shared" si="43"/>
        <v>0</v>
      </c>
      <c r="Y238" s="118">
        <f t="shared" si="43"/>
        <v>0</v>
      </c>
      <c r="Z238" s="118">
        <f t="shared" si="43"/>
        <v>0</v>
      </c>
      <c r="AA238" s="118">
        <f t="shared" si="43"/>
        <v>0</v>
      </c>
      <c r="AB238" s="118">
        <f t="shared" si="43"/>
        <v>0</v>
      </c>
      <c r="AC238" s="118">
        <f t="shared" si="43"/>
        <v>0</v>
      </c>
      <c r="AD238" s="118">
        <f t="shared" si="43"/>
        <v>0</v>
      </c>
      <c r="AE238" s="118">
        <f t="shared" si="43"/>
        <v>0</v>
      </c>
      <c r="AF238" s="118">
        <f t="shared" si="43"/>
        <v>0</v>
      </c>
      <c r="AG238" s="95">
        <f t="shared" si="42"/>
        <v>0</v>
      </c>
      <c r="AH238" s="440" t="s">
        <v>93</v>
      </c>
    </row>
    <row r="239" spans="1:34" ht="18.75" x14ac:dyDescent="0.25">
      <c r="A239" s="139" t="s">
        <v>94</v>
      </c>
      <c r="B239" s="140"/>
      <c r="C239" s="140"/>
      <c r="D239" s="140"/>
      <c r="E239" s="140"/>
      <c r="F239" s="140"/>
      <c r="G239" s="140"/>
      <c r="H239" s="140"/>
      <c r="I239" s="140"/>
      <c r="J239" s="140"/>
      <c r="K239" s="140"/>
      <c r="L239" s="140"/>
      <c r="M239" s="140"/>
      <c r="N239" s="145"/>
      <c r="O239" s="140"/>
      <c r="P239" s="140"/>
      <c r="Q239" s="140"/>
      <c r="R239" s="140"/>
      <c r="S239" s="140"/>
      <c r="T239" s="140"/>
      <c r="U239" s="140"/>
      <c r="V239" s="140"/>
      <c r="W239" s="140"/>
      <c r="X239" s="140"/>
      <c r="Y239" s="140"/>
      <c r="Z239" s="142"/>
      <c r="AA239" s="140"/>
      <c r="AB239" s="140"/>
      <c r="AC239" s="140"/>
      <c r="AD239" s="140"/>
      <c r="AE239" s="140"/>
      <c r="AF239" s="144"/>
      <c r="AG239" s="143">
        <f t="shared" si="42"/>
        <v>0</v>
      </c>
      <c r="AH239" s="441"/>
    </row>
    <row r="240" spans="1:34" ht="18.75" x14ac:dyDescent="0.25">
      <c r="A240" s="139" t="s">
        <v>95</v>
      </c>
      <c r="B240" s="140"/>
      <c r="C240" s="140"/>
      <c r="D240" s="140"/>
      <c r="E240" s="140"/>
      <c r="F240" s="140"/>
      <c r="G240" s="140"/>
      <c r="H240" s="140"/>
      <c r="I240" s="140"/>
      <c r="J240" s="140"/>
      <c r="K240" s="140"/>
      <c r="L240" s="140"/>
      <c r="M240" s="140"/>
      <c r="N240" s="145"/>
      <c r="O240" s="140"/>
      <c r="P240" s="140"/>
      <c r="Q240" s="140"/>
      <c r="R240" s="140"/>
      <c r="S240" s="140"/>
      <c r="T240" s="140"/>
      <c r="U240" s="140"/>
      <c r="V240" s="140"/>
      <c r="W240" s="140"/>
      <c r="X240" s="140"/>
      <c r="Y240" s="140"/>
      <c r="Z240" s="142"/>
      <c r="AA240" s="140"/>
      <c r="AB240" s="140"/>
      <c r="AC240" s="140"/>
      <c r="AD240" s="140"/>
      <c r="AE240" s="140"/>
      <c r="AF240" s="144"/>
      <c r="AG240" s="143">
        <f t="shared" si="42"/>
        <v>0</v>
      </c>
      <c r="AH240" s="441"/>
    </row>
    <row r="241" spans="1:34" ht="19.5" thickBot="1" x14ac:dyDescent="0.3">
      <c r="A241" s="190" t="s">
        <v>106</v>
      </c>
      <c r="B241" s="191"/>
      <c r="C241" s="191"/>
      <c r="D241" s="191"/>
      <c r="E241" s="191"/>
      <c r="F241" s="191"/>
      <c r="G241" s="191"/>
      <c r="H241" s="191"/>
      <c r="I241" s="191"/>
      <c r="J241" s="191"/>
      <c r="K241" s="192"/>
      <c r="L241" s="192"/>
      <c r="M241" s="192"/>
      <c r="N241" s="193"/>
      <c r="O241" s="194"/>
      <c r="P241" s="194"/>
      <c r="Q241" s="194"/>
      <c r="R241" s="194"/>
      <c r="S241" s="194"/>
      <c r="T241" s="194"/>
      <c r="U241" s="194"/>
      <c r="V241" s="194"/>
      <c r="W241" s="194"/>
      <c r="X241" s="194"/>
      <c r="Y241" s="194"/>
      <c r="Z241" s="194"/>
      <c r="AA241" s="194"/>
      <c r="AB241" s="194"/>
      <c r="AC241" s="194"/>
      <c r="AD241" s="194"/>
      <c r="AE241" s="194"/>
      <c r="AF241" s="195"/>
      <c r="AG241" s="108">
        <f t="shared" si="42"/>
        <v>0</v>
      </c>
      <c r="AH241" s="442"/>
    </row>
    <row r="242" spans="1:34" ht="24" hidden="1" thickBot="1" x14ac:dyDescent="0.3">
      <c r="A242" s="198" t="s">
        <v>148</v>
      </c>
      <c r="B242" s="199">
        <f>SUM(B243:B248)</f>
        <v>0</v>
      </c>
      <c r="C242" s="199">
        <f t="shared" ref="C242:AF242" si="44">SUM(C243:C248)</f>
        <v>0</v>
      </c>
      <c r="D242" s="199">
        <f t="shared" si="44"/>
        <v>0</v>
      </c>
      <c r="E242" s="199">
        <f t="shared" si="44"/>
        <v>0</v>
      </c>
      <c r="F242" s="199">
        <f t="shared" si="44"/>
        <v>0</v>
      </c>
      <c r="G242" s="199">
        <f t="shared" si="44"/>
        <v>0</v>
      </c>
      <c r="H242" s="199">
        <f t="shared" si="44"/>
        <v>0</v>
      </c>
      <c r="I242" s="199">
        <f t="shared" si="44"/>
        <v>0</v>
      </c>
      <c r="J242" s="199">
        <f t="shared" si="44"/>
        <v>0</v>
      </c>
      <c r="K242" s="199">
        <f t="shared" si="44"/>
        <v>0</v>
      </c>
      <c r="L242" s="199">
        <f t="shared" si="44"/>
        <v>0</v>
      </c>
      <c r="M242" s="199">
        <f t="shared" si="44"/>
        <v>0</v>
      </c>
      <c r="N242" s="199">
        <f t="shared" si="44"/>
        <v>0</v>
      </c>
      <c r="O242" s="199">
        <f t="shared" si="44"/>
        <v>0</v>
      </c>
      <c r="P242" s="199">
        <f t="shared" si="44"/>
        <v>0</v>
      </c>
      <c r="Q242" s="199">
        <f t="shared" si="44"/>
        <v>0</v>
      </c>
      <c r="R242" s="199">
        <f t="shared" si="44"/>
        <v>0</v>
      </c>
      <c r="S242" s="199">
        <f t="shared" si="44"/>
        <v>0</v>
      </c>
      <c r="T242" s="199">
        <f t="shared" si="44"/>
        <v>0</v>
      </c>
      <c r="U242" s="199">
        <f t="shared" si="44"/>
        <v>0</v>
      </c>
      <c r="V242" s="199">
        <f t="shared" si="44"/>
        <v>0</v>
      </c>
      <c r="W242" s="199">
        <f t="shared" si="44"/>
        <v>0</v>
      </c>
      <c r="X242" s="199">
        <f t="shared" si="44"/>
        <v>0</v>
      </c>
      <c r="Y242" s="199">
        <f t="shared" si="44"/>
        <v>0</v>
      </c>
      <c r="Z242" s="199">
        <f t="shared" si="44"/>
        <v>0</v>
      </c>
      <c r="AA242" s="199">
        <f t="shared" si="44"/>
        <v>0</v>
      </c>
      <c r="AB242" s="199">
        <f t="shared" si="44"/>
        <v>0</v>
      </c>
      <c r="AC242" s="199">
        <f t="shared" si="44"/>
        <v>0</v>
      </c>
      <c r="AD242" s="199">
        <f t="shared" si="44"/>
        <v>0</v>
      </c>
      <c r="AE242" s="199">
        <f t="shared" si="44"/>
        <v>0</v>
      </c>
      <c r="AF242" s="200">
        <f t="shared" si="44"/>
        <v>0</v>
      </c>
      <c r="AG242" s="201">
        <f t="shared" si="42"/>
        <v>0</v>
      </c>
    </row>
    <row r="243" spans="1:34" ht="38.25" hidden="1" customHeight="1" x14ac:dyDescent="0.25">
      <c r="A243" s="227" t="s">
        <v>159</v>
      </c>
      <c r="B243" s="189"/>
      <c r="C243" s="189"/>
      <c r="D243" s="189"/>
      <c r="E243" s="189"/>
      <c r="F243" s="189"/>
      <c r="G243" s="189"/>
      <c r="H243" s="189"/>
      <c r="I243" s="189"/>
      <c r="J243" s="189"/>
      <c r="K243" s="189"/>
      <c r="L243" s="189"/>
      <c r="M243" s="189"/>
      <c r="N243" s="189"/>
      <c r="O243" s="189"/>
      <c r="P243" s="189"/>
      <c r="Q243" s="189"/>
      <c r="R243" s="189"/>
      <c r="S243" s="189"/>
      <c r="T243" s="189"/>
      <c r="U243" s="189"/>
      <c r="V243" s="189"/>
      <c r="W243" s="189"/>
      <c r="X243" s="189"/>
      <c r="Y243" s="189"/>
      <c r="Z243" s="189"/>
      <c r="AA243" s="189"/>
      <c r="AB243" s="189"/>
      <c r="AC243" s="189"/>
      <c r="AD243" s="189"/>
      <c r="AE243" s="189"/>
      <c r="AF243" s="196"/>
      <c r="AG243" s="197">
        <f t="shared" si="42"/>
        <v>0</v>
      </c>
    </row>
    <row r="244" spans="1:34" ht="40.5" hidden="1" customHeight="1" x14ac:dyDescent="0.25">
      <c r="A244" s="227" t="s">
        <v>160</v>
      </c>
      <c r="B244" s="189"/>
      <c r="C244" s="189"/>
      <c r="D244" s="189"/>
      <c r="E244" s="189"/>
      <c r="F244" s="189"/>
      <c r="G244" s="189"/>
      <c r="H244" s="189"/>
      <c r="I244" s="189"/>
      <c r="J244" s="189"/>
      <c r="K244" s="189"/>
      <c r="L244" s="189"/>
      <c r="M244" s="189"/>
      <c r="N244" s="189"/>
      <c r="O244" s="189"/>
      <c r="P244" s="189"/>
      <c r="Q244" s="189"/>
      <c r="R244" s="189"/>
      <c r="S244" s="189"/>
      <c r="T244" s="189"/>
      <c r="U244" s="189"/>
      <c r="V244" s="189"/>
      <c r="W244" s="189"/>
      <c r="X244" s="189"/>
      <c r="Y244" s="189"/>
      <c r="Z244" s="189"/>
      <c r="AA244" s="189"/>
      <c r="AB244" s="189"/>
      <c r="AC244" s="189"/>
      <c r="AD244" s="189"/>
      <c r="AE244" s="189"/>
      <c r="AF244" s="196"/>
      <c r="AG244" s="197"/>
    </row>
    <row r="245" spans="1:34" ht="40.5" hidden="1" customHeight="1" x14ac:dyDescent="0.25">
      <c r="A245" s="227" t="s">
        <v>161</v>
      </c>
      <c r="B245" s="189"/>
      <c r="C245" s="189"/>
      <c r="D245" s="189"/>
      <c r="E245" s="189"/>
      <c r="F245" s="189"/>
      <c r="G245" s="189"/>
      <c r="H245" s="189"/>
      <c r="I245" s="189"/>
      <c r="J245" s="189"/>
      <c r="K245" s="189"/>
      <c r="L245" s="189"/>
      <c r="M245" s="189"/>
      <c r="N245" s="189"/>
      <c r="O245" s="189"/>
      <c r="P245" s="189"/>
      <c r="Q245" s="189"/>
      <c r="R245" s="189"/>
      <c r="S245" s="189"/>
      <c r="T245" s="189"/>
      <c r="U245" s="189"/>
      <c r="V245" s="189"/>
      <c r="W245" s="189"/>
      <c r="X245" s="189"/>
      <c r="Y245" s="189"/>
      <c r="Z245" s="189"/>
      <c r="AA245" s="189"/>
      <c r="AB245" s="189"/>
      <c r="AC245" s="189"/>
      <c r="AD245" s="189"/>
      <c r="AE245" s="189"/>
      <c r="AF245" s="196"/>
      <c r="AG245" s="197"/>
    </row>
    <row r="246" spans="1:34" ht="40.5" hidden="1" customHeight="1" x14ac:dyDescent="0.25">
      <c r="A246" s="227" t="s">
        <v>162</v>
      </c>
      <c r="B246" s="189"/>
      <c r="C246" s="189"/>
      <c r="D246" s="189"/>
      <c r="E246" s="189"/>
      <c r="F246" s="189"/>
      <c r="G246" s="189"/>
      <c r="H246" s="189"/>
      <c r="I246" s="189"/>
      <c r="J246" s="189"/>
      <c r="K246" s="189"/>
      <c r="L246" s="189"/>
      <c r="M246" s="189"/>
      <c r="N246" s="189"/>
      <c r="O246" s="189"/>
      <c r="P246" s="189"/>
      <c r="Q246" s="189"/>
      <c r="R246" s="189"/>
      <c r="S246" s="189"/>
      <c r="T246" s="189"/>
      <c r="U246" s="189"/>
      <c r="V246" s="189"/>
      <c r="W246" s="189"/>
      <c r="X246" s="189"/>
      <c r="Y246" s="189"/>
      <c r="Z246" s="189"/>
      <c r="AA246" s="189"/>
      <c r="AB246" s="189"/>
      <c r="AC246" s="189"/>
      <c r="AD246" s="189"/>
      <c r="AE246" s="189"/>
      <c r="AF246" s="196"/>
      <c r="AG246" s="197"/>
    </row>
    <row r="247" spans="1:34" ht="40.5" hidden="1" customHeight="1" x14ac:dyDescent="0.25">
      <c r="A247" s="228" t="s">
        <v>163</v>
      </c>
      <c r="B247" s="137"/>
      <c r="C247" s="137"/>
      <c r="D247" s="137"/>
      <c r="E247" s="137"/>
      <c r="F247" s="137"/>
      <c r="G247" s="137"/>
      <c r="H247" s="137"/>
      <c r="I247" s="137"/>
      <c r="J247" s="137"/>
      <c r="K247" s="137"/>
      <c r="L247" s="137"/>
      <c r="M247" s="137"/>
      <c r="N247" s="137"/>
      <c r="O247" s="137"/>
      <c r="P247" s="137"/>
      <c r="Q247" s="137"/>
      <c r="R247" s="137"/>
      <c r="S247" s="137"/>
      <c r="T247" s="137"/>
      <c r="U247" s="137"/>
      <c r="V247" s="137"/>
      <c r="W247" s="137"/>
      <c r="X247" s="137"/>
      <c r="Y247" s="137"/>
      <c r="Z247" s="137"/>
      <c r="AA247" s="137"/>
      <c r="AB247" s="137"/>
      <c r="AC247" s="137"/>
      <c r="AD247" s="137"/>
      <c r="AE247" s="137"/>
      <c r="AF247" s="188"/>
      <c r="AG247" s="138">
        <f t="shared" si="42"/>
        <v>0</v>
      </c>
    </row>
    <row r="248" spans="1:34" ht="39.75" hidden="1" customHeight="1" thickBot="1" x14ac:dyDescent="0.3">
      <c r="A248" s="229" t="s">
        <v>164</v>
      </c>
      <c r="B248" s="222"/>
      <c r="C248" s="222"/>
      <c r="D248" s="222"/>
      <c r="E248" s="222"/>
      <c r="F248" s="222"/>
      <c r="G248" s="222"/>
      <c r="H248" s="222"/>
      <c r="I248" s="222"/>
      <c r="J248" s="222"/>
      <c r="K248" s="222"/>
      <c r="L248" s="222"/>
      <c r="M248" s="222"/>
      <c r="N248" s="222"/>
      <c r="O248" s="222"/>
      <c r="P248" s="222"/>
      <c r="Q248" s="222"/>
      <c r="R248" s="222"/>
      <c r="S248" s="222"/>
      <c r="T248" s="222"/>
      <c r="U248" s="222"/>
      <c r="V248" s="222"/>
      <c r="W248" s="222"/>
      <c r="X248" s="222"/>
      <c r="Y248" s="222"/>
      <c r="Z248" s="222"/>
      <c r="AA248" s="222"/>
      <c r="AB248" s="222"/>
      <c r="AC248" s="222"/>
      <c r="AD248" s="222"/>
      <c r="AE248" s="222"/>
      <c r="AF248" s="223"/>
      <c r="AG248" s="224">
        <f t="shared" si="42"/>
        <v>0</v>
      </c>
    </row>
    <row r="249" spans="1:34" ht="21.75" x14ac:dyDescent="0.25">
      <c r="A249" s="225" t="s">
        <v>151</v>
      </c>
      <c r="B249" s="363"/>
      <c r="C249" s="363"/>
      <c r="D249" s="363"/>
      <c r="E249" s="363"/>
      <c r="F249" s="363"/>
      <c r="G249" s="363"/>
      <c r="H249" s="363"/>
      <c r="I249" s="363"/>
      <c r="J249" s="363"/>
      <c r="K249" s="363"/>
      <c r="L249" s="363"/>
      <c r="M249" s="363"/>
      <c r="N249" s="363"/>
      <c r="O249" s="363"/>
      <c r="P249" s="363"/>
      <c r="Q249" s="363"/>
      <c r="R249" s="363"/>
      <c r="S249" s="363"/>
      <c r="T249" s="363"/>
      <c r="U249" s="363"/>
      <c r="V249" s="363"/>
      <c r="W249" s="363"/>
      <c r="X249" s="363"/>
      <c r="Y249" s="363"/>
      <c r="Z249" s="363"/>
      <c r="AA249" s="363"/>
      <c r="AB249" s="363"/>
      <c r="AC249" s="363"/>
      <c r="AD249" s="363"/>
      <c r="AE249" s="363"/>
      <c r="AF249" s="367"/>
      <c r="AG249" s="369">
        <f>SUM(B249:AF249)</f>
        <v>0</v>
      </c>
    </row>
    <row r="250" spans="1:34" ht="22.5" thickBot="1" x14ac:dyDescent="0.3">
      <c r="A250" s="226" t="s">
        <v>152</v>
      </c>
      <c r="B250" s="364"/>
      <c r="C250" s="364"/>
      <c r="D250" s="364"/>
      <c r="E250" s="364"/>
      <c r="F250" s="364"/>
      <c r="G250" s="364"/>
      <c r="H250" s="364"/>
      <c r="I250" s="364"/>
      <c r="J250" s="364"/>
      <c r="K250" s="364"/>
      <c r="L250" s="364"/>
      <c r="M250" s="364"/>
      <c r="N250" s="364"/>
      <c r="O250" s="364"/>
      <c r="P250" s="364"/>
      <c r="Q250" s="364"/>
      <c r="R250" s="364"/>
      <c r="S250" s="364"/>
      <c r="T250" s="364"/>
      <c r="U250" s="364"/>
      <c r="V250" s="364"/>
      <c r="W250" s="364"/>
      <c r="X250" s="364"/>
      <c r="Y250" s="364"/>
      <c r="Z250" s="364"/>
      <c r="AA250" s="364"/>
      <c r="AB250" s="364"/>
      <c r="AC250" s="364"/>
      <c r="AD250" s="364"/>
      <c r="AE250" s="364"/>
      <c r="AF250" s="368"/>
      <c r="AG250" s="370">
        <f>SUM(B250:AF250)</f>
        <v>0</v>
      </c>
    </row>
    <row r="270" ht="18.75" customHeight="1" x14ac:dyDescent="0.25"/>
    <row r="271" ht="18.75" customHeight="1" x14ac:dyDescent="0.25"/>
    <row r="272" ht="18.75" customHeight="1" x14ac:dyDescent="0.25"/>
    <row r="273" ht="18.75" customHeight="1" x14ac:dyDescent="0.25"/>
    <row r="274" ht="18.75" customHeight="1" x14ac:dyDescent="0.25"/>
    <row r="275" ht="18.75" customHeight="1" x14ac:dyDescent="0.25"/>
    <row r="276" ht="18.75" customHeight="1" x14ac:dyDescent="0.25"/>
    <row r="277" ht="18.75" customHeight="1" x14ac:dyDescent="0.25"/>
    <row r="278" ht="18.75" customHeight="1" x14ac:dyDescent="0.25"/>
    <row r="279" ht="18.75" customHeight="1" x14ac:dyDescent="0.25"/>
    <row r="280" ht="18.75" customHeight="1" x14ac:dyDescent="0.25"/>
    <row r="281" ht="19.5" customHeight="1" x14ac:dyDescent="0.25"/>
    <row r="283" ht="18.75" customHeight="1" x14ac:dyDescent="0.25"/>
    <row r="286" ht="18.75" customHeight="1" x14ac:dyDescent="0.25"/>
  </sheetData>
  <dataConsolidate/>
  <mergeCells count="5">
    <mergeCell ref="AH238:AH241"/>
    <mergeCell ref="A1:AG1"/>
    <mergeCell ref="AI84:AI86"/>
    <mergeCell ref="AH222:AH233"/>
    <mergeCell ref="AH235:AH237"/>
  </mergeCells>
  <conditionalFormatting sqref="B29:AF52">
    <cfRule type="cellIs" dxfId="142" priority="6" operator="lessThan">
      <formula>0</formula>
    </cfRule>
  </conditionalFormatting>
  <conditionalFormatting sqref="D54:D77">
    <cfRule type="cellIs" dxfId="141" priority="2" operator="lessThan">
      <formula>0</formula>
    </cfRule>
  </conditionalFormatting>
  <conditionalFormatting sqref="G54:G77">
    <cfRule type="cellIs" dxfId="140" priority="1" operator="lessThan">
      <formula>0</formula>
    </cfRule>
  </conditionalFormatting>
  <conditionalFormatting sqref="AH81">
    <cfRule type="cellIs" dxfId="139" priority="4" operator="equal">
      <formula>"*"</formula>
    </cfRule>
  </conditionalFormatting>
  <conditionalFormatting sqref="AH84 AH87">
    <cfRule type="cellIs" dxfId="138" priority="5" operator="equal">
      <formula>"*"</formula>
    </cfRule>
  </conditionalFormatting>
  <conditionalFormatting sqref="AH93">
    <cfRule type="cellIs" dxfId="137" priority="10" operator="equal">
      <formula>"*"</formula>
    </cfRule>
  </conditionalFormatting>
  <conditionalFormatting sqref="AH130">
    <cfRule type="cellIs" dxfId="136" priority="8" operator="equal">
      <formula>"*"</formula>
    </cfRule>
  </conditionalFormatting>
  <conditionalFormatting sqref="AH144:AH145">
    <cfRule type="cellIs" dxfId="135" priority="9" operator="equal">
      <formula>"*"</formula>
    </cfRule>
  </conditionalFormatting>
  <conditionalFormatting sqref="AH179">
    <cfRule type="cellIs" dxfId="134" priority="7" operator="equal">
      <formula>"*"</formula>
    </cfRule>
  </conditionalFormatting>
  <conditionalFormatting sqref="AH206">
    <cfRule type="cellIs" dxfId="133" priority="3" operator="equal">
      <formula>"X"</formula>
    </cfRule>
  </conditionalFormatting>
  <dataValidations disablePrompts="1" count="1">
    <dataValidation type="whole" allowBlank="1" showInputMessage="1" showErrorMessage="1" errorTitle="ERROR" error="Por favor ingrese solo Números" sqref="A98:A99 A101:A115" xr:uid="{00000000-0002-0000-0100-000000000000}">
      <formula1>0</formula1>
      <formula2>1000000000</formula2>
    </dataValidation>
  </dataValidations>
  <pageMargins left="0.7" right="0.7" top="0.75" bottom="0.75" header="0.3" footer="0.3"/>
  <pageSetup orientation="portrait" horizontalDpi="0" verticalDpi="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:P286"/>
  <sheetViews>
    <sheetView tabSelected="1" zoomScale="80" zoomScaleNormal="8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10" defaultRowHeight="15" x14ac:dyDescent="0.25"/>
  <cols>
    <col min="1" max="1" width="34.7109375" customWidth="1"/>
    <col min="2" max="8" width="8.28515625" customWidth="1"/>
    <col min="9" max="13" width="9.85546875" customWidth="1"/>
    <col min="14" max="14" width="11.140625" customWidth="1"/>
    <col min="15" max="15" width="12.42578125" customWidth="1"/>
  </cols>
  <sheetData>
    <row r="1" spans="1:14" ht="21.75" thickBot="1" x14ac:dyDescent="0.3">
      <c r="A1" s="431"/>
      <c r="B1" s="432"/>
      <c r="C1" s="432"/>
      <c r="D1" s="432"/>
      <c r="E1" s="432"/>
      <c r="F1" s="432"/>
      <c r="G1" s="432"/>
      <c r="H1" s="432"/>
      <c r="I1" s="432"/>
      <c r="J1" s="432"/>
      <c r="K1" s="432"/>
      <c r="L1" s="432"/>
      <c r="M1" s="432"/>
      <c r="N1" s="433"/>
    </row>
    <row r="2" spans="1:14" ht="32.25" thickBot="1" x14ac:dyDescent="0.3">
      <c r="A2" s="82" t="s">
        <v>616</v>
      </c>
      <c r="B2" s="230" t="s">
        <v>153</v>
      </c>
      <c r="C2" s="230" t="s">
        <v>154</v>
      </c>
      <c r="D2" s="230" t="s">
        <v>155</v>
      </c>
      <c r="E2" s="230" t="s">
        <v>156</v>
      </c>
      <c r="F2" s="230" t="s">
        <v>157</v>
      </c>
      <c r="G2" s="230" t="s">
        <v>158</v>
      </c>
      <c r="H2" s="230" t="s">
        <v>121</v>
      </c>
      <c r="I2" s="230" t="s">
        <v>129</v>
      </c>
      <c r="J2" s="230" t="s">
        <v>133</v>
      </c>
      <c r="K2" s="230" t="s">
        <v>134</v>
      </c>
      <c r="L2" s="230" t="s">
        <v>135</v>
      </c>
      <c r="M2" s="230" t="s">
        <v>136</v>
      </c>
      <c r="N2" s="3" t="s">
        <v>80</v>
      </c>
    </row>
    <row r="3" spans="1:14" ht="19.5" thickBot="1" x14ac:dyDescent="0.3">
      <c r="A3" s="299" t="s">
        <v>0</v>
      </c>
      <c r="B3" s="251">
        <f>+ENERO!$AG3</f>
        <v>5388</v>
      </c>
      <c r="C3" s="251">
        <f>+FEBRERO!$AG3</f>
        <v>5213</v>
      </c>
      <c r="D3" s="251">
        <f>+MARZO!$AG3</f>
        <v>4021</v>
      </c>
      <c r="E3" s="251">
        <f>+ABRIL!$AG3</f>
        <v>1992</v>
      </c>
      <c r="F3" s="251">
        <f>+MAYO!$AG3</f>
        <v>2659</v>
      </c>
      <c r="G3" s="251">
        <f>+JUNIO!$AG3</f>
        <v>2845</v>
      </c>
      <c r="H3" s="251">
        <f>+JULIO!$AG3</f>
        <v>3279</v>
      </c>
      <c r="I3" s="251">
        <f>+AGOSTO!$AG3</f>
        <v>3351</v>
      </c>
      <c r="J3" s="251">
        <f>+SEPTIEMBRE!$AG3</f>
        <v>3235</v>
      </c>
      <c r="K3" s="251">
        <f>+OCTUBRE!$AG3</f>
        <v>3797</v>
      </c>
      <c r="L3" s="251">
        <f>+NOVIEMBRE!$AG3</f>
        <v>4118</v>
      </c>
      <c r="M3" s="251">
        <f>+DICIEMBRE!$AG3</f>
        <v>4099</v>
      </c>
      <c r="N3" s="187">
        <f t="shared" ref="N3:N66" si="0">SUM(B3:M3)</f>
        <v>43997</v>
      </c>
    </row>
    <row r="4" spans="1:14" ht="18.75" x14ac:dyDescent="0.25">
      <c r="A4" s="300" t="s">
        <v>54</v>
      </c>
      <c r="B4" s="252">
        <f>+ENERO!$AG4</f>
        <v>55</v>
      </c>
      <c r="C4" s="252">
        <f>+FEBRERO!$AG4</f>
        <v>67</v>
      </c>
      <c r="D4" s="252">
        <f>+MARZO!$AG4</f>
        <v>46</v>
      </c>
      <c r="E4" s="252">
        <f>+ABRIL!$AG4</f>
        <v>77</v>
      </c>
      <c r="F4" s="252">
        <f>+MAYO!$AG4</f>
        <v>109</v>
      </c>
      <c r="G4" s="252">
        <f>+JUNIO!$AG4</f>
        <v>113</v>
      </c>
      <c r="H4" s="252">
        <f>+JULIO!$AG4</f>
        <v>165</v>
      </c>
      <c r="I4" s="252">
        <f>+AGOSTO!$AG4</f>
        <v>175</v>
      </c>
      <c r="J4" s="252">
        <f>+SEPTIEMBRE!$AG4</f>
        <v>129</v>
      </c>
      <c r="K4" s="252">
        <f>+OCTUBRE!$AG4</f>
        <v>141</v>
      </c>
      <c r="L4" s="252">
        <f>+NOVIEMBRE!$AG4</f>
        <v>67</v>
      </c>
      <c r="M4" s="252">
        <f>+DICIEMBRE!$AG4</f>
        <v>80</v>
      </c>
      <c r="N4" s="132">
        <f t="shared" si="0"/>
        <v>1224</v>
      </c>
    </row>
    <row r="5" spans="1:14" ht="18.75" x14ac:dyDescent="0.25">
      <c r="A5" s="301" t="s">
        <v>55</v>
      </c>
      <c r="B5" s="253">
        <f>+ENERO!$AG5</f>
        <v>80</v>
      </c>
      <c r="C5" s="253">
        <f>+FEBRERO!$AG5</f>
        <v>111</v>
      </c>
      <c r="D5" s="253">
        <f>+MARZO!$AG5</f>
        <v>80</v>
      </c>
      <c r="E5" s="253">
        <f>+ABRIL!$AG5</f>
        <v>108</v>
      </c>
      <c r="F5" s="253">
        <f>+MAYO!$AG5</f>
        <v>141</v>
      </c>
      <c r="G5" s="253">
        <f>+JUNIO!$AG5</f>
        <v>154</v>
      </c>
      <c r="H5" s="253">
        <f>+JULIO!$AG5</f>
        <v>190</v>
      </c>
      <c r="I5" s="253">
        <f>+AGOSTO!$AG5</f>
        <v>199</v>
      </c>
      <c r="J5" s="253">
        <f>+SEPTIEMBRE!$AG5</f>
        <v>159</v>
      </c>
      <c r="K5" s="253">
        <f>+OCTUBRE!$AG5</f>
        <v>166</v>
      </c>
      <c r="L5" s="253">
        <f>+NOVIEMBRE!$AG5</f>
        <v>120</v>
      </c>
      <c r="M5" s="253">
        <f>+DICIEMBRE!$AG5</f>
        <v>110</v>
      </c>
      <c r="N5" s="4">
        <f t="shared" si="0"/>
        <v>1618</v>
      </c>
    </row>
    <row r="6" spans="1:14" ht="18.75" x14ac:dyDescent="0.25">
      <c r="A6" s="301" t="s">
        <v>56</v>
      </c>
      <c r="B6" s="253">
        <f>+ENERO!$AG6</f>
        <v>113</v>
      </c>
      <c r="C6" s="253">
        <f>+FEBRERO!$AG6</f>
        <v>112</v>
      </c>
      <c r="D6" s="253">
        <f>+MARZO!$AG6</f>
        <v>91</v>
      </c>
      <c r="E6" s="253">
        <f>+ABRIL!$AG6</f>
        <v>110</v>
      </c>
      <c r="F6" s="253">
        <f>+MAYO!$AG6</f>
        <v>142</v>
      </c>
      <c r="G6" s="253">
        <f>+JUNIO!$AG6</f>
        <v>166</v>
      </c>
      <c r="H6" s="253">
        <f>+JULIO!$AG6</f>
        <v>214</v>
      </c>
      <c r="I6" s="253">
        <f>+AGOSTO!$AG6</f>
        <v>227</v>
      </c>
      <c r="J6" s="253">
        <f>+SEPTIEMBRE!$AG6</f>
        <v>175</v>
      </c>
      <c r="K6" s="253">
        <f>+OCTUBRE!$AG6</f>
        <v>199</v>
      </c>
      <c r="L6" s="253">
        <f>+NOVIEMBRE!$AG6</f>
        <v>137</v>
      </c>
      <c r="M6" s="253">
        <f>+DICIEMBRE!$AG6</f>
        <v>130</v>
      </c>
      <c r="N6" s="4">
        <f t="shared" si="0"/>
        <v>1816</v>
      </c>
    </row>
    <row r="7" spans="1:14" ht="18.75" x14ac:dyDescent="0.25">
      <c r="A7" s="301" t="s">
        <v>38</v>
      </c>
      <c r="B7" s="253">
        <f>+ENERO!$AG7</f>
        <v>108</v>
      </c>
      <c r="C7" s="253">
        <f>+FEBRERO!$AG7</f>
        <v>128</v>
      </c>
      <c r="D7" s="253">
        <f>+MARZO!$AG7</f>
        <v>114</v>
      </c>
      <c r="E7" s="253">
        <f>+ABRIL!$AG7</f>
        <v>117</v>
      </c>
      <c r="F7" s="253">
        <f>+MAYO!$AG7</f>
        <v>176</v>
      </c>
      <c r="G7" s="253">
        <f>+JUNIO!$AG7</f>
        <v>230</v>
      </c>
      <c r="H7" s="253">
        <f>+JULIO!$AG7</f>
        <v>207</v>
      </c>
      <c r="I7" s="253">
        <f>+AGOSTO!$AG7</f>
        <v>246</v>
      </c>
      <c r="J7" s="253">
        <f>+SEPTIEMBRE!$AG7</f>
        <v>227</v>
      </c>
      <c r="K7" s="253">
        <f>+OCTUBRE!$AG7</f>
        <v>236</v>
      </c>
      <c r="L7" s="253">
        <f>+NOVIEMBRE!$AG7</f>
        <v>157</v>
      </c>
      <c r="M7" s="253">
        <f>+DICIEMBRE!$AG7</f>
        <v>159</v>
      </c>
      <c r="N7" s="4">
        <f t="shared" si="0"/>
        <v>2105</v>
      </c>
    </row>
    <row r="8" spans="1:14" ht="18.75" x14ac:dyDescent="0.25">
      <c r="A8" s="301" t="s">
        <v>39</v>
      </c>
      <c r="B8" s="253">
        <f>+ENERO!$AG8</f>
        <v>108</v>
      </c>
      <c r="C8" s="253">
        <f>+FEBRERO!$AG8</f>
        <v>111</v>
      </c>
      <c r="D8" s="253">
        <f>+MARZO!$AG8</f>
        <v>121</v>
      </c>
      <c r="E8" s="253">
        <f>+ABRIL!$AG8</f>
        <v>137</v>
      </c>
      <c r="F8" s="253">
        <f>+MAYO!$AG8</f>
        <v>215</v>
      </c>
      <c r="G8" s="253">
        <f>+JUNIO!$AG8</f>
        <v>214</v>
      </c>
      <c r="H8" s="253">
        <f>+JULIO!$AG8</f>
        <v>216</v>
      </c>
      <c r="I8" s="253">
        <f>+AGOSTO!$AG8</f>
        <v>227</v>
      </c>
      <c r="J8" s="253">
        <f>+SEPTIEMBRE!$AG8</f>
        <v>259</v>
      </c>
      <c r="K8" s="253">
        <f>+OCTUBRE!$AG8</f>
        <v>243</v>
      </c>
      <c r="L8" s="253">
        <f>+NOVIEMBRE!$AG8</f>
        <v>162</v>
      </c>
      <c r="M8" s="253">
        <f>+DICIEMBRE!$AG8</f>
        <v>160</v>
      </c>
      <c r="N8" s="4">
        <f t="shared" si="0"/>
        <v>2173</v>
      </c>
    </row>
    <row r="9" spans="1:14" ht="18.75" x14ac:dyDescent="0.25">
      <c r="A9" s="301" t="s">
        <v>40</v>
      </c>
      <c r="B9" s="253">
        <f>+ENERO!$AG9</f>
        <v>114</v>
      </c>
      <c r="C9" s="253">
        <f>+FEBRERO!$AG9</f>
        <v>90</v>
      </c>
      <c r="D9" s="253">
        <f>+MARZO!$AG9</f>
        <v>93</v>
      </c>
      <c r="E9" s="253">
        <f>+ABRIL!$AG9</f>
        <v>106</v>
      </c>
      <c r="F9" s="253">
        <f>+MAYO!$AG9</f>
        <v>124</v>
      </c>
      <c r="G9" s="253">
        <f>+JUNIO!$AG9</f>
        <v>167</v>
      </c>
      <c r="H9" s="253">
        <f>+JULIO!$AG9</f>
        <v>175</v>
      </c>
      <c r="I9" s="253">
        <f>+AGOSTO!$AG9</f>
        <v>187</v>
      </c>
      <c r="J9" s="253">
        <f>+SEPTIEMBRE!$AG9</f>
        <v>197</v>
      </c>
      <c r="K9" s="253">
        <f>+OCTUBRE!$AG9</f>
        <v>201</v>
      </c>
      <c r="L9" s="253">
        <f>+NOVIEMBRE!$AG9</f>
        <v>169</v>
      </c>
      <c r="M9" s="253">
        <f>+DICIEMBRE!$AG9</f>
        <v>136</v>
      </c>
      <c r="N9" s="4">
        <f t="shared" si="0"/>
        <v>1759</v>
      </c>
    </row>
    <row r="10" spans="1:14" ht="18.75" x14ac:dyDescent="0.25">
      <c r="A10" s="301" t="s">
        <v>41</v>
      </c>
      <c r="B10" s="253">
        <f>+ENERO!$AG10</f>
        <v>96</v>
      </c>
      <c r="C10" s="253">
        <f>+FEBRERO!$AG10</f>
        <v>96</v>
      </c>
      <c r="D10" s="253">
        <f>+MARZO!$AG10</f>
        <v>82</v>
      </c>
      <c r="E10" s="253">
        <f>+ABRIL!$AG10</f>
        <v>124</v>
      </c>
      <c r="F10" s="253">
        <f>+MAYO!$AG10</f>
        <v>144</v>
      </c>
      <c r="G10" s="253">
        <f>+JUNIO!$AG10</f>
        <v>180</v>
      </c>
      <c r="H10" s="253">
        <f>+JULIO!$AG10</f>
        <v>235</v>
      </c>
      <c r="I10" s="253">
        <f>+AGOSTO!$AG10</f>
        <v>227</v>
      </c>
      <c r="J10" s="253">
        <f>+SEPTIEMBRE!$AG10</f>
        <v>215</v>
      </c>
      <c r="K10" s="253">
        <f>+OCTUBRE!$AG10</f>
        <v>225</v>
      </c>
      <c r="L10" s="253">
        <f>+NOVIEMBRE!$AG10</f>
        <v>368</v>
      </c>
      <c r="M10" s="253">
        <f>+DICIEMBRE!$AG10</f>
        <v>419</v>
      </c>
      <c r="N10" s="4">
        <f t="shared" si="0"/>
        <v>2411</v>
      </c>
    </row>
    <row r="11" spans="1:14" ht="18.75" x14ac:dyDescent="0.25">
      <c r="A11" s="301" t="s">
        <v>42</v>
      </c>
      <c r="B11" s="253">
        <f>+ENERO!$AG11</f>
        <v>101</v>
      </c>
      <c r="C11" s="253">
        <f>+FEBRERO!$AG11</f>
        <v>111</v>
      </c>
      <c r="D11" s="253">
        <f>+MARZO!$AG11</f>
        <v>103</v>
      </c>
      <c r="E11" s="253">
        <f>+ABRIL!$AG11</f>
        <v>123</v>
      </c>
      <c r="F11" s="253">
        <f>+MAYO!$AG11</f>
        <v>191</v>
      </c>
      <c r="G11" s="253">
        <f>+JUNIO!$AG11</f>
        <v>214</v>
      </c>
      <c r="H11" s="253">
        <f>+JULIO!$AG11</f>
        <v>227</v>
      </c>
      <c r="I11" s="253">
        <f>+AGOSTO!$AG11</f>
        <v>258</v>
      </c>
      <c r="J11" s="253">
        <f>+SEPTIEMBRE!$AG11</f>
        <v>212</v>
      </c>
      <c r="K11" s="253">
        <f>+OCTUBRE!$AG11</f>
        <v>253</v>
      </c>
      <c r="L11" s="253">
        <f>+NOVIEMBRE!$AG11</f>
        <v>259</v>
      </c>
      <c r="M11" s="253">
        <f>+DICIEMBRE!$AG11</f>
        <v>287</v>
      </c>
      <c r="N11" s="4">
        <f t="shared" si="0"/>
        <v>2339</v>
      </c>
    </row>
    <row r="12" spans="1:14" ht="18.75" x14ac:dyDescent="0.25">
      <c r="A12" s="301" t="s">
        <v>43</v>
      </c>
      <c r="B12" s="253">
        <f>+ENERO!$AG12</f>
        <v>123</v>
      </c>
      <c r="C12" s="253">
        <f>+FEBRERO!$AG12</f>
        <v>139</v>
      </c>
      <c r="D12" s="253">
        <f>+MARZO!$AG12</f>
        <v>87</v>
      </c>
      <c r="E12" s="253">
        <f>+ABRIL!$AG12</f>
        <v>145</v>
      </c>
      <c r="F12" s="253">
        <f>+MAYO!$AG12</f>
        <v>224</v>
      </c>
      <c r="G12" s="253">
        <f>+JUNIO!$AG12</f>
        <v>243</v>
      </c>
      <c r="H12" s="253">
        <f>+JULIO!$AG12</f>
        <v>300</v>
      </c>
      <c r="I12" s="253">
        <f>+AGOSTO!$AG12</f>
        <v>248</v>
      </c>
      <c r="J12" s="253">
        <f>+SEPTIEMBRE!$AG12</f>
        <v>253</v>
      </c>
      <c r="K12" s="253">
        <f>+OCTUBRE!$AG12</f>
        <v>298</v>
      </c>
      <c r="L12" s="253">
        <f>+NOVIEMBRE!$AG12</f>
        <v>362</v>
      </c>
      <c r="M12" s="253">
        <f>+DICIEMBRE!$AG12</f>
        <v>359</v>
      </c>
      <c r="N12" s="4">
        <f t="shared" si="0"/>
        <v>2781</v>
      </c>
    </row>
    <row r="13" spans="1:14" ht="18.75" x14ac:dyDescent="0.25">
      <c r="A13" s="301" t="s">
        <v>44</v>
      </c>
      <c r="B13" s="253">
        <f>+ENERO!$AG13</f>
        <v>1360</v>
      </c>
      <c r="C13" s="253">
        <f>+FEBRERO!$AG13</f>
        <v>1170</v>
      </c>
      <c r="D13" s="253">
        <f>+MARZO!$AG13</f>
        <v>1013</v>
      </c>
      <c r="E13" s="253">
        <f>+ABRIL!$AG13</f>
        <v>187</v>
      </c>
      <c r="F13" s="253">
        <f>+MAYO!$AG13</f>
        <v>267</v>
      </c>
      <c r="G13" s="253">
        <f>+JUNIO!$AG13</f>
        <v>251</v>
      </c>
      <c r="H13" s="253">
        <f>+JULIO!$AG13</f>
        <v>353</v>
      </c>
      <c r="I13" s="253">
        <f>+AGOSTO!$AG13</f>
        <v>309</v>
      </c>
      <c r="J13" s="253">
        <f>+SEPTIEMBRE!$AG13</f>
        <v>240</v>
      </c>
      <c r="K13" s="253">
        <f>+OCTUBRE!$AG13</f>
        <v>372</v>
      </c>
      <c r="L13" s="253">
        <f>+NOVIEMBRE!$AG13</f>
        <v>454</v>
      </c>
      <c r="M13" s="253">
        <f>+DICIEMBRE!$AG13</f>
        <v>390</v>
      </c>
      <c r="N13" s="4">
        <f t="shared" si="0"/>
        <v>6366</v>
      </c>
    </row>
    <row r="14" spans="1:14" ht="18.75" x14ac:dyDescent="0.25">
      <c r="A14" s="301" t="s">
        <v>45</v>
      </c>
      <c r="B14" s="253">
        <f>+ENERO!$AG14</f>
        <v>514</v>
      </c>
      <c r="C14" s="253">
        <f>+FEBRERO!$AG14</f>
        <v>501</v>
      </c>
      <c r="D14" s="253">
        <f>+MARZO!$AG14</f>
        <v>411</v>
      </c>
      <c r="E14" s="253">
        <f>+ABRIL!$AG14</f>
        <v>141</v>
      </c>
      <c r="F14" s="253">
        <f>+MAYO!$AG14</f>
        <v>192</v>
      </c>
      <c r="G14" s="253">
        <f>+JUNIO!$AG14</f>
        <v>195</v>
      </c>
      <c r="H14" s="253">
        <f>+JULIO!$AG14</f>
        <v>255</v>
      </c>
      <c r="I14" s="253">
        <f>+AGOSTO!$AG14</f>
        <v>231</v>
      </c>
      <c r="J14" s="253">
        <f>+SEPTIEMBRE!$AG14</f>
        <v>248</v>
      </c>
      <c r="K14" s="253">
        <f>+OCTUBRE!$AG14</f>
        <v>307</v>
      </c>
      <c r="L14" s="253">
        <f>+NOVIEMBRE!$AG14</f>
        <v>340</v>
      </c>
      <c r="M14" s="253">
        <f>+DICIEMBRE!$AG14</f>
        <v>326</v>
      </c>
      <c r="N14" s="4">
        <f t="shared" si="0"/>
        <v>3661</v>
      </c>
    </row>
    <row r="15" spans="1:14" ht="18.75" x14ac:dyDescent="0.25">
      <c r="A15" s="301" t="s">
        <v>46</v>
      </c>
      <c r="B15" s="253">
        <f>+ENERO!$AG15</f>
        <v>448</v>
      </c>
      <c r="C15" s="253">
        <f>+FEBRERO!$AG15</f>
        <v>479</v>
      </c>
      <c r="D15" s="253">
        <f>+MARZO!$AG15</f>
        <v>388</v>
      </c>
      <c r="E15" s="253">
        <f>+ABRIL!$AG15</f>
        <v>94</v>
      </c>
      <c r="F15" s="253">
        <f>+MAYO!$AG15</f>
        <v>168</v>
      </c>
      <c r="G15" s="253">
        <f>+JUNIO!$AG15</f>
        <v>179</v>
      </c>
      <c r="H15" s="253">
        <f>+JULIO!$AG15</f>
        <v>179</v>
      </c>
      <c r="I15" s="253">
        <f>+AGOSTO!$AG15</f>
        <v>175</v>
      </c>
      <c r="J15" s="253">
        <f>+SEPTIEMBRE!$AG15</f>
        <v>177</v>
      </c>
      <c r="K15" s="253">
        <f>+OCTUBRE!$AG15</f>
        <v>238</v>
      </c>
      <c r="L15" s="253">
        <f>+NOVIEMBRE!$AG15</f>
        <v>300</v>
      </c>
      <c r="M15" s="253">
        <f>+DICIEMBRE!$AG15</f>
        <v>307</v>
      </c>
      <c r="N15" s="4">
        <f t="shared" si="0"/>
        <v>3132</v>
      </c>
    </row>
    <row r="16" spans="1:14" ht="18.75" x14ac:dyDescent="0.25">
      <c r="A16" s="301" t="s">
        <v>47</v>
      </c>
      <c r="B16" s="253">
        <f>+ENERO!$AG16</f>
        <v>510</v>
      </c>
      <c r="C16" s="253">
        <f>+FEBRERO!$AG16</f>
        <v>461</v>
      </c>
      <c r="D16" s="253">
        <f>+MARZO!$AG16</f>
        <v>356</v>
      </c>
      <c r="E16" s="253">
        <f>+ABRIL!$AG16</f>
        <v>104</v>
      </c>
      <c r="F16" s="253">
        <f>+MAYO!$AG16</f>
        <v>119</v>
      </c>
      <c r="G16" s="253">
        <f>+JUNIO!$AG16</f>
        <v>112</v>
      </c>
      <c r="H16" s="253">
        <f>+JULIO!$AG16</f>
        <v>140</v>
      </c>
      <c r="I16" s="253">
        <f>+AGOSTO!$AG16</f>
        <v>176</v>
      </c>
      <c r="J16" s="253">
        <f>+SEPTIEMBRE!$AG16</f>
        <v>182</v>
      </c>
      <c r="K16" s="253">
        <f>+OCTUBRE!$AG16</f>
        <v>179</v>
      </c>
      <c r="L16" s="253">
        <f>+NOVIEMBRE!$AG16</f>
        <v>263</v>
      </c>
      <c r="M16" s="253">
        <f>+DICIEMBRE!$AG16</f>
        <v>270</v>
      </c>
      <c r="N16" s="4">
        <f t="shared" si="0"/>
        <v>2872</v>
      </c>
    </row>
    <row r="17" spans="1:14" ht="18.75" x14ac:dyDescent="0.25">
      <c r="A17" s="301" t="s">
        <v>48</v>
      </c>
      <c r="B17" s="253">
        <f>+ENERO!$AG17</f>
        <v>443</v>
      </c>
      <c r="C17" s="253">
        <f>+FEBRERO!$AG17</f>
        <v>464</v>
      </c>
      <c r="D17" s="253">
        <f>+MARZO!$AG17</f>
        <v>290</v>
      </c>
      <c r="E17" s="253">
        <f>+ABRIL!$AG17</f>
        <v>98</v>
      </c>
      <c r="F17" s="253">
        <f>+MAYO!$AG17</f>
        <v>99</v>
      </c>
      <c r="G17" s="253">
        <f>+JUNIO!$AG17</f>
        <v>103</v>
      </c>
      <c r="H17" s="253">
        <f>+JULIO!$AG17</f>
        <v>127</v>
      </c>
      <c r="I17" s="253">
        <f>+AGOSTO!$AG17</f>
        <v>145</v>
      </c>
      <c r="J17" s="253">
        <f>+SEPTIEMBRE!$AG17</f>
        <v>140</v>
      </c>
      <c r="K17" s="253">
        <f>+OCTUBRE!$AG17</f>
        <v>225</v>
      </c>
      <c r="L17" s="253">
        <f>+NOVIEMBRE!$AG17</f>
        <v>272</v>
      </c>
      <c r="M17" s="253">
        <f>+DICIEMBRE!$AG17</f>
        <v>268</v>
      </c>
      <c r="N17" s="4">
        <f t="shared" si="0"/>
        <v>2674</v>
      </c>
    </row>
    <row r="18" spans="1:14" ht="18.75" x14ac:dyDescent="0.25">
      <c r="A18" s="301" t="s">
        <v>49</v>
      </c>
      <c r="B18" s="253">
        <f>+ENERO!$AG18</f>
        <v>414</v>
      </c>
      <c r="C18" s="253">
        <f>+FEBRERO!$AG18</f>
        <v>412</v>
      </c>
      <c r="D18" s="253">
        <f>+MARZO!$AG18</f>
        <v>248</v>
      </c>
      <c r="E18" s="253">
        <f>+ABRIL!$AG18</f>
        <v>61</v>
      </c>
      <c r="F18" s="253">
        <f>+MAYO!$AG18</f>
        <v>66</v>
      </c>
      <c r="G18" s="253">
        <f>+JUNIO!$AG18</f>
        <v>82</v>
      </c>
      <c r="H18" s="253">
        <f>+JULIO!$AG18</f>
        <v>65</v>
      </c>
      <c r="I18" s="253">
        <f>+AGOSTO!$AG18</f>
        <v>97</v>
      </c>
      <c r="J18" s="253">
        <f>+SEPTIEMBRE!$AG18</f>
        <v>106</v>
      </c>
      <c r="K18" s="253">
        <f>+OCTUBRE!$AG18</f>
        <v>174</v>
      </c>
      <c r="L18" s="253">
        <f>+NOVIEMBRE!$AG18</f>
        <v>236</v>
      </c>
      <c r="M18" s="253">
        <f>+DICIEMBRE!$AG18</f>
        <v>205</v>
      </c>
      <c r="N18" s="4">
        <f t="shared" si="0"/>
        <v>2166</v>
      </c>
    </row>
    <row r="19" spans="1:14" ht="18.75" x14ac:dyDescent="0.25">
      <c r="A19" s="301" t="s">
        <v>50</v>
      </c>
      <c r="B19" s="253">
        <f>+ENERO!$AG19</f>
        <v>307</v>
      </c>
      <c r="C19" s="253">
        <f>+FEBRERO!$AG19</f>
        <v>307</v>
      </c>
      <c r="D19" s="253">
        <f>+MARZO!$AG19</f>
        <v>168</v>
      </c>
      <c r="E19" s="253">
        <f>+ABRIL!$AG19</f>
        <v>44</v>
      </c>
      <c r="F19" s="253">
        <f>+MAYO!$AG19</f>
        <v>77</v>
      </c>
      <c r="G19" s="253">
        <f>+JUNIO!$AG19</f>
        <v>60</v>
      </c>
      <c r="H19" s="253">
        <f>+JULIO!$AG19</f>
        <v>52</v>
      </c>
      <c r="I19" s="253">
        <f>+AGOSTO!$AG19</f>
        <v>49</v>
      </c>
      <c r="J19" s="253">
        <f>+SEPTIEMBRE!$AG19</f>
        <v>86</v>
      </c>
      <c r="K19" s="253">
        <f>+OCTUBRE!$AG19</f>
        <v>100</v>
      </c>
      <c r="L19" s="253">
        <f>+NOVIEMBRE!$AG19</f>
        <v>145</v>
      </c>
      <c r="M19" s="253">
        <f>+DICIEMBRE!$AG19</f>
        <v>147</v>
      </c>
      <c r="N19" s="4">
        <f t="shared" si="0"/>
        <v>1542</v>
      </c>
    </row>
    <row r="20" spans="1:14" ht="18.75" x14ac:dyDescent="0.25">
      <c r="A20" s="301" t="s">
        <v>33</v>
      </c>
      <c r="B20" s="253">
        <f>+ENERO!$AG20</f>
        <v>163</v>
      </c>
      <c r="C20" s="253">
        <f>+FEBRERO!$AG20</f>
        <v>139</v>
      </c>
      <c r="D20" s="253">
        <f>+MARZO!$AG20</f>
        <v>92</v>
      </c>
      <c r="E20" s="253">
        <f>+ABRIL!$AG20</f>
        <v>44</v>
      </c>
      <c r="F20" s="253">
        <f>+MAYO!$AG20</f>
        <v>61</v>
      </c>
      <c r="G20" s="253">
        <f>+JUNIO!$AG20</f>
        <v>45</v>
      </c>
      <c r="H20" s="253">
        <f>+JULIO!$AG20</f>
        <v>42</v>
      </c>
      <c r="I20" s="253">
        <f>+AGOSTO!$AG20</f>
        <v>33</v>
      </c>
      <c r="J20" s="253">
        <f>+SEPTIEMBRE!$AG20</f>
        <v>48</v>
      </c>
      <c r="K20" s="253">
        <f>+OCTUBRE!$AG20</f>
        <v>69</v>
      </c>
      <c r="L20" s="253">
        <f>+NOVIEMBRE!$AG20</f>
        <v>121</v>
      </c>
      <c r="M20" s="253">
        <f>+DICIEMBRE!$AG20</f>
        <v>110</v>
      </c>
      <c r="N20" s="4">
        <f t="shared" si="0"/>
        <v>967</v>
      </c>
    </row>
    <row r="21" spans="1:14" ht="18.75" x14ac:dyDescent="0.25">
      <c r="A21" s="301" t="s">
        <v>34</v>
      </c>
      <c r="B21" s="253">
        <f>+ENERO!$AG21</f>
        <v>105</v>
      </c>
      <c r="C21" s="253">
        <f>+FEBRERO!$AG21</f>
        <v>113</v>
      </c>
      <c r="D21" s="253">
        <f>+MARZO!$AG21</f>
        <v>73</v>
      </c>
      <c r="E21" s="253">
        <f>+ABRIL!$AG21</f>
        <v>47</v>
      </c>
      <c r="F21" s="253">
        <f>+MAYO!$AG21</f>
        <v>39</v>
      </c>
      <c r="G21" s="253">
        <f>+JUNIO!$AG21</f>
        <v>38</v>
      </c>
      <c r="H21" s="253">
        <f>+JULIO!$AG21</f>
        <v>36</v>
      </c>
      <c r="I21" s="253">
        <f>+AGOSTO!$AG21</f>
        <v>26</v>
      </c>
      <c r="J21" s="253">
        <f>+SEPTIEMBRE!$AG21</f>
        <v>49</v>
      </c>
      <c r="K21" s="253">
        <f>+OCTUBRE!$AG21</f>
        <v>44</v>
      </c>
      <c r="L21" s="253">
        <f>+NOVIEMBRE!$AG21</f>
        <v>53</v>
      </c>
      <c r="M21" s="253">
        <f>+DICIEMBRE!$AG21</f>
        <v>85</v>
      </c>
      <c r="N21" s="4">
        <f t="shared" si="0"/>
        <v>708</v>
      </c>
    </row>
    <row r="22" spans="1:14" ht="18.75" x14ac:dyDescent="0.25">
      <c r="A22" s="301" t="s">
        <v>35</v>
      </c>
      <c r="B22" s="253">
        <f>+ENERO!$AG22</f>
        <v>78</v>
      </c>
      <c r="C22" s="253">
        <f>+FEBRERO!$AG22</f>
        <v>54</v>
      </c>
      <c r="D22" s="253">
        <f>+MARZO!$AG22</f>
        <v>65</v>
      </c>
      <c r="E22" s="253">
        <f>+ABRIL!$AG22</f>
        <v>47</v>
      </c>
      <c r="F22" s="253">
        <f>+MAYO!$AG22</f>
        <v>24</v>
      </c>
      <c r="G22" s="253">
        <f>+JUNIO!$AG22</f>
        <v>25</v>
      </c>
      <c r="H22" s="253">
        <f>+JULIO!$AG22</f>
        <v>25</v>
      </c>
      <c r="I22" s="253">
        <f>+AGOSTO!$AG22</f>
        <v>30</v>
      </c>
      <c r="J22" s="253">
        <f>+SEPTIEMBRE!$AG22</f>
        <v>43</v>
      </c>
      <c r="K22" s="253">
        <f>+OCTUBRE!$AG22</f>
        <v>28</v>
      </c>
      <c r="L22" s="253">
        <f>+NOVIEMBRE!$AG22</f>
        <v>29</v>
      </c>
      <c r="M22" s="253">
        <f>+DICIEMBRE!$AG22</f>
        <v>30</v>
      </c>
      <c r="N22" s="4">
        <f t="shared" si="0"/>
        <v>478</v>
      </c>
    </row>
    <row r="23" spans="1:14" ht="18.75" x14ac:dyDescent="0.25">
      <c r="A23" s="301" t="s">
        <v>36</v>
      </c>
      <c r="B23" s="253">
        <f>+ENERO!$AG23</f>
        <v>35</v>
      </c>
      <c r="C23" s="253">
        <f>+FEBRERO!$AG23</f>
        <v>41</v>
      </c>
      <c r="D23" s="253">
        <f>+MARZO!$AG23</f>
        <v>27</v>
      </c>
      <c r="E23" s="253">
        <f>+ABRIL!$AG23</f>
        <v>17</v>
      </c>
      <c r="F23" s="253">
        <f>+MAYO!$AG23</f>
        <v>20</v>
      </c>
      <c r="G23" s="253">
        <f>+JUNIO!$AG23</f>
        <v>24</v>
      </c>
      <c r="H23" s="253">
        <f>+JULIO!$AG23</f>
        <v>15</v>
      </c>
      <c r="I23" s="253">
        <f>+AGOSTO!$AG23</f>
        <v>21</v>
      </c>
      <c r="J23" s="253">
        <f>+SEPTIEMBRE!$AG23</f>
        <v>29</v>
      </c>
      <c r="K23" s="253">
        <f>+OCTUBRE!$AG23</f>
        <v>24</v>
      </c>
      <c r="L23" s="253">
        <f>+NOVIEMBRE!$AG23</f>
        <v>26</v>
      </c>
      <c r="M23" s="253">
        <f>+DICIEMBRE!$AG23</f>
        <v>38</v>
      </c>
      <c r="N23" s="4">
        <f t="shared" si="0"/>
        <v>317</v>
      </c>
    </row>
    <row r="24" spans="1:14" ht="18.75" x14ac:dyDescent="0.25">
      <c r="A24" s="301" t="s">
        <v>51</v>
      </c>
      <c r="B24" s="253">
        <f>+ENERO!$AG24</f>
        <v>41</v>
      </c>
      <c r="C24" s="253">
        <f>+FEBRERO!$AG24</f>
        <v>36</v>
      </c>
      <c r="D24" s="253">
        <f>+MARZO!$AG24</f>
        <v>13</v>
      </c>
      <c r="E24" s="253">
        <f>+ABRIL!$AG24</f>
        <v>22</v>
      </c>
      <c r="F24" s="253">
        <f>+MAYO!$AG24</f>
        <v>20</v>
      </c>
      <c r="G24" s="253">
        <f>+JUNIO!$AG24</f>
        <v>11</v>
      </c>
      <c r="H24" s="253">
        <f>+JULIO!$AG24</f>
        <v>11</v>
      </c>
      <c r="I24" s="253">
        <f>+AGOSTO!$AG24</f>
        <v>21</v>
      </c>
      <c r="J24" s="253">
        <f>+SEPTIEMBRE!$AG24</f>
        <v>12</v>
      </c>
      <c r="K24" s="253">
        <f>+OCTUBRE!$AG24</f>
        <v>17</v>
      </c>
      <c r="L24" s="253">
        <f>+NOVIEMBRE!$AG24</f>
        <v>19</v>
      </c>
      <c r="M24" s="253">
        <f>+DICIEMBRE!$AG24</f>
        <v>14</v>
      </c>
      <c r="N24" s="4">
        <f t="shared" si="0"/>
        <v>237</v>
      </c>
    </row>
    <row r="25" spans="1:14" ht="18.75" x14ac:dyDescent="0.25">
      <c r="A25" s="301" t="s">
        <v>52</v>
      </c>
      <c r="B25" s="253">
        <f>+ENERO!$AG25</f>
        <v>37</v>
      </c>
      <c r="C25" s="253">
        <f>+FEBRERO!$AG25</f>
        <v>34</v>
      </c>
      <c r="D25" s="253">
        <f>+MARZO!$AG25</f>
        <v>20</v>
      </c>
      <c r="E25" s="253">
        <f>+ABRIL!$AG25</f>
        <v>16</v>
      </c>
      <c r="F25" s="253">
        <f>+MAYO!$AG25</f>
        <v>15</v>
      </c>
      <c r="G25" s="253">
        <f>+JUNIO!$AG25</f>
        <v>11</v>
      </c>
      <c r="H25" s="253">
        <f>+JULIO!$AG25</f>
        <v>20</v>
      </c>
      <c r="I25" s="253">
        <f>+AGOSTO!$AG25</f>
        <v>11</v>
      </c>
      <c r="J25" s="253">
        <f>+SEPTIEMBRE!$AG25</f>
        <v>9</v>
      </c>
      <c r="K25" s="253">
        <f>+OCTUBRE!$AG25</f>
        <v>13</v>
      </c>
      <c r="L25" s="253">
        <f>+NOVIEMBRE!$AG25</f>
        <v>13</v>
      </c>
      <c r="M25" s="253">
        <f>+DICIEMBRE!$AG25</f>
        <v>25</v>
      </c>
      <c r="N25" s="4">
        <f t="shared" si="0"/>
        <v>224</v>
      </c>
    </row>
    <row r="26" spans="1:14" ht="18.75" x14ac:dyDescent="0.25">
      <c r="A26" s="301" t="s">
        <v>37</v>
      </c>
      <c r="B26" s="253">
        <f>+ENERO!$AG26</f>
        <v>26</v>
      </c>
      <c r="C26" s="253">
        <f>+FEBRERO!$AG26</f>
        <v>25</v>
      </c>
      <c r="D26" s="253">
        <f>+MARZO!$AG26</f>
        <v>22</v>
      </c>
      <c r="E26" s="253">
        <f>+ABRIL!$AG26</f>
        <v>11</v>
      </c>
      <c r="F26" s="253">
        <f>+MAYO!$AG26</f>
        <v>11</v>
      </c>
      <c r="G26" s="253">
        <f>+JUNIO!$AG26</f>
        <v>7</v>
      </c>
      <c r="H26" s="253">
        <f>+JULIO!$AG26</f>
        <v>13</v>
      </c>
      <c r="I26" s="253">
        <f>+AGOSTO!$AG26</f>
        <v>7</v>
      </c>
      <c r="J26" s="253">
        <f>+SEPTIEMBRE!$AG26</f>
        <v>18</v>
      </c>
      <c r="K26" s="253">
        <f>+OCTUBRE!$AG26</f>
        <v>14</v>
      </c>
      <c r="L26" s="253">
        <f>+NOVIEMBRE!$AG26</f>
        <v>26</v>
      </c>
      <c r="M26" s="253">
        <f>+DICIEMBRE!$AG26</f>
        <v>21</v>
      </c>
      <c r="N26" s="4">
        <f t="shared" si="0"/>
        <v>201</v>
      </c>
    </row>
    <row r="27" spans="1:14" ht="19.5" thickBot="1" x14ac:dyDescent="0.3">
      <c r="A27" s="302" t="s">
        <v>53</v>
      </c>
      <c r="B27" s="254">
        <f>+ENERO!$AG27</f>
        <v>9</v>
      </c>
      <c r="C27" s="254">
        <f>+FEBRERO!$AG27</f>
        <v>12</v>
      </c>
      <c r="D27" s="254">
        <f>+MARZO!$AG27</f>
        <v>18</v>
      </c>
      <c r="E27" s="254">
        <f>+ABRIL!$AG27</f>
        <v>12</v>
      </c>
      <c r="F27" s="254">
        <f>+MAYO!$AG27</f>
        <v>15</v>
      </c>
      <c r="G27" s="254">
        <f>+JUNIO!$AG27</f>
        <v>21</v>
      </c>
      <c r="H27" s="254">
        <f>+JULIO!$AG27</f>
        <v>17</v>
      </c>
      <c r="I27" s="254">
        <f>+AGOSTO!$AG27</f>
        <v>26</v>
      </c>
      <c r="J27" s="254">
        <f>+SEPTIEMBRE!$AG27</f>
        <v>22</v>
      </c>
      <c r="K27" s="254">
        <f>+OCTUBRE!$AG27</f>
        <v>31</v>
      </c>
      <c r="L27" s="254">
        <f>+NOVIEMBRE!$AG27</f>
        <v>20</v>
      </c>
      <c r="M27" s="254">
        <f>+DICIEMBRE!$AG27</f>
        <v>23</v>
      </c>
      <c r="N27" s="4">
        <f t="shared" si="0"/>
        <v>226</v>
      </c>
    </row>
    <row r="28" spans="1:14" ht="18.75" x14ac:dyDescent="0.25">
      <c r="A28" s="303" t="s">
        <v>107</v>
      </c>
      <c r="B28" s="255">
        <f>+ENERO!$AG28</f>
        <v>4894</v>
      </c>
      <c r="C28" s="255">
        <f>+FEBRERO!$AG28</f>
        <v>4759</v>
      </c>
      <c r="D28" s="255">
        <f>+MARZO!$AG28</f>
        <v>3702</v>
      </c>
      <c r="E28" s="255">
        <f>+ABRIL!$AG28</f>
        <v>1895</v>
      </c>
      <c r="F28" s="255">
        <f>+MAYO!$AG28</f>
        <v>2536</v>
      </c>
      <c r="G28" s="255">
        <f>+JUNIO!$AG28</f>
        <v>2696</v>
      </c>
      <c r="H28" s="255">
        <f>+JULIO!$AG28</f>
        <v>3064</v>
      </c>
      <c r="I28" s="255">
        <f>+AGOSTO!$AG28</f>
        <v>3157</v>
      </c>
      <c r="J28" s="255">
        <f>+SEPTIEMBRE!$AG28</f>
        <v>3068</v>
      </c>
      <c r="K28" s="255">
        <f>+OCTUBRE!$AG28</f>
        <v>3624</v>
      </c>
      <c r="L28" s="255">
        <f>+NOVIEMBRE!$AG28</f>
        <v>3874</v>
      </c>
      <c r="M28" s="255">
        <f>+DICIEMBRE!$AG28</f>
        <v>3881</v>
      </c>
      <c r="N28" s="150">
        <f t="shared" si="0"/>
        <v>41150</v>
      </c>
    </row>
    <row r="29" spans="1:14" ht="18.75" x14ac:dyDescent="0.25">
      <c r="A29" s="301" t="s">
        <v>54</v>
      </c>
      <c r="B29" s="253">
        <f>+ENERO!$AG29</f>
        <v>31</v>
      </c>
      <c r="C29" s="253">
        <f>+FEBRERO!$AG29</f>
        <v>39</v>
      </c>
      <c r="D29" s="253">
        <f>+MARZO!$AG29</f>
        <v>25</v>
      </c>
      <c r="E29" s="253">
        <f>+ABRIL!$AG29</f>
        <v>25</v>
      </c>
      <c r="F29" s="253">
        <f>+MAYO!$AG29</f>
        <v>40</v>
      </c>
      <c r="G29" s="253">
        <f>+JUNIO!$AG29</f>
        <v>50</v>
      </c>
      <c r="H29" s="253">
        <f>+JULIO!$AG29</f>
        <v>64</v>
      </c>
      <c r="I29" s="253">
        <f>+AGOSTO!$AG29</f>
        <v>82</v>
      </c>
      <c r="J29" s="253">
        <f>+SEPTIEMBRE!$AG29</f>
        <v>45</v>
      </c>
      <c r="K29" s="253">
        <f>+OCTUBRE!$AG29</f>
        <v>53</v>
      </c>
      <c r="L29" s="253">
        <f>+NOVIEMBRE!$AG29</f>
        <v>29</v>
      </c>
      <c r="M29" s="253">
        <f>+DICIEMBRE!$AG29</f>
        <v>35</v>
      </c>
      <c r="N29" s="4">
        <f t="shared" si="0"/>
        <v>518</v>
      </c>
    </row>
    <row r="30" spans="1:14" ht="18.75" x14ac:dyDescent="0.25">
      <c r="A30" s="301" t="s">
        <v>55</v>
      </c>
      <c r="B30" s="253">
        <f>+ENERO!$AG30</f>
        <v>52</v>
      </c>
      <c r="C30" s="253">
        <f>+FEBRERO!$AG30</f>
        <v>61</v>
      </c>
      <c r="D30" s="253">
        <f>+MARZO!$AG30</f>
        <v>43</v>
      </c>
      <c r="E30" s="253">
        <f>+ABRIL!$AG30</f>
        <v>102</v>
      </c>
      <c r="F30" s="253">
        <f>+MAYO!$AG30</f>
        <v>132</v>
      </c>
      <c r="G30" s="253">
        <f>+JUNIO!$AG30</f>
        <v>129</v>
      </c>
      <c r="H30" s="253">
        <f>+JULIO!$AG30</f>
        <v>176</v>
      </c>
      <c r="I30" s="253">
        <f>+AGOSTO!$AG30</f>
        <v>165</v>
      </c>
      <c r="J30" s="253">
        <f>+SEPTIEMBRE!$AG30</f>
        <v>158</v>
      </c>
      <c r="K30" s="253">
        <f>+OCTUBRE!$AG30</f>
        <v>158</v>
      </c>
      <c r="L30" s="253">
        <f>+NOVIEMBRE!$AG30</f>
        <v>87</v>
      </c>
      <c r="M30" s="253">
        <f>+DICIEMBRE!$AG30</f>
        <v>89</v>
      </c>
      <c r="N30" s="4">
        <f t="shared" si="0"/>
        <v>1352</v>
      </c>
    </row>
    <row r="31" spans="1:14" ht="18.75" x14ac:dyDescent="0.25">
      <c r="A31" s="301" t="s">
        <v>56</v>
      </c>
      <c r="B31" s="253">
        <f>+ENERO!$AG31</f>
        <v>101</v>
      </c>
      <c r="C31" s="253">
        <f>+FEBRERO!$AG31</f>
        <v>98</v>
      </c>
      <c r="D31" s="253">
        <f>+MARZO!$AG31</f>
        <v>82</v>
      </c>
      <c r="E31" s="253">
        <f>+ABRIL!$AG31</f>
        <v>97</v>
      </c>
      <c r="F31" s="253">
        <f>+MAYO!$AG31</f>
        <v>131</v>
      </c>
      <c r="G31" s="253">
        <f>+JUNIO!$AG31</f>
        <v>136</v>
      </c>
      <c r="H31" s="253">
        <f>+JULIO!$AG31</f>
        <v>178</v>
      </c>
      <c r="I31" s="253">
        <f>+AGOSTO!$AG31</f>
        <v>186</v>
      </c>
      <c r="J31" s="253">
        <f>+SEPTIEMBRE!$AG31</f>
        <v>171</v>
      </c>
      <c r="K31" s="253">
        <f>+OCTUBRE!$AG31</f>
        <v>180</v>
      </c>
      <c r="L31" s="253">
        <f>+NOVIEMBRE!$AG31</f>
        <v>123</v>
      </c>
      <c r="M31" s="253">
        <f>+DICIEMBRE!$AG31</f>
        <v>119</v>
      </c>
      <c r="N31" s="4">
        <f t="shared" si="0"/>
        <v>1602</v>
      </c>
    </row>
    <row r="32" spans="1:14" ht="18.75" x14ac:dyDescent="0.25">
      <c r="A32" s="301" t="s">
        <v>38</v>
      </c>
      <c r="B32" s="253">
        <f>+ENERO!$AG32</f>
        <v>96</v>
      </c>
      <c r="C32" s="253">
        <f>+FEBRERO!$AG32</f>
        <v>122</v>
      </c>
      <c r="D32" s="253">
        <f>+MARZO!$AG32</f>
        <v>87</v>
      </c>
      <c r="E32" s="253">
        <f>+ABRIL!$AG32</f>
        <v>110</v>
      </c>
      <c r="F32" s="253">
        <f>+MAYO!$AG32</f>
        <v>144</v>
      </c>
      <c r="G32" s="253">
        <f>+JUNIO!$AG32</f>
        <v>180</v>
      </c>
      <c r="H32" s="253">
        <f>+JULIO!$AG32</f>
        <v>181</v>
      </c>
      <c r="I32" s="253">
        <f>+AGOSTO!$AG32</f>
        <v>214</v>
      </c>
      <c r="J32" s="253">
        <f>+SEPTIEMBRE!$AG32</f>
        <v>160</v>
      </c>
      <c r="K32" s="253">
        <f>+OCTUBRE!$AG32</f>
        <v>200</v>
      </c>
      <c r="L32" s="253">
        <f>+NOVIEMBRE!$AG32</f>
        <v>144</v>
      </c>
      <c r="M32" s="253">
        <f>+DICIEMBRE!$AG32</f>
        <v>121</v>
      </c>
      <c r="N32" s="4">
        <f t="shared" si="0"/>
        <v>1759</v>
      </c>
    </row>
    <row r="33" spans="1:14" ht="18.75" x14ac:dyDescent="0.25">
      <c r="A33" s="301" t="s">
        <v>39</v>
      </c>
      <c r="B33" s="253">
        <f>+ENERO!$AG33</f>
        <v>102</v>
      </c>
      <c r="C33" s="253">
        <f>+FEBRERO!$AG33</f>
        <v>94</v>
      </c>
      <c r="D33" s="253">
        <f>+MARZO!$AG33</f>
        <v>97</v>
      </c>
      <c r="E33" s="253">
        <f>+ABRIL!$AG33</f>
        <v>125</v>
      </c>
      <c r="F33" s="253">
        <f>+MAYO!$AG33</f>
        <v>185</v>
      </c>
      <c r="G33" s="253">
        <f>+JUNIO!$AG33</f>
        <v>227</v>
      </c>
      <c r="H33" s="253">
        <f>+JULIO!$AG33</f>
        <v>193</v>
      </c>
      <c r="I33" s="253">
        <f>+AGOSTO!$AG33</f>
        <v>224</v>
      </c>
      <c r="J33" s="253">
        <f>+SEPTIEMBRE!$AG33</f>
        <v>212</v>
      </c>
      <c r="K33" s="253">
        <f>+OCTUBRE!$AG33</f>
        <v>223</v>
      </c>
      <c r="L33" s="253">
        <f>+NOVIEMBRE!$AG33</f>
        <v>143</v>
      </c>
      <c r="M33" s="253">
        <f>+DICIEMBRE!$AG33</f>
        <v>149</v>
      </c>
      <c r="N33" s="4">
        <f t="shared" si="0"/>
        <v>1974</v>
      </c>
    </row>
    <row r="34" spans="1:14" ht="18.75" x14ac:dyDescent="0.25">
      <c r="A34" s="301" t="s">
        <v>40</v>
      </c>
      <c r="B34" s="253">
        <f>+ENERO!$AG34</f>
        <v>87</v>
      </c>
      <c r="C34" s="253">
        <f>+FEBRERO!$AG34</f>
        <v>87</v>
      </c>
      <c r="D34" s="253">
        <f>+MARZO!$AG34</f>
        <v>101</v>
      </c>
      <c r="E34" s="253">
        <f>+ABRIL!$AG34</f>
        <v>101</v>
      </c>
      <c r="F34" s="253">
        <f>+MAYO!$AG34</f>
        <v>159</v>
      </c>
      <c r="G34" s="253">
        <f>+JUNIO!$AG34</f>
        <v>163</v>
      </c>
      <c r="H34" s="253">
        <f>+JULIO!$AG34</f>
        <v>187</v>
      </c>
      <c r="I34" s="253">
        <f>+AGOSTO!$AG34</f>
        <v>179</v>
      </c>
      <c r="J34" s="253">
        <f>+SEPTIEMBRE!$AG34</f>
        <v>187</v>
      </c>
      <c r="K34" s="253">
        <f>+OCTUBRE!$AG34</f>
        <v>187</v>
      </c>
      <c r="L34" s="253">
        <f>+NOVIEMBRE!$AG34</f>
        <v>146</v>
      </c>
      <c r="M34" s="253">
        <f>+DICIEMBRE!$AG34</f>
        <v>138</v>
      </c>
      <c r="N34" s="4">
        <f t="shared" si="0"/>
        <v>1722</v>
      </c>
    </row>
    <row r="35" spans="1:14" ht="18.75" x14ac:dyDescent="0.25">
      <c r="A35" s="301" t="s">
        <v>41</v>
      </c>
      <c r="B35" s="253">
        <f>+ENERO!$AG35</f>
        <v>83</v>
      </c>
      <c r="C35" s="253">
        <f>+FEBRERO!$AG35</f>
        <v>103</v>
      </c>
      <c r="D35" s="253">
        <f>+MARZO!$AG35</f>
        <v>87</v>
      </c>
      <c r="E35" s="253">
        <f>+ABRIL!$AG35</f>
        <v>106</v>
      </c>
      <c r="F35" s="253">
        <f>+MAYO!$AG35</f>
        <v>121</v>
      </c>
      <c r="G35" s="253">
        <f>+JUNIO!$AG35</f>
        <v>149</v>
      </c>
      <c r="H35" s="253">
        <f>+JULIO!$AG35</f>
        <v>148</v>
      </c>
      <c r="I35" s="253">
        <f>+AGOSTO!$AG35</f>
        <v>174</v>
      </c>
      <c r="J35" s="253">
        <f>+SEPTIEMBRE!$AG35</f>
        <v>192</v>
      </c>
      <c r="K35" s="253">
        <f>+OCTUBRE!$AG35</f>
        <v>201</v>
      </c>
      <c r="L35" s="253">
        <f>+NOVIEMBRE!$AG35</f>
        <v>243</v>
      </c>
      <c r="M35" s="253">
        <f>+DICIEMBRE!$AG35</f>
        <v>235</v>
      </c>
      <c r="N35" s="4">
        <f t="shared" si="0"/>
        <v>1842</v>
      </c>
    </row>
    <row r="36" spans="1:14" ht="18.75" x14ac:dyDescent="0.25">
      <c r="A36" s="301" t="s">
        <v>42</v>
      </c>
      <c r="B36" s="253">
        <f>+ENERO!$AG36</f>
        <v>118</v>
      </c>
      <c r="C36" s="253">
        <f>+FEBRERO!$AG36</f>
        <v>95</v>
      </c>
      <c r="D36" s="253">
        <f>+MARZO!$AG36</f>
        <v>79</v>
      </c>
      <c r="E36" s="253">
        <f>+ABRIL!$AG36</f>
        <v>118</v>
      </c>
      <c r="F36" s="253">
        <f>+MAYO!$AG36</f>
        <v>157</v>
      </c>
      <c r="G36" s="253">
        <f>+JUNIO!$AG36</f>
        <v>187</v>
      </c>
      <c r="H36" s="253">
        <f>+JULIO!$AG36</f>
        <v>237</v>
      </c>
      <c r="I36" s="253">
        <f>+AGOSTO!$AG36</f>
        <v>222</v>
      </c>
      <c r="J36" s="253">
        <f>+SEPTIEMBRE!$AG36</f>
        <v>222</v>
      </c>
      <c r="K36" s="253">
        <f>+OCTUBRE!$AG36</f>
        <v>251</v>
      </c>
      <c r="L36" s="253">
        <f>+NOVIEMBRE!$AG36</f>
        <v>296</v>
      </c>
      <c r="M36" s="253">
        <f>+DICIEMBRE!$AG36</f>
        <v>304</v>
      </c>
      <c r="N36" s="4">
        <f t="shared" si="0"/>
        <v>2286</v>
      </c>
    </row>
    <row r="37" spans="1:14" ht="18.75" x14ac:dyDescent="0.25">
      <c r="A37" s="301" t="s">
        <v>43</v>
      </c>
      <c r="B37" s="253">
        <f>+ENERO!$AG37</f>
        <v>100</v>
      </c>
      <c r="C37" s="253">
        <f>+FEBRERO!$AG37</f>
        <v>120</v>
      </c>
      <c r="D37" s="253">
        <f>+MARZO!$AG37</f>
        <v>101</v>
      </c>
      <c r="E37" s="253">
        <f>+ABRIL!$AG37</f>
        <v>135</v>
      </c>
      <c r="F37" s="253">
        <f>+MAYO!$AG37</f>
        <v>196</v>
      </c>
      <c r="G37" s="253">
        <f>+JUNIO!$AG37</f>
        <v>210</v>
      </c>
      <c r="H37" s="253">
        <f>+JULIO!$AG37</f>
        <v>226</v>
      </c>
      <c r="I37" s="253">
        <f>+AGOSTO!$AG37</f>
        <v>242</v>
      </c>
      <c r="J37" s="253">
        <f>+SEPTIEMBRE!$AG37</f>
        <v>239</v>
      </c>
      <c r="K37" s="253">
        <f>+OCTUBRE!$AG37</f>
        <v>243</v>
      </c>
      <c r="L37" s="253">
        <f>+NOVIEMBRE!$AG37</f>
        <v>271</v>
      </c>
      <c r="M37" s="253">
        <f>+DICIEMBRE!$AG37</f>
        <v>308</v>
      </c>
      <c r="N37" s="4">
        <f t="shared" si="0"/>
        <v>2391</v>
      </c>
    </row>
    <row r="38" spans="1:14" ht="18.75" x14ac:dyDescent="0.25">
      <c r="A38" s="301" t="s">
        <v>44</v>
      </c>
      <c r="B38" s="253">
        <f>+ENERO!$AG38</f>
        <v>400</v>
      </c>
      <c r="C38" s="253">
        <f>+FEBRERO!$AG38</f>
        <v>258</v>
      </c>
      <c r="D38" s="253">
        <f>+MARZO!$AG38</f>
        <v>209</v>
      </c>
      <c r="E38" s="253">
        <f>+ABRIL!$AG38</f>
        <v>132</v>
      </c>
      <c r="F38" s="253">
        <f>+MAYO!$AG38</f>
        <v>190</v>
      </c>
      <c r="G38" s="253">
        <f>+JUNIO!$AG38</f>
        <v>201</v>
      </c>
      <c r="H38" s="253">
        <f>+JULIO!$AG38</f>
        <v>242</v>
      </c>
      <c r="I38" s="253">
        <f>+AGOSTO!$AG38</f>
        <v>231</v>
      </c>
      <c r="J38" s="253">
        <f>+SEPTIEMBRE!$AG38</f>
        <v>182</v>
      </c>
      <c r="K38" s="253">
        <f>+OCTUBRE!$AG38</f>
        <v>179</v>
      </c>
      <c r="L38" s="253">
        <f>+NOVIEMBRE!$AG38</f>
        <v>239</v>
      </c>
      <c r="M38" s="253">
        <f>+DICIEMBRE!$AG38</f>
        <v>273</v>
      </c>
      <c r="N38" s="4">
        <f t="shared" si="0"/>
        <v>2736</v>
      </c>
    </row>
    <row r="39" spans="1:14" ht="18.75" x14ac:dyDescent="0.25">
      <c r="A39" s="301" t="s">
        <v>45</v>
      </c>
      <c r="B39" s="253">
        <f>+ENERO!$AG39</f>
        <v>509</v>
      </c>
      <c r="C39" s="253">
        <f>+FEBRERO!$AG39</f>
        <v>503</v>
      </c>
      <c r="D39" s="253">
        <f>+MARZO!$AG39</f>
        <v>441</v>
      </c>
      <c r="E39" s="253">
        <f>+ABRIL!$AG39</f>
        <v>167</v>
      </c>
      <c r="F39" s="253">
        <f>+MAYO!$AG39</f>
        <v>230</v>
      </c>
      <c r="G39" s="253">
        <f>+JUNIO!$AG39</f>
        <v>233</v>
      </c>
      <c r="H39" s="253">
        <f>+JULIO!$AG39</f>
        <v>326</v>
      </c>
      <c r="I39" s="253">
        <f>+AGOSTO!$AG39</f>
        <v>283</v>
      </c>
      <c r="J39" s="253">
        <f>+SEPTIEMBRE!$AG39</f>
        <v>244</v>
      </c>
      <c r="K39" s="253">
        <f>+OCTUBRE!$AG39</f>
        <v>323</v>
      </c>
      <c r="L39" s="253">
        <f>+NOVIEMBRE!$AG39</f>
        <v>387</v>
      </c>
      <c r="M39" s="253">
        <f>+DICIEMBRE!$AG39</f>
        <v>324</v>
      </c>
      <c r="N39" s="4">
        <f t="shared" si="0"/>
        <v>3970</v>
      </c>
    </row>
    <row r="40" spans="1:14" ht="18.75" x14ac:dyDescent="0.25">
      <c r="A40" s="301" t="s">
        <v>46</v>
      </c>
      <c r="B40" s="253">
        <f>+ENERO!$AG40</f>
        <v>536</v>
      </c>
      <c r="C40" s="253">
        <f>+FEBRERO!$AG40</f>
        <v>573</v>
      </c>
      <c r="D40" s="253">
        <f>+MARZO!$AG40</f>
        <v>443</v>
      </c>
      <c r="E40" s="253">
        <f>+ABRIL!$AG40</f>
        <v>121</v>
      </c>
      <c r="F40" s="253">
        <f>+MAYO!$AG40</f>
        <v>203</v>
      </c>
      <c r="G40" s="253">
        <f>+JUNIO!$AG40</f>
        <v>245</v>
      </c>
      <c r="H40" s="253">
        <f>+JULIO!$AG40</f>
        <v>253</v>
      </c>
      <c r="I40" s="253">
        <f>+AGOSTO!$AG40</f>
        <v>226</v>
      </c>
      <c r="J40" s="253">
        <f>+SEPTIEMBRE!$AG40</f>
        <v>235</v>
      </c>
      <c r="K40" s="253">
        <f>+OCTUBRE!$AG40</f>
        <v>276</v>
      </c>
      <c r="L40" s="253">
        <f>+NOVIEMBRE!$AG40</f>
        <v>323</v>
      </c>
      <c r="M40" s="253">
        <f>+DICIEMBRE!$AG40</f>
        <v>355</v>
      </c>
      <c r="N40" s="4">
        <f t="shared" si="0"/>
        <v>3789</v>
      </c>
    </row>
    <row r="41" spans="1:14" ht="18.75" x14ac:dyDescent="0.25">
      <c r="A41" s="301" t="s">
        <v>47</v>
      </c>
      <c r="B41" s="253">
        <f>+ENERO!$AG41</f>
        <v>543</v>
      </c>
      <c r="C41" s="253">
        <f>+FEBRERO!$AG41</f>
        <v>529</v>
      </c>
      <c r="D41" s="253">
        <f>+MARZO!$AG41</f>
        <v>437</v>
      </c>
      <c r="E41" s="253">
        <f>+ABRIL!$AG41</f>
        <v>100</v>
      </c>
      <c r="F41" s="253">
        <f>+MAYO!$AG41</f>
        <v>136</v>
      </c>
      <c r="G41" s="253">
        <f>+JUNIO!$AG41</f>
        <v>125</v>
      </c>
      <c r="H41" s="253">
        <f>+JULIO!$AG41</f>
        <v>177</v>
      </c>
      <c r="I41" s="253">
        <f>+AGOSTO!$AG41</f>
        <v>187</v>
      </c>
      <c r="J41" s="253">
        <f>+SEPTIEMBRE!$AG41</f>
        <v>194</v>
      </c>
      <c r="K41" s="253">
        <f>+OCTUBRE!$AG41</f>
        <v>270</v>
      </c>
      <c r="L41" s="253">
        <f>+NOVIEMBRE!$AG41</f>
        <v>296</v>
      </c>
      <c r="M41" s="253">
        <f>+DICIEMBRE!$AG41</f>
        <v>268</v>
      </c>
      <c r="N41" s="4">
        <f t="shared" si="0"/>
        <v>3262</v>
      </c>
    </row>
    <row r="42" spans="1:14" ht="18.75" x14ac:dyDescent="0.25">
      <c r="A42" s="301" t="s">
        <v>48</v>
      </c>
      <c r="B42" s="253">
        <f>+ENERO!$AG42</f>
        <v>508</v>
      </c>
      <c r="C42" s="253">
        <f>+FEBRERO!$AG42</f>
        <v>484</v>
      </c>
      <c r="D42" s="253">
        <f>+MARZO!$AG42</f>
        <v>396</v>
      </c>
      <c r="E42" s="253">
        <f>+ABRIL!$AG42</f>
        <v>104</v>
      </c>
      <c r="F42" s="253">
        <f>+MAYO!$AG42</f>
        <v>125</v>
      </c>
      <c r="G42" s="253">
        <f>+JUNIO!$AG42</f>
        <v>116</v>
      </c>
      <c r="H42" s="253">
        <f>+JULIO!$AG42</f>
        <v>137</v>
      </c>
      <c r="I42" s="253">
        <f>+AGOSTO!$AG42</f>
        <v>169</v>
      </c>
      <c r="J42" s="253">
        <f>+SEPTIEMBRE!$AG42</f>
        <v>146</v>
      </c>
      <c r="K42" s="253">
        <f>+OCTUBRE!$AG42</f>
        <v>220</v>
      </c>
      <c r="L42" s="253">
        <f>+NOVIEMBRE!$AG42</f>
        <v>307</v>
      </c>
      <c r="M42" s="253">
        <f>+DICIEMBRE!$AG42</f>
        <v>274</v>
      </c>
      <c r="N42" s="4">
        <f t="shared" si="0"/>
        <v>2986</v>
      </c>
    </row>
    <row r="43" spans="1:14" ht="18.75" x14ac:dyDescent="0.25">
      <c r="A43" s="301" t="s">
        <v>49</v>
      </c>
      <c r="B43" s="253">
        <f>+ENERO!$AG43</f>
        <v>461</v>
      </c>
      <c r="C43" s="253">
        <f>+FEBRERO!$AG43</f>
        <v>440</v>
      </c>
      <c r="D43" s="253">
        <f>+MARZO!$AG43</f>
        <v>313</v>
      </c>
      <c r="E43" s="253">
        <f>+ABRIL!$AG43</f>
        <v>81</v>
      </c>
      <c r="F43" s="253">
        <f>+MAYO!$AG43</f>
        <v>89</v>
      </c>
      <c r="G43" s="253">
        <f>+JUNIO!$AG43</f>
        <v>91</v>
      </c>
      <c r="H43" s="253">
        <f>+JULIO!$AG43</f>
        <v>99</v>
      </c>
      <c r="I43" s="253">
        <f>+AGOSTO!$AG43</f>
        <v>113</v>
      </c>
      <c r="J43" s="253">
        <f>+SEPTIEMBRE!$AG43</f>
        <v>148</v>
      </c>
      <c r="K43" s="253">
        <f>+OCTUBRE!$AG43</f>
        <v>241</v>
      </c>
      <c r="L43" s="253">
        <f>+NOVIEMBRE!$AG43</f>
        <v>254</v>
      </c>
      <c r="M43" s="253">
        <f>+DICIEMBRE!$AG43</f>
        <v>257</v>
      </c>
      <c r="N43" s="4">
        <f t="shared" si="0"/>
        <v>2587</v>
      </c>
    </row>
    <row r="44" spans="1:14" ht="18.75" x14ac:dyDescent="0.25">
      <c r="A44" s="301" t="s">
        <v>50</v>
      </c>
      <c r="B44" s="253">
        <f>+ENERO!$AG44</f>
        <v>334</v>
      </c>
      <c r="C44" s="253">
        <f>+FEBRERO!$AG44</f>
        <v>364</v>
      </c>
      <c r="D44" s="253">
        <f>+MARZO!$AG44</f>
        <v>212</v>
      </c>
      <c r="E44" s="253">
        <f>+ABRIL!$AG44</f>
        <v>52</v>
      </c>
      <c r="F44" s="253">
        <f>+MAYO!$AG44</f>
        <v>79</v>
      </c>
      <c r="G44" s="253">
        <f>+JUNIO!$AG44</f>
        <v>63</v>
      </c>
      <c r="H44" s="253">
        <f>+JULIO!$AG44</f>
        <v>61</v>
      </c>
      <c r="I44" s="253">
        <f>+AGOSTO!$AG44</f>
        <v>72</v>
      </c>
      <c r="J44" s="253">
        <f>+SEPTIEMBRE!$AG44</f>
        <v>86</v>
      </c>
      <c r="K44" s="253">
        <f>+OCTUBRE!$AG44</f>
        <v>151</v>
      </c>
      <c r="L44" s="253">
        <f>+NOVIEMBRE!$AG44</f>
        <v>187</v>
      </c>
      <c r="M44" s="253">
        <f>+DICIEMBRE!$AG44</f>
        <v>203</v>
      </c>
      <c r="N44" s="4">
        <f t="shared" si="0"/>
        <v>1864</v>
      </c>
    </row>
    <row r="45" spans="1:14" ht="18.75" x14ac:dyDescent="0.25">
      <c r="A45" s="301" t="s">
        <v>33</v>
      </c>
      <c r="B45" s="253">
        <f>+ENERO!$AG45</f>
        <v>234</v>
      </c>
      <c r="C45" s="253">
        <f>+FEBRERO!$AG45</f>
        <v>231</v>
      </c>
      <c r="D45" s="253">
        <f>+MARZO!$AG45</f>
        <v>181</v>
      </c>
      <c r="E45" s="253">
        <f>+ABRIL!$AG45</f>
        <v>43</v>
      </c>
      <c r="F45" s="253">
        <f>+MAYO!$AG45</f>
        <v>65</v>
      </c>
      <c r="G45" s="253">
        <f>+JUNIO!$AG45</f>
        <v>56</v>
      </c>
      <c r="H45" s="253">
        <f>+JULIO!$AG45</f>
        <v>42</v>
      </c>
      <c r="I45" s="253">
        <f>+AGOSTO!$AG45</f>
        <v>47</v>
      </c>
      <c r="J45" s="253">
        <f>+SEPTIEMBRE!$AG45</f>
        <v>61</v>
      </c>
      <c r="K45" s="253">
        <f>+OCTUBRE!$AG45</f>
        <v>82</v>
      </c>
      <c r="L45" s="253">
        <f>+NOVIEMBRE!$AG45</f>
        <v>163</v>
      </c>
      <c r="M45" s="253">
        <f>+DICIEMBRE!$AG45</f>
        <v>150</v>
      </c>
      <c r="N45" s="4">
        <f t="shared" si="0"/>
        <v>1355</v>
      </c>
    </row>
    <row r="46" spans="1:14" ht="18.75" x14ac:dyDescent="0.25">
      <c r="A46" s="301" t="s">
        <v>34</v>
      </c>
      <c r="B46" s="253">
        <f>+ENERO!$AG46</f>
        <v>200</v>
      </c>
      <c r="C46" s="253">
        <f>+FEBRERO!$AG46</f>
        <v>181</v>
      </c>
      <c r="D46" s="253">
        <f>+MARZO!$AG46</f>
        <v>122</v>
      </c>
      <c r="E46" s="253">
        <f>+ABRIL!$AG46</f>
        <v>48</v>
      </c>
      <c r="F46" s="253">
        <f>+MAYO!$AG46</f>
        <v>41</v>
      </c>
      <c r="G46" s="253">
        <f>+JUNIO!$AG46</f>
        <v>37</v>
      </c>
      <c r="H46" s="253">
        <f>+JULIO!$AG46</f>
        <v>40</v>
      </c>
      <c r="I46" s="253">
        <f>+AGOSTO!$AG46</f>
        <v>34</v>
      </c>
      <c r="J46" s="253">
        <f>+SEPTIEMBRE!$AG46</f>
        <v>56</v>
      </c>
      <c r="K46" s="253">
        <f>+OCTUBRE!$AG46</f>
        <v>57</v>
      </c>
      <c r="L46" s="253">
        <f>+NOVIEMBRE!$AG46</f>
        <v>99</v>
      </c>
      <c r="M46" s="253">
        <f>+DICIEMBRE!$AG46</f>
        <v>106</v>
      </c>
      <c r="N46" s="4">
        <f t="shared" si="0"/>
        <v>1021</v>
      </c>
    </row>
    <row r="47" spans="1:14" ht="18.75" x14ac:dyDescent="0.25">
      <c r="A47" s="301" t="s">
        <v>35</v>
      </c>
      <c r="B47" s="253">
        <f>+ENERO!$AG47</f>
        <v>173</v>
      </c>
      <c r="C47" s="253">
        <f>+FEBRERO!$AG47</f>
        <v>136</v>
      </c>
      <c r="D47" s="253">
        <f>+MARZO!$AG47</f>
        <v>90</v>
      </c>
      <c r="E47" s="253">
        <f>+ABRIL!$AG47</f>
        <v>45</v>
      </c>
      <c r="F47" s="253">
        <f>+MAYO!$AG47</f>
        <v>30</v>
      </c>
      <c r="G47" s="253">
        <f>+JUNIO!$AG47</f>
        <v>31</v>
      </c>
      <c r="H47" s="253">
        <f>+JULIO!$AG47</f>
        <v>27</v>
      </c>
      <c r="I47" s="253">
        <f>+AGOSTO!$AG47</f>
        <v>28</v>
      </c>
      <c r="J47" s="253">
        <f>+SEPTIEMBRE!$AG47</f>
        <v>44</v>
      </c>
      <c r="K47" s="253">
        <f>+OCTUBRE!$AG47</f>
        <v>41</v>
      </c>
      <c r="L47" s="253">
        <f>+NOVIEMBRE!$AG47</f>
        <v>38</v>
      </c>
      <c r="M47" s="253">
        <f>+DICIEMBRE!$AG47</f>
        <v>51</v>
      </c>
      <c r="N47" s="4">
        <f t="shared" si="0"/>
        <v>734</v>
      </c>
    </row>
    <row r="48" spans="1:14" ht="18.75" x14ac:dyDescent="0.25">
      <c r="A48" s="301" t="s">
        <v>36</v>
      </c>
      <c r="B48" s="253">
        <f>+ENERO!$AG48</f>
        <v>83</v>
      </c>
      <c r="C48" s="253">
        <f>+FEBRERO!$AG48</f>
        <v>101</v>
      </c>
      <c r="D48" s="253">
        <f>+MARZO!$AG48</f>
        <v>60</v>
      </c>
      <c r="E48" s="253">
        <f>+ABRIL!$AG48</f>
        <v>22</v>
      </c>
      <c r="F48" s="253">
        <f>+MAYO!$AG48</f>
        <v>19</v>
      </c>
      <c r="G48" s="253">
        <f>+JUNIO!$AG48</f>
        <v>20</v>
      </c>
      <c r="H48" s="253">
        <f>+JULIO!$AG48</f>
        <v>13</v>
      </c>
      <c r="I48" s="253">
        <f>+AGOSTO!$AG48</f>
        <v>20</v>
      </c>
      <c r="J48" s="253">
        <f>+SEPTIEMBRE!$AG48</f>
        <v>26</v>
      </c>
      <c r="K48" s="253">
        <f>+OCTUBRE!$AG48</f>
        <v>20</v>
      </c>
      <c r="L48" s="253">
        <f>+NOVIEMBRE!$AG48</f>
        <v>24</v>
      </c>
      <c r="M48" s="253">
        <f>+DICIEMBRE!$AG48</f>
        <v>42</v>
      </c>
      <c r="N48" s="4">
        <f t="shared" si="0"/>
        <v>450</v>
      </c>
    </row>
    <row r="49" spans="1:14" ht="18.75" x14ac:dyDescent="0.25">
      <c r="A49" s="301" t="s">
        <v>51</v>
      </c>
      <c r="B49" s="253">
        <f>+ENERO!$AG49</f>
        <v>61</v>
      </c>
      <c r="C49" s="253">
        <f>+FEBRERO!$AG49</f>
        <v>45</v>
      </c>
      <c r="D49" s="253">
        <f>+MARZO!$AG49</f>
        <v>31</v>
      </c>
      <c r="E49" s="253">
        <f>+ABRIL!$AG49</f>
        <v>20</v>
      </c>
      <c r="F49" s="253">
        <f>+MAYO!$AG49</f>
        <v>20</v>
      </c>
      <c r="G49" s="253">
        <f>+JUNIO!$AG49</f>
        <v>17</v>
      </c>
      <c r="H49" s="253">
        <f>+JULIO!$AG49</f>
        <v>13</v>
      </c>
      <c r="I49" s="253">
        <f>+AGOSTO!$AG49</f>
        <v>25</v>
      </c>
      <c r="J49" s="253">
        <f>+SEPTIEMBRE!$AG49</f>
        <v>16</v>
      </c>
      <c r="K49" s="253">
        <f>+OCTUBRE!$AG49</f>
        <v>14</v>
      </c>
      <c r="L49" s="253">
        <f>+NOVIEMBRE!$AG49</f>
        <v>17</v>
      </c>
      <c r="M49" s="253">
        <f>+DICIEMBRE!$AG49</f>
        <v>16</v>
      </c>
      <c r="N49" s="4">
        <f t="shared" si="0"/>
        <v>295</v>
      </c>
    </row>
    <row r="50" spans="1:14" ht="18.75" x14ac:dyDescent="0.25">
      <c r="A50" s="301" t="s">
        <v>52</v>
      </c>
      <c r="B50" s="253">
        <f>+ENERO!$AG50</f>
        <v>39</v>
      </c>
      <c r="C50" s="253">
        <f>+FEBRERO!$AG50</f>
        <v>42</v>
      </c>
      <c r="D50" s="253">
        <f>+MARZO!$AG50</f>
        <v>23</v>
      </c>
      <c r="E50" s="253">
        <f>+ABRIL!$AG50</f>
        <v>18</v>
      </c>
      <c r="F50" s="253">
        <f>+MAYO!$AG50</f>
        <v>15</v>
      </c>
      <c r="G50" s="253">
        <f>+JUNIO!$AG50</f>
        <v>6</v>
      </c>
      <c r="H50" s="253">
        <f>+JULIO!$AG50</f>
        <v>16</v>
      </c>
      <c r="I50" s="253">
        <f>+AGOSTO!$AG50</f>
        <v>11</v>
      </c>
      <c r="J50" s="253">
        <f>+SEPTIEMBRE!$AG50</f>
        <v>8</v>
      </c>
      <c r="K50" s="253">
        <f>+OCTUBRE!$AG50</f>
        <v>18</v>
      </c>
      <c r="L50" s="253">
        <f>+NOVIEMBRE!$AG50</f>
        <v>15</v>
      </c>
      <c r="M50" s="253">
        <f>+DICIEMBRE!$AG50</f>
        <v>20</v>
      </c>
      <c r="N50" s="4">
        <f t="shared" si="0"/>
        <v>231</v>
      </c>
    </row>
    <row r="51" spans="1:14" ht="18.75" x14ac:dyDescent="0.25">
      <c r="A51" s="301" t="s">
        <v>37</v>
      </c>
      <c r="B51" s="253">
        <f>+ENERO!$AG51</f>
        <v>33</v>
      </c>
      <c r="C51" s="253">
        <f>+FEBRERO!$AG51</f>
        <v>39</v>
      </c>
      <c r="D51" s="253">
        <f>+MARZO!$AG51</f>
        <v>14</v>
      </c>
      <c r="E51" s="253">
        <f>+ABRIL!$AG51</f>
        <v>11</v>
      </c>
      <c r="F51" s="253">
        <f>+MAYO!$AG51</f>
        <v>15</v>
      </c>
      <c r="G51" s="253">
        <f>+JUNIO!$AG51</f>
        <v>7</v>
      </c>
      <c r="H51" s="253">
        <f>+JULIO!$AG51</f>
        <v>17</v>
      </c>
      <c r="I51" s="253">
        <f>+AGOSTO!$AG51</f>
        <v>10</v>
      </c>
      <c r="J51" s="253">
        <f>+SEPTIEMBRE!$AG51</f>
        <v>17</v>
      </c>
      <c r="K51" s="253">
        <f>+OCTUBRE!$AG51</f>
        <v>11</v>
      </c>
      <c r="L51" s="253">
        <f>+NOVIEMBRE!$AG51</f>
        <v>25</v>
      </c>
      <c r="M51" s="253">
        <f>+DICIEMBRE!$AG51</f>
        <v>16</v>
      </c>
      <c r="N51" s="4">
        <f t="shared" si="0"/>
        <v>215</v>
      </c>
    </row>
    <row r="52" spans="1:14" ht="19.5" thickBot="1" x14ac:dyDescent="0.3">
      <c r="A52" s="304" t="s">
        <v>53</v>
      </c>
      <c r="B52" s="256">
        <f>+ENERO!$AG52</f>
        <v>10</v>
      </c>
      <c r="C52" s="256">
        <f>+FEBRERO!$AG52</f>
        <v>14</v>
      </c>
      <c r="D52" s="256">
        <f>+MARZO!$AG52</f>
        <v>28</v>
      </c>
      <c r="E52" s="256">
        <f>+ABRIL!$AG52</f>
        <v>12</v>
      </c>
      <c r="F52" s="256">
        <f>+MAYO!$AG52</f>
        <v>14</v>
      </c>
      <c r="G52" s="256">
        <f>+JUNIO!$AG52</f>
        <v>17</v>
      </c>
      <c r="H52" s="256">
        <f>+JULIO!$AG52</f>
        <v>11</v>
      </c>
      <c r="I52" s="256">
        <f>+AGOSTO!$AG52</f>
        <v>13</v>
      </c>
      <c r="J52" s="256">
        <f>+SEPTIEMBRE!$AG52</f>
        <v>19</v>
      </c>
      <c r="K52" s="256">
        <f>+OCTUBRE!$AG52</f>
        <v>25</v>
      </c>
      <c r="L52" s="256">
        <f>+NOVIEMBRE!$AG52</f>
        <v>18</v>
      </c>
      <c r="M52" s="256">
        <f>+DICIEMBRE!$AG52</f>
        <v>28</v>
      </c>
      <c r="N52" s="108">
        <f t="shared" si="0"/>
        <v>209</v>
      </c>
    </row>
    <row r="53" spans="1:14" ht="19.5" thickBot="1" x14ac:dyDescent="0.3">
      <c r="A53" s="299" t="s">
        <v>108</v>
      </c>
      <c r="B53" s="251">
        <f>+ENERO!$AG53</f>
        <v>494</v>
      </c>
      <c r="C53" s="251">
        <f>+FEBRERO!$AG53</f>
        <v>454</v>
      </c>
      <c r="D53" s="251">
        <f>+MARZO!$AG53</f>
        <v>319</v>
      </c>
      <c r="E53" s="251">
        <f>+ABRIL!$AG53</f>
        <v>96</v>
      </c>
      <c r="F53" s="251">
        <f>+MAYO!$AG53</f>
        <v>123</v>
      </c>
      <c r="G53" s="251">
        <f>+JUNIO!$AG53</f>
        <v>147</v>
      </c>
      <c r="H53" s="251">
        <f>+JULIO!$AG53</f>
        <v>213</v>
      </c>
      <c r="I53" s="251">
        <f>+AGOSTO!$AG53</f>
        <v>194</v>
      </c>
      <c r="J53" s="251">
        <f>+SEPTIEMBRE!$AG53</f>
        <v>167</v>
      </c>
      <c r="K53" s="251">
        <f>+OCTUBRE!$AG53</f>
        <v>173</v>
      </c>
      <c r="L53" s="251">
        <f>+NOVIEMBRE!$AG53</f>
        <v>244</v>
      </c>
      <c r="M53" s="251">
        <f>+DICIEMBRE!$AG53</f>
        <v>218</v>
      </c>
      <c r="N53" s="116">
        <f t="shared" si="0"/>
        <v>2842</v>
      </c>
    </row>
    <row r="54" spans="1:14" ht="18.75" x14ac:dyDescent="0.25">
      <c r="A54" s="300" t="s">
        <v>54</v>
      </c>
      <c r="B54" s="252">
        <f>+ENERO!$AG54</f>
        <v>11</v>
      </c>
      <c r="C54" s="252">
        <f>+FEBRERO!$AG54</f>
        <v>2</v>
      </c>
      <c r="D54" s="252">
        <f>+MARZO!$AG54</f>
        <v>1</v>
      </c>
      <c r="E54" s="252">
        <f>+ABRIL!$AG54</f>
        <v>4</v>
      </c>
      <c r="F54" s="252">
        <f>+MAYO!$AG54</f>
        <v>7</v>
      </c>
      <c r="G54" s="252">
        <f>+JUNIO!$AG54</f>
        <v>6</v>
      </c>
      <c r="H54" s="252">
        <f>+JULIO!$AG54</f>
        <v>6</v>
      </c>
      <c r="I54" s="252">
        <f>+AGOSTO!$AG54</f>
        <v>4</v>
      </c>
      <c r="J54" s="252">
        <f>+SEPTIEMBRE!$AG54</f>
        <v>3</v>
      </c>
      <c r="K54" s="252">
        <f>+OCTUBRE!$AG54</f>
        <v>6</v>
      </c>
      <c r="L54" s="252">
        <f>+NOVIEMBRE!$AG54</f>
        <v>1</v>
      </c>
      <c r="M54" s="252">
        <f>+DICIEMBRE!$AG54</f>
        <v>3</v>
      </c>
      <c r="N54" s="132">
        <f t="shared" si="0"/>
        <v>54</v>
      </c>
    </row>
    <row r="55" spans="1:14" ht="18.75" x14ac:dyDescent="0.25">
      <c r="A55" s="301" t="s">
        <v>55</v>
      </c>
      <c r="B55" s="253">
        <f>+ENERO!$AG55</f>
        <v>15</v>
      </c>
      <c r="C55" s="253">
        <f>+FEBRERO!$AG55</f>
        <v>2</v>
      </c>
      <c r="D55" s="253">
        <f>+MARZO!$AG55</f>
        <v>4</v>
      </c>
      <c r="E55" s="253">
        <f>+ABRIL!$AG55</f>
        <v>9</v>
      </c>
      <c r="F55" s="253">
        <f>+MAYO!$AG55</f>
        <v>9</v>
      </c>
      <c r="G55" s="253">
        <f>+JUNIO!$AG55</f>
        <v>13</v>
      </c>
      <c r="H55" s="253">
        <f>+JULIO!$AG55</f>
        <v>14</v>
      </c>
      <c r="I55" s="253">
        <f>+AGOSTO!$AG55</f>
        <v>7</v>
      </c>
      <c r="J55" s="253">
        <f>+SEPTIEMBRE!$AG55</f>
        <v>7</v>
      </c>
      <c r="K55" s="253">
        <f>+OCTUBRE!$AG55</f>
        <v>8</v>
      </c>
      <c r="L55" s="253">
        <f>+NOVIEMBRE!$AG55</f>
        <v>3</v>
      </c>
      <c r="M55" s="253">
        <f>+DICIEMBRE!$AG55</f>
        <v>6</v>
      </c>
      <c r="N55" s="4">
        <f t="shared" si="0"/>
        <v>97</v>
      </c>
    </row>
    <row r="56" spans="1:14" ht="18.75" x14ac:dyDescent="0.25">
      <c r="A56" s="301" t="s">
        <v>56</v>
      </c>
      <c r="B56" s="253">
        <f>+ENERO!$AG56</f>
        <v>3</v>
      </c>
      <c r="C56" s="253">
        <f>+FEBRERO!$AG56</f>
        <v>2</v>
      </c>
      <c r="D56" s="253">
        <f>+MARZO!$AG56</f>
        <v>0</v>
      </c>
      <c r="E56" s="253">
        <f>+ABRIL!$AG56</f>
        <v>7</v>
      </c>
      <c r="F56" s="253">
        <f>+MAYO!$AG56</f>
        <v>7</v>
      </c>
      <c r="G56" s="253">
        <f>+JUNIO!$AG56</f>
        <v>14</v>
      </c>
      <c r="H56" s="253">
        <f>+JULIO!$AG56</f>
        <v>24</v>
      </c>
      <c r="I56" s="253">
        <f>+AGOSTO!$AG56</f>
        <v>11</v>
      </c>
      <c r="J56" s="253">
        <f>+SEPTIEMBRE!$AG56</f>
        <v>11</v>
      </c>
      <c r="K56" s="253">
        <f>+OCTUBRE!$AG56</f>
        <v>9</v>
      </c>
      <c r="L56" s="253">
        <f>+NOVIEMBRE!$AG56</f>
        <v>4</v>
      </c>
      <c r="M56" s="253">
        <f>+DICIEMBRE!$AG56</f>
        <v>11</v>
      </c>
      <c r="N56" s="4">
        <f t="shared" si="0"/>
        <v>103</v>
      </c>
    </row>
    <row r="57" spans="1:14" ht="18.75" x14ac:dyDescent="0.25">
      <c r="A57" s="301" t="s">
        <v>38</v>
      </c>
      <c r="B57" s="253">
        <f>+ENERO!$AG57</f>
        <v>0</v>
      </c>
      <c r="C57" s="253">
        <f>+FEBRERO!$AG57</f>
        <v>1</v>
      </c>
      <c r="D57" s="253">
        <f>+MARZO!$AG57</f>
        <v>2</v>
      </c>
      <c r="E57" s="253">
        <f>+ABRIL!$AG57</f>
        <v>8</v>
      </c>
      <c r="F57" s="253">
        <f>+MAYO!$AG57</f>
        <v>11</v>
      </c>
      <c r="G57" s="253">
        <f>+JUNIO!$AG57</f>
        <v>10</v>
      </c>
      <c r="H57" s="253">
        <f>+JULIO!$AG57</f>
        <v>20</v>
      </c>
      <c r="I57" s="253">
        <f>+AGOSTO!$AG57</f>
        <v>19</v>
      </c>
      <c r="J57" s="253">
        <f>+SEPTIEMBRE!$AG57</f>
        <v>6</v>
      </c>
      <c r="K57" s="253">
        <f>+OCTUBRE!$AG57</f>
        <v>6</v>
      </c>
      <c r="L57" s="253">
        <f>+NOVIEMBRE!$AG57</f>
        <v>8</v>
      </c>
      <c r="M57" s="253">
        <f>+DICIEMBRE!$AG57</f>
        <v>4</v>
      </c>
      <c r="N57" s="4">
        <f t="shared" si="0"/>
        <v>95</v>
      </c>
    </row>
    <row r="58" spans="1:14" ht="18.75" x14ac:dyDescent="0.25">
      <c r="A58" s="301" t="s">
        <v>39</v>
      </c>
      <c r="B58" s="253">
        <f>+ENERO!$AG58</f>
        <v>0</v>
      </c>
      <c r="C58" s="253">
        <f>+FEBRERO!$AG58</f>
        <v>0</v>
      </c>
      <c r="D58" s="253">
        <f>+MARZO!$AG58</f>
        <v>1</v>
      </c>
      <c r="E58" s="253">
        <f>+ABRIL!$AG58</f>
        <v>2</v>
      </c>
      <c r="F58" s="253">
        <f>+MAYO!$AG58</f>
        <v>7</v>
      </c>
      <c r="G58" s="253">
        <f>+JUNIO!$AG58</f>
        <v>17</v>
      </c>
      <c r="H58" s="253">
        <f>+JULIO!$AG58</f>
        <v>20</v>
      </c>
      <c r="I58" s="253">
        <f>+AGOSTO!$AG58</f>
        <v>22</v>
      </c>
      <c r="J58" s="253">
        <f>+SEPTIEMBRE!$AG58</f>
        <v>6</v>
      </c>
      <c r="K58" s="253">
        <f>+OCTUBRE!$AG58</f>
        <v>12</v>
      </c>
      <c r="L58" s="253">
        <f>+NOVIEMBRE!$AG58</f>
        <v>4</v>
      </c>
      <c r="M58" s="253">
        <f>+DICIEMBRE!$AG58</f>
        <v>7</v>
      </c>
      <c r="N58" s="4">
        <f t="shared" si="0"/>
        <v>98</v>
      </c>
    </row>
    <row r="59" spans="1:14" ht="18.75" x14ac:dyDescent="0.25">
      <c r="A59" s="301" t="s">
        <v>40</v>
      </c>
      <c r="B59" s="253">
        <f>+ENERO!$AG59</f>
        <v>1</v>
      </c>
      <c r="C59" s="253">
        <f>+FEBRERO!$AG59</f>
        <v>3</v>
      </c>
      <c r="D59" s="253">
        <f>+MARZO!$AG59</f>
        <v>2</v>
      </c>
      <c r="E59" s="253">
        <f>+ABRIL!$AG59</f>
        <v>4</v>
      </c>
      <c r="F59" s="253">
        <f>+MAYO!$AG59</f>
        <v>9</v>
      </c>
      <c r="G59" s="253">
        <f>+JUNIO!$AG59</f>
        <v>10</v>
      </c>
      <c r="H59" s="253">
        <f>+JULIO!$AG59</f>
        <v>12</v>
      </c>
      <c r="I59" s="253">
        <f>+AGOSTO!$AG59</f>
        <v>13</v>
      </c>
      <c r="J59" s="253">
        <f>+SEPTIEMBRE!$AG59</f>
        <v>11</v>
      </c>
      <c r="K59" s="253">
        <f>+OCTUBRE!$AG59</f>
        <v>8</v>
      </c>
      <c r="L59" s="253">
        <f>+NOVIEMBRE!$AG59</f>
        <v>4</v>
      </c>
      <c r="M59" s="253">
        <f>+DICIEMBRE!$AG59</f>
        <v>5</v>
      </c>
      <c r="N59" s="4">
        <f t="shared" si="0"/>
        <v>82</v>
      </c>
    </row>
    <row r="60" spans="1:14" ht="18.75" x14ac:dyDescent="0.25">
      <c r="A60" s="301" t="s">
        <v>41</v>
      </c>
      <c r="B60" s="253">
        <f>+ENERO!$AG60</f>
        <v>3</v>
      </c>
      <c r="C60" s="253">
        <f>+FEBRERO!$AG60</f>
        <v>6</v>
      </c>
      <c r="D60" s="253">
        <f>+MARZO!$AG60</f>
        <v>4</v>
      </c>
      <c r="E60" s="253">
        <f>+ABRIL!$AG60</f>
        <v>7</v>
      </c>
      <c r="F60" s="253">
        <f>+MAYO!$AG60</f>
        <v>5</v>
      </c>
      <c r="G60" s="253">
        <f>+JUNIO!$AG60</f>
        <v>11</v>
      </c>
      <c r="H60" s="253">
        <f>+JULIO!$AG60</f>
        <v>16</v>
      </c>
      <c r="I60" s="253">
        <f>+AGOSTO!$AG60</f>
        <v>17</v>
      </c>
      <c r="J60" s="253">
        <f>+SEPTIEMBRE!$AG60</f>
        <v>18</v>
      </c>
      <c r="K60" s="253">
        <f>+OCTUBRE!$AG60</f>
        <v>12</v>
      </c>
      <c r="L60" s="253">
        <f>+NOVIEMBRE!$AG60</f>
        <v>21</v>
      </c>
      <c r="M60" s="253">
        <f>+DICIEMBRE!$AG60</f>
        <v>17</v>
      </c>
      <c r="N60" s="4">
        <f t="shared" si="0"/>
        <v>137</v>
      </c>
    </row>
    <row r="61" spans="1:14" ht="18.75" x14ac:dyDescent="0.25">
      <c r="A61" s="301" t="s">
        <v>42</v>
      </c>
      <c r="B61" s="253">
        <f>+ENERO!$AG61</f>
        <v>1</v>
      </c>
      <c r="C61" s="253">
        <f>+FEBRERO!$AG61</f>
        <v>8</v>
      </c>
      <c r="D61" s="253">
        <f>+MARZO!$AG61</f>
        <v>5</v>
      </c>
      <c r="E61" s="253">
        <f>+ABRIL!$AG61</f>
        <v>4</v>
      </c>
      <c r="F61" s="253">
        <f>+MAYO!$AG61</f>
        <v>12</v>
      </c>
      <c r="G61" s="253">
        <f>+JUNIO!$AG61</f>
        <v>13</v>
      </c>
      <c r="H61" s="253">
        <f>+JULIO!$AG61</f>
        <v>21</v>
      </c>
      <c r="I61" s="253">
        <f>+AGOSTO!$AG61</f>
        <v>13</v>
      </c>
      <c r="J61" s="253">
        <f>+SEPTIEMBRE!$AG61</f>
        <v>10</v>
      </c>
      <c r="K61" s="253">
        <f>+OCTUBRE!$AG61</f>
        <v>15</v>
      </c>
      <c r="L61" s="253">
        <f>+NOVIEMBRE!$AG61</f>
        <v>15</v>
      </c>
      <c r="M61" s="253">
        <f>+DICIEMBRE!$AG61</f>
        <v>14</v>
      </c>
      <c r="N61" s="4">
        <f t="shared" si="0"/>
        <v>131</v>
      </c>
    </row>
    <row r="62" spans="1:14" ht="18.75" x14ac:dyDescent="0.25">
      <c r="A62" s="301" t="s">
        <v>43</v>
      </c>
      <c r="B62" s="253">
        <f>+ENERO!$AG62</f>
        <v>0</v>
      </c>
      <c r="C62" s="253">
        <f>+FEBRERO!$AG62</f>
        <v>5</v>
      </c>
      <c r="D62" s="253">
        <f>+MARZO!$AG62</f>
        <v>2</v>
      </c>
      <c r="E62" s="253">
        <f>+ABRIL!$AG62</f>
        <v>10</v>
      </c>
      <c r="F62" s="253">
        <f>+MAYO!$AG62</f>
        <v>11</v>
      </c>
      <c r="G62" s="253">
        <f>+JUNIO!$AG62</f>
        <v>20</v>
      </c>
      <c r="H62" s="253">
        <f>+JULIO!$AG62</f>
        <v>13</v>
      </c>
      <c r="I62" s="253">
        <f>+AGOSTO!$AG62</f>
        <v>15</v>
      </c>
      <c r="J62" s="253">
        <f>+SEPTIEMBRE!$AG62</f>
        <v>20</v>
      </c>
      <c r="K62" s="253">
        <f>+OCTUBRE!$AG62</f>
        <v>4</v>
      </c>
      <c r="L62" s="253">
        <f>+NOVIEMBRE!$AG62</f>
        <v>20</v>
      </c>
      <c r="M62" s="253">
        <f>+DICIEMBRE!$AG62</f>
        <v>12</v>
      </c>
      <c r="N62" s="4">
        <f t="shared" si="0"/>
        <v>132</v>
      </c>
    </row>
    <row r="63" spans="1:14" ht="18.75" x14ac:dyDescent="0.25">
      <c r="A63" s="301" t="s">
        <v>44</v>
      </c>
      <c r="B63" s="253">
        <f>+ENERO!$AG63</f>
        <v>11</v>
      </c>
      <c r="C63" s="253">
        <f>+FEBRERO!$AG63</f>
        <v>9</v>
      </c>
      <c r="D63" s="253">
        <f>+MARZO!$AG63</f>
        <v>10</v>
      </c>
      <c r="E63" s="253">
        <f>+ABRIL!$AG63</f>
        <v>7</v>
      </c>
      <c r="F63" s="253">
        <f>+MAYO!$AG63</f>
        <v>8</v>
      </c>
      <c r="G63" s="253">
        <f>+JUNIO!$AG63</f>
        <v>8</v>
      </c>
      <c r="H63" s="253">
        <f>+JULIO!$AG63</f>
        <v>21</v>
      </c>
      <c r="I63" s="253">
        <f>+AGOSTO!$AG63</f>
        <v>14</v>
      </c>
      <c r="J63" s="253">
        <f>+SEPTIEMBRE!$AG63</f>
        <v>14</v>
      </c>
      <c r="K63" s="253">
        <f>+OCTUBRE!$AG63</f>
        <v>12</v>
      </c>
      <c r="L63" s="253">
        <f>+NOVIEMBRE!$AG63</f>
        <v>16</v>
      </c>
      <c r="M63" s="253">
        <f>+DICIEMBRE!$AG63</f>
        <v>9</v>
      </c>
      <c r="N63" s="4">
        <f t="shared" si="0"/>
        <v>139</v>
      </c>
    </row>
    <row r="64" spans="1:14" ht="18.75" x14ac:dyDescent="0.25">
      <c r="A64" s="301" t="s">
        <v>45</v>
      </c>
      <c r="B64" s="253">
        <f>+ENERO!$AG64</f>
        <v>29</v>
      </c>
      <c r="C64" s="253">
        <f>+FEBRERO!$AG64</f>
        <v>36</v>
      </c>
      <c r="D64" s="253">
        <f>+MARZO!$AG64</f>
        <v>24</v>
      </c>
      <c r="E64" s="253">
        <f>+ABRIL!$AG64</f>
        <v>4</v>
      </c>
      <c r="F64" s="253">
        <f>+MAYO!$AG64</f>
        <v>15</v>
      </c>
      <c r="G64" s="253">
        <f>+JUNIO!$AG64</f>
        <v>7</v>
      </c>
      <c r="H64" s="253">
        <f>+JULIO!$AG64</f>
        <v>30</v>
      </c>
      <c r="I64" s="253">
        <f>+AGOSTO!$AG64</f>
        <v>20</v>
      </c>
      <c r="J64" s="253">
        <f>+SEPTIEMBRE!$AG64</f>
        <v>17</v>
      </c>
      <c r="K64" s="253">
        <f>+OCTUBRE!$AG64</f>
        <v>27</v>
      </c>
      <c r="L64" s="253">
        <f>+NOVIEMBRE!$AG64</f>
        <v>15</v>
      </c>
      <c r="M64" s="253">
        <f>+DICIEMBRE!$AG64</f>
        <v>24</v>
      </c>
      <c r="N64" s="4">
        <f t="shared" si="0"/>
        <v>248</v>
      </c>
    </row>
    <row r="65" spans="1:14" ht="18.75" x14ac:dyDescent="0.25">
      <c r="A65" s="301" t="s">
        <v>46</v>
      </c>
      <c r="B65" s="253">
        <f>+ENERO!$AG65</f>
        <v>60</v>
      </c>
      <c r="C65" s="253">
        <f>+FEBRERO!$AG65</f>
        <v>48</v>
      </c>
      <c r="D65" s="253">
        <f>+MARZO!$AG65</f>
        <v>55</v>
      </c>
      <c r="E65" s="253">
        <f>+ABRIL!$AG65</f>
        <v>5</v>
      </c>
      <c r="F65" s="253">
        <f>+MAYO!$AG65</f>
        <v>10</v>
      </c>
      <c r="G65" s="253">
        <f>+JUNIO!$AG65</f>
        <v>11</v>
      </c>
      <c r="H65" s="253">
        <f>+JULIO!$AG65</f>
        <v>7</v>
      </c>
      <c r="I65" s="253">
        <f>+AGOSTO!$AG65</f>
        <v>10</v>
      </c>
      <c r="J65" s="253">
        <f>+SEPTIEMBRE!$AG65</f>
        <v>11</v>
      </c>
      <c r="K65" s="253">
        <f>+OCTUBRE!$AG65</f>
        <v>16</v>
      </c>
      <c r="L65" s="253">
        <f>+NOVIEMBRE!$AG65</f>
        <v>19</v>
      </c>
      <c r="M65" s="253">
        <f>+DICIEMBRE!$AG65</f>
        <v>19</v>
      </c>
      <c r="N65" s="4">
        <f t="shared" si="0"/>
        <v>271</v>
      </c>
    </row>
    <row r="66" spans="1:14" ht="18.75" x14ac:dyDescent="0.25">
      <c r="A66" s="301" t="s">
        <v>47</v>
      </c>
      <c r="B66" s="253">
        <f>+ENERO!$AG66</f>
        <v>41</v>
      </c>
      <c r="C66" s="253">
        <f>+FEBRERO!$AG66</f>
        <v>46</v>
      </c>
      <c r="D66" s="253">
        <f>+MARZO!$AG66</f>
        <v>40</v>
      </c>
      <c r="E66" s="253">
        <f>+ABRIL!$AG66</f>
        <v>9</v>
      </c>
      <c r="F66" s="253">
        <f>+MAYO!$AG66</f>
        <v>2</v>
      </c>
      <c r="G66" s="253">
        <f>+JUNIO!$AG66</f>
        <v>3</v>
      </c>
      <c r="H66" s="253">
        <f>+JULIO!$AG66</f>
        <v>4</v>
      </c>
      <c r="I66" s="253">
        <f>+AGOSTO!$AG66</f>
        <v>6</v>
      </c>
      <c r="J66" s="253">
        <f>+SEPTIEMBRE!$AG66</f>
        <v>10</v>
      </c>
      <c r="K66" s="253">
        <f>+OCTUBRE!$AG66</f>
        <v>12</v>
      </c>
      <c r="L66" s="253">
        <f>+NOVIEMBRE!$AG66</f>
        <v>24</v>
      </c>
      <c r="M66" s="253">
        <f>+DICIEMBRE!$AG66</f>
        <v>20</v>
      </c>
      <c r="N66" s="4">
        <f t="shared" si="0"/>
        <v>217</v>
      </c>
    </row>
    <row r="67" spans="1:14" ht="18.75" x14ac:dyDescent="0.25">
      <c r="A67" s="301" t="s">
        <v>48</v>
      </c>
      <c r="B67" s="253">
        <f>+ENERO!$AG67</f>
        <v>29</v>
      </c>
      <c r="C67" s="253">
        <f>+FEBRERO!$AG67</f>
        <v>36</v>
      </c>
      <c r="D67" s="253">
        <f>+MARZO!$AG67</f>
        <v>48</v>
      </c>
      <c r="E67" s="253">
        <f>+ABRIL!$AG67</f>
        <v>7</v>
      </c>
      <c r="F67" s="253">
        <f>+MAYO!$AG67</f>
        <v>1</v>
      </c>
      <c r="G67" s="253">
        <f>+JUNIO!$AG67</f>
        <v>1</v>
      </c>
      <c r="H67" s="253">
        <f>+JULIO!$AG67</f>
        <v>1</v>
      </c>
      <c r="I67" s="253">
        <f>+AGOSTO!$AG67</f>
        <v>6</v>
      </c>
      <c r="J67" s="253">
        <f>+SEPTIEMBRE!$AG67</f>
        <v>3</v>
      </c>
      <c r="K67" s="253">
        <f>+OCTUBRE!$AG67</f>
        <v>8</v>
      </c>
      <c r="L67" s="253">
        <f>+NOVIEMBRE!$AG67</f>
        <v>23</v>
      </c>
      <c r="M67" s="253">
        <f>+DICIEMBRE!$AG67</f>
        <v>10</v>
      </c>
      <c r="N67" s="4">
        <f t="shared" ref="N67:N130" si="1">SUM(B67:M67)</f>
        <v>173</v>
      </c>
    </row>
    <row r="68" spans="1:14" ht="18.75" x14ac:dyDescent="0.25">
      <c r="A68" s="301" t="s">
        <v>49</v>
      </c>
      <c r="B68" s="253">
        <f>+ENERO!$AG68</f>
        <v>46</v>
      </c>
      <c r="C68" s="253">
        <f>+FEBRERO!$AG68</f>
        <v>31</v>
      </c>
      <c r="D68" s="253">
        <f>+MARZO!$AG68</f>
        <v>28</v>
      </c>
      <c r="E68" s="253">
        <f>+ABRIL!$AG68</f>
        <v>2</v>
      </c>
      <c r="F68" s="253">
        <f>+MAYO!$AG68</f>
        <v>1</v>
      </c>
      <c r="G68" s="253">
        <f>+JUNIO!$AG68</f>
        <v>0</v>
      </c>
      <c r="H68" s="253">
        <f>+JULIO!$AG68</f>
        <v>1</v>
      </c>
      <c r="I68" s="253">
        <f>+AGOSTO!$AG68</f>
        <v>3</v>
      </c>
      <c r="J68" s="253">
        <f>+SEPTIEMBRE!$AG68</f>
        <v>6</v>
      </c>
      <c r="K68" s="253">
        <f>+OCTUBRE!$AG68</f>
        <v>9</v>
      </c>
      <c r="L68" s="253">
        <f>+NOVIEMBRE!$AG68</f>
        <v>25</v>
      </c>
      <c r="M68" s="253">
        <f>+DICIEMBRE!$AG68</f>
        <v>10</v>
      </c>
      <c r="N68" s="4">
        <f t="shared" si="1"/>
        <v>162</v>
      </c>
    </row>
    <row r="69" spans="1:14" ht="18.75" x14ac:dyDescent="0.25">
      <c r="A69" s="301" t="s">
        <v>50</v>
      </c>
      <c r="B69" s="253">
        <f>+ENERO!$AG69</f>
        <v>17</v>
      </c>
      <c r="C69" s="253">
        <f>+FEBRERO!$AG69</f>
        <v>30</v>
      </c>
      <c r="D69" s="253">
        <f>+MARZO!$AG69</f>
        <v>21</v>
      </c>
      <c r="E69" s="253">
        <f>+ABRIL!$AG69</f>
        <v>1</v>
      </c>
      <c r="F69" s="253">
        <f>+MAYO!$AG69</f>
        <v>3</v>
      </c>
      <c r="G69" s="253">
        <f>+JUNIO!$AG69</f>
        <v>2</v>
      </c>
      <c r="H69" s="253">
        <f>+JULIO!$AG69</f>
        <v>2</v>
      </c>
      <c r="I69" s="253">
        <f>+AGOSTO!$AG69</f>
        <v>7</v>
      </c>
      <c r="J69" s="253">
        <f>+SEPTIEMBRE!$AG69</f>
        <v>7</v>
      </c>
      <c r="K69" s="253">
        <f>+OCTUBRE!$AG69</f>
        <v>3</v>
      </c>
      <c r="L69" s="253">
        <f>+NOVIEMBRE!$AG69</f>
        <v>15</v>
      </c>
      <c r="M69" s="253">
        <f>+DICIEMBRE!$AG69</f>
        <v>19</v>
      </c>
      <c r="N69" s="4">
        <f t="shared" si="1"/>
        <v>127</v>
      </c>
    </row>
    <row r="70" spans="1:14" ht="18.75" x14ac:dyDescent="0.25">
      <c r="A70" s="301" t="s">
        <v>33</v>
      </c>
      <c r="B70" s="252">
        <f>+ENERO!$AG70</f>
        <v>36</v>
      </c>
      <c r="C70" s="252">
        <f>+FEBRERO!$AG70</f>
        <v>32</v>
      </c>
      <c r="D70" s="252">
        <f>+MARZO!$AG70</f>
        <v>16</v>
      </c>
      <c r="E70" s="252">
        <f>+ABRIL!$AG70</f>
        <v>2</v>
      </c>
      <c r="F70" s="252">
        <f>+MAYO!$AG70</f>
        <v>0</v>
      </c>
      <c r="G70" s="252">
        <f>+JUNIO!$AG70</f>
        <v>0</v>
      </c>
      <c r="H70" s="252">
        <f>+JULIO!$AG70</f>
        <v>0</v>
      </c>
      <c r="I70" s="252">
        <f>+AGOSTO!$AG70</f>
        <v>0</v>
      </c>
      <c r="J70" s="252">
        <f>+SEPTIEMBRE!$AG70</f>
        <v>0</v>
      </c>
      <c r="K70" s="252">
        <f>+OCTUBRE!$AG70</f>
        <v>3</v>
      </c>
      <c r="L70" s="252">
        <f>+NOVIEMBRE!$AG70</f>
        <v>16</v>
      </c>
      <c r="M70" s="252">
        <f>+DICIEMBRE!$AG70</f>
        <v>6</v>
      </c>
      <c r="N70" s="4">
        <f t="shared" si="1"/>
        <v>111</v>
      </c>
    </row>
    <row r="71" spans="1:14" ht="18.75" x14ac:dyDescent="0.25">
      <c r="A71" s="301" t="s">
        <v>34</v>
      </c>
      <c r="B71" s="252">
        <f>+ENERO!$AG71</f>
        <v>43</v>
      </c>
      <c r="C71" s="252">
        <f>+FEBRERO!$AG71</f>
        <v>44</v>
      </c>
      <c r="D71" s="252">
        <f>+MARZO!$AG71</f>
        <v>19</v>
      </c>
      <c r="E71" s="252">
        <f>+ABRIL!$AG71</f>
        <v>2</v>
      </c>
      <c r="F71" s="252">
        <f>+MAYO!$AG71</f>
        <v>3</v>
      </c>
      <c r="G71" s="252">
        <f>+JUNIO!$AG71</f>
        <v>0</v>
      </c>
      <c r="H71" s="252">
        <f>+JULIO!$AG71</f>
        <v>0</v>
      </c>
      <c r="I71" s="252">
        <f>+AGOSTO!$AG71</f>
        <v>2</v>
      </c>
      <c r="J71" s="252">
        <f>+SEPTIEMBRE!$AG71</f>
        <v>1</v>
      </c>
      <c r="K71" s="252">
        <f>+OCTUBRE!$AG71</f>
        <v>0</v>
      </c>
      <c r="L71" s="252">
        <f>+NOVIEMBRE!$AG71</f>
        <v>4</v>
      </c>
      <c r="M71" s="252">
        <f>+DICIEMBRE!$AG71</f>
        <v>3</v>
      </c>
      <c r="N71" s="4">
        <f t="shared" si="1"/>
        <v>121</v>
      </c>
    </row>
    <row r="72" spans="1:14" ht="18.75" x14ac:dyDescent="0.25">
      <c r="A72" s="301" t="s">
        <v>35</v>
      </c>
      <c r="B72" s="252">
        <f>+ENERO!$AG72</f>
        <v>58</v>
      </c>
      <c r="C72" s="252">
        <f>+FEBRERO!$AG72</f>
        <v>36</v>
      </c>
      <c r="D72" s="252">
        <f>+MARZO!$AG72</f>
        <v>12</v>
      </c>
      <c r="E72" s="252">
        <f>+ABRIL!$AG72</f>
        <v>1</v>
      </c>
      <c r="F72" s="252">
        <f>+MAYO!$AG72</f>
        <v>1</v>
      </c>
      <c r="G72" s="252">
        <f>+JUNIO!$AG72</f>
        <v>0</v>
      </c>
      <c r="H72" s="252">
        <f>+JULIO!$AG72</f>
        <v>0</v>
      </c>
      <c r="I72" s="252">
        <f>+AGOSTO!$AG72</f>
        <v>0</v>
      </c>
      <c r="J72" s="252">
        <f>+SEPTIEMBRE!$AG72</f>
        <v>4</v>
      </c>
      <c r="K72" s="252">
        <f>+OCTUBRE!$AG72</f>
        <v>1</v>
      </c>
      <c r="L72" s="252">
        <f>+NOVIEMBRE!$AG72</f>
        <v>3</v>
      </c>
      <c r="M72" s="252">
        <f>+DICIEMBRE!$AG72</f>
        <v>2</v>
      </c>
      <c r="N72" s="4">
        <f t="shared" si="1"/>
        <v>118</v>
      </c>
    </row>
    <row r="73" spans="1:14" ht="18.75" x14ac:dyDescent="0.25">
      <c r="A73" s="301" t="s">
        <v>36</v>
      </c>
      <c r="B73" s="252">
        <f>+ENERO!$AG73</f>
        <v>65</v>
      </c>
      <c r="C73" s="252">
        <f>+FEBRERO!$AG73</f>
        <v>34</v>
      </c>
      <c r="D73" s="252">
        <f>+MARZO!$AG73</f>
        <v>7</v>
      </c>
      <c r="E73" s="252">
        <f>+ABRIL!$AG73</f>
        <v>0</v>
      </c>
      <c r="F73" s="252">
        <f>+MAYO!$AG73</f>
        <v>0</v>
      </c>
      <c r="G73" s="252">
        <f>+JUNIO!$AG73</f>
        <v>0</v>
      </c>
      <c r="H73" s="252">
        <f>+JULIO!$AG73</f>
        <v>0</v>
      </c>
      <c r="I73" s="252">
        <f>+AGOSTO!$AG73</f>
        <v>0</v>
      </c>
      <c r="J73" s="252">
        <f>+SEPTIEMBRE!$AG73</f>
        <v>0</v>
      </c>
      <c r="K73" s="252">
        <f>+OCTUBRE!$AG73</f>
        <v>0</v>
      </c>
      <c r="L73" s="252">
        <f>+NOVIEMBRE!$AG73</f>
        <v>1</v>
      </c>
      <c r="M73" s="252">
        <f>+DICIEMBRE!$AG73</f>
        <v>6</v>
      </c>
      <c r="N73" s="4">
        <f t="shared" si="1"/>
        <v>113</v>
      </c>
    </row>
    <row r="74" spans="1:14" ht="18.75" x14ac:dyDescent="0.25">
      <c r="A74" s="301" t="s">
        <v>51</v>
      </c>
      <c r="B74" s="252">
        <f>+ENERO!$AG74</f>
        <v>13</v>
      </c>
      <c r="C74" s="252">
        <f>+FEBRERO!$AG74</f>
        <v>36</v>
      </c>
      <c r="D74" s="252">
        <f>+MARZO!$AG74</f>
        <v>12</v>
      </c>
      <c r="E74" s="252">
        <f>+ABRIL!$AG74</f>
        <v>0</v>
      </c>
      <c r="F74" s="252">
        <f>+MAYO!$AG74</f>
        <v>0</v>
      </c>
      <c r="G74" s="252">
        <f>+JUNIO!$AG74</f>
        <v>0</v>
      </c>
      <c r="H74" s="252">
        <f>+JULIO!$AG74</f>
        <v>0</v>
      </c>
      <c r="I74" s="252">
        <f>+AGOSTO!$AG74</f>
        <v>0</v>
      </c>
      <c r="J74" s="252">
        <f>+SEPTIEMBRE!$AG74</f>
        <v>1</v>
      </c>
      <c r="K74" s="252">
        <f>+OCTUBRE!$AG74</f>
        <v>1</v>
      </c>
      <c r="L74" s="252">
        <f>+NOVIEMBRE!$AG74</f>
        <v>2</v>
      </c>
      <c r="M74" s="252">
        <f>+DICIEMBRE!$AG74</f>
        <v>3</v>
      </c>
      <c r="N74" s="4">
        <f t="shared" si="1"/>
        <v>68</v>
      </c>
    </row>
    <row r="75" spans="1:14" ht="18.75" x14ac:dyDescent="0.25">
      <c r="A75" s="301" t="s">
        <v>52</v>
      </c>
      <c r="B75" s="252">
        <f>+ENERO!$AG75</f>
        <v>5</v>
      </c>
      <c r="C75" s="252">
        <f>+FEBRERO!$AG75</f>
        <v>6</v>
      </c>
      <c r="D75" s="252">
        <f>+MARZO!$AG75</f>
        <v>3</v>
      </c>
      <c r="E75" s="252">
        <f>+ABRIL!$AG75</f>
        <v>0</v>
      </c>
      <c r="F75" s="252">
        <f>+MAYO!$AG75</f>
        <v>1</v>
      </c>
      <c r="G75" s="252">
        <f>+JUNIO!$AG75</f>
        <v>1</v>
      </c>
      <c r="H75" s="252">
        <f>+JULIO!$AG75</f>
        <v>0</v>
      </c>
      <c r="I75" s="252">
        <f>+AGOSTO!$AG75</f>
        <v>1</v>
      </c>
      <c r="J75" s="252">
        <f>+SEPTIEMBRE!$AG75</f>
        <v>0</v>
      </c>
      <c r="K75" s="252">
        <f>+OCTUBRE!$AG75</f>
        <v>0</v>
      </c>
      <c r="L75" s="252">
        <f>+NOVIEMBRE!$AG75</f>
        <v>0</v>
      </c>
      <c r="M75" s="252">
        <f>+DICIEMBRE!$AG75</f>
        <v>5</v>
      </c>
      <c r="N75" s="4">
        <f t="shared" si="1"/>
        <v>22</v>
      </c>
    </row>
    <row r="76" spans="1:14" ht="18.75" x14ac:dyDescent="0.25">
      <c r="A76" s="301" t="s">
        <v>37</v>
      </c>
      <c r="B76" s="252">
        <f>+ENERO!$AG76</f>
        <v>3</v>
      </c>
      <c r="C76" s="252">
        <f>+FEBRERO!$AG76</f>
        <v>1</v>
      </c>
      <c r="D76" s="252">
        <f>+MARZO!$AG76</f>
        <v>2</v>
      </c>
      <c r="E76" s="252">
        <f>+ABRIL!$AG76</f>
        <v>0</v>
      </c>
      <c r="F76" s="252">
        <f>+MAYO!$AG76</f>
        <v>0</v>
      </c>
      <c r="G76" s="252">
        <f>+JUNIO!$AG76</f>
        <v>0</v>
      </c>
      <c r="H76" s="252">
        <f>+JULIO!$AG76</f>
        <v>0</v>
      </c>
      <c r="I76" s="252">
        <f>+AGOSTO!$AG76</f>
        <v>0</v>
      </c>
      <c r="J76" s="252">
        <f>+SEPTIEMBRE!$AG76</f>
        <v>0</v>
      </c>
      <c r="K76" s="252">
        <f>+OCTUBRE!$AG76</f>
        <v>1</v>
      </c>
      <c r="L76" s="252">
        <f>+NOVIEMBRE!$AG76</f>
        <v>0</v>
      </c>
      <c r="M76" s="252">
        <f>+DICIEMBRE!$AG76</f>
        <v>2</v>
      </c>
      <c r="N76" s="4">
        <f t="shared" si="1"/>
        <v>9</v>
      </c>
    </row>
    <row r="77" spans="1:14" ht="19.5" thickBot="1" x14ac:dyDescent="0.3">
      <c r="A77" s="305" t="s">
        <v>53</v>
      </c>
      <c r="B77" s="257">
        <f>+ENERO!$AG77</f>
        <v>4</v>
      </c>
      <c r="C77" s="257">
        <f>+FEBRERO!$AG77</f>
        <v>0</v>
      </c>
      <c r="D77" s="257">
        <f>+MARZO!$AG77</f>
        <v>1</v>
      </c>
      <c r="E77" s="257">
        <f>+ABRIL!$AG77</f>
        <v>1</v>
      </c>
      <c r="F77" s="257">
        <f>+MAYO!$AG77</f>
        <v>0</v>
      </c>
      <c r="G77" s="257">
        <f>+JUNIO!$AG77</f>
        <v>0</v>
      </c>
      <c r="H77" s="257">
        <f>+JULIO!$AG77</f>
        <v>1</v>
      </c>
      <c r="I77" s="257">
        <f>+AGOSTO!$AG77</f>
        <v>4</v>
      </c>
      <c r="J77" s="257">
        <f>+SEPTIEMBRE!$AG77</f>
        <v>1</v>
      </c>
      <c r="K77" s="257">
        <f>+OCTUBRE!$AG77</f>
        <v>0</v>
      </c>
      <c r="L77" s="257">
        <f>+NOVIEMBRE!$AG77</f>
        <v>1</v>
      </c>
      <c r="M77" s="257">
        <f>+DICIEMBRE!$AG77</f>
        <v>1</v>
      </c>
      <c r="N77" s="108">
        <f t="shared" si="1"/>
        <v>14</v>
      </c>
    </row>
    <row r="78" spans="1:14" ht="19.5" hidden="1" customHeight="1" thickBot="1" x14ac:dyDescent="0.3">
      <c r="A78" s="306" t="s">
        <v>99</v>
      </c>
      <c r="B78" s="258">
        <f>+ENERO!$AG78</f>
        <v>5388</v>
      </c>
      <c r="C78" s="258">
        <f>+FEBRERO!$AG78</f>
        <v>5213</v>
      </c>
      <c r="D78" s="258">
        <f>+MARZO!$AG78</f>
        <v>4021</v>
      </c>
      <c r="E78" s="258">
        <f>+ABRIL!$AG78</f>
        <v>1992</v>
      </c>
      <c r="F78" s="258">
        <f>+MAYO!$AG78</f>
        <v>2659</v>
      </c>
      <c r="G78" s="258">
        <f>+JUNIO!$AG78</f>
        <v>2845</v>
      </c>
      <c r="H78" s="258">
        <f>+JULIO!$AG78</f>
        <v>3279</v>
      </c>
      <c r="I78" s="258">
        <f>+AGOSTO!$AG78</f>
        <v>3351</v>
      </c>
      <c r="J78" s="258">
        <f>+SEPTIEMBRE!$AG78</f>
        <v>3235</v>
      </c>
      <c r="K78" s="258">
        <f>+OCTUBRE!$AG78</f>
        <v>3797</v>
      </c>
      <c r="L78" s="258">
        <f>+NOVIEMBRE!$AG78</f>
        <v>4118</v>
      </c>
      <c r="M78" s="258">
        <f>+DICIEMBRE!$AG78</f>
        <v>4099</v>
      </c>
      <c r="N78" s="116">
        <f t="shared" si="1"/>
        <v>43997</v>
      </c>
    </row>
    <row r="79" spans="1:14" ht="19.5" hidden="1" customHeight="1" thickBot="1" x14ac:dyDescent="0.3">
      <c r="A79" s="307" t="s">
        <v>58</v>
      </c>
      <c r="B79" s="252">
        <f>+ENERO!$AG79</f>
        <v>4878</v>
      </c>
      <c r="C79" s="252">
        <f>+FEBRERO!$AG79</f>
        <v>5210</v>
      </c>
      <c r="D79" s="252">
        <f>+MARZO!$AG79</f>
        <v>3656</v>
      </c>
      <c r="E79" s="252">
        <f>+ABRIL!$AG79</f>
        <v>1438</v>
      </c>
      <c r="F79" s="252">
        <f>+MAYO!$AG79</f>
        <v>1884</v>
      </c>
      <c r="G79" s="252">
        <f>+JUNIO!$AG79</f>
        <v>2090</v>
      </c>
      <c r="H79" s="252">
        <f>+JULIO!$AG79</f>
        <v>2220</v>
      </c>
      <c r="I79" s="252">
        <f>+AGOSTO!$AG79</f>
        <v>2206</v>
      </c>
      <c r="J79" s="252">
        <f>+SEPTIEMBRE!$AG79</f>
        <v>2351</v>
      </c>
      <c r="K79" s="252">
        <f>+OCTUBRE!$AG79</f>
        <v>2836</v>
      </c>
      <c r="L79" s="252">
        <f>+NOVIEMBRE!$AG79</f>
        <v>3205</v>
      </c>
      <c r="M79" s="252">
        <f>+DICIEMBRE!$AG79</f>
        <v>3147</v>
      </c>
      <c r="N79" s="132">
        <f t="shared" si="1"/>
        <v>35121</v>
      </c>
    </row>
    <row r="80" spans="1:14" ht="19.5" hidden="1" customHeight="1" thickBot="1" x14ac:dyDescent="0.3">
      <c r="A80" s="308" t="s">
        <v>57</v>
      </c>
      <c r="B80" s="259">
        <f>+ENERO!$AG80</f>
        <v>510</v>
      </c>
      <c r="C80" s="259">
        <f>+FEBRERO!$AG80</f>
        <v>3</v>
      </c>
      <c r="D80" s="259">
        <f>+MARZO!$AG80</f>
        <v>365</v>
      </c>
      <c r="E80" s="259">
        <f>+ABRIL!$AG80</f>
        <v>554</v>
      </c>
      <c r="F80" s="259">
        <f>+MAYO!$AG80</f>
        <v>775</v>
      </c>
      <c r="G80" s="259">
        <f>+JUNIO!$AG80</f>
        <v>755</v>
      </c>
      <c r="H80" s="259">
        <f>+JULIO!$AG80</f>
        <v>1059</v>
      </c>
      <c r="I80" s="259">
        <f>+AGOSTO!$AG80</f>
        <v>1145</v>
      </c>
      <c r="J80" s="259">
        <f>+SEPTIEMBRE!$AG80</f>
        <v>884</v>
      </c>
      <c r="K80" s="259">
        <f>+OCTUBRE!$AG80</f>
        <v>961</v>
      </c>
      <c r="L80" s="259">
        <f>+NOVIEMBRE!$AG80</f>
        <v>913</v>
      </c>
      <c r="M80" s="259">
        <f>+DICIEMBRE!$AG80</f>
        <v>952</v>
      </c>
      <c r="N80" s="108">
        <f t="shared" si="1"/>
        <v>8876</v>
      </c>
    </row>
    <row r="81" spans="1:16" ht="19.5" thickBot="1" x14ac:dyDescent="0.3">
      <c r="A81" s="306" t="s">
        <v>98</v>
      </c>
      <c r="B81" s="260">
        <f>+ENERO!$AG81</f>
        <v>494</v>
      </c>
      <c r="C81" s="260">
        <f>+FEBRERO!$AG81</f>
        <v>454</v>
      </c>
      <c r="D81" s="260">
        <f>+MARZO!$AG81</f>
        <v>319</v>
      </c>
      <c r="E81" s="260">
        <f>+ABRIL!$AG81</f>
        <v>96</v>
      </c>
      <c r="F81" s="260">
        <f>+MAYO!$AG81</f>
        <v>123</v>
      </c>
      <c r="G81" s="260">
        <f>+JUNIO!$AG81</f>
        <v>147</v>
      </c>
      <c r="H81" s="260">
        <f>+JULIO!$AG81</f>
        <v>213</v>
      </c>
      <c r="I81" s="260">
        <f>+AGOSTO!$AG81</f>
        <v>194</v>
      </c>
      <c r="J81" s="260">
        <f>+SEPTIEMBRE!$AG81</f>
        <v>167</v>
      </c>
      <c r="K81" s="260">
        <f>+OCTUBRE!$AG81</f>
        <v>173</v>
      </c>
      <c r="L81" s="260">
        <f>+NOVIEMBRE!$AG81</f>
        <v>244</v>
      </c>
      <c r="M81" s="260">
        <f>+DICIEMBRE!$AG81</f>
        <v>218</v>
      </c>
      <c r="N81" s="116">
        <f t="shared" si="1"/>
        <v>2842</v>
      </c>
      <c r="O81" s="180" t="str">
        <f>IF(N81&lt;&gt;N53,"*","")</f>
        <v/>
      </c>
    </row>
    <row r="82" spans="1:16" ht="18.75" x14ac:dyDescent="0.25">
      <c r="A82" s="307" t="s">
        <v>57</v>
      </c>
      <c r="B82" s="252">
        <f>+ENERO!$AG82</f>
        <v>20</v>
      </c>
      <c r="C82" s="252">
        <f>+FEBRERO!$AG82</f>
        <v>2</v>
      </c>
      <c r="D82" s="252">
        <f>+MARZO!$AG82</f>
        <v>4</v>
      </c>
      <c r="E82" s="252">
        <f>+ABRIL!$AG82</f>
        <v>51</v>
      </c>
      <c r="F82" s="252">
        <f>+MAYO!$AG82</f>
        <v>68</v>
      </c>
      <c r="G82" s="252">
        <f>+JUNIO!$AG82</f>
        <v>107</v>
      </c>
      <c r="H82" s="252">
        <f>+JULIO!$AG82</f>
        <v>146</v>
      </c>
      <c r="I82" s="252">
        <f>+AGOSTO!$AG82</f>
        <v>104</v>
      </c>
      <c r="J82" s="252">
        <f>+SEPTIEMBRE!$AG82</f>
        <v>78</v>
      </c>
      <c r="K82" s="252">
        <f>+OCTUBRE!$AG82</f>
        <v>57</v>
      </c>
      <c r="L82" s="252">
        <f>+NOVIEMBRE!$AG82</f>
        <v>63</v>
      </c>
      <c r="M82" s="252">
        <f>+DICIEMBRE!$AG82</f>
        <v>53</v>
      </c>
      <c r="N82" s="132">
        <f t="shared" si="1"/>
        <v>753</v>
      </c>
    </row>
    <row r="83" spans="1:16" ht="19.5" thickBot="1" x14ac:dyDescent="0.3">
      <c r="A83" s="308" t="s">
        <v>58</v>
      </c>
      <c r="B83" s="256">
        <f>+ENERO!$AG83</f>
        <v>474</v>
      </c>
      <c r="C83" s="256">
        <f>+FEBRERO!$AG83</f>
        <v>452</v>
      </c>
      <c r="D83" s="256">
        <f>+MARZO!$AG83</f>
        <v>315</v>
      </c>
      <c r="E83" s="256">
        <f>+ABRIL!$AG83</f>
        <v>45</v>
      </c>
      <c r="F83" s="256">
        <f>+MAYO!$AG83</f>
        <v>55</v>
      </c>
      <c r="G83" s="256">
        <f>+JUNIO!$AG83</f>
        <v>40</v>
      </c>
      <c r="H83" s="256">
        <f>+JULIO!$AG83</f>
        <v>67</v>
      </c>
      <c r="I83" s="256">
        <f>+AGOSTO!$AG83</f>
        <v>90</v>
      </c>
      <c r="J83" s="256">
        <f>+SEPTIEMBRE!$AG83</f>
        <v>89</v>
      </c>
      <c r="K83" s="256">
        <f>+OCTUBRE!$AG83</f>
        <v>116</v>
      </c>
      <c r="L83" s="256">
        <f>+NOVIEMBRE!$AG83</f>
        <v>181</v>
      </c>
      <c r="M83" s="256">
        <f>+DICIEMBRE!$AG83</f>
        <v>165</v>
      </c>
      <c r="N83" s="4">
        <f t="shared" si="1"/>
        <v>2089</v>
      </c>
    </row>
    <row r="84" spans="1:16" ht="19.5" thickBot="1" x14ac:dyDescent="0.3">
      <c r="A84" s="309" t="s">
        <v>146</v>
      </c>
      <c r="B84" s="261">
        <f>+ENERO!$AG84</f>
        <v>494</v>
      </c>
      <c r="C84" s="261">
        <f>+FEBRERO!$AG84</f>
        <v>454</v>
      </c>
      <c r="D84" s="261">
        <f>+MARZO!$AG84</f>
        <v>319</v>
      </c>
      <c r="E84" s="261">
        <f>+ABRIL!$AG84</f>
        <v>96</v>
      </c>
      <c r="F84" s="261">
        <f>+MAYO!$AG84</f>
        <v>123</v>
      </c>
      <c r="G84" s="261">
        <f>+JUNIO!$AG84</f>
        <v>147</v>
      </c>
      <c r="H84" s="261">
        <f>+JULIO!$AG84</f>
        <v>213</v>
      </c>
      <c r="I84" s="261">
        <f>+AGOSTO!$AG84</f>
        <v>194</v>
      </c>
      <c r="J84" s="261">
        <f>+SEPTIEMBRE!$AG84</f>
        <v>167</v>
      </c>
      <c r="K84" s="261">
        <f>+OCTUBRE!$AG84</f>
        <v>173</v>
      </c>
      <c r="L84" s="261">
        <f>+NOVIEMBRE!$AG84</f>
        <v>244</v>
      </c>
      <c r="M84" s="261">
        <f>+DICIEMBRE!$AG84</f>
        <v>218</v>
      </c>
      <c r="N84" s="171">
        <f t="shared" si="1"/>
        <v>2842</v>
      </c>
      <c r="O84" s="180" t="str">
        <f>IF(N84&lt;&gt;N82+N83,"*","")</f>
        <v/>
      </c>
      <c r="P84" s="434" t="s">
        <v>1</v>
      </c>
    </row>
    <row r="85" spans="1:16" ht="18.75" x14ac:dyDescent="0.25">
      <c r="A85" s="310" t="s">
        <v>144</v>
      </c>
      <c r="B85" s="262">
        <f>+ENERO!$AG85</f>
        <v>82</v>
      </c>
      <c r="C85" s="262">
        <f>+FEBRERO!$AG85</f>
        <v>73</v>
      </c>
      <c r="D85" s="262">
        <f>+MARZO!$AG85</f>
        <v>41</v>
      </c>
      <c r="E85" s="262">
        <f>+ABRIL!$AG85</f>
        <v>10</v>
      </c>
      <c r="F85" s="262">
        <f>+MAYO!$AG85</f>
        <v>11</v>
      </c>
      <c r="G85" s="262">
        <f>+JUNIO!$AG85</f>
        <v>13</v>
      </c>
      <c r="H85" s="262">
        <f>+JULIO!$AG85</f>
        <v>11</v>
      </c>
      <c r="I85" s="262">
        <f>+AGOSTO!$AG85</f>
        <v>16</v>
      </c>
      <c r="J85" s="262">
        <f>+SEPTIEMBRE!$AG85</f>
        <v>11</v>
      </c>
      <c r="K85" s="262">
        <f>+OCTUBRE!$AG85</f>
        <v>19</v>
      </c>
      <c r="L85" s="262">
        <f>+NOVIEMBRE!$AG85</f>
        <v>23</v>
      </c>
      <c r="M85" s="262">
        <f>+DICIEMBRE!$AG85</f>
        <v>31</v>
      </c>
      <c r="N85" s="168">
        <f t="shared" si="1"/>
        <v>341</v>
      </c>
      <c r="P85" s="435"/>
    </row>
    <row r="86" spans="1:16" ht="19.5" thickBot="1" x14ac:dyDescent="0.3">
      <c r="A86" s="311" t="s">
        <v>145</v>
      </c>
      <c r="B86" s="263">
        <f>+ENERO!$AG86</f>
        <v>412</v>
      </c>
      <c r="C86" s="263">
        <f>+FEBRERO!$AG86</f>
        <v>381</v>
      </c>
      <c r="D86" s="263">
        <f>+MARZO!$AG86</f>
        <v>278</v>
      </c>
      <c r="E86" s="263">
        <f>+ABRIL!$AG86</f>
        <v>86</v>
      </c>
      <c r="F86" s="263">
        <f>+MAYO!$AG86</f>
        <v>112</v>
      </c>
      <c r="G86" s="263">
        <f>+JUNIO!$AG86</f>
        <v>134</v>
      </c>
      <c r="H86" s="263">
        <f>+JULIO!$AG86</f>
        <v>202</v>
      </c>
      <c r="I86" s="263">
        <f>+AGOSTO!$AG86</f>
        <v>178</v>
      </c>
      <c r="J86" s="263">
        <f>+SEPTIEMBRE!$AG86</f>
        <v>156</v>
      </c>
      <c r="K86" s="263">
        <f>+OCTUBRE!$AG86</f>
        <v>154</v>
      </c>
      <c r="L86" s="263">
        <f>+NOVIEMBRE!$AG86</f>
        <v>221</v>
      </c>
      <c r="M86" s="263">
        <f>+DICIEMBRE!$AG86</f>
        <v>187</v>
      </c>
      <c r="N86" s="176">
        <f t="shared" si="1"/>
        <v>2501</v>
      </c>
      <c r="P86" s="436"/>
    </row>
    <row r="87" spans="1:16" ht="19.5" thickBot="1" x14ac:dyDescent="0.3">
      <c r="A87" s="312" t="s">
        <v>147</v>
      </c>
      <c r="B87" s="264">
        <f>+ENERO!$AG87</f>
        <v>494</v>
      </c>
      <c r="C87" s="264">
        <f>+FEBRERO!$AG87</f>
        <v>454</v>
      </c>
      <c r="D87" s="264">
        <f>+MARZO!$AG87</f>
        <v>319</v>
      </c>
      <c r="E87" s="264">
        <f>+ABRIL!$AG87</f>
        <v>96</v>
      </c>
      <c r="F87" s="264">
        <f>+MAYO!$AG87</f>
        <v>123</v>
      </c>
      <c r="G87" s="264">
        <f>+JUNIO!$AG87</f>
        <v>147</v>
      </c>
      <c r="H87" s="264">
        <f>+JULIO!$AG87</f>
        <v>213</v>
      </c>
      <c r="I87" s="264">
        <f>+AGOSTO!$AG87</f>
        <v>194</v>
      </c>
      <c r="J87" s="264">
        <f>+SEPTIEMBRE!$AG87</f>
        <v>167</v>
      </c>
      <c r="K87" s="264">
        <f>+OCTUBRE!$AG87</f>
        <v>173</v>
      </c>
      <c r="L87" s="264">
        <f>+NOVIEMBRE!$AG87</f>
        <v>244</v>
      </c>
      <c r="M87" s="264">
        <f>+DICIEMBRE!$AG87</f>
        <v>218</v>
      </c>
      <c r="N87" s="179">
        <f t="shared" si="1"/>
        <v>2842</v>
      </c>
      <c r="O87" s="175" t="str">
        <f>IF(N87&lt;&gt;N84,"*","")</f>
        <v/>
      </c>
    </row>
    <row r="88" spans="1:16" ht="18.75" x14ac:dyDescent="0.25">
      <c r="A88" s="313" t="s">
        <v>127</v>
      </c>
      <c r="B88" s="257">
        <f>+ENERO!$AG88</f>
        <v>184</v>
      </c>
      <c r="C88" s="257">
        <f>+FEBRERO!$AG88</f>
        <v>137</v>
      </c>
      <c r="D88" s="257">
        <f>+MARZO!$AG88</f>
        <v>120</v>
      </c>
      <c r="E88" s="257">
        <f>+ABRIL!$AG88</f>
        <v>62</v>
      </c>
      <c r="F88" s="257">
        <f>+MAYO!$AG88</f>
        <v>83</v>
      </c>
      <c r="G88" s="257">
        <f>+JUNIO!$AG88</f>
        <v>102</v>
      </c>
      <c r="H88" s="257">
        <f>+JULIO!$AG88</f>
        <v>133</v>
      </c>
      <c r="I88" s="257">
        <f>+AGOSTO!$AG88</f>
        <v>105</v>
      </c>
      <c r="J88" s="257">
        <f>+SEPTIEMBRE!$AG88</f>
        <v>99</v>
      </c>
      <c r="K88" s="257">
        <f>+OCTUBRE!$AG88</f>
        <v>108</v>
      </c>
      <c r="L88" s="257">
        <f>+NOVIEMBRE!$AG88</f>
        <v>145</v>
      </c>
      <c r="M88" s="257">
        <f>+DICIEMBRE!$AG88</f>
        <v>117</v>
      </c>
      <c r="N88" s="132">
        <f t="shared" si="1"/>
        <v>1395</v>
      </c>
    </row>
    <row r="89" spans="1:16" ht="18.75" x14ac:dyDescent="0.25">
      <c r="A89" s="314" t="s">
        <v>73</v>
      </c>
      <c r="B89" s="256">
        <f>+ENERO!$AG89</f>
        <v>0</v>
      </c>
      <c r="C89" s="256">
        <f>+FEBRERO!$AG89</f>
        <v>0</v>
      </c>
      <c r="D89" s="256">
        <f>+MARZO!$AG89</f>
        <v>0</v>
      </c>
      <c r="E89" s="256">
        <f>+ABRIL!$AG89</f>
        <v>0</v>
      </c>
      <c r="F89" s="256">
        <f>+MAYO!$AG89</f>
        <v>0</v>
      </c>
      <c r="G89" s="256">
        <f>+JUNIO!$AG89</f>
        <v>0</v>
      </c>
      <c r="H89" s="256">
        <f>+JULIO!$AG89</f>
        <v>0</v>
      </c>
      <c r="I89" s="256">
        <f>+AGOSTO!$AG89</f>
        <v>0</v>
      </c>
      <c r="J89" s="256">
        <f>+SEPTIEMBRE!$AG89</f>
        <v>0</v>
      </c>
      <c r="K89" s="256">
        <f>+OCTUBRE!$AG89</f>
        <v>0</v>
      </c>
      <c r="L89" s="256">
        <f>+NOVIEMBRE!$AG89</f>
        <v>0</v>
      </c>
      <c r="M89" s="256">
        <f>+DICIEMBRE!$AG89</f>
        <v>0</v>
      </c>
      <c r="N89" s="4">
        <f t="shared" si="1"/>
        <v>0</v>
      </c>
    </row>
    <row r="90" spans="1:16" ht="18.75" x14ac:dyDescent="0.25">
      <c r="A90" s="314" t="s">
        <v>74</v>
      </c>
      <c r="B90" s="256">
        <f>+ENERO!$AG90</f>
        <v>5</v>
      </c>
      <c r="C90" s="256">
        <f>+FEBRERO!$AG90</f>
        <v>5</v>
      </c>
      <c r="D90" s="256">
        <f>+MARZO!$AG90</f>
        <v>3</v>
      </c>
      <c r="E90" s="256">
        <f>+ABRIL!$AG90</f>
        <v>1</v>
      </c>
      <c r="F90" s="256">
        <f>+MAYO!$AG90</f>
        <v>0</v>
      </c>
      <c r="G90" s="256">
        <f>+JUNIO!$AG90</f>
        <v>3</v>
      </c>
      <c r="H90" s="256">
        <f>+JULIO!$AG90</f>
        <v>3</v>
      </c>
      <c r="I90" s="256">
        <f>+AGOSTO!$AG90</f>
        <v>3</v>
      </c>
      <c r="J90" s="256">
        <f>+SEPTIEMBRE!$AG90</f>
        <v>3</v>
      </c>
      <c r="K90" s="256">
        <f>+OCTUBRE!$AG90</f>
        <v>2</v>
      </c>
      <c r="L90" s="256">
        <f>+NOVIEMBRE!$AG90</f>
        <v>5</v>
      </c>
      <c r="M90" s="256">
        <f>+DICIEMBRE!$AG90</f>
        <v>5</v>
      </c>
      <c r="N90" s="4">
        <f t="shared" si="1"/>
        <v>38</v>
      </c>
    </row>
    <row r="91" spans="1:16" ht="18.75" x14ac:dyDescent="0.25">
      <c r="A91" s="314" t="s">
        <v>75</v>
      </c>
      <c r="B91" s="256">
        <f>+ENERO!$AG91</f>
        <v>155</v>
      </c>
      <c r="C91" s="256">
        <f>+FEBRERO!$AG91</f>
        <v>183</v>
      </c>
      <c r="D91" s="256">
        <f>+MARZO!$AG91</f>
        <v>88</v>
      </c>
      <c r="E91" s="256">
        <f>+ABRIL!$AG91</f>
        <v>17</v>
      </c>
      <c r="F91" s="256">
        <f>+MAYO!$AG91</f>
        <v>11</v>
      </c>
      <c r="G91" s="256">
        <f>+JUNIO!$AG91</f>
        <v>9</v>
      </c>
      <c r="H91" s="256">
        <f>+JULIO!$AG91</f>
        <v>12</v>
      </c>
      <c r="I91" s="256">
        <f>+AGOSTO!$AG91</f>
        <v>24</v>
      </c>
      <c r="J91" s="256">
        <f>+SEPTIEMBRE!$AG91</f>
        <v>18</v>
      </c>
      <c r="K91" s="256">
        <f>+OCTUBRE!$AG91</f>
        <v>17</v>
      </c>
      <c r="L91" s="256">
        <f>+NOVIEMBRE!$AG91</f>
        <v>36</v>
      </c>
      <c r="M91" s="256">
        <f>+DICIEMBRE!$AG91</f>
        <v>49</v>
      </c>
      <c r="N91" s="4">
        <f t="shared" si="1"/>
        <v>619</v>
      </c>
    </row>
    <row r="92" spans="1:16" ht="19.5" thickBot="1" x14ac:dyDescent="0.3">
      <c r="A92" s="314" t="s">
        <v>76</v>
      </c>
      <c r="B92" s="256">
        <f>+ENERO!$AG92</f>
        <v>150</v>
      </c>
      <c r="C92" s="256">
        <f>+FEBRERO!$AG92</f>
        <v>129</v>
      </c>
      <c r="D92" s="256">
        <f>+MARZO!$AG92</f>
        <v>108</v>
      </c>
      <c r="E92" s="256">
        <f>+ABRIL!$AG92</f>
        <v>16</v>
      </c>
      <c r="F92" s="256">
        <f>+MAYO!$AG92</f>
        <v>29</v>
      </c>
      <c r="G92" s="256">
        <f>+JUNIO!$AG92</f>
        <v>33</v>
      </c>
      <c r="H92" s="256">
        <f>+JULIO!$AG92</f>
        <v>65</v>
      </c>
      <c r="I92" s="256">
        <f>+AGOSTO!$AG92</f>
        <v>62</v>
      </c>
      <c r="J92" s="256">
        <f>+SEPTIEMBRE!$AG92</f>
        <v>47</v>
      </c>
      <c r="K92" s="256">
        <f>+OCTUBRE!$AG92</f>
        <v>46</v>
      </c>
      <c r="L92" s="256">
        <f>+NOVIEMBRE!$AG92</f>
        <v>58</v>
      </c>
      <c r="M92" s="256">
        <f>+DICIEMBRE!$AG92</f>
        <v>47</v>
      </c>
      <c r="N92" s="4">
        <f t="shared" si="1"/>
        <v>790</v>
      </c>
    </row>
    <row r="93" spans="1:16" ht="18.75" x14ac:dyDescent="0.25">
      <c r="A93" s="315" t="s">
        <v>615</v>
      </c>
      <c r="B93" s="265">
        <f>+ENERO!$AG93</f>
        <v>4894</v>
      </c>
      <c r="C93" s="265">
        <f>+FEBRERO!$AG93</f>
        <v>4759</v>
      </c>
      <c r="D93" s="265">
        <f>+MARZO!$AG93</f>
        <v>3702</v>
      </c>
      <c r="E93" s="265">
        <f>+ABRIL!$AG93</f>
        <v>1895</v>
      </c>
      <c r="F93" s="265">
        <f>+MAYO!$AG93</f>
        <v>2536</v>
      </c>
      <c r="G93" s="265">
        <f>+JUNIO!$AG93</f>
        <v>2696</v>
      </c>
      <c r="H93" s="265">
        <f>+JULIO!$AG93</f>
        <v>3064</v>
      </c>
      <c r="I93" s="265">
        <f>+AGOSTO!$AG93</f>
        <v>3157</v>
      </c>
      <c r="J93" s="265">
        <f>+SEPTIEMBRE!$AG93</f>
        <v>3068</v>
      </c>
      <c r="K93" s="265">
        <f>+OCTUBRE!$AG93</f>
        <v>3624</v>
      </c>
      <c r="L93" s="265">
        <f>+NOVIEMBRE!$AG93</f>
        <v>3874</v>
      </c>
      <c r="M93" s="265">
        <f>+DICIEMBRE!$AG93</f>
        <v>3881</v>
      </c>
      <c r="N93" s="150">
        <f t="shared" si="1"/>
        <v>41150</v>
      </c>
      <c r="O93" s="37" t="str">
        <f>IF(N93&lt;&gt;N28,"*","")</f>
        <v/>
      </c>
    </row>
    <row r="94" spans="1:16" ht="18.75" x14ac:dyDescent="0.25">
      <c r="A94" s="110" t="s">
        <v>65</v>
      </c>
      <c r="B94" s="266">
        <f>+ENERO!$AG94</f>
        <v>667</v>
      </c>
      <c r="C94" s="266">
        <f>+FEBRERO!$AG94</f>
        <v>579</v>
      </c>
      <c r="D94" s="266">
        <f>+MARZO!$AG94</f>
        <v>429</v>
      </c>
      <c r="E94" s="266">
        <f>+ABRIL!$AG94</f>
        <v>92</v>
      </c>
      <c r="F94" s="266">
        <f>+MAYO!$AG94</f>
        <v>165</v>
      </c>
      <c r="G94" s="266">
        <f>+JUNIO!$AG94</f>
        <v>160</v>
      </c>
      <c r="H94" s="266">
        <f>+JULIO!$AG94</f>
        <v>185</v>
      </c>
      <c r="I94" s="266">
        <f>+AGOSTO!$AG94</f>
        <v>212</v>
      </c>
      <c r="J94" s="266">
        <f>+SEPTIEMBRE!$AG94</f>
        <v>211</v>
      </c>
      <c r="K94" s="266">
        <f>+OCTUBRE!$AG94</f>
        <v>296</v>
      </c>
      <c r="L94" s="266">
        <f>+NOVIEMBRE!$AG94</f>
        <v>379</v>
      </c>
      <c r="M94" s="266">
        <f>+DICIEMBRE!$AG94</f>
        <v>316</v>
      </c>
      <c r="N94" s="4">
        <f t="shared" si="1"/>
        <v>3691</v>
      </c>
    </row>
    <row r="95" spans="1:16" ht="18.75" x14ac:dyDescent="0.25">
      <c r="A95" s="316" t="s">
        <v>81</v>
      </c>
      <c r="B95" s="253">
        <f>+ENERO!$AG95</f>
        <v>23</v>
      </c>
      <c r="C95" s="253">
        <f>+FEBRERO!$AG95</f>
        <v>34</v>
      </c>
      <c r="D95" s="253">
        <f>+MARZO!$AG95</f>
        <v>30</v>
      </c>
      <c r="E95" s="253">
        <f>+ABRIL!$AG95</f>
        <v>5</v>
      </c>
      <c r="F95" s="253">
        <f>+MAYO!$AG95</f>
        <v>13</v>
      </c>
      <c r="G95" s="253">
        <f>+JUNIO!$AG95</f>
        <v>9</v>
      </c>
      <c r="H95" s="253">
        <f>+JULIO!$AG95</f>
        <v>9</v>
      </c>
      <c r="I95" s="253">
        <f>+AGOSTO!$AG95</f>
        <v>10</v>
      </c>
      <c r="J95" s="253">
        <f>+SEPTIEMBRE!$AG95</f>
        <v>8</v>
      </c>
      <c r="K95" s="253">
        <f>+OCTUBRE!$AG95</f>
        <v>16</v>
      </c>
      <c r="L95" s="253">
        <f>+NOVIEMBRE!$AG95</f>
        <v>21</v>
      </c>
      <c r="M95" s="253">
        <f>+DICIEMBRE!$AG95</f>
        <v>14</v>
      </c>
      <c r="N95" s="4">
        <f t="shared" si="1"/>
        <v>192</v>
      </c>
    </row>
    <row r="96" spans="1:16" ht="18.75" x14ac:dyDescent="0.25">
      <c r="A96" s="317" t="s">
        <v>82</v>
      </c>
      <c r="B96" s="253">
        <f>+ENERO!$AG96</f>
        <v>65</v>
      </c>
      <c r="C96" s="253">
        <f>+FEBRERO!$AG96</f>
        <v>47</v>
      </c>
      <c r="D96" s="253">
        <f>+MARZO!$AG96</f>
        <v>38</v>
      </c>
      <c r="E96" s="253">
        <f>+ABRIL!$AG96</f>
        <v>12</v>
      </c>
      <c r="F96" s="253">
        <f>+MAYO!$AG96</f>
        <v>5</v>
      </c>
      <c r="G96" s="253">
        <f>+JUNIO!$AG96</f>
        <v>15</v>
      </c>
      <c r="H96" s="253">
        <f>+JULIO!$AG96</f>
        <v>18</v>
      </c>
      <c r="I96" s="253">
        <f>+AGOSTO!$AG96</f>
        <v>16</v>
      </c>
      <c r="J96" s="253">
        <f>+SEPTIEMBRE!$AG96</f>
        <v>19</v>
      </c>
      <c r="K96" s="253">
        <f>+OCTUBRE!$AG96</f>
        <v>20</v>
      </c>
      <c r="L96" s="253">
        <f>+NOVIEMBRE!$AG96</f>
        <v>39</v>
      </c>
      <c r="M96" s="253">
        <f>+DICIEMBRE!$AG96</f>
        <v>31</v>
      </c>
      <c r="N96" s="4">
        <f t="shared" si="1"/>
        <v>325</v>
      </c>
    </row>
    <row r="97" spans="1:14" ht="18.75" x14ac:dyDescent="0.25">
      <c r="A97" s="318" t="s">
        <v>70</v>
      </c>
      <c r="B97" s="253">
        <f>+ENERO!$AG97</f>
        <v>133</v>
      </c>
      <c r="C97" s="253">
        <f>+FEBRERO!$AG97</f>
        <v>109</v>
      </c>
      <c r="D97" s="253">
        <f>+MARZO!$AG97</f>
        <v>88</v>
      </c>
      <c r="E97" s="253">
        <f>+ABRIL!$AG97</f>
        <v>19</v>
      </c>
      <c r="F97" s="253">
        <f>+MAYO!$AG97</f>
        <v>32</v>
      </c>
      <c r="G97" s="253">
        <f>+JUNIO!$AG97</f>
        <v>23</v>
      </c>
      <c r="H97" s="253">
        <f>+JULIO!$AG97</f>
        <v>32</v>
      </c>
      <c r="I97" s="253">
        <f>+AGOSTO!$AG97</f>
        <v>29</v>
      </c>
      <c r="J97" s="253">
        <f>+SEPTIEMBRE!$AG97</f>
        <v>39</v>
      </c>
      <c r="K97" s="253">
        <f>+OCTUBRE!$AG97</f>
        <v>78</v>
      </c>
      <c r="L97" s="253">
        <f>+NOVIEMBRE!$AG97</f>
        <v>77</v>
      </c>
      <c r="M97" s="253">
        <f>+DICIEMBRE!$AG97</f>
        <v>73</v>
      </c>
      <c r="N97" s="4">
        <f t="shared" si="1"/>
        <v>732</v>
      </c>
    </row>
    <row r="98" spans="1:14" ht="18.75" x14ac:dyDescent="0.25">
      <c r="A98" s="319" t="s">
        <v>6</v>
      </c>
      <c r="B98" s="253">
        <f>+ENERO!$AG98</f>
        <v>232</v>
      </c>
      <c r="C98" s="253">
        <f>+FEBRERO!$AG98</f>
        <v>175</v>
      </c>
      <c r="D98" s="253">
        <f>+MARZO!$AG98</f>
        <v>133</v>
      </c>
      <c r="E98" s="253">
        <f>+ABRIL!$AG98</f>
        <v>25</v>
      </c>
      <c r="F98" s="253">
        <f>+MAYO!$AG98</f>
        <v>56</v>
      </c>
      <c r="G98" s="253">
        <f>+JUNIO!$AG98</f>
        <v>43</v>
      </c>
      <c r="H98" s="253">
        <f>+JULIO!$AG98</f>
        <v>56</v>
      </c>
      <c r="I98" s="253">
        <f>+AGOSTO!$AG98</f>
        <v>84</v>
      </c>
      <c r="J98" s="253">
        <f>+SEPTIEMBRE!$AG98</f>
        <v>83</v>
      </c>
      <c r="K98" s="253">
        <f>+OCTUBRE!$AG98</f>
        <v>90</v>
      </c>
      <c r="L98" s="253">
        <f>+NOVIEMBRE!$AG98</f>
        <v>122</v>
      </c>
      <c r="M98" s="253">
        <f>+DICIEMBRE!$AG98</f>
        <v>96</v>
      </c>
      <c r="N98" s="4">
        <f t="shared" si="1"/>
        <v>1195</v>
      </c>
    </row>
    <row r="99" spans="1:14" ht="18.75" x14ac:dyDescent="0.25">
      <c r="A99" s="320" t="s">
        <v>7</v>
      </c>
      <c r="B99" s="253">
        <f>+ENERO!$AG99</f>
        <v>214</v>
      </c>
      <c r="C99" s="253">
        <f>+FEBRERO!$AG99</f>
        <v>214</v>
      </c>
      <c r="D99" s="253">
        <f>+MARZO!$AG99</f>
        <v>140</v>
      </c>
      <c r="E99" s="253">
        <f>+ABRIL!$AG99</f>
        <v>31</v>
      </c>
      <c r="F99" s="253">
        <f>+MAYO!$AG99</f>
        <v>59</v>
      </c>
      <c r="G99" s="253">
        <f>+JUNIO!$AG99</f>
        <v>70</v>
      </c>
      <c r="H99" s="253">
        <f>+JULIO!$AG99</f>
        <v>70</v>
      </c>
      <c r="I99" s="253">
        <f>+AGOSTO!$AG99</f>
        <v>73</v>
      </c>
      <c r="J99" s="253">
        <f>+SEPTIEMBRE!$AG99</f>
        <v>62</v>
      </c>
      <c r="K99" s="253">
        <f>+OCTUBRE!$AG99</f>
        <v>92</v>
      </c>
      <c r="L99" s="253">
        <f>+NOVIEMBRE!$AG99</f>
        <v>120</v>
      </c>
      <c r="M99" s="253">
        <f>+DICIEMBRE!$AG99</f>
        <v>102</v>
      </c>
      <c r="N99" s="4">
        <f t="shared" si="1"/>
        <v>1247</v>
      </c>
    </row>
    <row r="100" spans="1:14" ht="18.75" x14ac:dyDescent="0.25">
      <c r="A100" s="110" t="s">
        <v>66</v>
      </c>
      <c r="B100" s="266">
        <f>+ENERO!$AG100</f>
        <v>4227</v>
      </c>
      <c r="C100" s="266">
        <f>+FEBRERO!$AG100</f>
        <v>4180</v>
      </c>
      <c r="D100" s="266">
        <f>+MARZO!$AG100</f>
        <v>3273</v>
      </c>
      <c r="E100" s="266">
        <f>+ABRIL!$AG100</f>
        <v>1803</v>
      </c>
      <c r="F100" s="266">
        <f>+MAYO!$AG100</f>
        <v>2371</v>
      </c>
      <c r="G100" s="266">
        <f>+JUNIO!$AG100</f>
        <v>2536</v>
      </c>
      <c r="H100" s="266">
        <f>+JULIO!$AG100</f>
        <v>2879</v>
      </c>
      <c r="I100" s="266">
        <f>+AGOSTO!$AG100</f>
        <v>2945</v>
      </c>
      <c r="J100" s="266">
        <f>+SEPTIEMBRE!$AG100</f>
        <v>2857</v>
      </c>
      <c r="K100" s="266">
        <f>+OCTUBRE!$AG100</f>
        <v>3328</v>
      </c>
      <c r="L100" s="266">
        <f>+NOVIEMBRE!$AG100</f>
        <v>3495</v>
      </c>
      <c r="M100" s="266">
        <f>+DICIEMBRE!$AG100</f>
        <v>3565</v>
      </c>
      <c r="N100" s="4">
        <f t="shared" si="1"/>
        <v>37459</v>
      </c>
    </row>
    <row r="101" spans="1:14" ht="18.75" x14ac:dyDescent="0.25">
      <c r="A101" s="320" t="s">
        <v>8</v>
      </c>
      <c r="B101" s="253">
        <f>+ENERO!$AG101</f>
        <v>319</v>
      </c>
      <c r="C101" s="253">
        <f>+FEBRERO!$AG101</f>
        <v>296</v>
      </c>
      <c r="D101" s="253">
        <f>+MARZO!$AG101</f>
        <v>290</v>
      </c>
      <c r="E101" s="253">
        <f>+ABRIL!$AG101</f>
        <v>83</v>
      </c>
      <c r="F101" s="253">
        <f>+MAYO!$AG101</f>
        <v>123</v>
      </c>
      <c r="G101" s="253">
        <f>+JUNIO!$AG101</f>
        <v>126</v>
      </c>
      <c r="H101" s="253">
        <f>+JULIO!$AG101</f>
        <v>174</v>
      </c>
      <c r="I101" s="253">
        <f>+AGOSTO!$AG101</f>
        <v>168</v>
      </c>
      <c r="J101" s="253">
        <f>+SEPTIEMBRE!$AG101</f>
        <v>168</v>
      </c>
      <c r="K101" s="253">
        <f>+OCTUBRE!$AG101</f>
        <v>240</v>
      </c>
      <c r="L101" s="253">
        <f>+NOVIEMBRE!$AG101</f>
        <v>257</v>
      </c>
      <c r="M101" s="253">
        <f>+DICIEMBRE!$AG101</f>
        <v>242</v>
      </c>
      <c r="N101" s="4">
        <f t="shared" si="1"/>
        <v>2486</v>
      </c>
    </row>
    <row r="102" spans="1:14" ht="18.75" x14ac:dyDescent="0.25">
      <c r="A102" s="320" t="s">
        <v>9</v>
      </c>
      <c r="B102" s="253">
        <f>+ENERO!$AG102</f>
        <v>449</v>
      </c>
      <c r="C102" s="253">
        <f>+FEBRERO!$AG102</f>
        <v>470</v>
      </c>
      <c r="D102" s="253">
        <f>+MARZO!$AG102</f>
        <v>388</v>
      </c>
      <c r="E102" s="253">
        <f>+ABRIL!$AG102</f>
        <v>179</v>
      </c>
      <c r="F102" s="253">
        <f>+MAYO!$AG102</f>
        <v>216</v>
      </c>
      <c r="G102" s="253">
        <f>+JUNIO!$AG102</f>
        <v>252</v>
      </c>
      <c r="H102" s="253">
        <f>+JULIO!$AG102</f>
        <v>260</v>
      </c>
      <c r="I102" s="253">
        <f>+AGOSTO!$AG102</f>
        <v>241</v>
      </c>
      <c r="J102" s="253">
        <f>+SEPTIEMBRE!$AG102</f>
        <v>301</v>
      </c>
      <c r="K102" s="253">
        <f>+OCTUBRE!$AG102</f>
        <v>332</v>
      </c>
      <c r="L102" s="253">
        <f>+NOVIEMBRE!$AG102</f>
        <v>403</v>
      </c>
      <c r="M102" s="253">
        <f>+DICIEMBRE!$AG102</f>
        <v>433</v>
      </c>
      <c r="N102" s="4">
        <f t="shared" si="1"/>
        <v>3924</v>
      </c>
    </row>
    <row r="103" spans="1:14" ht="18.75" x14ac:dyDescent="0.25">
      <c r="A103" s="321" t="s">
        <v>10</v>
      </c>
      <c r="B103" s="253">
        <f>+ENERO!$AG103</f>
        <v>409</v>
      </c>
      <c r="C103" s="253">
        <f>+FEBRERO!$AG103</f>
        <v>388</v>
      </c>
      <c r="D103" s="253">
        <f>+MARZO!$AG103</f>
        <v>323</v>
      </c>
      <c r="E103" s="253">
        <f>+ABRIL!$AG103</f>
        <v>176</v>
      </c>
      <c r="F103" s="253">
        <f>+MAYO!$AG103</f>
        <v>251</v>
      </c>
      <c r="G103" s="253">
        <f>+JUNIO!$AG103</f>
        <v>267</v>
      </c>
      <c r="H103" s="253">
        <f>+JULIO!$AG103</f>
        <v>263</v>
      </c>
      <c r="I103" s="253">
        <f>+AGOSTO!$AG103</f>
        <v>264</v>
      </c>
      <c r="J103" s="253">
        <f>+SEPTIEMBRE!$AG103</f>
        <v>284</v>
      </c>
      <c r="K103" s="253">
        <f>+OCTUBRE!$AG103</f>
        <v>343</v>
      </c>
      <c r="L103" s="253">
        <f>+NOVIEMBRE!$AG103</f>
        <v>385</v>
      </c>
      <c r="M103" s="253">
        <f>+DICIEMBRE!$AG103</f>
        <v>389</v>
      </c>
      <c r="N103" s="4">
        <f t="shared" si="1"/>
        <v>3742</v>
      </c>
    </row>
    <row r="104" spans="1:14" ht="18.75" x14ac:dyDescent="0.25">
      <c r="A104" s="321" t="s">
        <v>11</v>
      </c>
      <c r="B104" s="253">
        <f>+ENERO!$AG104</f>
        <v>366</v>
      </c>
      <c r="C104" s="253">
        <f>+FEBRERO!$AG104</f>
        <v>314</v>
      </c>
      <c r="D104" s="253">
        <f>+MARZO!$AG104</f>
        <v>300</v>
      </c>
      <c r="E104" s="253">
        <f>+ABRIL!$AG104</f>
        <v>170</v>
      </c>
      <c r="F104" s="253">
        <f>+MAYO!$AG104</f>
        <v>196</v>
      </c>
      <c r="G104" s="253">
        <f>+JUNIO!$AG104</f>
        <v>249</v>
      </c>
      <c r="H104" s="253">
        <f>+JULIO!$AG104</f>
        <v>301</v>
      </c>
      <c r="I104" s="253">
        <f>+AGOSTO!$AG104</f>
        <v>227</v>
      </c>
      <c r="J104" s="253">
        <f>+SEPTIEMBRE!$AG104</f>
        <v>254</v>
      </c>
      <c r="K104" s="253">
        <f>+OCTUBRE!$AG104</f>
        <v>312</v>
      </c>
      <c r="L104" s="253">
        <f>+NOVIEMBRE!$AG104</f>
        <v>307</v>
      </c>
      <c r="M104" s="253">
        <f>+DICIEMBRE!$AG104</f>
        <v>328</v>
      </c>
      <c r="N104" s="4">
        <f t="shared" si="1"/>
        <v>3324</v>
      </c>
    </row>
    <row r="105" spans="1:14" ht="18.75" x14ac:dyDescent="0.25">
      <c r="A105" s="321" t="s">
        <v>12</v>
      </c>
      <c r="B105" s="253">
        <f>+ENERO!$AG105</f>
        <v>315</v>
      </c>
      <c r="C105" s="253">
        <f>+FEBRERO!$AG105</f>
        <v>298</v>
      </c>
      <c r="D105" s="253">
        <f>+MARZO!$AG105</f>
        <v>245</v>
      </c>
      <c r="E105" s="253">
        <f>+ABRIL!$AG105</f>
        <v>196</v>
      </c>
      <c r="F105" s="253">
        <f>+MAYO!$AG105</f>
        <v>222</v>
      </c>
      <c r="G105" s="253">
        <f>+JUNIO!$AG105</f>
        <v>236</v>
      </c>
      <c r="H105" s="253">
        <f>+JULIO!$AG105</f>
        <v>215</v>
      </c>
      <c r="I105" s="253">
        <f>+AGOSTO!$AG105</f>
        <v>227</v>
      </c>
      <c r="J105" s="253">
        <f>+SEPTIEMBRE!$AG105</f>
        <v>203</v>
      </c>
      <c r="K105" s="253">
        <f>+OCTUBRE!$AG105</f>
        <v>273</v>
      </c>
      <c r="L105" s="253">
        <f>+NOVIEMBRE!$AG105</f>
        <v>260</v>
      </c>
      <c r="M105" s="253">
        <f>+DICIEMBRE!$AG105</f>
        <v>302</v>
      </c>
      <c r="N105" s="4">
        <f t="shared" si="1"/>
        <v>2992</v>
      </c>
    </row>
    <row r="106" spans="1:14" ht="18.75" x14ac:dyDescent="0.25">
      <c r="A106" s="321" t="s">
        <v>13</v>
      </c>
      <c r="B106" s="253">
        <f>+ENERO!$AG106</f>
        <v>287</v>
      </c>
      <c r="C106" s="253">
        <f>+FEBRERO!$AG106</f>
        <v>265</v>
      </c>
      <c r="D106" s="253">
        <f>+MARZO!$AG106</f>
        <v>259</v>
      </c>
      <c r="E106" s="253">
        <f>+ABRIL!$AG106</f>
        <v>153</v>
      </c>
      <c r="F106" s="253">
        <f>+MAYO!$AG106</f>
        <v>185</v>
      </c>
      <c r="G106" s="253">
        <f>+JUNIO!$AG106</f>
        <v>211</v>
      </c>
      <c r="H106" s="253">
        <f>+JULIO!$AG106</f>
        <v>208</v>
      </c>
      <c r="I106" s="253">
        <f>+AGOSTO!$AG106</f>
        <v>198</v>
      </c>
      <c r="J106" s="253">
        <f>+SEPTIEMBRE!$AG106</f>
        <v>227</v>
      </c>
      <c r="K106" s="253">
        <f>+OCTUBRE!$AG106</f>
        <v>239</v>
      </c>
      <c r="L106" s="253">
        <f>+NOVIEMBRE!$AG106</f>
        <v>242</v>
      </c>
      <c r="M106" s="253">
        <f>+DICIEMBRE!$AG106</f>
        <v>260</v>
      </c>
      <c r="N106" s="4">
        <f t="shared" si="1"/>
        <v>2734</v>
      </c>
    </row>
    <row r="107" spans="1:14" ht="18.75" x14ac:dyDescent="0.25">
      <c r="A107" s="321" t="s">
        <v>14</v>
      </c>
      <c r="B107" s="253">
        <f>+ENERO!$AG107</f>
        <v>344</v>
      </c>
      <c r="C107" s="253">
        <f>+FEBRERO!$AG107</f>
        <v>353</v>
      </c>
      <c r="D107" s="253">
        <f>+MARZO!$AG107</f>
        <v>242</v>
      </c>
      <c r="E107" s="253">
        <f>+ABRIL!$AG107</f>
        <v>146</v>
      </c>
      <c r="F107" s="253">
        <f>+MAYO!$AG107</f>
        <v>205</v>
      </c>
      <c r="G107" s="253">
        <f>+JUNIO!$AG107</f>
        <v>204</v>
      </c>
      <c r="H107" s="253">
        <f>+JULIO!$AG107</f>
        <v>244</v>
      </c>
      <c r="I107" s="253">
        <f>+AGOSTO!$AG107</f>
        <v>265</v>
      </c>
      <c r="J107" s="253">
        <f>+SEPTIEMBRE!$AG107</f>
        <v>210</v>
      </c>
      <c r="K107" s="253">
        <f>+OCTUBRE!$AG107</f>
        <v>256</v>
      </c>
      <c r="L107" s="253">
        <f>+NOVIEMBRE!$AG107</f>
        <v>259</v>
      </c>
      <c r="M107" s="253">
        <f>+DICIEMBRE!$AG107</f>
        <v>262</v>
      </c>
      <c r="N107" s="4">
        <f t="shared" si="1"/>
        <v>2990</v>
      </c>
    </row>
    <row r="108" spans="1:14" ht="18.75" x14ac:dyDescent="0.25">
      <c r="A108" s="321" t="s">
        <v>15</v>
      </c>
      <c r="B108" s="253">
        <f>+ENERO!$AG108</f>
        <v>397</v>
      </c>
      <c r="C108" s="253">
        <f>+FEBRERO!$AG108</f>
        <v>363</v>
      </c>
      <c r="D108" s="253">
        <f>+MARZO!$AG108</f>
        <v>256</v>
      </c>
      <c r="E108" s="253">
        <f>+ABRIL!$AG108</f>
        <v>161</v>
      </c>
      <c r="F108" s="253">
        <f>+MAYO!$AG108</f>
        <v>214</v>
      </c>
      <c r="G108" s="253">
        <f>+JUNIO!$AG108</f>
        <v>204</v>
      </c>
      <c r="H108" s="253">
        <f>+JULIO!$AG108</f>
        <v>256</v>
      </c>
      <c r="I108" s="253">
        <f>+AGOSTO!$AG108</f>
        <v>270</v>
      </c>
      <c r="J108" s="253">
        <f>+SEPTIEMBRE!$AG108</f>
        <v>225</v>
      </c>
      <c r="K108" s="253">
        <f>+OCTUBRE!$AG108</f>
        <v>258</v>
      </c>
      <c r="L108" s="253">
        <f>+NOVIEMBRE!$AG108</f>
        <v>299</v>
      </c>
      <c r="M108" s="253">
        <f>+DICIEMBRE!$AG108</f>
        <v>319</v>
      </c>
      <c r="N108" s="4">
        <f t="shared" si="1"/>
        <v>3222</v>
      </c>
    </row>
    <row r="109" spans="1:14" ht="18.75" x14ac:dyDescent="0.25">
      <c r="A109" s="321" t="s">
        <v>16</v>
      </c>
      <c r="B109" s="253">
        <f>+ENERO!$AG109</f>
        <v>311</v>
      </c>
      <c r="C109" s="253">
        <f>+FEBRERO!$AG109</f>
        <v>338</v>
      </c>
      <c r="D109" s="253">
        <f>+MARZO!$AG109</f>
        <v>235</v>
      </c>
      <c r="E109" s="253">
        <f>+ABRIL!$AG109</f>
        <v>161</v>
      </c>
      <c r="F109" s="253">
        <f>+MAYO!$AG109</f>
        <v>195</v>
      </c>
      <c r="G109" s="253">
        <f>+JUNIO!$AG109</f>
        <v>245</v>
      </c>
      <c r="H109" s="253">
        <f>+JULIO!$AG109</f>
        <v>263</v>
      </c>
      <c r="I109" s="253">
        <f>+AGOSTO!$AG109</f>
        <v>248</v>
      </c>
      <c r="J109" s="253">
        <f>+SEPTIEMBRE!$AG109</f>
        <v>246</v>
      </c>
      <c r="K109" s="253">
        <f>+OCTUBRE!$AG109</f>
        <v>251</v>
      </c>
      <c r="L109" s="253">
        <f>+NOVIEMBRE!$AG109</f>
        <v>280</v>
      </c>
      <c r="M109" s="253">
        <f>+DICIEMBRE!$AG109</f>
        <v>277</v>
      </c>
      <c r="N109" s="4">
        <f t="shared" si="1"/>
        <v>3050</v>
      </c>
    </row>
    <row r="110" spans="1:14" ht="18.75" x14ac:dyDescent="0.25">
      <c r="A110" s="321" t="s">
        <v>17</v>
      </c>
      <c r="B110" s="253">
        <f>+ENERO!$AG110</f>
        <v>274</v>
      </c>
      <c r="C110" s="253">
        <f>+FEBRERO!$AG110</f>
        <v>303</v>
      </c>
      <c r="D110" s="253">
        <f>+MARZO!$AG110</f>
        <v>222</v>
      </c>
      <c r="E110" s="253">
        <f>+ABRIL!$AG110</f>
        <v>114</v>
      </c>
      <c r="F110" s="253">
        <f>+MAYO!$AG110</f>
        <v>153</v>
      </c>
      <c r="G110" s="253">
        <f>+JUNIO!$AG110</f>
        <v>148</v>
      </c>
      <c r="H110" s="253">
        <f>+JULIO!$AG110</f>
        <v>199</v>
      </c>
      <c r="I110" s="253">
        <f>+AGOSTO!$AG110</f>
        <v>220</v>
      </c>
      <c r="J110" s="253">
        <f>+SEPTIEMBRE!$AG110</f>
        <v>218</v>
      </c>
      <c r="K110" s="253">
        <f>+OCTUBRE!$AG110</f>
        <v>216</v>
      </c>
      <c r="L110" s="253">
        <f>+NOVIEMBRE!$AG110</f>
        <v>224</v>
      </c>
      <c r="M110" s="253">
        <f>+DICIEMBRE!$AG110</f>
        <v>207</v>
      </c>
      <c r="N110" s="4">
        <f t="shared" si="1"/>
        <v>2498</v>
      </c>
    </row>
    <row r="111" spans="1:14" ht="18.75" x14ac:dyDescent="0.25">
      <c r="A111" s="321" t="s">
        <v>18</v>
      </c>
      <c r="B111" s="253">
        <f>+ENERO!$AG111</f>
        <v>224</v>
      </c>
      <c r="C111" s="253">
        <f>+FEBRERO!$AG111</f>
        <v>232</v>
      </c>
      <c r="D111" s="253">
        <f>+MARZO!$AG111</f>
        <v>167</v>
      </c>
      <c r="E111" s="253">
        <f>+ABRIL!$AG111</f>
        <v>105</v>
      </c>
      <c r="F111" s="253">
        <f>+MAYO!$AG111</f>
        <v>149</v>
      </c>
      <c r="G111" s="253">
        <f>+JUNIO!$AG111</f>
        <v>162</v>
      </c>
      <c r="H111" s="253">
        <f>+JULIO!$AG111</f>
        <v>165</v>
      </c>
      <c r="I111" s="253">
        <f>+AGOSTO!$AG111</f>
        <v>215</v>
      </c>
      <c r="J111" s="253">
        <f>+SEPTIEMBRE!$AG111</f>
        <v>153</v>
      </c>
      <c r="K111" s="253">
        <f>+OCTUBRE!$AG111</f>
        <v>182</v>
      </c>
      <c r="L111" s="253">
        <f>+NOVIEMBRE!$AG111</f>
        <v>177</v>
      </c>
      <c r="M111" s="253">
        <f>+DICIEMBRE!$AG111</f>
        <v>158</v>
      </c>
      <c r="N111" s="4">
        <f t="shared" si="1"/>
        <v>2089</v>
      </c>
    </row>
    <row r="112" spans="1:14" ht="18.75" x14ac:dyDescent="0.25">
      <c r="A112" s="321" t="s">
        <v>19</v>
      </c>
      <c r="B112" s="253">
        <f>+ENERO!$AG112</f>
        <v>166</v>
      </c>
      <c r="C112" s="253">
        <f>+FEBRERO!$AG112</f>
        <v>176</v>
      </c>
      <c r="D112" s="253">
        <f>+MARZO!$AG112</f>
        <v>115</v>
      </c>
      <c r="E112" s="253">
        <f>+ABRIL!$AG112</f>
        <v>69</v>
      </c>
      <c r="F112" s="253">
        <f>+MAYO!$AG112</f>
        <v>99</v>
      </c>
      <c r="G112" s="253">
        <f>+JUNIO!$AG112</f>
        <v>100</v>
      </c>
      <c r="H112" s="253">
        <f>+JULIO!$AG112</f>
        <v>123</v>
      </c>
      <c r="I112" s="253">
        <f>+AGOSTO!$AG112</f>
        <v>145</v>
      </c>
      <c r="J112" s="253">
        <f>+SEPTIEMBRE!$AG112</f>
        <v>143</v>
      </c>
      <c r="K112" s="253">
        <f>+OCTUBRE!$AG112</f>
        <v>155</v>
      </c>
      <c r="L112" s="253">
        <f>+NOVIEMBRE!$AG112</f>
        <v>140</v>
      </c>
      <c r="M112" s="253">
        <f>+DICIEMBRE!$AG112</f>
        <v>146</v>
      </c>
      <c r="N112" s="4">
        <f t="shared" si="1"/>
        <v>1577</v>
      </c>
    </row>
    <row r="113" spans="1:14" ht="18.75" x14ac:dyDescent="0.25">
      <c r="A113" s="321" t="s">
        <v>20</v>
      </c>
      <c r="B113" s="253">
        <f>+ENERO!$AG113</f>
        <v>175</v>
      </c>
      <c r="C113" s="253">
        <f>+FEBRERO!$AG113</f>
        <v>172</v>
      </c>
      <c r="D113" s="253">
        <f>+MARZO!$AG113</f>
        <v>94</v>
      </c>
      <c r="E113" s="253">
        <f>+ABRIL!$AG113</f>
        <v>50</v>
      </c>
      <c r="F113" s="253">
        <f>+MAYO!$AG113</f>
        <v>77</v>
      </c>
      <c r="G113" s="253">
        <f>+JUNIO!$AG113</f>
        <v>70</v>
      </c>
      <c r="H113" s="253">
        <f>+JULIO!$AG113</f>
        <v>85</v>
      </c>
      <c r="I113" s="253">
        <f>+AGOSTO!$AG113</f>
        <v>101</v>
      </c>
      <c r="J113" s="253">
        <f>+SEPTIEMBRE!$AG113</f>
        <v>109</v>
      </c>
      <c r="K113" s="253">
        <f>+OCTUBRE!$AG113</f>
        <v>111</v>
      </c>
      <c r="L113" s="253">
        <f>+NOVIEMBRE!$AG113</f>
        <v>137</v>
      </c>
      <c r="M113" s="253">
        <f>+DICIEMBRE!$AG113</f>
        <v>111</v>
      </c>
      <c r="N113" s="4">
        <f t="shared" si="1"/>
        <v>1292</v>
      </c>
    </row>
    <row r="114" spans="1:14" ht="18.75" x14ac:dyDescent="0.25">
      <c r="A114" s="321" t="s">
        <v>21</v>
      </c>
      <c r="B114" s="253">
        <f>+ENERO!$AG114</f>
        <v>191</v>
      </c>
      <c r="C114" s="253">
        <f>+FEBRERO!$AG114</f>
        <v>212</v>
      </c>
      <c r="D114" s="253">
        <f>+MARZO!$AG114</f>
        <v>137</v>
      </c>
      <c r="E114" s="253">
        <f>+ABRIL!$AG114</f>
        <v>40</v>
      </c>
      <c r="F114" s="253">
        <f>+MAYO!$AG114</f>
        <v>86</v>
      </c>
      <c r="G114" s="253">
        <f>+JUNIO!$AG114</f>
        <v>62</v>
      </c>
      <c r="H114" s="253">
        <f>+JULIO!$AG114</f>
        <v>123</v>
      </c>
      <c r="I114" s="253">
        <f>+AGOSTO!$AG114</f>
        <v>156</v>
      </c>
      <c r="J114" s="253">
        <f>+SEPTIEMBRE!$AG114</f>
        <v>116</v>
      </c>
      <c r="K114" s="253">
        <f>+OCTUBRE!$AG114</f>
        <v>160</v>
      </c>
      <c r="L114" s="253">
        <f>+NOVIEMBRE!$AG114</f>
        <v>125</v>
      </c>
      <c r="M114" s="253">
        <f>+DICIEMBRE!$AG114</f>
        <v>131</v>
      </c>
      <c r="N114" s="4">
        <f t="shared" si="1"/>
        <v>1539</v>
      </c>
    </row>
    <row r="115" spans="1:14" ht="19.5" thickBot="1" x14ac:dyDescent="0.3">
      <c r="A115" s="322"/>
      <c r="B115" s="259">
        <f>+ENERO!$AG115</f>
        <v>0</v>
      </c>
      <c r="C115" s="259">
        <f>+FEBRERO!$AG115</f>
        <v>0</v>
      </c>
      <c r="D115" s="259">
        <f>+MARZO!$AG115</f>
        <v>0</v>
      </c>
      <c r="E115" s="259">
        <f>+ABRIL!$AG115</f>
        <v>0</v>
      </c>
      <c r="F115" s="259">
        <f>+MAYO!$AG115</f>
        <v>0</v>
      </c>
      <c r="G115" s="259">
        <f>+JUNIO!$AG115</f>
        <v>0</v>
      </c>
      <c r="H115" s="259">
        <f>+JULIO!$AG115</f>
        <v>0</v>
      </c>
      <c r="I115" s="259">
        <f>+AGOSTO!$AG115</f>
        <v>0</v>
      </c>
      <c r="J115" s="259">
        <f>+SEPTIEMBRE!$AG115</f>
        <v>0</v>
      </c>
      <c r="K115" s="259">
        <f>+OCTUBRE!$AG115</f>
        <v>0</v>
      </c>
      <c r="L115" s="259">
        <f>+NOVIEMBRE!$AG115</f>
        <v>0</v>
      </c>
      <c r="M115" s="259">
        <f>+DICIEMBRE!$AG115</f>
        <v>0</v>
      </c>
      <c r="N115" s="4">
        <f t="shared" si="1"/>
        <v>0</v>
      </c>
    </row>
    <row r="116" spans="1:14" ht="18.75" x14ac:dyDescent="0.25">
      <c r="A116" s="315" t="s">
        <v>61</v>
      </c>
      <c r="B116" s="265">
        <f>+ENERO!$AG116</f>
        <v>2345</v>
      </c>
      <c r="C116" s="265">
        <f>+FEBRERO!$AG116</f>
        <v>2264</v>
      </c>
      <c r="D116" s="265">
        <f>+MARZO!$AG116</f>
        <v>1702</v>
      </c>
      <c r="E116" s="265">
        <f>+ABRIL!$AG116</f>
        <v>940</v>
      </c>
      <c r="F116" s="265">
        <f>+MAYO!$AG116</f>
        <v>1304</v>
      </c>
      <c r="G116" s="265">
        <f>+JUNIO!$AG116</f>
        <v>1314</v>
      </c>
      <c r="H116" s="265">
        <f>+JULIO!$AG116</f>
        <v>1753</v>
      </c>
      <c r="I116" s="265">
        <f>+AGOSTO!$AG116</f>
        <v>1786</v>
      </c>
      <c r="J116" s="265">
        <f>+SEPTIEMBRE!$AG116</f>
        <v>1693</v>
      </c>
      <c r="K116" s="265">
        <f>+OCTUBRE!$AG116</f>
        <v>1961</v>
      </c>
      <c r="L116" s="265">
        <f>+NOVIEMBRE!$AG116</f>
        <v>2052</v>
      </c>
      <c r="M116" s="265">
        <f>+DICIEMBRE!$AG116</f>
        <v>2114</v>
      </c>
      <c r="N116" s="4">
        <f t="shared" si="1"/>
        <v>21228</v>
      </c>
    </row>
    <row r="117" spans="1:14" ht="18.75" x14ac:dyDescent="0.25">
      <c r="A117" s="323" t="s">
        <v>59</v>
      </c>
      <c r="B117" s="253">
        <f>+ENERO!$AG117</f>
        <v>1619</v>
      </c>
      <c r="C117" s="253">
        <f>+FEBRERO!$AG117</f>
        <v>1535</v>
      </c>
      <c r="D117" s="253">
        <f>+MARZO!$AG117</f>
        <v>1236</v>
      </c>
      <c r="E117" s="253">
        <f>+ABRIL!$AG117</f>
        <v>706</v>
      </c>
      <c r="F117" s="253">
        <f>+MAYO!$AG117</f>
        <v>967</v>
      </c>
      <c r="G117" s="253">
        <f>+JUNIO!$AG117</f>
        <v>989</v>
      </c>
      <c r="H117" s="253">
        <f>+JULIO!$AG117</f>
        <v>1367</v>
      </c>
      <c r="I117" s="253">
        <f>+AGOSTO!$AG117</f>
        <v>1380</v>
      </c>
      <c r="J117" s="253">
        <f>+SEPTIEMBRE!$AG117</f>
        <v>1280</v>
      </c>
      <c r="K117" s="253">
        <f>+OCTUBRE!$AG117</f>
        <v>1404</v>
      </c>
      <c r="L117" s="253">
        <f>+NOVIEMBRE!$AG117</f>
        <v>1454</v>
      </c>
      <c r="M117" s="253">
        <f>+DICIEMBRE!$AG117</f>
        <v>1509</v>
      </c>
      <c r="N117" s="4">
        <f t="shared" si="1"/>
        <v>15446</v>
      </c>
    </row>
    <row r="118" spans="1:14" ht="19.5" hidden="1" customHeight="1" thickBot="1" x14ac:dyDescent="0.3">
      <c r="A118" s="323" t="s">
        <v>23</v>
      </c>
      <c r="B118" s="253">
        <f>+ENERO!$AG118</f>
        <v>0</v>
      </c>
      <c r="C118" s="253">
        <f>+FEBRERO!$AG118</f>
        <v>0</v>
      </c>
      <c r="D118" s="253">
        <f>+MARZO!$AG118</f>
        <v>0</v>
      </c>
      <c r="E118" s="253">
        <f>+ABRIL!$AG118</f>
        <v>0</v>
      </c>
      <c r="F118" s="253">
        <f>+MAYO!$AG118</f>
        <v>0</v>
      </c>
      <c r="G118" s="253">
        <f>+JUNIO!$AG118</f>
        <v>0</v>
      </c>
      <c r="H118" s="253">
        <f>+JULIO!$AG118</f>
        <v>0</v>
      </c>
      <c r="I118" s="253">
        <f>+AGOSTO!$AG118</f>
        <v>0</v>
      </c>
      <c r="J118" s="253">
        <f>+SEPTIEMBRE!$AG118</f>
        <v>0</v>
      </c>
      <c r="K118" s="253">
        <f>+OCTUBRE!$AG118</f>
        <v>0</v>
      </c>
      <c r="L118" s="253">
        <f>+NOVIEMBRE!$AG118</f>
        <v>0</v>
      </c>
      <c r="M118" s="253">
        <f>+DICIEMBRE!$AG118</f>
        <v>0</v>
      </c>
      <c r="N118" s="4">
        <f t="shared" si="1"/>
        <v>0</v>
      </c>
    </row>
    <row r="119" spans="1:14" ht="19.5" hidden="1" customHeight="1" thickBot="1" x14ac:dyDescent="0.3">
      <c r="A119" s="323" t="s">
        <v>24</v>
      </c>
      <c r="B119" s="253">
        <f>+ENERO!$AG119</f>
        <v>0</v>
      </c>
      <c r="C119" s="253">
        <f>+FEBRERO!$AG119</f>
        <v>0</v>
      </c>
      <c r="D119" s="253">
        <f>+MARZO!$AG119</f>
        <v>0</v>
      </c>
      <c r="E119" s="253">
        <f>+ABRIL!$AG119</f>
        <v>0</v>
      </c>
      <c r="F119" s="253">
        <f>+MAYO!$AG119</f>
        <v>0</v>
      </c>
      <c r="G119" s="253">
        <f>+JUNIO!$AG119</f>
        <v>0</v>
      </c>
      <c r="H119" s="253">
        <f>+JULIO!$AG119</f>
        <v>0</v>
      </c>
      <c r="I119" s="253">
        <f>+AGOSTO!$AG119</f>
        <v>0</v>
      </c>
      <c r="J119" s="253">
        <f>+SEPTIEMBRE!$AG119</f>
        <v>0</v>
      </c>
      <c r="K119" s="253">
        <f>+OCTUBRE!$AG119</f>
        <v>0</v>
      </c>
      <c r="L119" s="253">
        <f>+NOVIEMBRE!$AG119</f>
        <v>0</v>
      </c>
      <c r="M119" s="253">
        <f>+DICIEMBRE!$AG119</f>
        <v>0</v>
      </c>
      <c r="N119" s="4">
        <f t="shared" si="1"/>
        <v>0</v>
      </c>
    </row>
    <row r="120" spans="1:14" ht="19.5" hidden="1" customHeight="1" thickBot="1" x14ac:dyDescent="0.3">
      <c r="A120" s="323" t="s">
        <v>25</v>
      </c>
      <c r="B120" s="253">
        <f>+ENERO!$AG120</f>
        <v>0</v>
      </c>
      <c r="C120" s="253">
        <f>+FEBRERO!$AG120</f>
        <v>0</v>
      </c>
      <c r="D120" s="253">
        <f>+MARZO!$AG120</f>
        <v>0</v>
      </c>
      <c r="E120" s="253">
        <f>+ABRIL!$AG120</f>
        <v>0</v>
      </c>
      <c r="F120" s="253">
        <f>+MAYO!$AG120</f>
        <v>0</v>
      </c>
      <c r="G120" s="253">
        <f>+JUNIO!$AG120</f>
        <v>0</v>
      </c>
      <c r="H120" s="253">
        <f>+JULIO!$AG120</f>
        <v>0</v>
      </c>
      <c r="I120" s="253">
        <f>+AGOSTO!$AG120</f>
        <v>0</v>
      </c>
      <c r="J120" s="253">
        <f>+SEPTIEMBRE!$AG120</f>
        <v>0</v>
      </c>
      <c r="K120" s="253">
        <f>+OCTUBRE!$AG120</f>
        <v>0</v>
      </c>
      <c r="L120" s="253">
        <f>+NOVIEMBRE!$AG120</f>
        <v>0</v>
      </c>
      <c r="M120" s="253">
        <f>+DICIEMBRE!$AG120</f>
        <v>0</v>
      </c>
      <c r="N120" s="4">
        <f t="shared" si="1"/>
        <v>0</v>
      </c>
    </row>
    <row r="121" spans="1:14" ht="19.5" hidden="1" customHeight="1" thickBot="1" x14ac:dyDescent="0.3">
      <c r="A121" s="323" t="s">
        <v>26</v>
      </c>
      <c r="B121" s="253">
        <f>+ENERO!$AG121</f>
        <v>0</v>
      </c>
      <c r="C121" s="253">
        <f>+FEBRERO!$AG121</f>
        <v>0</v>
      </c>
      <c r="D121" s="253">
        <f>+MARZO!$AG121</f>
        <v>0</v>
      </c>
      <c r="E121" s="253">
        <f>+ABRIL!$AG121</f>
        <v>0</v>
      </c>
      <c r="F121" s="253">
        <f>+MAYO!$AG121</f>
        <v>0</v>
      </c>
      <c r="G121" s="253">
        <f>+JUNIO!$AG121</f>
        <v>0</v>
      </c>
      <c r="H121" s="253">
        <f>+JULIO!$AG121</f>
        <v>0</v>
      </c>
      <c r="I121" s="253">
        <f>+AGOSTO!$AG121</f>
        <v>0</v>
      </c>
      <c r="J121" s="253">
        <f>+SEPTIEMBRE!$AG121</f>
        <v>0</v>
      </c>
      <c r="K121" s="253">
        <f>+OCTUBRE!$AG121</f>
        <v>0</v>
      </c>
      <c r="L121" s="253">
        <f>+NOVIEMBRE!$AG121</f>
        <v>0</v>
      </c>
      <c r="M121" s="253">
        <f>+DICIEMBRE!$AG121</f>
        <v>0</v>
      </c>
      <c r="N121" s="4">
        <f t="shared" si="1"/>
        <v>0</v>
      </c>
    </row>
    <row r="122" spans="1:14" ht="19.5" hidden="1" customHeight="1" thickBot="1" x14ac:dyDescent="0.3">
      <c r="A122" s="323" t="s">
        <v>27</v>
      </c>
      <c r="B122" s="253">
        <f>+ENERO!$AG122</f>
        <v>0</v>
      </c>
      <c r="C122" s="253">
        <f>+FEBRERO!$AG122</f>
        <v>0</v>
      </c>
      <c r="D122" s="253">
        <f>+MARZO!$AG122</f>
        <v>0</v>
      </c>
      <c r="E122" s="253">
        <f>+ABRIL!$AG122</f>
        <v>0</v>
      </c>
      <c r="F122" s="253">
        <f>+MAYO!$AG122</f>
        <v>0</v>
      </c>
      <c r="G122" s="253">
        <f>+JUNIO!$AG122</f>
        <v>0</v>
      </c>
      <c r="H122" s="253">
        <f>+JULIO!$AG122</f>
        <v>0</v>
      </c>
      <c r="I122" s="253">
        <f>+AGOSTO!$AG122</f>
        <v>0</v>
      </c>
      <c r="J122" s="253">
        <f>+SEPTIEMBRE!$AG122</f>
        <v>0</v>
      </c>
      <c r="K122" s="253">
        <f>+OCTUBRE!$AG122</f>
        <v>0</v>
      </c>
      <c r="L122" s="253">
        <f>+NOVIEMBRE!$AG122</f>
        <v>0</v>
      </c>
      <c r="M122" s="253">
        <f>+DICIEMBRE!$AG122</f>
        <v>0</v>
      </c>
      <c r="N122" s="4">
        <f t="shared" si="1"/>
        <v>0</v>
      </c>
    </row>
    <row r="123" spans="1:14" ht="19.5" hidden="1" customHeight="1" thickBot="1" x14ac:dyDescent="0.3">
      <c r="A123" s="323" t="s">
        <v>28</v>
      </c>
      <c r="B123" s="253">
        <f>+ENERO!$AG123</f>
        <v>0</v>
      </c>
      <c r="C123" s="253">
        <f>+FEBRERO!$AG123</f>
        <v>0</v>
      </c>
      <c r="D123" s="253">
        <f>+MARZO!$AG123</f>
        <v>0</v>
      </c>
      <c r="E123" s="253">
        <f>+ABRIL!$AG123</f>
        <v>0</v>
      </c>
      <c r="F123" s="253">
        <f>+MAYO!$AG123</f>
        <v>0</v>
      </c>
      <c r="G123" s="253">
        <f>+JUNIO!$AG123</f>
        <v>0</v>
      </c>
      <c r="H123" s="253">
        <f>+JULIO!$AG123</f>
        <v>0</v>
      </c>
      <c r="I123" s="253">
        <f>+AGOSTO!$AG123</f>
        <v>0</v>
      </c>
      <c r="J123" s="253">
        <f>+SEPTIEMBRE!$AG123</f>
        <v>0</v>
      </c>
      <c r="K123" s="253">
        <f>+OCTUBRE!$AG123</f>
        <v>0</v>
      </c>
      <c r="L123" s="253">
        <f>+NOVIEMBRE!$AG123</f>
        <v>0</v>
      </c>
      <c r="M123" s="253">
        <f>+DICIEMBRE!$AG123</f>
        <v>0</v>
      </c>
      <c r="N123" s="4">
        <f t="shared" si="1"/>
        <v>0</v>
      </c>
    </row>
    <row r="124" spans="1:14" ht="19.5" hidden="1" customHeight="1" thickBot="1" x14ac:dyDescent="0.3">
      <c r="A124" s="323" t="s">
        <v>29</v>
      </c>
      <c r="B124" s="253">
        <f>+ENERO!$AG124</f>
        <v>0</v>
      </c>
      <c r="C124" s="253">
        <f>+FEBRERO!$AG124</f>
        <v>0</v>
      </c>
      <c r="D124" s="253">
        <f>+MARZO!$AG124</f>
        <v>0</v>
      </c>
      <c r="E124" s="253">
        <f>+ABRIL!$AG124</f>
        <v>0</v>
      </c>
      <c r="F124" s="253">
        <f>+MAYO!$AG124</f>
        <v>0</v>
      </c>
      <c r="G124" s="253">
        <f>+JUNIO!$AG124</f>
        <v>0</v>
      </c>
      <c r="H124" s="253">
        <f>+JULIO!$AG124</f>
        <v>0</v>
      </c>
      <c r="I124" s="253">
        <f>+AGOSTO!$AG124</f>
        <v>0</v>
      </c>
      <c r="J124" s="253">
        <f>+SEPTIEMBRE!$AG124</f>
        <v>0</v>
      </c>
      <c r="K124" s="253">
        <f>+OCTUBRE!$AG124</f>
        <v>0</v>
      </c>
      <c r="L124" s="253">
        <f>+NOVIEMBRE!$AG124</f>
        <v>0</v>
      </c>
      <c r="M124" s="253">
        <f>+DICIEMBRE!$AG124</f>
        <v>0</v>
      </c>
      <c r="N124" s="4">
        <f t="shared" si="1"/>
        <v>0</v>
      </c>
    </row>
    <row r="125" spans="1:14" ht="19.5" hidden="1" customHeight="1" thickBot="1" x14ac:dyDescent="0.3">
      <c r="A125" s="301" t="s">
        <v>30</v>
      </c>
      <c r="B125" s="253">
        <f>+ENERO!$AG125</f>
        <v>0</v>
      </c>
      <c r="C125" s="253">
        <f>+FEBRERO!$AG125</f>
        <v>0</v>
      </c>
      <c r="D125" s="253">
        <f>+MARZO!$AG125</f>
        <v>0</v>
      </c>
      <c r="E125" s="253">
        <f>+ABRIL!$AG125</f>
        <v>0</v>
      </c>
      <c r="F125" s="253">
        <f>+MAYO!$AG125</f>
        <v>0</v>
      </c>
      <c r="G125" s="253">
        <f>+JUNIO!$AG125</f>
        <v>0</v>
      </c>
      <c r="H125" s="253">
        <f>+JULIO!$AG125</f>
        <v>0</v>
      </c>
      <c r="I125" s="253">
        <f>+AGOSTO!$AG125</f>
        <v>0</v>
      </c>
      <c r="J125" s="253">
        <f>+SEPTIEMBRE!$AG125</f>
        <v>0</v>
      </c>
      <c r="K125" s="253">
        <f>+OCTUBRE!$AG125</f>
        <v>0</v>
      </c>
      <c r="L125" s="253">
        <f>+NOVIEMBRE!$AG125</f>
        <v>0</v>
      </c>
      <c r="M125" s="253">
        <f>+DICIEMBRE!$AG125</f>
        <v>0</v>
      </c>
      <c r="N125" s="4">
        <f t="shared" si="1"/>
        <v>0</v>
      </c>
    </row>
    <row r="126" spans="1:14" ht="19.5" hidden="1" customHeight="1" thickBot="1" x14ac:dyDescent="0.3">
      <c r="A126" s="301" t="s">
        <v>31</v>
      </c>
      <c r="B126" s="253">
        <f>+ENERO!$AG126</f>
        <v>0</v>
      </c>
      <c r="C126" s="253">
        <f>+FEBRERO!$AG126</f>
        <v>0</v>
      </c>
      <c r="D126" s="253">
        <f>+MARZO!$AG126</f>
        <v>0</v>
      </c>
      <c r="E126" s="253">
        <f>+ABRIL!$AG126</f>
        <v>0</v>
      </c>
      <c r="F126" s="253">
        <f>+MAYO!$AG126</f>
        <v>0</v>
      </c>
      <c r="G126" s="253">
        <f>+JUNIO!$AG126</f>
        <v>0</v>
      </c>
      <c r="H126" s="253">
        <f>+JULIO!$AG126</f>
        <v>0</v>
      </c>
      <c r="I126" s="253">
        <f>+AGOSTO!$AG126</f>
        <v>0</v>
      </c>
      <c r="J126" s="253">
        <f>+SEPTIEMBRE!$AG126</f>
        <v>0</v>
      </c>
      <c r="K126" s="253">
        <f>+OCTUBRE!$AG126</f>
        <v>0</v>
      </c>
      <c r="L126" s="253">
        <f>+NOVIEMBRE!$AG126</f>
        <v>0</v>
      </c>
      <c r="M126" s="253">
        <f>+DICIEMBRE!$AG126</f>
        <v>0</v>
      </c>
      <c r="N126" s="4">
        <f t="shared" si="1"/>
        <v>0</v>
      </c>
    </row>
    <row r="127" spans="1:14" ht="19.5" hidden="1" customHeight="1" thickBot="1" x14ac:dyDescent="0.3">
      <c r="A127" s="301" t="s">
        <v>32</v>
      </c>
      <c r="B127" s="253">
        <f>+ENERO!$AG127</f>
        <v>0</v>
      </c>
      <c r="C127" s="253">
        <f>+FEBRERO!$AG127</f>
        <v>0</v>
      </c>
      <c r="D127" s="253">
        <f>+MARZO!$AG127</f>
        <v>0</v>
      </c>
      <c r="E127" s="253">
        <f>+ABRIL!$AG127</f>
        <v>0</v>
      </c>
      <c r="F127" s="253">
        <f>+MAYO!$AG127</f>
        <v>0</v>
      </c>
      <c r="G127" s="253">
        <f>+JUNIO!$AG127</f>
        <v>0</v>
      </c>
      <c r="H127" s="253">
        <f>+JULIO!$AG127</f>
        <v>0</v>
      </c>
      <c r="I127" s="253">
        <f>+AGOSTO!$AG127</f>
        <v>0</v>
      </c>
      <c r="J127" s="253">
        <f>+SEPTIEMBRE!$AG127</f>
        <v>0</v>
      </c>
      <c r="K127" s="253">
        <f>+OCTUBRE!$AG127</f>
        <v>0</v>
      </c>
      <c r="L127" s="253">
        <f>+NOVIEMBRE!$AG127</f>
        <v>0</v>
      </c>
      <c r="M127" s="253">
        <f>+DICIEMBRE!$AG127</f>
        <v>0</v>
      </c>
      <c r="N127" s="4">
        <f t="shared" si="1"/>
        <v>0</v>
      </c>
    </row>
    <row r="128" spans="1:14" ht="19.5" hidden="1" customHeight="1" thickBot="1" x14ac:dyDescent="0.3">
      <c r="A128" s="323" t="s">
        <v>60</v>
      </c>
      <c r="B128" s="253">
        <f>+ENERO!$AG128</f>
        <v>0</v>
      </c>
      <c r="C128" s="253">
        <f>+FEBRERO!$AG128</f>
        <v>0</v>
      </c>
      <c r="D128" s="253">
        <f>+MARZO!$AG128</f>
        <v>0</v>
      </c>
      <c r="E128" s="253">
        <f>+ABRIL!$AG128</f>
        <v>0</v>
      </c>
      <c r="F128" s="253">
        <f>+MAYO!$AG128</f>
        <v>0</v>
      </c>
      <c r="G128" s="253">
        <f>+JUNIO!$AG128</f>
        <v>0</v>
      </c>
      <c r="H128" s="253">
        <f>+JULIO!$AG128</f>
        <v>0</v>
      </c>
      <c r="I128" s="253">
        <f>+AGOSTO!$AG128</f>
        <v>0</v>
      </c>
      <c r="J128" s="253">
        <f>+SEPTIEMBRE!$AG128</f>
        <v>0</v>
      </c>
      <c r="K128" s="253">
        <f>+OCTUBRE!$AG128</f>
        <v>0</v>
      </c>
      <c r="L128" s="253">
        <f>+NOVIEMBRE!$AG128</f>
        <v>0</v>
      </c>
      <c r="M128" s="253">
        <f>+DICIEMBRE!$AG128</f>
        <v>0</v>
      </c>
      <c r="N128" s="4">
        <f t="shared" si="1"/>
        <v>0</v>
      </c>
    </row>
    <row r="129" spans="1:16" ht="19.5" thickBot="1" x14ac:dyDescent="0.3">
      <c r="A129" s="324" t="s">
        <v>86</v>
      </c>
      <c r="B129" s="267">
        <f>+ENERO!$AG129</f>
        <v>726</v>
      </c>
      <c r="C129" s="267">
        <f>+FEBRERO!$AG129</f>
        <v>729</v>
      </c>
      <c r="D129" s="267">
        <f>+MARZO!$AG129</f>
        <v>466</v>
      </c>
      <c r="E129" s="267">
        <f>+ABRIL!$AG129</f>
        <v>234</v>
      </c>
      <c r="F129" s="267">
        <f>+MAYO!$AG129</f>
        <v>337</v>
      </c>
      <c r="G129" s="267">
        <f>+JUNIO!$AG129</f>
        <v>325</v>
      </c>
      <c r="H129" s="267">
        <f>+JULIO!$AG129</f>
        <v>386</v>
      </c>
      <c r="I129" s="267">
        <f>+AGOSTO!$AG129</f>
        <v>406</v>
      </c>
      <c r="J129" s="267">
        <f>+SEPTIEMBRE!$AG129</f>
        <v>413</v>
      </c>
      <c r="K129" s="267">
        <f>+OCTUBRE!$AG129</f>
        <v>557</v>
      </c>
      <c r="L129" s="267">
        <f>+NOVIEMBRE!$AG129</f>
        <v>598</v>
      </c>
      <c r="M129" s="267">
        <f>+DICIEMBRE!$AG129</f>
        <v>605</v>
      </c>
      <c r="N129" s="4">
        <f t="shared" si="1"/>
        <v>5782</v>
      </c>
    </row>
    <row r="130" spans="1:16" ht="18.75" x14ac:dyDescent="0.25">
      <c r="A130" s="315" t="s">
        <v>109</v>
      </c>
      <c r="B130" s="265">
        <f>+ENERO!$AG130</f>
        <v>4894</v>
      </c>
      <c r="C130" s="265">
        <f>+FEBRERO!$AG130</f>
        <v>4759</v>
      </c>
      <c r="D130" s="265">
        <f>+MARZO!$AG130</f>
        <v>3702</v>
      </c>
      <c r="E130" s="265">
        <f>+ABRIL!$AG130</f>
        <v>1895</v>
      </c>
      <c r="F130" s="265">
        <f>+MAYO!$AG130</f>
        <v>2536</v>
      </c>
      <c r="G130" s="265">
        <f>+JUNIO!$AG130</f>
        <v>2696</v>
      </c>
      <c r="H130" s="265">
        <f>+JULIO!$AG130</f>
        <v>3064</v>
      </c>
      <c r="I130" s="265">
        <f>+AGOSTO!$AG130</f>
        <v>3157</v>
      </c>
      <c r="J130" s="265">
        <f>+SEPTIEMBRE!$AG130</f>
        <v>3068</v>
      </c>
      <c r="K130" s="265">
        <f>+OCTUBRE!$AG130</f>
        <v>3624</v>
      </c>
      <c r="L130" s="265">
        <f>+NOVIEMBRE!$AG130</f>
        <v>3874</v>
      </c>
      <c r="M130" s="265">
        <f>+DICIEMBRE!$AG130</f>
        <v>3881</v>
      </c>
      <c r="N130" s="150">
        <f t="shared" si="1"/>
        <v>41150</v>
      </c>
      <c r="O130" s="1" t="str">
        <f>IF(N130&lt;&gt;N93,"*","")</f>
        <v/>
      </c>
    </row>
    <row r="131" spans="1:16" ht="18.75" x14ac:dyDescent="0.25">
      <c r="A131" s="323" t="s">
        <v>59</v>
      </c>
      <c r="B131" s="253">
        <f>+ENERO!$AG131</f>
        <v>1457</v>
      </c>
      <c r="C131" s="253">
        <f>+FEBRERO!$AG131</f>
        <v>1390</v>
      </c>
      <c r="D131" s="253">
        <f>+MARZO!$AG131</f>
        <v>1184</v>
      </c>
      <c r="E131" s="253">
        <f>+ABRIL!$AG131</f>
        <v>662</v>
      </c>
      <c r="F131" s="253">
        <f>+MAYO!$AG131</f>
        <v>901</v>
      </c>
      <c r="G131" s="253">
        <f>+JUNIO!$AG131</f>
        <v>915</v>
      </c>
      <c r="H131" s="253">
        <f>+JULIO!$AG131</f>
        <v>1259</v>
      </c>
      <c r="I131" s="253">
        <f>+AGOSTO!$AG131</f>
        <v>1280</v>
      </c>
      <c r="J131" s="253">
        <f>+SEPTIEMBRE!$AG131</f>
        <v>1241</v>
      </c>
      <c r="K131" s="253">
        <f>+OCTUBRE!$AG131</f>
        <v>1390</v>
      </c>
      <c r="L131" s="253">
        <f>+NOVIEMBRE!$AG131</f>
        <v>1375</v>
      </c>
      <c r="M131" s="253">
        <f>+DICIEMBRE!$AG131</f>
        <v>1420</v>
      </c>
      <c r="N131" s="4">
        <f t="shared" ref="N131:N195" si="2">SUM(B131:M131)</f>
        <v>14474</v>
      </c>
    </row>
    <row r="132" spans="1:16" ht="18.75" x14ac:dyDescent="0.25">
      <c r="A132" s="323" t="s">
        <v>23</v>
      </c>
      <c r="B132" s="253">
        <f>+ENERO!$AG132</f>
        <v>314</v>
      </c>
      <c r="C132" s="253">
        <f>+FEBRERO!$AG132</f>
        <v>288</v>
      </c>
      <c r="D132" s="253">
        <f>+MARZO!$AG132</f>
        <v>211</v>
      </c>
      <c r="E132" s="253">
        <f>+ABRIL!$AG132</f>
        <v>136</v>
      </c>
      <c r="F132" s="253">
        <f>+MAYO!$AG132</f>
        <v>185</v>
      </c>
      <c r="G132" s="253">
        <f>+JUNIO!$AG132</f>
        <v>164</v>
      </c>
      <c r="H132" s="253">
        <f>+JULIO!$AG132</f>
        <v>147</v>
      </c>
      <c r="I132" s="253">
        <f>+AGOSTO!$AG132</f>
        <v>167</v>
      </c>
      <c r="J132" s="253">
        <f>+SEPTIEMBRE!$AG132</f>
        <v>180</v>
      </c>
      <c r="K132" s="253">
        <f>+OCTUBRE!$AG132</f>
        <v>194</v>
      </c>
      <c r="L132" s="253">
        <f>+NOVIEMBRE!$AG132</f>
        <v>236</v>
      </c>
      <c r="M132" s="253">
        <f>+DICIEMBRE!$AG132</f>
        <v>236</v>
      </c>
      <c r="N132" s="4">
        <f t="shared" si="2"/>
        <v>2458</v>
      </c>
    </row>
    <row r="133" spans="1:16" ht="18.75" x14ac:dyDescent="0.25">
      <c r="A133" s="323" t="s">
        <v>24</v>
      </c>
      <c r="B133" s="253">
        <f>+ENERO!$AG133</f>
        <v>350</v>
      </c>
      <c r="C133" s="253">
        <f>+FEBRERO!$AG133</f>
        <v>316</v>
      </c>
      <c r="D133" s="253">
        <f>+MARZO!$AG133</f>
        <v>290</v>
      </c>
      <c r="E133" s="253">
        <f>+ABRIL!$AG133</f>
        <v>138</v>
      </c>
      <c r="F133" s="253">
        <f>+MAYO!$AG133</f>
        <v>183</v>
      </c>
      <c r="G133" s="253">
        <f>+JUNIO!$AG133</f>
        <v>177</v>
      </c>
      <c r="H133" s="253">
        <f>+JULIO!$AG133</f>
        <v>206</v>
      </c>
      <c r="I133" s="253">
        <f>+AGOSTO!$AG133</f>
        <v>220</v>
      </c>
      <c r="J133" s="253">
        <f>+SEPTIEMBRE!$AG133</f>
        <v>180</v>
      </c>
      <c r="K133" s="253">
        <f>+OCTUBRE!$AG133</f>
        <v>251</v>
      </c>
      <c r="L133" s="253">
        <f>+NOVIEMBRE!$AG133</f>
        <v>261</v>
      </c>
      <c r="M133" s="253">
        <f>+DICIEMBRE!$AG133</f>
        <v>271</v>
      </c>
      <c r="N133" s="4">
        <f t="shared" si="2"/>
        <v>2843</v>
      </c>
    </row>
    <row r="134" spans="1:16" ht="18.75" x14ac:dyDescent="0.25">
      <c r="A134" s="323" t="s">
        <v>25</v>
      </c>
      <c r="B134" s="253">
        <f>+ENERO!$AG134</f>
        <v>252</v>
      </c>
      <c r="C134" s="253">
        <f>+FEBRERO!$AG134</f>
        <v>279</v>
      </c>
      <c r="D134" s="253">
        <f>+MARZO!$AG134</f>
        <v>212</v>
      </c>
      <c r="E134" s="253">
        <f>+ABRIL!$AG134</f>
        <v>109</v>
      </c>
      <c r="F134" s="253">
        <f>+MAYO!$AG134</f>
        <v>137</v>
      </c>
      <c r="G134" s="253">
        <f>+JUNIO!$AG134</f>
        <v>164</v>
      </c>
      <c r="H134" s="253">
        <f>+JULIO!$AG134</f>
        <v>158</v>
      </c>
      <c r="I134" s="253">
        <f>+AGOSTO!$AG134</f>
        <v>163</v>
      </c>
      <c r="J134" s="253">
        <f>+SEPTIEMBRE!$AG134</f>
        <v>182</v>
      </c>
      <c r="K134" s="253">
        <f>+OCTUBRE!$AG134</f>
        <v>181</v>
      </c>
      <c r="L134" s="253">
        <f>+NOVIEMBRE!$AG134</f>
        <v>238</v>
      </c>
      <c r="M134" s="253">
        <f>+DICIEMBRE!$AG134</f>
        <v>203</v>
      </c>
      <c r="N134" s="4">
        <f t="shared" si="2"/>
        <v>2278</v>
      </c>
    </row>
    <row r="135" spans="1:16" ht="18.75" x14ac:dyDescent="0.25">
      <c r="A135" s="323" t="s">
        <v>26</v>
      </c>
      <c r="B135" s="253">
        <f>+ENERO!$AG135</f>
        <v>316</v>
      </c>
      <c r="C135" s="253">
        <f>+FEBRERO!$AG135</f>
        <v>303</v>
      </c>
      <c r="D135" s="253">
        <f>+MARZO!$AG135</f>
        <v>243</v>
      </c>
      <c r="E135" s="253">
        <f>+ABRIL!$AG135</f>
        <v>113</v>
      </c>
      <c r="F135" s="253">
        <f>+MAYO!$AG135</f>
        <v>128</v>
      </c>
      <c r="G135" s="253">
        <f>+JUNIO!$AG135</f>
        <v>162</v>
      </c>
      <c r="H135" s="253">
        <f>+JULIO!$AG135</f>
        <v>144</v>
      </c>
      <c r="I135" s="253">
        <f>+AGOSTO!$AG135</f>
        <v>194</v>
      </c>
      <c r="J135" s="253">
        <f>+SEPTIEMBRE!$AG135</f>
        <v>192</v>
      </c>
      <c r="K135" s="253">
        <f>+OCTUBRE!$AG135</f>
        <v>226</v>
      </c>
      <c r="L135" s="253">
        <f>+NOVIEMBRE!$AG135</f>
        <v>203</v>
      </c>
      <c r="M135" s="253">
        <f>+DICIEMBRE!$AG135</f>
        <v>219</v>
      </c>
      <c r="N135" s="4">
        <f t="shared" si="2"/>
        <v>2443</v>
      </c>
    </row>
    <row r="136" spans="1:16" ht="18.75" x14ac:dyDescent="0.25">
      <c r="A136" s="323" t="s">
        <v>27</v>
      </c>
      <c r="B136" s="253">
        <f>+ENERO!$AG136</f>
        <v>883</v>
      </c>
      <c r="C136" s="253">
        <f>+FEBRERO!$AG136</f>
        <v>898</v>
      </c>
      <c r="D136" s="253">
        <f>+MARZO!$AG136</f>
        <v>647</v>
      </c>
      <c r="E136" s="253">
        <f>+ABRIL!$AG136</f>
        <v>252</v>
      </c>
      <c r="F136" s="253">
        <f>+MAYO!$AG136</f>
        <v>354</v>
      </c>
      <c r="G136" s="253">
        <f>+JUNIO!$AG136</f>
        <v>354</v>
      </c>
      <c r="H136" s="253">
        <f>+JULIO!$AG136</f>
        <v>390</v>
      </c>
      <c r="I136" s="253">
        <f>+AGOSTO!$AG136</f>
        <v>440</v>
      </c>
      <c r="J136" s="253">
        <f>+SEPTIEMBRE!$AG136</f>
        <v>436</v>
      </c>
      <c r="K136" s="253">
        <f>+OCTUBRE!$AG136</f>
        <v>526</v>
      </c>
      <c r="L136" s="253">
        <f>+NOVIEMBRE!$AG136</f>
        <v>558</v>
      </c>
      <c r="M136" s="253">
        <f>+DICIEMBRE!$AG136</f>
        <v>603</v>
      </c>
      <c r="N136" s="4">
        <f t="shared" si="2"/>
        <v>6341</v>
      </c>
    </row>
    <row r="137" spans="1:16" ht="18.75" x14ac:dyDescent="0.25">
      <c r="A137" s="323" t="s">
        <v>28</v>
      </c>
      <c r="B137" s="253">
        <f>+ENERO!$AG137</f>
        <v>223</v>
      </c>
      <c r="C137" s="253">
        <f>+FEBRERO!$AG137</f>
        <v>263</v>
      </c>
      <c r="D137" s="253">
        <f>+MARZO!$AG137</f>
        <v>166</v>
      </c>
      <c r="E137" s="253">
        <f>+ABRIL!$AG137</f>
        <v>76</v>
      </c>
      <c r="F137" s="253">
        <f>+MAYO!$AG137</f>
        <v>115</v>
      </c>
      <c r="G137" s="253">
        <f>+JUNIO!$AG137</f>
        <v>147</v>
      </c>
      <c r="H137" s="253">
        <f>+JULIO!$AG137</f>
        <v>119</v>
      </c>
      <c r="I137" s="253">
        <f>+AGOSTO!$AG137</f>
        <v>123</v>
      </c>
      <c r="J137" s="253">
        <f>+SEPTIEMBRE!$AG137</f>
        <v>107</v>
      </c>
      <c r="K137" s="253">
        <f>+OCTUBRE!$AG137</f>
        <v>149</v>
      </c>
      <c r="L137" s="253">
        <f>+NOVIEMBRE!$AG137</f>
        <v>158</v>
      </c>
      <c r="M137" s="253">
        <f>+DICIEMBRE!$AG137</f>
        <v>132</v>
      </c>
      <c r="N137" s="4">
        <f t="shared" si="2"/>
        <v>1778</v>
      </c>
    </row>
    <row r="138" spans="1:16" ht="18.75" x14ac:dyDescent="0.25">
      <c r="A138" s="323" t="s">
        <v>29</v>
      </c>
      <c r="B138" s="253">
        <f>+ENERO!$AG138</f>
        <v>186</v>
      </c>
      <c r="C138" s="253">
        <f>+FEBRERO!$AG138</f>
        <v>152</v>
      </c>
      <c r="D138" s="253">
        <f>+MARZO!$AG138</f>
        <v>130</v>
      </c>
      <c r="E138" s="253">
        <f>+ABRIL!$AG138</f>
        <v>45</v>
      </c>
      <c r="F138" s="253">
        <f>+MAYO!$AG138</f>
        <v>30</v>
      </c>
      <c r="G138" s="253">
        <f>+JUNIO!$AG138</f>
        <v>61</v>
      </c>
      <c r="H138" s="253">
        <f>+JULIO!$AG138</f>
        <v>58</v>
      </c>
      <c r="I138" s="253">
        <f>+AGOSTO!$AG138</f>
        <v>45</v>
      </c>
      <c r="J138" s="253">
        <f>+SEPTIEMBRE!$AG138</f>
        <v>53</v>
      </c>
      <c r="K138" s="253">
        <f>+OCTUBRE!$AG138</f>
        <v>49</v>
      </c>
      <c r="L138" s="253">
        <f>+NOVIEMBRE!$AG138</f>
        <v>43</v>
      </c>
      <c r="M138" s="253">
        <f>+DICIEMBRE!$AG138</f>
        <v>47</v>
      </c>
      <c r="N138" s="4">
        <f t="shared" si="2"/>
        <v>899</v>
      </c>
    </row>
    <row r="139" spans="1:16" ht="18.75" x14ac:dyDescent="0.25">
      <c r="A139" s="301" t="s">
        <v>30</v>
      </c>
      <c r="B139" s="253">
        <f>+ENERO!$AG139</f>
        <v>57</v>
      </c>
      <c r="C139" s="253">
        <f>+FEBRERO!$AG139</f>
        <v>65</v>
      </c>
      <c r="D139" s="253">
        <f>+MARZO!$AG139</f>
        <v>44</v>
      </c>
      <c r="E139" s="253">
        <f>+ABRIL!$AG139</f>
        <v>56</v>
      </c>
      <c r="F139" s="253">
        <f>+MAYO!$AG139</f>
        <v>76</v>
      </c>
      <c r="G139" s="253">
        <f>+JUNIO!$AG139</f>
        <v>110</v>
      </c>
      <c r="H139" s="253">
        <f>+JULIO!$AG139</f>
        <v>64</v>
      </c>
      <c r="I139" s="253">
        <f>+AGOSTO!$AG139</f>
        <v>38</v>
      </c>
      <c r="J139" s="253">
        <f>+SEPTIEMBRE!$AG139</f>
        <v>22</v>
      </c>
      <c r="K139" s="253">
        <f>+OCTUBRE!$AG139</f>
        <v>27</v>
      </c>
      <c r="L139" s="253">
        <f>+NOVIEMBRE!$AG139</f>
        <v>53</v>
      </c>
      <c r="M139" s="253">
        <f>+DICIEMBRE!$AG139</f>
        <v>37</v>
      </c>
      <c r="N139" s="4">
        <f t="shared" si="2"/>
        <v>649</v>
      </c>
    </row>
    <row r="140" spans="1:16" ht="18.75" x14ac:dyDescent="0.25">
      <c r="A140" s="301" t="s">
        <v>31</v>
      </c>
      <c r="B140" s="253">
        <f>+ENERO!$AG140</f>
        <v>52</v>
      </c>
      <c r="C140" s="253">
        <f>+FEBRERO!$AG140</f>
        <v>49</v>
      </c>
      <c r="D140" s="253">
        <f>+MARZO!$AG140</f>
        <v>47</v>
      </c>
      <c r="E140" s="253">
        <f>+ABRIL!$AG140</f>
        <v>30</v>
      </c>
      <c r="F140" s="253">
        <f>+MAYO!$AG140</f>
        <v>29</v>
      </c>
      <c r="G140" s="253">
        <f>+JUNIO!$AG140</f>
        <v>48</v>
      </c>
      <c r="H140" s="253">
        <f>+JULIO!$AG140</f>
        <v>15</v>
      </c>
      <c r="I140" s="253">
        <f>+AGOSTO!$AG140</f>
        <v>21</v>
      </c>
      <c r="J140" s="253">
        <f>+SEPTIEMBRE!$AG140</f>
        <v>17</v>
      </c>
      <c r="K140" s="253">
        <f>+OCTUBRE!$AG140</f>
        <v>36</v>
      </c>
      <c r="L140" s="253">
        <f>+NOVIEMBRE!$AG140</f>
        <v>29</v>
      </c>
      <c r="M140" s="253">
        <f>+DICIEMBRE!$AG140</f>
        <v>20</v>
      </c>
      <c r="N140" s="4">
        <f t="shared" si="2"/>
        <v>393</v>
      </c>
    </row>
    <row r="141" spans="1:16" ht="18.75" x14ac:dyDescent="0.25">
      <c r="A141" s="301" t="s">
        <v>32</v>
      </c>
      <c r="B141" s="253">
        <f>+ENERO!$AG141</f>
        <v>4</v>
      </c>
      <c r="C141" s="253">
        <f>+FEBRERO!$AG141</f>
        <v>5</v>
      </c>
      <c r="D141" s="253">
        <f>+MARZO!$AG141</f>
        <v>5</v>
      </c>
      <c r="E141" s="253">
        <f>+ABRIL!$AG141</f>
        <v>2</v>
      </c>
      <c r="F141" s="253">
        <f>+MAYO!$AG141</f>
        <v>14</v>
      </c>
      <c r="G141" s="253">
        <f>+JUNIO!$AG141</f>
        <v>8</v>
      </c>
      <c r="H141" s="253">
        <f>+JULIO!$AG141</f>
        <v>10</v>
      </c>
      <c r="I141" s="253">
        <f>+AGOSTO!$AG141</f>
        <v>9</v>
      </c>
      <c r="J141" s="253">
        <f>+SEPTIEMBRE!$AG141</f>
        <v>3</v>
      </c>
      <c r="K141" s="253">
        <f>+OCTUBRE!$AG141</f>
        <v>4</v>
      </c>
      <c r="L141" s="253">
        <f>+NOVIEMBRE!$AG141</f>
        <v>5</v>
      </c>
      <c r="M141" s="253">
        <f>+DICIEMBRE!$AG141</f>
        <v>5</v>
      </c>
      <c r="N141" s="4">
        <f t="shared" si="2"/>
        <v>74</v>
      </c>
    </row>
    <row r="142" spans="1:16" ht="18.75" x14ac:dyDescent="0.25">
      <c r="A142" s="323" t="s">
        <v>60</v>
      </c>
      <c r="B142" s="253">
        <f>+ENERO!$AG142</f>
        <v>165</v>
      </c>
      <c r="C142" s="253">
        <f>+FEBRERO!$AG142</f>
        <v>128</v>
      </c>
      <c r="D142" s="253">
        <f>+MARZO!$AG142</f>
        <v>123</v>
      </c>
      <c r="E142" s="253">
        <f>+ABRIL!$AG142</f>
        <v>56</v>
      </c>
      <c r="F142" s="253">
        <f>+MAYO!$AG142</f>
        <v>78</v>
      </c>
      <c r="G142" s="253">
        <f>+JUNIO!$AG142</f>
        <v>100</v>
      </c>
      <c r="H142" s="253">
        <f>+JULIO!$AG142</f>
        <v>127</v>
      </c>
      <c r="I142" s="253">
        <f>+AGOSTO!$AG142</f>
        <v>76</v>
      </c>
      <c r="J142" s="253">
        <f>+SEPTIEMBRE!$AG142</f>
        <v>104</v>
      </c>
      <c r="K142" s="253">
        <f>+OCTUBRE!$AG142</f>
        <v>116</v>
      </c>
      <c r="L142" s="253">
        <f>+NOVIEMBRE!$AG142</f>
        <v>158</v>
      </c>
      <c r="M142" s="253">
        <f>+DICIEMBRE!$AG142</f>
        <v>125</v>
      </c>
      <c r="N142" s="4">
        <f t="shared" si="2"/>
        <v>1356</v>
      </c>
    </row>
    <row r="143" spans="1:16" ht="19.5" thickBot="1" x14ac:dyDescent="0.3">
      <c r="A143" s="324" t="s">
        <v>86</v>
      </c>
      <c r="B143" s="267">
        <f>+ENERO!$AG143</f>
        <v>635</v>
      </c>
      <c r="C143" s="267">
        <f>+FEBRERO!$AG143</f>
        <v>623</v>
      </c>
      <c r="D143" s="267">
        <f>+MARZO!$AG143</f>
        <v>400</v>
      </c>
      <c r="E143" s="267">
        <f>+ABRIL!$AG143</f>
        <v>220</v>
      </c>
      <c r="F143" s="267">
        <f>+MAYO!$AG143</f>
        <v>306</v>
      </c>
      <c r="G143" s="267">
        <f>+JUNIO!$AG143</f>
        <v>286</v>
      </c>
      <c r="H143" s="267">
        <f>+JULIO!$AG143</f>
        <v>367</v>
      </c>
      <c r="I143" s="267">
        <f>+AGOSTO!$AG143</f>
        <v>381</v>
      </c>
      <c r="J143" s="267">
        <f>+SEPTIEMBRE!$AG143</f>
        <v>351</v>
      </c>
      <c r="K143" s="267">
        <f>+OCTUBRE!$AG143</f>
        <v>475</v>
      </c>
      <c r="L143" s="267">
        <f>+NOVIEMBRE!$AG143</f>
        <v>557</v>
      </c>
      <c r="M143" s="267">
        <f>+DICIEMBRE!$AG143</f>
        <v>563</v>
      </c>
      <c r="N143" s="108">
        <f t="shared" si="2"/>
        <v>5164</v>
      </c>
    </row>
    <row r="144" spans="1:16" ht="19.5" thickBot="1" x14ac:dyDescent="0.3">
      <c r="A144" s="309" t="s">
        <v>89</v>
      </c>
      <c r="B144" s="261">
        <f>+ENERO!$AG144</f>
        <v>4894</v>
      </c>
      <c r="C144" s="261">
        <f>+FEBRERO!$AG144</f>
        <v>4759</v>
      </c>
      <c r="D144" s="261">
        <f>+MARZO!$AG144</f>
        <v>3702</v>
      </c>
      <c r="E144" s="261">
        <f>+ABRIL!$AG144</f>
        <v>1895</v>
      </c>
      <c r="F144" s="261">
        <f>+MAYO!$AG144</f>
        <v>2536</v>
      </c>
      <c r="G144" s="261">
        <f>+JUNIO!$AG144</f>
        <v>2696</v>
      </c>
      <c r="H144" s="261">
        <f>+JULIO!$AG144</f>
        <v>3064</v>
      </c>
      <c r="I144" s="261">
        <f>+AGOSTO!$AG144</f>
        <v>3157</v>
      </c>
      <c r="J144" s="261">
        <f>+SEPTIEMBRE!$AG144</f>
        <v>3068</v>
      </c>
      <c r="K144" s="261">
        <f>+OCTUBRE!$AG144</f>
        <v>3624</v>
      </c>
      <c r="L144" s="261">
        <f>+NOVIEMBRE!$AG144</f>
        <v>3874</v>
      </c>
      <c r="M144" s="261">
        <f>+DICIEMBRE!$AG144</f>
        <v>3881</v>
      </c>
      <c r="N144" s="116">
        <f t="shared" si="2"/>
        <v>41150</v>
      </c>
      <c r="O144" s="38" t="str">
        <f>IF(N144&lt;&gt;N93,"*","")</f>
        <v/>
      </c>
      <c r="P144" t="s">
        <v>140</v>
      </c>
    </row>
    <row r="145" spans="1:15" ht="19.5" thickBot="1" x14ac:dyDescent="0.3">
      <c r="A145" s="325" t="s">
        <v>98</v>
      </c>
      <c r="B145" s="268">
        <f>+ENERO!$AG145</f>
        <v>494</v>
      </c>
      <c r="C145" s="268">
        <f>+FEBRERO!$AG145</f>
        <v>454</v>
      </c>
      <c r="D145" s="268">
        <f>+MARZO!$AG145</f>
        <v>319</v>
      </c>
      <c r="E145" s="268">
        <f>+ABRIL!$AG145</f>
        <v>96</v>
      </c>
      <c r="F145" s="268">
        <f>+MAYO!$AG145</f>
        <v>123</v>
      </c>
      <c r="G145" s="268">
        <f>+JUNIO!$AG145</f>
        <v>147</v>
      </c>
      <c r="H145" s="268">
        <f>+JULIO!$AG145</f>
        <v>213</v>
      </c>
      <c r="I145" s="268">
        <f>+AGOSTO!$AG145</f>
        <v>194</v>
      </c>
      <c r="J145" s="268">
        <f>+SEPTIEMBRE!$AG145</f>
        <v>167</v>
      </c>
      <c r="K145" s="268">
        <f>+OCTUBRE!$AG145</f>
        <v>173</v>
      </c>
      <c r="L145" s="268">
        <f>+NOVIEMBRE!$AG145</f>
        <v>244</v>
      </c>
      <c r="M145" s="268">
        <f>+DICIEMBRE!$AG145</f>
        <v>218</v>
      </c>
      <c r="N145" s="163">
        <f t="shared" si="2"/>
        <v>2842</v>
      </c>
      <c r="O145" s="1"/>
    </row>
    <row r="146" spans="1:15" ht="19.5" thickBot="1" x14ac:dyDescent="0.3">
      <c r="A146" s="326" t="s">
        <v>69</v>
      </c>
      <c r="B146" s="269">
        <f>+ENERO!$AG146</f>
        <v>1</v>
      </c>
      <c r="C146" s="269">
        <f>+FEBRERO!$AG146</f>
        <v>3</v>
      </c>
      <c r="D146" s="269">
        <f>+MARZO!$AG146</f>
        <v>0</v>
      </c>
      <c r="E146" s="269">
        <f>+ABRIL!$AG146</f>
        <v>0</v>
      </c>
      <c r="F146" s="269">
        <f>+MAYO!$AG146</f>
        <v>0</v>
      </c>
      <c r="G146" s="269">
        <f>+JUNIO!$AG146</f>
        <v>2</v>
      </c>
      <c r="H146" s="269">
        <f>+JULIO!$AG146</f>
        <v>1</v>
      </c>
      <c r="I146" s="269">
        <f>+AGOSTO!$AG146</f>
        <v>2</v>
      </c>
      <c r="J146" s="269">
        <f>+SEPTIEMBRE!$AG146</f>
        <v>0</v>
      </c>
      <c r="K146" s="269">
        <f>+OCTUBRE!$AG146</f>
        <v>1</v>
      </c>
      <c r="L146" s="269">
        <f>+NOVIEMBRE!$AG146</f>
        <v>0</v>
      </c>
      <c r="M146" s="269">
        <f>+DICIEMBRE!$AG146</f>
        <v>0</v>
      </c>
      <c r="N146" s="120">
        <f t="shared" si="2"/>
        <v>10</v>
      </c>
    </row>
    <row r="147" spans="1:15" ht="19.5" thickBot="1" x14ac:dyDescent="0.3">
      <c r="A147" s="327" t="s">
        <v>130</v>
      </c>
      <c r="B147" s="270">
        <f>+ENERO!$AG147</f>
        <v>0</v>
      </c>
      <c r="C147" s="270">
        <f>+FEBRERO!$AG147</f>
        <v>0</v>
      </c>
      <c r="D147" s="270">
        <f>+MARZO!$AG147</f>
        <v>1</v>
      </c>
      <c r="E147" s="270">
        <f>+ABRIL!$AG147</f>
        <v>0</v>
      </c>
      <c r="F147" s="270">
        <f>+MAYO!$AG147</f>
        <v>0</v>
      </c>
      <c r="G147" s="270">
        <f>+JUNIO!$AG147</f>
        <v>0</v>
      </c>
      <c r="H147" s="270">
        <f>+JULIO!$AG147</f>
        <v>0</v>
      </c>
      <c r="I147" s="270">
        <f>+AGOSTO!$AG147</f>
        <v>0</v>
      </c>
      <c r="J147" s="270">
        <f>+SEPTIEMBRE!$AG147</f>
        <v>0</v>
      </c>
      <c r="K147" s="270">
        <f>+OCTUBRE!$AG147</f>
        <v>0</v>
      </c>
      <c r="L147" s="270">
        <f>+NOVIEMBRE!$AG147</f>
        <v>0</v>
      </c>
      <c r="M147" s="270">
        <f>+DICIEMBRE!$AG147</f>
        <v>0</v>
      </c>
      <c r="N147" s="156">
        <f t="shared" si="2"/>
        <v>1</v>
      </c>
    </row>
    <row r="148" spans="1:15" ht="19.5" thickBot="1" x14ac:dyDescent="0.3">
      <c r="A148" s="328" t="s">
        <v>68</v>
      </c>
      <c r="B148" s="271">
        <f>+ENERO!$AG148</f>
        <v>0</v>
      </c>
      <c r="C148" s="271">
        <f>+FEBRERO!$AG148</f>
        <v>0</v>
      </c>
      <c r="D148" s="271">
        <f>+MARZO!$AG148</f>
        <v>0</v>
      </c>
      <c r="E148" s="271">
        <f>+ABRIL!$AG148</f>
        <v>0</v>
      </c>
      <c r="F148" s="271">
        <f>+MAYO!$AG148</f>
        <v>0</v>
      </c>
      <c r="G148" s="271">
        <f>+JUNIO!$AG148</f>
        <v>1</v>
      </c>
      <c r="H148" s="271">
        <f>+JULIO!$AG148</f>
        <v>0</v>
      </c>
      <c r="I148" s="271">
        <f>+AGOSTO!$AG148</f>
        <v>0</v>
      </c>
      <c r="J148" s="271">
        <f>+SEPTIEMBRE!$AG148</f>
        <v>0</v>
      </c>
      <c r="K148" s="271">
        <f>+OCTUBRE!$AG148</f>
        <v>0</v>
      </c>
      <c r="L148" s="271">
        <f>+NOVIEMBRE!$AG148</f>
        <v>0</v>
      </c>
      <c r="M148" s="271">
        <f>+DICIEMBRE!$AG148</f>
        <v>0</v>
      </c>
      <c r="N148" s="128">
        <f t="shared" si="2"/>
        <v>1</v>
      </c>
    </row>
    <row r="149" spans="1:15" ht="19.5" thickBot="1" x14ac:dyDescent="0.3">
      <c r="A149" s="327" t="s">
        <v>131</v>
      </c>
      <c r="B149" s="270">
        <f>+ENERO!$AG149</f>
        <v>0</v>
      </c>
      <c r="C149" s="270">
        <f>+FEBRERO!$AG149</f>
        <v>0</v>
      </c>
      <c r="D149" s="270">
        <f>+MARZO!$AG149</f>
        <v>0</v>
      </c>
      <c r="E149" s="270">
        <f>+ABRIL!$AG149</f>
        <v>0</v>
      </c>
      <c r="F149" s="270">
        <f>+MAYO!$AG149</f>
        <v>0</v>
      </c>
      <c r="G149" s="270">
        <f>+JUNIO!$AG149</f>
        <v>0</v>
      </c>
      <c r="H149" s="270">
        <f>+JULIO!$AG149</f>
        <v>0</v>
      </c>
      <c r="I149" s="270">
        <f>+AGOSTO!$AG149</f>
        <v>0</v>
      </c>
      <c r="J149" s="270">
        <f>+SEPTIEMBRE!$AG149</f>
        <v>0</v>
      </c>
      <c r="K149" s="270">
        <f>+OCTUBRE!$AG149</f>
        <v>0</v>
      </c>
      <c r="L149" s="270">
        <f>+NOVIEMBRE!$AG149</f>
        <v>0</v>
      </c>
      <c r="M149" s="270">
        <f>+DICIEMBRE!$AG149</f>
        <v>0</v>
      </c>
      <c r="N149" s="156">
        <f t="shared" si="2"/>
        <v>0</v>
      </c>
    </row>
    <row r="150" spans="1:15" ht="18.75" x14ac:dyDescent="0.25">
      <c r="A150" s="329" t="s">
        <v>100</v>
      </c>
      <c r="B150" s="272">
        <f>+ENERO!$AG150</f>
        <v>0</v>
      </c>
      <c r="C150" s="272">
        <f>+FEBRERO!$AG150</f>
        <v>0</v>
      </c>
      <c r="D150" s="272">
        <f>+MARZO!$AG150</f>
        <v>0</v>
      </c>
      <c r="E150" s="272">
        <f>+ABRIL!$AG150</f>
        <v>0</v>
      </c>
      <c r="F150" s="272">
        <f>+MAYO!$AG150</f>
        <v>0</v>
      </c>
      <c r="G150" s="272">
        <f>+JUNIO!$AG150</f>
        <v>0</v>
      </c>
      <c r="H150" s="272">
        <f>+JULIO!$AG150</f>
        <v>0</v>
      </c>
      <c r="I150" s="272">
        <f>+AGOSTO!$AG150</f>
        <v>0</v>
      </c>
      <c r="J150" s="272">
        <f>+SEPTIEMBRE!$AG150</f>
        <v>0</v>
      </c>
      <c r="K150" s="272">
        <f>+OCTUBRE!$AG150</f>
        <v>0</v>
      </c>
      <c r="L150" s="272">
        <f>+NOVIEMBRE!$AG150</f>
        <v>0</v>
      </c>
      <c r="M150" s="272">
        <f>+DICIEMBRE!$AG150</f>
        <v>0</v>
      </c>
      <c r="N150" s="132">
        <f t="shared" si="2"/>
        <v>0</v>
      </c>
    </row>
    <row r="151" spans="1:15" ht="18.75" x14ac:dyDescent="0.25">
      <c r="A151" s="330" t="s">
        <v>101</v>
      </c>
      <c r="B151" s="273">
        <f>+ENERO!$AG151</f>
        <v>0</v>
      </c>
      <c r="C151" s="273">
        <f>+FEBRERO!$AG151</f>
        <v>0</v>
      </c>
      <c r="D151" s="273">
        <f>+MARZO!$AG151</f>
        <v>0</v>
      </c>
      <c r="E151" s="273">
        <f>+ABRIL!$AG151</f>
        <v>0</v>
      </c>
      <c r="F151" s="273">
        <f>+MAYO!$AG151</f>
        <v>0</v>
      </c>
      <c r="G151" s="273">
        <f>+JUNIO!$AG151</f>
        <v>0</v>
      </c>
      <c r="H151" s="273">
        <f>+JULIO!$AG151</f>
        <v>0</v>
      </c>
      <c r="I151" s="273">
        <f>+AGOSTO!$AG151</f>
        <v>0</v>
      </c>
      <c r="J151" s="273">
        <f>+SEPTIEMBRE!$AG151</f>
        <v>0</v>
      </c>
      <c r="K151" s="273">
        <f>+OCTUBRE!$AG151</f>
        <v>0</v>
      </c>
      <c r="L151" s="273">
        <f>+NOVIEMBRE!$AG151</f>
        <v>0</v>
      </c>
      <c r="M151" s="273">
        <f>+DICIEMBRE!$AG151</f>
        <v>0</v>
      </c>
      <c r="N151" s="4">
        <f t="shared" si="2"/>
        <v>0</v>
      </c>
    </row>
    <row r="152" spans="1:15" ht="18.75" x14ac:dyDescent="0.25">
      <c r="A152" s="330" t="s">
        <v>102</v>
      </c>
      <c r="B152" s="273">
        <f>+ENERO!$AG152</f>
        <v>0</v>
      </c>
      <c r="C152" s="273">
        <f>+FEBRERO!$AG152</f>
        <v>0</v>
      </c>
      <c r="D152" s="273">
        <f>+MARZO!$AG152</f>
        <v>0</v>
      </c>
      <c r="E152" s="273">
        <f>+ABRIL!$AG152</f>
        <v>0</v>
      </c>
      <c r="F152" s="273">
        <f>+MAYO!$AG152</f>
        <v>0</v>
      </c>
      <c r="G152" s="273">
        <f>+JUNIO!$AG152</f>
        <v>0</v>
      </c>
      <c r="H152" s="273">
        <f>+JULIO!$AG152</f>
        <v>0</v>
      </c>
      <c r="I152" s="273">
        <f>+AGOSTO!$AG152</f>
        <v>0</v>
      </c>
      <c r="J152" s="273">
        <f>+SEPTIEMBRE!$AG152</f>
        <v>0</v>
      </c>
      <c r="K152" s="273">
        <f>+OCTUBRE!$AG152</f>
        <v>0</v>
      </c>
      <c r="L152" s="273">
        <f>+NOVIEMBRE!$AG152</f>
        <v>0</v>
      </c>
      <c r="M152" s="273">
        <f>+DICIEMBRE!$AG152</f>
        <v>0</v>
      </c>
      <c r="N152" s="4">
        <f t="shared" si="2"/>
        <v>0</v>
      </c>
    </row>
    <row r="153" spans="1:15" ht="19.5" thickBot="1" x14ac:dyDescent="0.3">
      <c r="A153" s="331" t="s">
        <v>103</v>
      </c>
      <c r="B153" s="274">
        <f>+ENERO!$AG153</f>
        <v>0</v>
      </c>
      <c r="C153" s="274">
        <f>+FEBRERO!$AG153</f>
        <v>0</v>
      </c>
      <c r="D153" s="274">
        <f>+MARZO!$AG153</f>
        <v>0</v>
      </c>
      <c r="E153" s="274">
        <f>+ABRIL!$AG153</f>
        <v>0</v>
      </c>
      <c r="F153" s="274">
        <f>+MAYO!$AG153</f>
        <v>0</v>
      </c>
      <c r="G153" s="274">
        <f>+JUNIO!$AG153</f>
        <v>1</v>
      </c>
      <c r="H153" s="274">
        <f>+JULIO!$AG153</f>
        <v>0</v>
      </c>
      <c r="I153" s="274">
        <f>+AGOSTO!$AG153</f>
        <v>0</v>
      </c>
      <c r="J153" s="274">
        <f>+SEPTIEMBRE!$AG153</f>
        <v>0</v>
      </c>
      <c r="K153" s="274">
        <f>+OCTUBRE!$AG153</f>
        <v>0</v>
      </c>
      <c r="L153" s="274">
        <f>+NOVIEMBRE!$AG153</f>
        <v>0</v>
      </c>
      <c r="M153" s="274">
        <f>+DICIEMBRE!$AG153</f>
        <v>0</v>
      </c>
      <c r="N153" s="28">
        <f t="shared" si="2"/>
        <v>1</v>
      </c>
    </row>
    <row r="154" spans="1:15" ht="19.5" thickBot="1" x14ac:dyDescent="0.3">
      <c r="A154" s="328" t="s">
        <v>67</v>
      </c>
      <c r="B154" s="271">
        <f>+ENERO!$AG154</f>
        <v>1</v>
      </c>
      <c r="C154" s="271">
        <f>+FEBRERO!$AG154</f>
        <v>3</v>
      </c>
      <c r="D154" s="271">
        <f>+MARZO!$AG154</f>
        <v>0</v>
      </c>
      <c r="E154" s="271">
        <f>+ABRIL!$AG154</f>
        <v>0</v>
      </c>
      <c r="F154" s="271">
        <f>+MAYO!$AG154</f>
        <v>0</v>
      </c>
      <c r="G154" s="271">
        <f>+JUNIO!$AG154</f>
        <v>1</v>
      </c>
      <c r="H154" s="271">
        <f>+JULIO!$AG154</f>
        <v>1</v>
      </c>
      <c r="I154" s="271">
        <f>+AGOSTO!$AG154</f>
        <v>2</v>
      </c>
      <c r="J154" s="271">
        <f>+SEPTIEMBRE!$AG154</f>
        <v>0</v>
      </c>
      <c r="K154" s="271">
        <f>+OCTUBRE!$AG154</f>
        <v>1</v>
      </c>
      <c r="L154" s="271">
        <f>+NOVIEMBRE!$AG154</f>
        <v>0</v>
      </c>
      <c r="M154" s="271">
        <f>+DICIEMBRE!$AG154</f>
        <v>0</v>
      </c>
      <c r="N154" s="128">
        <f t="shared" si="2"/>
        <v>9</v>
      </c>
    </row>
    <row r="155" spans="1:15" ht="19.5" thickBot="1" x14ac:dyDescent="0.3">
      <c r="A155" s="327" t="s">
        <v>132</v>
      </c>
      <c r="B155" s="270">
        <f>+ENERO!$AG155</f>
        <v>0</v>
      </c>
      <c r="C155" s="270">
        <f>+FEBRERO!$AG155</f>
        <v>0</v>
      </c>
      <c r="D155" s="270">
        <f>+MARZO!$AG155</f>
        <v>1</v>
      </c>
      <c r="E155" s="270">
        <f>+ABRIL!$AG155</f>
        <v>0</v>
      </c>
      <c r="F155" s="270">
        <f>+MAYO!$AG155</f>
        <v>0</v>
      </c>
      <c r="G155" s="270">
        <f>+JUNIO!$AG155</f>
        <v>0</v>
      </c>
      <c r="H155" s="270">
        <f>+JULIO!$AG155</f>
        <v>0</v>
      </c>
      <c r="I155" s="270">
        <f>+AGOSTO!$AG155</f>
        <v>0</v>
      </c>
      <c r="J155" s="270">
        <f>+SEPTIEMBRE!$AG155</f>
        <v>0</v>
      </c>
      <c r="K155" s="270">
        <f>+OCTUBRE!$AG155</f>
        <v>0</v>
      </c>
      <c r="L155" s="270">
        <f>+NOVIEMBRE!$AG155</f>
        <v>0</v>
      </c>
      <c r="M155" s="270">
        <f>+DICIEMBRE!$AG155</f>
        <v>0</v>
      </c>
      <c r="N155" s="156">
        <f t="shared" si="2"/>
        <v>1</v>
      </c>
    </row>
    <row r="156" spans="1:15" ht="18.75" x14ac:dyDescent="0.25">
      <c r="A156" s="332" t="s">
        <v>62</v>
      </c>
      <c r="B156" s="275">
        <f>+ENERO!$AG156</f>
        <v>4859</v>
      </c>
      <c r="C156" s="275">
        <f>+FEBRERO!$AG156</f>
        <v>4716</v>
      </c>
      <c r="D156" s="275">
        <f>+MARZO!$AG156</f>
        <v>3670</v>
      </c>
      <c r="E156" s="275">
        <f>+ABRIL!$AG156</f>
        <v>1767</v>
      </c>
      <c r="F156" s="275">
        <f>+MAYO!$AG156</f>
        <v>2223</v>
      </c>
      <c r="G156" s="275">
        <f>+JUNIO!$AG156</f>
        <v>2283</v>
      </c>
      <c r="H156" s="275">
        <f>+JULIO!$AG156</f>
        <v>2940</v>
      </c>
      <c r="I156" s="275">
        <f>+AGOSTO!$AG156</f>
        <v>3130</v>
      </c>
      <c r="J156" s="275">
        <f>+SEPTIEMBRE!$AG156</f>
        <v>3012</v>
      </c>
      <c r="K156" s="275">
        <f>+OCTUBRE!$AG156</f>
        <v>3594</v>
      </c>
      <c r="L156" s="275">
        <f>+NOVIEMBRE!$AG156</f>
        <v>3837</v>
      </c>
      <c r="M156" s="275">
        <f>+DICIEMBRE!$AG156</f>
        <v>3863</v>
      </c>
      <c r="N156" s="95">
        <f t="shared" si="2"/>
        <v>39894</v>
      </c>
      <c r="O156" s="2" t="s">
        <v>84</v>
      </c>
    </row>
    <row r="157" spans="1:15" ht="19.5" thickBot="1" x14ac:dyDescent="0.3">
      <c r="A157" s="324" t="s">
        <v>1</v>
      </c>
      <c r="B157" s="267">
        <f>+ENERO!$AG157</f>
        <v>491</v>
      </c>
      <c r="C157" s="267">
        <f>+FEBRERO!$AG157</f>
        <v>452</v>
      </c>
      <c r="D157" s="267">
        <f>+MARZO!$AG157</f>
        <v>316</v>
      </c>
      <c r="E157" s="267">
        <f>+ABRIL!$AG157</f>
        <v>90</v>
      </c>
      <c r="F157" s="267">
        <f>+MAYO!$AG157</f>
        <v>122</v>
      </c>
      <c r="G157" s="267">
        <f>+JUNIO!$AG157</f>
        <v>146</v>
      </c>
      <c r="H157" s="267">
        <f>+JULIO!$AG157</f>
        <v>212</v>
      </c>
      <c r="I157" s="267">
        <f>+AGOSTO!$AG157</f>
        <v>193</v>
      </c>
      <c r="J157" s="267">
        <f>+SEPTIEMBRE!$AG157</f>
        <v>165</v>
      </c>
      <c r="K157" s="267">
        <f>+OCTUBRE!$AG157</f>
        <v>173</v>
      </c>
      <c r="L157" s="267">
        <f>+NOVIEMBRE!$AG157</f>
        <v>242</v>
      </c>
      <c r="M157" s="267">
        <f>+DICIEMBRE!$AG157</f>
        <v>215</v>
      </c>
      <c r="N157" s="157">
        <f t="shared" si="2"/>
        <v>2817</v>
      </c>
      <c r="O157" s="2"/>
    </row>
    <row r="158" spans="1:15" ht="19.5" thickBot="1" x14ac:dyDescent="0.3">
      <c r="A158" s="333" t="s">
        <v>22</v>
      </c>
      <c r="B158" s="276">
        <f>+ENERO!$AG158</f>
        <v>23</v>
      </c>
      <c r="C158" s="276">
        <f>+FEBRERO!$AG158</f>
        <v>21</v>
      </c>
      <c r="D158" s="276">
        <f>+MARZO!$AG158</f>
        <v>23</v>
      </c>
      <c r="E158" s="276">
        <f>+ABRIL!$AG158</f>
        <v>74</v>
      </c>
      <c r="F158" s="276">
        <f>+MAYO!$AG158</f>
        <v>192</v>
      </c>
      <c r="G158" s="276">
        <f>+JUNIO!$AG158</f>
        <v>252</v>
      </c>
      <c r="H158" s="276">
        <f>+JULIO!$AG158</f>
        <v>64</v>
      </c>
      <c r="I158" s="276">
        <f>+AGOSTO!$AG158</f>
        <v>5</v>
      </c>
      <c r="J158" s="276">
        <f>+SEPTIEMBRE!$AG158</f>
        <v>29</v>
      </c>
      <c r="K158" s="276">
        <f>+OCTUBRE!$AG158</f>
        <v>21</v>
      </c>
      <c r="L158" s="276">
        <f>+NOVIEMBRE!$AG158</f>
        <v>29</v>
      </c>
      <c r="M158" s="276">
        <f>+DICIEMBRE!$AG158</f>
        <v>9</v>
      </c>
      <c r="N158" s="124">
        <f t="shared" si="2"/>
        <v>742</v>
      </c>
    </row>
    <row r="159" spans="1:15" ht="18.75" x14ac:dyDescent="0.25">
      <c r="A159" s="329" t="s">
        <v>23</v>
      </c>
      <c r="B159" s="272">
        <f>+ENERO!$AG159</f>
        <v>1</v>
      </c>
      <c r="C159" s="272">
        <f>+FEBRERO!$AG159</f>
        <v>3</v>
      </c>
      <c r="D159" s="272">
        <f>+MARZO!$AG159</f>
        <v>7</v>
      </c>
      <c r="E159" s="272">
        <f>+ABRIL!$AG159</f>
        <v>14</v>
      </c>
      <c r="F159" s="272">
        <f>+MAYO!$AG159</f>
        <v>41</v>
      </c>
      <c r="G159" s="272">
        <f>+JUNIO!$AG159</f>
        <v>53</v>
      </c>
      <c r="H159" s="272">
        <f>+JULIO!$AG159</f>
        <v>4</v>
      </c>
      <c r="I159" s="272">
        <f>+AGOSTO!$AG159</f>
        <v>0</v>
      </c>
      <c r="J159" s="272">
        <f>+SEPTIEMBRE!$AG159</f>
        <v>3</v>
      </c>
      <c r="K159" s="272">
        <f>+OCTUBRE!$AG159</f>
        <v>1</v>
      </c>
      <c r="L159" s="272">
        <f>+NOVIEMBRE!$AG159</f>
        <v>5</v>
      </c>
      <c r="M159" s="272">
        <f>+DICIEMBRE!$AG159</f>
        <v>0</v>
      </c>
      <c r="N159" s="132">
        <f t="shared" si="2"/>
        <v>132</v>
      </c>
    </row>
    <row r="160" spans="1:15" ht="18.75" x14ac:dyDescent="0.25">
      <c r="A160" s="330" t="s">
        <v>24</v>
      </c>
      <c r="B160" s="273">
        <f>+ENERO!$AG160</f>
        <v>7</v>
      </c>
      <c r="C160" s="273">
        <f>+FEBRERO!$AG160</f>
        <v>3</v>
      </c>
      <c r="D160" s="273">
        <f>+MARZO!$AG160</f>
        <v>2</v>
      </c>
      <c r="E160" s="273">
        <f>+ABRIL!$AG160</f>
        <v>12</v>
      </c>
      <c r="F160" s="273">
        <f>+MAYO!$AG160</f>
        <v>45</v>
      </c>
      <c r="G160" s="273">
        <f>+JUNIO!$AG160</f>
        <v>57</v>
      </c>
      <c r="H160" s="273">
        <f>+JULIO!$AG160</f>
        <v>9</v>
      </c>
      <c r="I160" s="273">
        <f>+AGOSTO!$AG160</f>
        <v>0</v>
      </c>
      <c r="J160" s="273">
        <f>+SEPTIEMBRE!$AG160</f>
        <v>2</v>
      </c>
      <c r="K160" s="273">
        <f>+OCTUBRE!$AG160</f>
        <v>0</v>
      </c>
      <c r="L160" s="273">
        <f>+NOVIEMBRE!$AG160</f>
        <v>2</v>
      </c>
      <c r="M160" s="273">
        <f>+DICIEMBRE!$AG160</f>
        <v>1</v>
      </c>
      <c r="N160" s="4">
        <f t="shared" si="2"/>
        <v>140</v>
      </c>
    </row>
    <row r="161" spans="1:15" ht="18.75" x14ac:dyDescent="0.25">
      <c r="A161" s="330" t="s">
        <v>59</v>
      </c>
      <c r="B161" s="273">
        <f>+ENERO!$AG161</f>
        <v>3</v>
      </c>
      <c r="C161" s="273">
        <f>+FEBRERO!$AG161</f>
        <v>2</v>
      </c>
      <c r="D161" s="273">
        <f>+MARZO!$AG161</f>
        <v>2</v>
      </c>
      <c r="E161" s="273">
        <f>+ABRIL!$AG161</f>
        <v>12</v>
      </c>
      <c r="F161" s="273">
        <f>+MAYO!$AG161</f>
        <v>14</v>
      </c>
      <c r="G161" s="273">
        <f>+JUNIO!$AG161</f>
        <v>8</v>
      </c>
      <c r="H161" s="273">
        <f>+JULIO!$AG161</f>
        <v>24</v>
      </c>
      <c r="I161" s="273">
        <f>+AGOSTO!$AG161</f>
        <v>0</v>
      </c>
      <c r="J161" s="273">
        <f>+SEPTIEMBRE!$AG161</f>
        <v>11</v>
      </c>
      <c r="K161" s="273">
        <f>+OCTUBRE!$AG161</f>
        <v>16</v>
      </c>
      <c r="L161" s="273">
        <f>+NOVIEMBRE!$AG161</f>
        <v>10</v>
      </c>
      <c r="M161" s="273">
        <f>+DICIEMBRE!$AG161</f>
        <v>3</v>
      </c>
      <c r="N161" s="4">
        <f t="shared" si="2"/>
        <v>105</v>
      </c>
    </row>
    <row r="162" spans="1:15" ht="18.75" x14ac:dyDescent="0.25">
      <c r="A162" s="330" t="s">
        <v>25</v>
      </c>
      <c r="B162" s="273">
        <f>+ENERO!$AG162</f>
        <v>4</v>
      </c>
      <c r="C162" s="273">
        <f>+FEBRERO!$AG162</f>
        <v>6</v>
      </c>
      <c r="D162" s="273">
        <f>+MARZO!$AG162</f>
        <v>4</v>
      </c>
      <c r="E162" s="273">
        <f>+ABRIL!$AG162</f>
        <v>14</v>
      </c>
      <c r="F162" s="273">
        <f>+MAYO!$AG162</f>
        <v>24</v>
      </c>
      <c r="G162" s="273">
        <f>+JUNIO!$AG162</f>
        <v>48</v>
      </c>
      <c r="H162" s="273">
        <f>+JULIO!$AG162</f>
        <v>4</v>
      </c>
      <c r="I162" s="273">
        <f>+AGOSTO!$AG162</f>
        <v>4</v>
      </c>
      <c r="J162" s="273">
        <f>+SEPTIEMBRE!$AG162</f>
        <v>5</v>
      </c>
      <c r="K162" s="273">
        <f>+OCTUBRE!$AG162</f>
        <v>3</v>
      </c>
      <c r="L162" s="273">
        <f>+NOVIEMBRE!$AG162</f>
        <v>5</v>
      </c>
      <c r="M162" s="273">
        <f>+DICIEMBRE!$AG162</f>
        <v>1</v>
      </c>
      <c r="N162" s="4">
        <f t="shared" si="2"/>
        <v>122</v>
      </c>
    </row>
    <row r="163" spans="1:15" ht="18.75" x14ac:dyDescent="0.25">
      <c r="A163" s="330" t="s">
        <v>26</v>
      </c>
      <c r="B163" s="273">
        <f>+ENERO!$AG163</f>
        <v>0</v>
      </c>
      <c r="C163" s="273">
        <f>+FEBRERO!$AG163</f>
        <v>0</v>
      </c>
      <c r="D163" s="273">
        <f>+MARZO!$AG163</f>
        <v>0</v>
      </c>
      <c r="E163" s="273">
        <f>+ABRIL!$AG163</f>
        <v>0</v>
      </c>
      <c r="F163" s="273">
        <f>+MAYO!$AG163</f>
        <v>0</v>
      </c>
      <c r="G163" s="273">
        <f>+JUNIO!$AG163</f>
        <v>0</v>
      </c>
      <c r="H163" s="273">
        <f>+JULIO!$AG163</f>
        <v>0</v>
      </c>
      <c r="I163" s="273">
        <f>+AGOSTO!$AG163</f>
        <v>0</v>
      </c>
      <c r="J163" s="273">
        <f>+SEPTIEMBRE!$AG163</f>
        <v>0</v>
      </c>
      <c r="K163" s="273">
        <f>+OCTUBRE!$AG163</f>
        <v>0</v>
      </c>
      <c r="L163" s="273">
        <f>+NOVIEMBRE!$AG163</f>
        <v>0</v>
      </c>
      <c r="M163" s="273">
        <f>+DICIEMBRE!$AG163</f>
        <v>0</v>
      </c>
      <c r="N163" s="4">
        <f t="shared" si="2"/>
        <v>0</v>
      </c>
    </row>
    <row r="164" spans="1:15" ht="18.75" x14ac:dyDescent="0.25">
      <c r="A164" s="330" t="s">
        <v>27</v>
      </c>
      <c r="B164" s="273">
        <f>+ENERO!$AG164</f>
        <v>0</v>
      </c>
      <c r="C164" s="273">
        <f>+FEBRERO!$AG164</f>
        <v>2</v>
      </c>
      <c r="D164" s="273">
        <f>+MARZO!$AG164</f>
        <v>2</v>
      </c>
      <c r="E164" s="273">
        <f>+ABRIL!$AG164</f>
        <v>14</v>
      </c>
      <c r="F164" s="273">
        <f>+MAYO!$AG164</f>
        <v>20</v>
      </c>
      <c r="G164" s="273">
        <f>+JUNIO!$AG164</f>
        <v>16</v>
      </c>
      <c r="H164" s="273">
        <f>+JULIO!$AG164</f>
        <v>6</v>
      </c>
      <c r="I164" s="273">
        <f>+AGOSTO!$AG164</f>
        <v>1</v>
      </c>
      <c r="J164" s="273">
        <f>+SEPTIEMBRE!$AG164</f>
        <v>6</v>
      </c>
      <c r="K164" s="273">
        <f>+OCTUBRE!$AG164</f>
        <v>0</v>
      </c>
      <c r="L164" s="273">
        <f>+NOVIEMBRE!$AG164</f>
        <v>3</v>
      </c>
      <c r="M164" s="273">
        <f>+DICIEMBRE!$AG164</f>
        <v>3</v>
      </c>
      <c r="N164" s="4">
        <f t="shared" si="2"/>
        <v>73</v>
      </c>
    </row>
    <row r="165" spans="1:15" ht="18.75" x14ac:dyDescent="0.25">
      <c r="A165" s="330" t="s">
        <v>28</v>
      </c>
      <c r="B165" s="273">
        <f>+ENERO!$AG165</f>
        <v>8</v>
      </c>
      <c r="C165" s="273">
        <f>+FEBRERO!$AG165</f>
        <v>5</v>
      </c>
      <c r="D165" s="273">
        <f>+MARZO!$AG165</f>
        <v>6</v>
      </c>
      <c r="E165" s="273">
        <f>+ABRIL!$AG165</f>
        <v>8</v>
      </c>
      <c r="F165" s="273">
        <f>+MAYO!$AG165</f>
        <v>48</v>
      </c>
      <c r="G165" s="273">
        <f>+JUNIO!$AG165</f>
        <v>70</v>
      </c>
      <c r="H165" s="273">
        <f>+JULIO!$AG165</f>
        <v>17</v>
      </c>
      <c r="I165" s="273">
        <f>+AGOSTO!$AG165</f>
        <v>0</v>
      </c>
      <c r="J165" s="273">
        <f>+SEPTIEMBRE!$AG165</f>
        <v>2</v>
      </c>
      <c r="K165" s="273">
        <f>+OCTUBRE!$AG165</f>
        <v>1</v>
      </c>
      <c r="L165" s="273">
        <f>+NOVIEMBRE!$AG165</f>
        <v>4</v>
      </c>
      <c r="M165" s="273">
        <f>+DICIEMBRE!$AG165</f>
        <v>1</v>
      </c>
      <c r="N165" s="4">
        <f t="shared" si="2"/>
        <v>170</v>
      </c>
    </row>
    <row r="166" spans="1:15" ht="19.5" thickBot="1" x14ac:dyDescent="0.3">
      <c r="A166" s="331" t="s">
        <v>29</v>
      </c>
      <c r="B166" s="274">
        <f>+ENERO!$AG166</f>
        <v>0</v>
      </c>
      <c r="C166" s="274">
        <f>+FEBRERO!$AG166</f>
        <v>0</v>
      </c>
      <c r="D166" s="274">
        <f>+MARZO!$AG166</f>
        <v>0</v>
      </c>
      <c r="E166" s="274">
        <f>+ABRIL!$AG166</f>
        <v>0</v>
      </c>
      <c r="F166" s="274">
        <f>+MAYO!$AG166</f>
        <v>0</v>
      </c>
      <c r="G166" s="274">
        <f>+JUNIO!$AG166</f>
        <v>0</v>
      </c>
      <c r="H166" s="274">
        <f>+JULIO!$AG166</f>
        <v>0</v>
      </c>
      <c r="I166" s="274">
        <f>+AGOSTO!$AG166</f>
        <v>0</v>
      </c>
      <c r="J166" s="274">
        <f>+SEPTIEMBRE!$AG166</f>
        <v>0</v>
      </c>
      <c r="K166" s="274">
        <f>+OCTUBRE!$AG166</f>
        <v>0</v>
      </c>
      <c r="L166" s="274">
        <f>+NOVIEMBRE!$AG166</f>
        <v>0</v>
      </c>
      <c r="M166" s="274">
        <f>+DICIEMBRE!$AG166</f>
        <v>0</v>
      </c>
      <c r="N166" s="28">
        <f t="shared" si="2"/>
        <v>0</v>
      </c>
    </row>
    <row r="167" spans="1:15" ht="18.75" x14ac:dyDescent="0.25">
      <c r="A167" s="332" t="s">
        <v>71</v>
      </c>
      <c r="B167" s="275">
        <f>+ENERO!$AG167</f>
        <v>11</v>
      </c>
      <c r="C167" s="275">
        <f>+FEBRERO!$AG167</f>
        <v>19</v>
      </c>
      <c r="D167" s="275">
        <f>+MARZO!$AG167</f>
        <v>9</v>
      </c>
      <c r="E167" s="275">
        <f>+ABRIL!$AG167</f>
        <v>54</v>
      </c>
      <c r="F167" s="275">
        <f>+MAYO!$AG167</f>
        <v>121</v>
      </c>
      <c r="G167" s="275">
        <f>+JUNIO!$AG167</f>
        <v>159</v>
      </c>
      <c r="H167" s="275">
        <f>+JULIO!$AG167</f>
        <v>59</v>
      </c>
      <c r="I167" s="275">
        <f>+AGOSTO!$AG167</f>
        <v>20</v>
      </c>
      <c r="J167" s="275">
        <f>+SEPTIEMBRE!$AG167</f>
        <v>27</v>
      </c>
      <c r="K167" s="275">
        <f>+OCTUBRE!$AG167</f>
        <v>8</v>
      </c>
      <c r="L167" s="275">
        <f>+NOVIEMBRE!$AG167</f>
        <v>8</v>
      </c>
      <c r="M167" s="275">
        <f>+DICIEMBRE!$AG167</f>
        <v>9</v>
      </c>
      <c r="N167" s="95">
        <f t="shared" si="2"/>
        <v>504</v>
      </c>
    </row>
    <row r="168" spans="1:15" ht="18.75" x14ac:dyDescent="0.25">
      <c r="A168" s="334" t="s">
        <v>30</v>
      </c>
      <c r="B168" s="273">
        <f>+ENERO!$AG168</f>
        <v>0</v>
      </c>
      <c r="C168" s="273">
        <f>+FEBRERO!$AG168</f>
        <v>4</v>
      </c>
      <c r="D168" s="273">
        <f>+MARZO!$AG168</f>
        <v>0</v>
      </c>
      <c r="E168" s="273">
        <f>+ABRIL!$AG168</f>
        <v>32</v>
      </c>
      <c r="F168" s="273">
        <f>+MAYO!$AG168</f>
        <v>62</v>
      </c>
      <c r="G168" s="273">
        <f>+JUNIO!$AG168</f>
        <v>110</v>
      </c>
      <c r="H168" s="273">
        <f>+JULIO!$AG168</f>
        <v>44</v>
      </c>
      <c r="I168" s="273">
        <f>+AGOSTO!$AG168</f>
        <v>0</v>
      </c>
      <c r="J168" s="273">
        <f>+SEPTIEMBRE!$AG168</f>
        <v>2</v>
      </c>
      <c r="K168" s="273">
        <f>+OCTUBRE!$AG168</f>
        <v>0</v>
      </c>
      <c r="L168" s="273">
        <f>+NOVIEMBRE!$AG168</f>
        <v>1</v>
      </c>
      <c r="M168" s="273">
        <f>+DICIEMBRE!$AG168</f>
        <v>0</v>
      </c>
      <c r="N168" s="4">
        <f t="shared" si="2"/>
        <v>255</v>
      </c>
    </row>
    <row r="169" spans="1:15" ht="18.75" x14ac:dyDescent="0.25">
      <c r="A169" s="334" t="s">
        <v>31</v>
      </c>
      <c r="B169" s="273">
        <f>+ENERO!$AG169</f>
        <v>4</v>
      </c>
      <c r="C169" s="273">
        <f>+FEBRERO!$AG169</f>
        <v>6</v>
      </c>
      <c r="D169" s="273">
        <f>+MARZO!$AG169</f>
        <v>4</v>
      </c>
      <c r="E169" s="273">
        <f>+ABRIL!$AG169</f>
        <v>18</v>
      </c>
      <c r="F169" s="273">
        <f>+MAYO!$AG169</f>
        <v>31</v>
      </c>
      <c r="G169" s="273">
        <f>+JUNIO!$AG169</f>
        <v>28</v>
      </c>
      <c r="H169" s="273">
        <f>+JULIO!$AG169</f>
        <v>5</v>
      </c>
      <c r="I169" s="273">
        <f>+AGOSTO!$AG169</f>
        <v>1</v>
      </c>
      <c r="J169" s="273">
        <f>+SEPTIEMBRE!$AG169</f>
        <v>10</v>
      </c>
      <c r="K169" s="273">
        <f>+OCTUBRE!$AG169</f>
        <v>2</v>
      </c>
      <c r="L169" s="273">
        <f>+NOVIEMBRE!$AG169</f>
        <v>2</v>
      </c>
      <c r="M169" s="273">
        <f>+DICIEMBRE!$AG169</f>
        <v>1</v>
      </c>
      <c r="N169" s="4">
        <f t="shared" si="2"/>
        <v>112</v>
      </c>
    </row>
    <row r="170" spans="1:15" ht="18.75" x14ac:dyDescent="0.25">
      <c r="A170" s="334" t="s">
        <v>32</v>
      </c>
      <c r="B170" s="273">
        <f>+ENERO!$AG170</f>
        <v>0</v>
      </c>
      <c r="C170" s="273">
        <f>+FEBRERO!$AG170</f>
        <v>0</v>
      </c>
      <c r="D170" s="273">
        <f>+MARZO!$AG170</f>
        <v>1</v>
      </c>
      <c r="E170" s="273">
        <f>+ABRIL!$AG170</f>
        <v>1</v>
      </c>
      <c r="F170" s="273">
        <f>+MAYO!$AG170</f>
        <v>18</v>
      </c>
      <c r="G170" s="273">
        <f>+JUNIO!$AG170</f>
        <v>4</v>
      </c>
      <c r="H170" s="273">
        <f>+JULIO!$AG170</f>
        <v>1</v>
      </c>
      <c r="I170" s="273">
        <f>+AGOSTO!$AG170</f>
        <v>3</v>
      </c>
      <c r="J170" s="273">
        <f>+SEPTIEMBRE!$AG170</f>
        <v>0</v>
      </c>
      <c r="K170" s="273">
        <f>+OCTUBRE!$AG170</f>
        <v>0</v>
      </c>
      <c r="L170" s="273">
        <f>+NOVIEMBRE!$AG170</f>
        <v>0</v>
      </c>
      <c r="M170" s="273">
        <f>+DICIEMBRE!$AG170</f>
        <v>0</v>
      </c>
      <c r="N170" s="4">
        <f t="shared" si="2"/>
        <v>28</v>
      </c>
    </row>
    <row r="171" spans="1:15" ht="19.5" thickBot="1" x14ac:dyDescent="0.3">
      <c r="A171" s="335" t="s">
        <v>87</v>
      </c>
      <c r="B171" s="274">
        <f>+ENERO!$AG171</f>
        <v>7</v>
      </c>
      <c r="C171" s="274">
        <f>+FEBRERO!$AG171</f>
        <v>9</v>
      </c>
      <c r="D171" s="274">
        <f>+MARZO!$AG171</f>
        <v>4</v>
      </c>
      <c r="E171" s="274">
        <f>+ABRIL!$AG171</f>
        <v>3</v>
      </c>
      <c r="F171" s="274">
        <f>+MAYO!$AG171</f>
        <v>9</v>
      </c>
      <c r="G171" s="274">
        <f>+JUNIO!$AG171</f>
        <v>17</v>
      </c>
      <c r="H171" s="274">
        <f>+JULIO!$AG171</f>
        <v>9</v>
      </c>
      <c r="I171" s="274">
        <f>+AGOSTO!$AG171</f>
        <v>16</v>
      </c>
      <c r="J171" s="274">
        <f>+SEPTIEMBRE!$AG171</f>
        <v>15</v>
      </c>
      <c r="K171" s="274">
        <f>+OCTUBRE!$AG171</f>
        <v>6</v>
      </c>
      <c r="L171" s="274">
        <f>+NOVIEMBRE!$AG171</f>
        <v>5</v>
      </c>
      <c r="M171" s="274">
        <f>+DICIEMBRE!$AG171</f>
        <v>8</v>
      </c>
      <c r="N171" s="28">
        <f t="shared" si="2"/>
        <v>108</v>
      </c>
    </row>
    <row r="172" spans="1:15" ht="19.5" thickBot="1" x14ac:dyDescent="0.3">
      <c r="A172" s="336" t="s">
        <v>128</v>
      </c>
      <c r="B172" s="277">
        <f>+ENERO!$AG172</f>
        <v>3</v>
      </c>
      <c r="C172" s="277">
        <f>+FEBRERO!$AG172</f>
        <v>2</v>
      </c>
      <c r="D172" s="277">
        <f>+MARZO!$AG172</f>
        <v>2</v>
      </c>
      <c r="E172" s="277">
        <f>+ABRIL!$AG172</f>
        <v>6</v>
      </c>
      <c r="F172" s="277">
        <f>+MAYO!$AG172</f>
        <v>1</v>
      </c>
      <c r="G172" s="277">
        <f>+JUNIO!$AG172</f>
        <v>1</v>
      </c>
      <c r="H172" s="277">
        <f>+JULIO!$AG172</f>
        <v>1</v>
      </c>
      <c r="I172" s="277">
        <f>+AGOSTO!$AG172</f>
        <v>1</v>
      </c>
      <c r="J172" s="277">
        <f>+SEPTIEMBRE!$AG172</f>
        <v>2</v>
      </c>
      <c r="K172" s="277">
        <f>+OCTUBRE!$AG172</f>
        <v>0</v>
      </c>
      <c r="L172" s="277">
        <f>+NOVIEMBRE!$AG172</f>
        <v>2</v>
      </c>
      <c r="M172" s="277">
        <f>+DICIEMBRE!$AG172</f>
        <v>3</v>
      </c>
      <c r="N172" s="159">
        <f t="shared" si="2"/>
        <v>24</v>
      </c>
    </row>
    <row r="173" spans="1:15" ht="18.75" x14ac:dyDescent="0.25">
      <c r="A173" s="337" t="s">
        <v>2</v>
      </c>
      <c r="B173" s="278">
        <f>+ENERO!$AG173</f>
        <v>9</v>
      </c>
      <c r="C173" s="278">
        <f>+FEBRERO!$AG173</f>
        <v>10</v>
      </c>
      <c r="D173" s="278">
        <f>+MARZO!$AG173</f>
        <v>9</v>
      </c>
      <c r="E173" s="278">
        <f>+ABRIL!$AG173</f>
        <v>19</v>
      </c>
      <c r="F173" s="278">
        <f>+MAYO!$AG173</f>
        <v>7</v>
      </c>
      <c r="G173" s="278">
        <f>+JUNIO!$AG173</f>
        <v>2</v>
      </c>
      <c r="H173" s="278">
        <f>+JULIO!$AG173</f>
        <v>2</v>
      </c>
      <c r="I173" s="278">
        <f>+AGOSTO!$AG173</f>
        <v>5</v>
      </c>
      <c r="J173" s="278">
        <f>+SEPTIEMBRE!$AG173</f>
        <v>11</v>
      </c>
      <c r="K173" s="278">
        <f>+OCTUBRE!$AG173</f>
        <v>17</v>
      </c>
      <c r="L173" s="278">
        <f>+NOVIEMBRE!$AG173</f>
        <v>32</v>
      </c>
      <c r="M173" s="278">
        <f>+DICIEMBRE!$AG173</f>
        <v>17</v>
      </c>
      <c r="N173" s="5">
        <f t="shared" si="2"/>
        <v>140</v>
      </c>
      <c r="O173" s="2" t="s">
        <v>137</v>
      </c>
    </row>
    <row r="174" spans="1:15" ht="19.5" thickBot="1" x14ac:dyDescent="0.3">
      <c r="A174" s="338" t="s">
        <v>3</v>
      </c>
      <c r="B174" s="279">
        <f>+ENERO!$AG174</f>
        <v>144</v>
      </c>
      <c r="C174" s="279">
        <f>+FEBRERO!$AG174</f>
        <v>158</v>
      </c>
      <c r="D174" s="279">
        <f>+MARZO!$AG174</f>
        <v>141</v>
      </c>
      <c r="E174" s="279">
        <f>+ABRIL!$AG174</f>
        <v>50</v>
      </c>
      <c r="F174" s="279">
        <f>+MAYO!$AG174</f>
        <v>92</v>
      </c>
      <c r="G174" s="279">
        <f>+JUNIO!$AG174</f>
        <v>60</v>
      </c>
      <c r="H174" s="279">
        <f>+JULIO!$AG174</f>
        <v>57</v>
      </c>
      <c r="I174" s="279">
        <f>+AGOSTO!$AG174</f>
        <v>81</v>
      </c>
      <c r="J174" s="279">
        <f>+SEPTIEMBRE!$AG174</f>
        <v>83</v>
      </c>
      <c r="K174" s="279">
        <f>+OCTUBRE!$AG174</f>
        <v>72</v>
      </c>
      <c r="L174" s="279">
        <f>+NOVIEMBRE!$AG174</f>
        <v>94</v>
      </c>
      <c r="M174" s="279">
        <f>+DICIEMBRE!$AG174</f>
        <v>84</v>
      </c>
      <c r="N174" s="6">
        <f t="shared" si="2"/>
        <v>1116</v>
      </c>
      <c r="O174" s="2" t="s">
        <v>138</v>
      </c>
    </row>
    <row r="175" spans="1:15" ht="18.75" x14ac:dyDescent="0.25">
      <c r="A175" s="339" t="s">
        <v>120</v>
      </c>
      <c r="B175" s="278">
        <f>+ENERO!$AG175</f>
        <v>11</v>
      </c>
      <c r="C175" s="278">
        <f>+FEBRERO!$AG175</f>
        <v>15</v>
      </c>
      <c r="D175" s="278">
        <f>+MARZO!$AG175</f>
        <v>16</v>
      </c>
      <c r="E175" s="278">
        <f>+ABRIL!$AG175</f>
        <v>5</v>
      </c>
      <c r="F175" s="278">
        <f>+MAYO!$AG175</f>
        <v>6</v>
      </c>
      <c r="G175" s="278">
        <f>+JUNIO!$AG175</f>
        <v>5</v>
      </c>
      <c r="H175" s="278">
        <f>+JULIO!$AG175</f>
        <v>2</v>
      </c>
      <c r="I175" s="278">
        <f>+AGOSTO!$AG175</f>
        <v>9</v>
      </c>
      <c r="J175" s="278">
        <f>+SEPTIEMBRE!$AG175</f>
        <v>2</v>
      </c>
      <c r="K175" s="278">
        <f>+OCTUBRE!$AG175</f>
        <v>6</v>
      </c>
      <c r="L175" s="278">
        <f>+NOVIEMBRE!$AG175</f>
        <v>4</v>
      </c>
      <c r="M175" s="278">
        <f>+DICIEMBRE!$AG175</f>
        <v>8</v>
      </c>
      <c r="N175" s="5">
        <f t="shared" si="2"/>
        <v>89</v>
      </c>
      <c r="O175" s="2" t="s">
        <v>138</v>
      </c>
    </row>
    <row r="176" spans="1:15" ht="19.5" thickBot="1" x14ac:dyDescent="0.3">
      <c r="A176" s="313" t="s">
        <v>119</v>
      </c>
      <c r="B176" s="280">
        <f>+ENERO!$AG176</f>
        <v>133</v>
      </c>
      <c r="C176" s="280">
        <f>+FEBRERO!$AG176</f>
        <v>143</v>
      </c>
      <c r="D176" s="280">
        <f>+MARZO!$AG176</f>
        <v>125</v>
      </c>
      <c r="E176" s="280">
        <f>+ABRIL!$AG176</f>
        <v>45</v>
      </c>
      <c r="F176" s="280">
        <f>+MAYO!$AG176</f>
        <v>86</v>
      </c>
      <c r="G176" s="280">
        <f>+JUNIO!$AG176</f>
        <v>55</v>
      </c>
      <c r="H176" s="280">
        <f>+JULIO!$AG176</f>
        <v>55</v>
      </c>
      <c r="I176" s="280">
        <f>+AGOSTO!$AG176</f>
        <v>72</v>
      </c>
      <c r="J176" s="280">
        <f>+SEPTIEMBRE!$AG176</f>
        <v>81</v>
      </c>
      <c r="K176" s="280">
        <f>+OCTUBRE!$AG176</f>
        <v>71</v>
      </c>
      <c r="L176" s="280">
        <f>+NOVIEMBRE!$AG176</f>
        <v>90</v>
      </c>
      <c r="M176" s="280">
        <f>+DICIEMBRE!$AG176</f>
        <v>76</v>
      </c>
      <c r="N176" s="103">
        <f t="shared" si="2"/>
        <v>1032</v>
      </c>
      <c r="O176" s="2" t="s">
        <v>138</v>
      </c>
    </row>
    <row r="177" spans="1:15" ht="18.75" x14ac:dyDescent="0.25">
      <c r="A177" s="340" t="s">
        <v>105</v>
      </c>
      <c r="B177" s="281">
        <f>+ENERO!$AG177</f>
        <v>0</v>
      </c>
      <c r="C177" s="281">
        <f>+FEBRERO!$AG177</f>
        <v>0</v>
      </c>
      <c r="D177" s="281">
        <f>+MARZO!$AG177</f>
        <v>0</v>
      </c>
      <c r="E177" s="281">
        <f>+ABRIL!$AG177</f>
        <v>0</v>
      </c>
      <c r="F177" s="281">
        <f>+MAYO!$AG177</f>
        <v>0</v>
      </c>
      <c r="G177" s="281">
        <f>+JUNIO!$AG177</f>
        <v>0</v>
      </c>
      <c r="H177" s="281">
        <f>+JULIO!$AG177</f>
        <v>0</v>
      </c>
      <c r="I177" s="281">
        <f>+AGOSTO!$AG177</f>
        <v>0</v>
      </c>
      <c r="J177" s="281">
        <f>+SEPTIEMBRE!$AG177</f>
        <v>0</v>
      </c>
      <c r="K177" s="281">
        <f>+OCTUBRE!$AG177</f>
        <v>0</v>
      </c>
      <c r="L177" s="281">
        <f>+NOVIEMBRE!$AG177</f>
        <v>0</v>
      </c>
      <c r="M177" s="281">
        <f>+DICIEMBRE!$AG177</f>
        <v>0</v>
      </c>
      <c r="N177" s="96">
        <f t="shared" si="2"/>
        <v>0</v>
      </c>
    </row>
    <row r="178" spans="1:15" ht="19.5" thickBot="1" x14ac:dyDescent="0.3">
      <c r="A178" s="341" t="s">
        <v>104</v>
      </c>
      <c r="B178" s="282">
        <f>+ENERO!$AG178</f>
        <v>0</v>
      </c>
      <c r="C178" s="282">
        <f>+FEBRERO!$AG178</f>
        <v>0</v>
      </c>
      <c r="D178" s="282">
        <f>+MARZO!$AG178</f>
        <v>0</v>
      </c>
      <c r="E178" s="282">
        <f>+ABRIL!$AG178</f>
        <v>0</v>
      </c>
      <c r="F178" s="282">
        <f>+MAYO!$AG178</f>
        <v>0</v>
      </c>
      <c r="G178" s="282">
        <f>+JUNIO!$AG178</f>
        <v>0</v>
      </c>
      <c r="H178" s="282">
        <f>+JULIO!$AG178</f>
        <v>0</v>
      </c>
      <c r="I178" s="282">
        <f>+AGOSTO!$AG178</f>
        <v>0</v>
      </c>
      <c r="J178" s="282">
        <f>+SEPTIEMBRE!$AG178</f>
        <v>0</v>
      </c>
      <c r="K178" s="282">
        <f>+OCTUBRE!$AG178</f>
        <v>0</v>
      </c>
      <c r="L178" s="282">
        <f>+NOVIEMBRE!$AG178</f>
        <v>0</v>
      </c>
      <c r="M178" s="282">
        <f>+DICIEMBRE!$AG178</f>
        <v>0</v>
      </c>
      <c r="N178" s="32">
        <f t="shared" si="2"/>
        <v>0</v>
      </c>
    </row>
    <row r="179" spans="1:15" ht="19.5" thickBot="1" x14ac:dyDescent="0.3">
      <c r="A179" s="342" t="s">
        <v>149</v>
      </c>
      <c r="B179" s="283">
        <f>+ENERO!$AG179</f>
        <v>514</v>
      </c>
      <c r="C179" s="283">
        <f>+FEBRERO!$AG179</f>
        <v>485</v>
      </c>
      <c r="D179" s="283">
        <f>+MARZO!$AG179</f>
        <v>369</v>
      </c>
      <c r="E179" s="283">
        <f>+ABRIL!$AG179</f>
        <v>195</v>
      </c>
      <c r="F179" s="283">
        <f>+MAYO!$AG179</f>
        <v>909</v>
      </c>
      <c r="G179" s="283">
        <f>+JUNIO!$AG179</f>
        <v>1266</v>
      </c>
      <c r="H179" s="283">
        <f>+JULIO!$AG179</f>
        <v>1095</v>
      </c>
      <c r="I179" s="283">
        <f>+AGOSTO!$AG179</f>
        <v>918</v>
      </c>
      <c r="J179" s="283">
        <f>+SEPTIEMBRE!$AG179</f>
        <v>1016</v>
      </c>
      <c r="K179" s="283">
        <f>+OCTUBRE!$AG179</f>
        <v>1231</v>
      </c>
      <c r="L179" s="283">
        <f>+NOVIEMBRE!$AG179</f>
        <v>1356</v>
      </c>
      <c r="M179" s="283">
        <f>+DICIEMBRE!$AG179</f>
        <v>1471</v>
      </c>
      <c r="N179" s="156">
        <f t="shared" si="2"/>
        <v>10825</v>
      </c>
      <c r="O179" s="38"/>
    </row>
    <row r="180" spans="1:15" ht="18.75" x14ac:dyDescent="0.25">
      <c r="A180" s="109" t="s">
        <v>4</v>
      </c>
      <c r="B180" s="284">
        <f>+ENERO!$AG180</f>
        <v>149</v>
      </c>
      <c r="C180" s="284">
        <f>+FEBRERO!$AG180</f>
        <v>127</v>
      </c>
      <c r="D180" s="284">
        <f>+MARZO!$AG180</f>
        <v>144</v>
      </c>
      <c r="E180" s="284">
        <f>+ABRIL!$AG180</f>
        <v>165</v>
      </c>
      <c r="F180" s="284">
        <f>+MAYO!$AG180</f>
        <v>175</v>
      </c>
      <c r="G180" s="284">
        <f>+JUNIO!$AG180</f>
        <v>171</v>
      </c>
      <c r="H180" s="284">
        <f>+JULIO!$AG180</f>
        <v>174</v>
      </c>
      <c r="I180" s="284">
        <f>+AGOSTO!$AG180</f>
        <v>130</v>
      </c>
      <c r="J180" s="284">
        <f>+SEPTIEMBRE!$AG180</f>
        <v>196</v>
      </c>
      <c r="K180" s="284">
        <f>+OCTUBRE!$AG180</f>
        <v>168</v>
      </c>
      <c r="L180" s="284">
        <f>+NOVIEMBRE!$AG180</f>
        <v>133</v>
      </c>
      <c r="M180" s="284">
        <f>+DICIEMBRE!$AG180</f>
        <v>147</v>
      </c>
      <c r="N180" s="31">
        <f t="shared" si="2"/>
        <v>1879</v>
      </c>
    </row>
    <row r="181" spans="1:15" ht="18.75" x14ac:dyDescent="0.25">
      <c r="A181" s="109" t="s">
        <v>122</v>
      </c>
      <c r="B181" s="284">
        <f>+ENERO!$AG181</f>
        <v>2</v>
      </c>
      <c r="C181" s="284">
        <f>+FEBRERO!$AG181</f>
        <v>13</v>
      </c>
      <c r="D181" s="284">
        <f>+MARZO!$AG181</f>
        <v>2</v>
      </c>
      <c r="E181" s="284">
        <f>+ABRIL!$AG181</f>
        <v>0</v>
      </c>
      <c r="F181" s="284">
        <f>+MAYO!$AG181</f>
        <v>1</v>
      </c>
      <c r="G181" s="284">
        <f>+JUNIO!$AG181</f>
        <v>0</v>
      </c>
      <c r="H181" s="284">
        <f>+JULIO!$AG181</f>
        <v>0</v>
      </c>
      <c r="I181" s="284">
        <f>+AGOSTO!$AG181</f>
        <v>0</v>
      </c>
      <c r="J181" s="284">
        <f>+SEPTIEMBRE!$AG181</f>
        <v>0</v>
      </c>
      <c r="K181" s="284">
        <f>+OCTUBRE!$AG181</f>
        <v>2</v>
      </c>
      <c r="L181" s="284">
        <f>+NOVIEMBRE!$AG181</f>
        <v>2</v>
      </c>
      <c r="M181" s="284">
        <f>+DICIEMBRE!$AG181</f>
        <v>2</v>
      </c>
      <c r="N181" s="4">
        <f t="shared" si="2"/>
        <v>24</v>
      </c>
    </row>
    <row r="182" spans="1:15" ht="18.75" x14ac:dyDescent="0.25">
      <c r="A182" s="109" t="s">
        <v>123</v>
      </c>
      <c r="B182" s="284">
        <f>+ENERO!$AG182</f>
        <v>217</v>
      </c>
      <c r="C182" s="284">
        <f>+FEBRERO!$AG182</f>
        <v>245</v>
      </c>
      <c r="D182" s="284">
        <f>+MARZO!$AG182</f>
        <v>111</v>
      </c>
      <c r="E182" s="284">
        <f>+ABRIL!$AG182</f>
        <v>2</v>
      </c>
      <c r="F182" s="284">
        <f>+MAYO!$AG182</f>
        <v>6</v>
      </c>
      <c r="G182" s="284">
        <f>+JUNIO!$AG182</f>
        <v>6</v>
      </c>
      <c r="H182" s="284">
        <f>+JULIO!$AG182</f>
        <v>9</v>
      </c>
      <c r="I182" s="284">
        <f>+AGOSTO!$AG182</f>
        <v>10</v>
      </c>
      <c r="J182" s="284">
        <f>+SEPTIEMBRE!$AG182</f>
        <v>12</v>
      </c>
      <c r="K182" s="284">
        <f>+OCTUBRE!$AG182</f>
        <v>16</v>
      </c>
      <c r="L182" s="284">
        <f>+NOVIEMBRE!$AG182</f>
        <v>1</v>
      </c>
      <c r="M182" s="284">
        <f>+DICIEMBRE!$AG182</f>
        <v>0</v>
      </c>
      <c r="N182" s="4">
        <f t="shared" si="2"/>
        <v>635</v>
      </c>
    </row>
    <row r="183" spans="1:15" ht="18.75" x14ac:dyDescent="0.25">
      <c r="A183" s="109" t="s">
        <v>614</v>
      </c>
      <c r="B183" s="284">
        <f>+ENERO!$AG183</f>
        <v>0</v>
      </c>
      <c r="C183" s="284">
        <f>+FEBRERO!$AG183</f>
        <v>0</v>
      </c>
      <c r="D183" s="284">
        <f>+MARZO!$AG183</f>
        <v>0</v>
      </c>
      <c r="E183" s="284">
        <f>+ABRIL!$AG183</f>
        <v>0</v>
      </c>
      <c r="F183" s="284">
        <f>+MAYO!$AG183</f>
        <v>0</v>
      </c>
      <c r="G183" s="284">
        <f>+JUNIO!$AG183</f>
        <v>0</v>
      </c>
      <c r="H183" s="284">
        <f>+JULIO!$AG183</f>
        <v>0</v>
      </c>
      <c r="I183" s="284">
        <f>+AGOSTO!$AG183</f>
        <v>1</v>
      </c>
      <c r="J183" s="284">
        <f>+SEPTIEMBRE!$AG183</f>
        <v>0</v>
      </c>
      <c r="K183" s="284">
        <f>+OCTUBRE!$AG183</f>
        <v>0</v>
      </c>
      <c r="L183" s="284">
        <f>+NOVIEMBRE!$AG183</f>
        <v>0</v>
      </c>
      <c r="M183" s="284">
        <f>+DICIEMBRE!$AG183</f>
        <v>0</v>
      </c>
      <c r="N183" s="4">
        <f t="shared" si="2"/>
        <v>1</v>
      </c>
    </row>
    <row r="184" spans="1:15" ht="18.75" x14ac:dyDescent="0.25">
      <c r="A184" s="393" t="s">
        <v>621</v>
      </c>
      <c r="B184" s="399">
        <f>+ENERO!$AG184</f>
        <v>0</v>
      </c>
      <c r="C184" s="399">
        <f>+FEBRERO!$AG184</f>
        <v>0</v>
      </c>
      <c r="D184" s="399">
        <f>+MARZO!$AG184</f>
        <v>0</v>
      </c>
      <c r="E184" s="399">
        <f>+ABRIL!$AG184</f>
        <v>0</v>
      </c>
      <c r="F184" s="399">
        <f>+MAYO!$AG184</f>
        <v>670</v>
      </c>
      <c r="G184" s="399">
        <f>+JUNIO!$AG184</f>
        <v>1042</v>
      </c>
      <c r="H184" s="399">
        <f>+JULIO!$AG184</f>
        <v>864</v>
      </c>
      <c r="I184" s="399">
        <f>+AGOSTO!$AG184</f>
        <v>717</v>
      </c>
      <c r="J184" s="399">
        <f>+SEPTIEMBRE!$AG184</f>
        <v>746</v>
      </c>
      <c r="K184" s="399">
        <f>+OCTUBRE!$AG184</f>
        <v>937</v>
      </c>
      <c r="L184" s="399">
        <f>+NOVIEMBRE!$AG184</f>
        <v>1164</v>
      </c>
      <c r="M184" s="399">
        <f>+DICIEMBRE!$AG184</f>
        <v>1252</v>
      </c>
      <c r="N184" s="397">
        <f t="shared" si="2"/>
        <v>7392</v>
      </c>
    </row>
    <row r="185" spans="1:15" ht="18.75" x14ac:dyDescent="0.25">
      <c r="A185" s="109" t="s">
        <v>165</v>
      </c>
      <c r="B185" s="284">
        <f>+ENERO!$AG185</f>
        <v>5</v>
      </c>
      <c r="C185" s="284">
        <f>+FEBRERO!$AG185</f>
        <v>1</v>
      </c>
      <c r="D185" s="284">
        <f>+MARZO!$AG185</f>
        <v>1</v>
      </c>
      <c r="E185" s="284">
        <f>+ABRIL!$AG185</f>
        <v>0</v>
      </c>
      <c r="F185" s="284">
        <f>+MAYO!$AG185</f>
        <v>0</v>
      </c>
      <c r="G185" s="284">
        <f>+JUNIO!$AG185</f>
        <v>0</v>
      </c>
      <c r="H185" s="284">
        <f>+JULIO!$AG185</f>
        <v>0</v>
      </c>
      <c r="I185" s="284">
        <f>+AGOSTO!$AG185</f>
        <v>1</v>
      </c>
      <c r="J185" s="284">
        <f>+SEPTIEMBRE!$AG185</f>
        <v>0</v>
      </c>
      <c r="K185" s="284">
        <f>+OCTUBRE!$AG185</f>
        <v>2</v>
      </c>
      <c r="L185" s="284">
        <f>+NOVIEMBRE!$AG185</f>
        <v>0</v>
      </c>
      <c r="M185" s="284">
        <f>+DICIEMBRE!$AG185</f>
        <v>0</v>
      </c>
      <c r="N185" s="4">
        <f t="shared" si="2"/>
        <v>10</v>
      </c>
    </row>
    <row r="186" spans="1:15" ht="18.75" x14ac:dyDescent="0.25">
      <c r="A186" s="109" t="s">
        <v>141</v>
      </c>
      <c r="B186" s="284">
        <f>+ENERO!$AG186</f>
        <v>1</v>
      </c>
      <c r="C186" s="284">
        <f>+FEBRERO!$AG186</f>
        <v>2</v>
      </c>
      <c r="D186" s="284">
        <f>+MARZO!$AG186</f>
        <v>4</v>
      </c>
      <c r="E186" s="284">
        <f>+ABRIL!$AG186</f>
        <v>0</v>
      </c>
      <c r="F186" s="284">
        <f>+MAYO!$AG186</f>
        <v>0</v>
      </c>
      <c r="G186" s="284">
        <f>+JUNIO!$AG186</f>
        <v>0</v>
      </c>
      <c r="H186" s="284">
        <f>+JULIO!$AG186</f>
        <v>0</v>
      </c>
      <c r="I186" s="284">
        <f>+AGOSTO!$AG186</f>
        <v>0</v>
      </c>
      <c r="J186" s="284">
        <f>+SEPTIEMBRE!$AG186</f>
        <v>0</v>
      </c>
      <c r="K186" s="284">
        <f>+OCTUBRE!$AG186</f>
        <v>1</v>
      </c>
      <c r="L186" s="284">
        <f>+NOVIEMBRE!$AG186</f>
        <v>0</v>
      </c>
      <c r="M186" s="284">
        <f>+DICIEMBRE!$AG186</f>
        <v>0</v>
      </c>
      <c r="N186" s="4">
        <f t="shared" si="2"/>
        <v>8</v>
      </c>
    </row>
    <row r="187" spans="1:15" ht="18.75" x14ac:dyDescent="0.25">
      <c r="A187" s="109" t="s">
        <v>613</v>
      </c>
      <c r="B187" s="284">
        <f>+ENERO!$AG187</f>
        <v>1</v>
      </c>
      <c r="C187" s="284">
        <f>+FEBRERO!$AG187</f>
        <v>0</v>
      </c>
      <c r="D187" s="284">
        <f>+MARZO!$AG187</f>
        <v>0</v>
      </c>
      <c r="E187" s="284">
        <f>+ABRIL!$AG187</f>
        <v>0</v>
      </c>
      <c r="F187" s="284">
        <f>+MAYO!$AG187</f>
        <v>0</v>
      </c>
      <c r="G187" s="284">
        <f>+JUNIO!$AG187</f>
        <v>1</v>
      </c>
      <c r="H187" s="284">
        <f>+JULIO!$AG187</f>
        <v>0</v>
      </c>
      <c r="I187" s="284">
        <f>+AGOSTO!$AG187</f>
        <v>0</v>
      </c>
      <c r="J187" s="284">
        <f>+SEPTIEMBRE!$AG187</f>
        <v>0</v>
      </c>
      <c r="K187" s="284">
        <f>+OCTUBRE!$AG187</f>
        <v>1</v>
      </c>
      <c r="L187" s="284">
        <f>+NOVIEMBRE!$AG187</f>
        <v>0</v>
      </c>
      <c r="M187" s="284">
        <f>+DICIEMBRE!$AG187</f>
        <v>0</v>
      </c>
      <c r="N187" s="4">
        <f t="shared" si="2"/>
        <v>3</v>
      </c>
    </row>
    <row r="188" spans="1:15" ht="18.75" x14ac:dyDescent="0.25">
      <c r="A188" s="109" t="s">
        <v>139</v>
      </c>
      <c r="B188" s="284">
        <f>+ENERO!$AG188</f>
        <v>24</v>
      </c>
      <c r="C188" s="284">
        <f>+FEBRERO!$AG188</f>
        <v>27</v>
      </c>
      <c r="D188" s="284">
        <f>+MARZO!$AG188</f>
        <v>28</v>
      </c>
      <c r="E188" s="284">
        <f>+ABRIL!$AG188</f>
        <v>1</v>
      </c>
      <c r="F188" s="284">
        <f>+MAYO!$AG188</f>
        <v>6</v>
      </c>
      <c r="G188" s="284">
        <f>+JUNIO!$AG188</f>
        <v>2</v>
      </c>
      <c r="H188" s="284">
        <f>+JULIO!$AG188</f>
        <v>6</v>
      </c>
      <c r="I188" s="284">
        <f>+AGOSTO!$AG188</f>
        <v>10</v>
      </c>
      <c r="J188" s="284">
        <f>+SEPTIEMBRE!$AG188</f>
        <v>8</v>
      </c>
      <c r="K188" s="284">
        <f>+OCTUBRE!$AG188</f>
        <v>33</v>
      </c>
      <c r="L188" s="284">
        <f>+NOVIEMBRE!$AG188</f>
        <v>7</v>
      </c>
      <c r="M188" s="284">
        <f>+DICIEMBRE!$AG188</f>
        <v>4</v>
      </c>
      <c r="N188" s="4">
        <f t="shared" si="2"/>
        <v>156</v>
      </c>
    </row>
    <row r="189" spans="1:15" ht="18.75" x14ac:dyDescent="0.25">
      <c r="A189" s="110" t="s">
        <v>63</v>
      </c>
      <c r="B189" s="284">
        <f>+ENERO!$AG189</f>
        <v>1</v>
      </c>
      <c r="C189" s="284">
        <f>+FEBRERO!$AG189</f>
        <v>1</v>
      </c>
      <c r="D189" s="284">
        <f>+MARZO!$AG189</f>
        <v>3</v>
      </c>
      <c r="E189" s="284">
        <f>+ABRIL!$AG189</f>
        <v>0</v>
      </c>
      <c r="F189" s="284">
        <f>+MAYO!$AG189</f>
        <v>0</v>
      </c>
      <c r="G189" s="284">
        <f>+JUNIO!$AG189</f>
        <v>0</v>
      </c>
      <c r="H189" s="284">
        <f>+JULIO!$AG189</f>
        <v>0</v>
      </c>
      <c r="I189" s="284">
        <f>+AGOSTO!$AG189</f>
        <v>0</v>
      </c>
      <c r="J189" s="284">
        <f>+SEPTIEMBRE!$AG189</f>
        <v>0</v>
      </c>
      <c r="K189" s="284">
        <f>+OCTUBRE!$AG189</f>
        <v>0</v>
      </c>
      <c r="L189" s="284">
        <f>+NOVIEMBRE!$AG189</f>
        <v>0</v>
      </c>
      <c r="M189" s="284">
        <f>+DICIEMBRE!$AG189</f>
        <v>0</v>
      </c>
      <c r="N189" s="4">
        <f t="shared" si="2"/>
        <v>5</v>
      </c>
    </row>
    <row r="190" spans="1:15" ht="18.75" x14ac:dyDescent="0.25">
      <c r="A190" s="110" t="s">
        <v>142</v>
      </c>
      <c r="B190" s="284">
        <f>+ENERO!$AG190</f>
        <v>2</v>
      </c>
      <c r="C190" s="284">
        <f>+FEBRERO!$AG190</f>
        <v>2</v>
      </c>
      <c r="D190" s="284">
        <f>+MARZO!$AG190</f>
        <v>0</v>
      </c>
      <c r="E190" s="284">
        <f>+ABRIL!$AG190</f>
        <v>0</v>
      </c>
      <c r="F190" s="284">
        <f>+MAYO!$AG190</f>
        <v>0</v>
      </c>
      <c r="G190" s="284">
        <f>+JUNIO!$AG190</f>
        <v>0</v>
      </c>
      <c r="H190" s="284">
        <f>+JULIO!$AG190</f>
        <v>0</v>
      </c>
      <c r="I190" s="284">
        <f>+AGOSTO!$AG190</f>
        <v>0</v>
      </c>
      <c r="J190" s="284">
        <f>+SEPTIEMBRE!$AG190</f>
        <v>0</v>
      </c>
      <c r="K190" s="284">
        <f>+OCTUBRE!$AG190</f>
        <v>0</v>
      </c>
      <c r="L190" s="284">
        <f>+NOVIEMBRE!$AG190</f>
        <v>0</v>
      </c>
      <c r="M190" s="284">
        <f>+DICIEMBRE!$AG190</f>
        <v>0</v>
      </c>
      <c r="N190" s="4">
        <f t="shared" si="2"/>
        <v>4</v>
      </c>
    </row>
    <row r="191" spans="1:15" ht="18.75" x14ac:dyDescent="0.25">
      <c r="A191" s="110" t="s">
        <v>168</v>
      </c>
      <c r="B191" s="284">
        <f>+ENERO!$AG191</f>
        <v>1</v>
      </c>
      <c r="C191" s="284">
        <f>+FEBRERO!$AG191</f>
        <v>1</v>
      </c>
      <c r="D191" s="284">
        <f>+MARZO!$AG191</f>
        <v>0</v>
      </c>
      <c r="E191" s="284">
        <f>+ABRIL!$AG191</f>
        <v>0</v>
      </c>
      <c r="F191" s="284">
        <f>+MAYO!$AG191</f>
        <v>0</v>
      </c>
      <c r="G191" s="284">
        <f>+JUNIO!$AG191</f>
        <v>0</v>
      </c>
      <c r="H191" s="284">
        <f>+JULIO!$AG191</f>
        <v>0</v>
      </c>
      <c r="I191" s="284">
        <f>+AGOSTO!$AG191</f>
        <v>0</v>
      </c>
      <c r="J191" s="284">
        <f>+SEPTIEMBRE!$AG191</f>
        <v>0</v>
      </c>
      <c r="K191" s="284">
        <f>+OCTUBRE!$AG191</f>
        <v>0</v>
      </c>
      <c r="L191" s="284">
        <f>+NOVIEMBRE!$AG191</f>
        <v>0</v>
      </c>
      <c r="M191" s="284">
        <f>+DICIEMBRE!$AG191</f>
        <v>0</v>
      </c>
      <c r="N191" s="4">
        <f t="shared" si="2"/>
        <v>2</v>
      </c>
    </row>
    <row r="192" spans="1:15" ht="18.75" x14ac:dyDescent="0.25">
      <c r="A192" s="110" t="s">
        <v>169</v>
      </c>
      <c r="B192" s="284">
        <f>+ENERO!$AG192</f>
        <v>0</v>
      </c>
      <c r="C192" s="284">
        <f>+FEBRERO!$AG192</f>
        <v>0</v>
      </c>
      <c r="D192" s="284">
        <f>+MARZO!$AG192</f>
        <v>1</v>
      </c>
      <c r="E192" s="284">
        <f>+ABRIL!$AG192</f>
        <v>0</v>
      </c>
      <c r="F192" s="284">
        <f>+MAYO!$AG192</f>
        <v>0</v>
      </c>
      <c r="G192" s="284">
        <f>+JUNIO!$AG192</f>
        <v>0</v>
      </c>
      <c r="H192" s="284">
        <f>+JULIO!$AG192</f>
        <v>0</v>
      </c>
      <c r="I192" s="284">
        <f>+AGOSTO!$AG192</f>
        <v>0</v>
      </c>
      <c r="J192" s="284">
        <f>+SEPTIEMBRE!$AG192</f>
        <v>0</v>
      </c>
      <c r="K192" s="284">
        <f>+OCTUBRE!$AG192</f>
        <v>0</v>
      </c>
      <c r="L192" s="284">
        <f>+NOVIEMBRE!$AG192</f>
        <v>0</v>
      </c>
      <c r="M192" s="284">
        <f>+DICIEMBRE!$AG192</f>
        <v>0</v>
      </c>
      <c r="N192" s="4">
        <f t="shared" si="2"/>
        <v>1</v>
      </c>
    </row>
    <row r="193" spans="1:15" ht="18.75" x14ac:dyDescent="0.25">
      <c r="A193" s="236" t="s">
        <v>5</v>
      </c>
      <c r="B193" s="400">
        <f>+ENERO!$AG193</f>
        <v>18</v>
      </c>
      <c r="C193" s="400">
        <f>+FEBRERO!$AG193</f>
        <v>13</v>
      </c>
      <c r="D193" s="400">
        <f>+MARZO!$AG193</f>
        <v>23</v>
      </c>
      <c r="E193" s="400">
        <f>+ABRIL!$AG193</f>
        <v>20</v>
      </c>
      <c r="F193" s="400">
        <f>+MAYO!$AG193</f>
        <v>46</v>
      </c>
      <c r="G193" s="400">
        <f>+JUNIO!$AG193</f>
        <v>38</v>
      </c>
      <c r="H193" s="400">
        <f>+JULIO!$AG193</f>
        <v>38</v>
      </c>
      <c r="I193" s="400">
        <f>+AGOSTO!$AG193</f>
        <v>39</v>
      </c>
      <c r="J193" s="400">
        <f>+SEPTIEMBRE!$AG193</f>
        <v>34</v>
      </c>
      <c r="K193" s="400">
        <f>+OCTUBRE!$AG193</f>
        <v>37</v>
      </c>
      <c r="L193" s="400">
        <f>+NOVIEMBRE!$AG193</f>
        <v>29</v>
      </c>
      <c r="M193" s="400">
        <f>+DICIEMBRE!$AG193</f>
        <v>38</v>
      </c>
      <c r="N193" s="240">
        <f t="shared" si="2"/>
        <v>373</v>
      </c>
    </row>
    <row r="194" spans="1:15" ht="18.75" x14ac:dyDescent="0.25">
      <c r="A194" s="111" t="s">
        <v>174</v>
      </c>
      <c r="B194" s="284">
        <f>+ENERO!$AG194</f>
        <v>0</v>
      </c>
      <c r="C194" s="284">
        <f>+FEBRERO!$AG194</f>
        <v>0</v>
      </c>
      <c r="D194" s="284">
        <f>+MARZO!$AG194</f>
        <v>0</v>
      </c>
      <c r="E194" s="284">
        <f>+ABRIL!$AG194</f>
        <v>0</v>
      </c>
      <c r="F194" s="284">
        <f>+MAYO!$AG194</f>
        <v>0</v>
      </c>
      <c r="G194" s="284">
        <f>+JUNIO!$AG194</f>
        <v>0</v>
      </c>
      <c r="H194" s="284">
        <f>+JULIO!$AG194</f>
        <v>0</v>
      </c>
      <c r="I194" s="284">
        <f>+AGOSTO!$AG194</f>
        <v>0</v>
      </c>
      <c r="J194" s="284">
        <f>+SEPTIEMBRE!$AG194</f>
        <v>0</v>
      </c>
      <c r="K194" s="284">
        <f>+OCTUBRE!$AG194</f>
        <v>0</v>
      </c>
      <c r="L194" s="284">
        <f>+NOVIEMBRE!$AG194</f>
        <v>0</v>
      </c>
      <c r="M194" s="284">
        <f>+DICIEMBRE!$AG194</f>
        <v>1</v>
      </c>
      <c r="N194" s="4">
        <f t="shared" si="2"/>
        <v>1</v>
      </c>
    </row>
    <row r="195" spans="1:15" ht="18.75" x14ac:dyDescent="0.25">
      <c r="A195" s="111" t="s">
        <v>171</v>
      </c>
      <c r="B195" s="284">
        <f>+ENERO!$AG195</f>
        <v>1</v>
      </c>
      <c r="C195" s="284">
        <f>+FEBRERO!$AG195</f>
        <v>0</v>
      </c>
      <c r="D195" s="284">
        <f>+MARZO!$AG195</f>
        <v>0</v>
      </c>
      <c r="E195" s="284">
        <f>+ABRIL!$AG195</f>
        <v>0</v>
      </c>
      <c r="F195" s="284">
        <f>+MAYO!$AG195</f>
        <v>0</v>
      </c>
      <c r="G195" s="284">
        <f>+JUNIO!$AG195</f>
        <v>0</v>
      </c>
      <c r="H195" s="284">
        <f>+JULIO!$AG195</f>
        <v>1</v>
      </c>
      <c r="I195" s="284">
        <f>+AGOSTO!$AG195</f>
        <v>0</v>
      </c>
      <c r="J195" s="284">
        <f>+SEPTIEMBRE!$AG195</f>
        <v>0</v>
      </c>
      <c r="K195" s="284">
        <f>+OCTUBRE!$AG195</f>
        <v>0</v>
      </c>
      <c r="L195" s="284">
        <f>+NOVIEMBRE!$AG195</f>
        <v>1</v>
      </c>
      <c r="M195" s="284">
        <f>+DICIEMBRE!$AG195</f>
        <v>0</v>
      </c>
      <c r="N195" s="4">
        <f t="shared" si="2"/>
        <v>3</v>
      </c>
    </row>
    <row r="196" spans="1:15" ht="18.75" x14ac:dyDescent="0.25">
      <c r="A196" s="111" t="s">
        <v>173</v>
      </c>
      <c r="B196" s="284">
        <f>+ENERO!$AG196</f>
        <v>0</v>
      </c>
      <c r="C196" s="284">
        <f>+FEBRERO!$AG196</f>
        <v>0</v>
      </c>
      <c r="D196" s="284">
        <f>+MARZO!$AG196</f>
        <v>0</v>
      </c>
      <c r="E196" s="284">
        <f>+ABRIL!$AG196</f>
        <v>0</v>
      </c>
      <c r="F196" s="284">
        <f>+MAYO!$AG196</f>
        <v>0</v>
      </c>
      <c r="G196" s="284">
        <f>+JUNIO!$AG196</f>
        <v>0</v>
      </c>
      <c r="H196" s="284">
        <f>+JULIO!$AG196</f>
        <v>0</v>
      </c>
      <c r="I196" s="284">
        <f>+AGOSTO!$AG196</f>
        <v>0</v>
      </c>
      <c r="J196" s="284">
        <f>+SEPTIEMBRE!$AG196</f>
        <v>0</v>
      </c>
      <c r="K196" s="284">
        <f>+OCTUBRE!$AG196</f>
        <v>0</v>
      </c>
      <c r="L196" s="284">
        <f>+NOVIEMBRE!$AG196</f>
        <v>0</v>
      </c>
      <c r="M196" s="284">
        <f>+DICIEMBRE!$AG196</f>
        <v>0</v>
      </c>
      <c r="N196" s="4">
        <f t="shared" ref="N196:N220" si="3">SUM(B196:M196)</f>
        <v>0</v>
      </c>
    </row>
    <row r="197" spans="1:15" ht="18.75" x14ac:dyDescent="0.25">
      <c r="A197" s="111" t="s">
        <v>88</v>
      </c>
      <c r="B197" s="284">
        <f>+ENERO!$AG197</f>
        <v>4</v>
      </c>
      <c r="C197" s="284">
        <f>+FEBRERO!$AG197</f>
        <v>0</v>
      </c>
      <c r="D197" s="284">
        <f>+MARZO!$AG197</f>
        <v>1</v>
      </c>
      <c r="E197" s="284">
        <f>+ABRIL!$AG197</f>
        <v>0</v>
      </c>
      <c r="F197" s="284">
        <f>+MAYO!$AG197</f>
        <v>0</v>
      </c>
      <c r="G197" s="284">
        <f>+JUNIO!$AG197</f>
        <v>0</v>
      </c>
      <c r="H197" s="284">
        <f>+JULIO!$AG197</f>
        <v>0</v>
      </c>
      <c r="I197" s="284">
        <f>+AGOSTO!$AG197</f>
        <v>0</v>
      </c>
      <c r="J197" s="284">
        <f>+SEPTIEMBRE!$AG197</f>
        <v>0</v>
      </c>
      <c r="K197" s="284">
        <f>+OCTUBRE!$AG197</f>
        <v>0</v>
      </c>
      <c r="L197" s="284">
        <f>+NOVIEMBRE!$AG197</f>
        <v>0</v>
      </c>
      <c r="M197" s="284">
        <f>+DICIEMBRE!$AG197</f>
        <v>0</v>
      </c>
      <c r="N197" s="4">
        <f t="shared" si="3"/>
        <v>5</v>
      </c>
    </row>
    <row r="198" spans="1:15" ht="18.75" x14ac:dyDescent="0.25">
      <c r="A198" s="111" t="s">
        <v>617</v>
      </c>
      <c r="B198" s="284">
        <f>+ENERO!$AG198</f>
        <v>0</v>
      </c>
      <c r="C198" s="284">
        <f>+FEBRERO!$AG198</f>
        <v>1</v>
      </c>
      <c r="D198" s="284">
        <f>+MARZO!$AG198</f>
        <v>0</v>
      </c>
      <c r="E198" s="284">
        <f>+ABRIL!$AG198</f>
        <v>0</v>
      </c>
      <c r="F198" s="284">
        <f>+MAYO!$AG198</f>
        <v>0</v>
      </c>
      <c r="G198" s="284">
        <f>+JUNIO!$AG198</f>
        <v>0</v>
      </c>
      <c r="H198" s="284">
        <f>+JULIO!$AG198</f>
        <v>0</v>
      </c>
      <c r="I198" s="284">
        <f>+AGOSTO!$AG198</f>
        <v>0</v>
      </c>
      <c r="J198" s="284">
        <f>+SEPTIEMBRE!$AG198</f>
        <v>0</v>
      </c>
      <c r="K198" s="284">
        <f>+OCTUBRE!$AG198</f>
        <v>0</v>
      </c>
      <c r="L198" s="284">
        <f>+NOVIEMBRE!$AG198</f>
        <v>2</v>
      </c>
      <c r="M198" s="284">
        <f>+DICIEMBRE!$AG198</f>
        <v>0</v>
      </c>
      <c r="N198" s="4">
        <f t="shared" si="3"/>
        <v>3</v>
      </c>
    </row>
    <row r="199" spans="1:15" ht="18.75" x14ac:dyDescent="0.25">
      <c r="A199" s="111" t="s">
        <v>143</v>
      </c>
      <c r="B199" s="284">
        <f>+ENERO!$AG199</f>
        <v>4</v>
      </c>
      <c r="C199" s="284">
        <f>+FEBRERO!$AG199</f>
        <v>1</v>
      </c>
      <c r="D199" s="284">
        <f>+MARZO!$AG199</f>
        <v>5</v>
      </c>
      <c r="E199" s="284">
        <f>+ABRIL!$AG199</f>
        <v>1</v>
      </c>
      <c r="F199" s="284">
        <f>+MAYO!$AG199</f>
        <v>1</v>
      </c>
      <c r="G199" s="284">
        <f>+JUNIO!$AG199</f>
        <v>0</v>
      </c>
      <c r="H199" s="284">
        <f>+JULIO!$AG199</f>
        <v>0</v>
      </c>
      <c r="I199" s="284">
        <f>+AGOSTO!$AG199</f>
        <v>2</v>
      </c>
      <c r="J199" s="284">
        <f>+SEPTIEMBRE!$AG199</f>
        <v>1</v>
      </c>
      <c r="K199" s="284">
        <f>+OCTUBRE!$AG199</f>
        <v>0</v>
      </c>
      <c r="L199" s="284">
        <f>+NOVIEMBRE!$AG199</f>
        <v>0</v>
      </c>
      <c r="M199" s="284">
        <f>+DICIEMBRE!$AG199</f>
        <v>0</v>
      </c>
      <c r="N199" s="4">
        <f t="shared" si="3"/>
        <v>15</v>
      </c>
    </row>
    <row r="200" spans="1:15" ht="18.75" x14ac:dyDescent="0.25">
      <c r="A200" s="110" t="s">
        <v>124</v>
      </c>
      <c r="B200" s="284">
        <f>+ENERO!$AG200</f>
        <v>35</v>
      </c>
      <c r="C200" s="284">
        <f>+FEBRERO!$AG200</f>
        <v>18</v>
      </c>
      <c r="D200" s="284">
        <f>+MARZO!$AG200</f>
        <v>8</v>
      </c>
      <c r="E200" s="284">
        <f>+ABRIL!$AG200</f>
        <v>0</v>
      </c>
      <c r="F200" s="284">
        <f>+MAYO!$AG200</f>
        <v>0</v>
      </c>
      <c r="G200" s="284">
        <f>+JUNIO!$AG200</f>
        <v>0</v>
      </c>
      <c r="H200" s="284">
        <f>+JULIO!$AG200</f>
        <v>0</v>
      </c>
      <c r="I200" s="284">
        <f>+AGOSTO!$AG200</f>
        <v>1</v>
      </c>
      <c r="J200" s="284">
        <f>+SEPTIEMBRE!$AG200</f>
        <v>2</v>
      </c>
      <c r="K200" s="284">
        <f>+OCTUBRE!$AG200</f>
        <v>0</v>
      </c>
      <c r="L200" s="284">
        <f>+NOVIEMBRE!$AG200</f>
        <v>1</v>
      </c>
      <c r="M200" s="284">
        <f>+DICIEMBRE!$AG200</f>
        <v>0</v>
      </c>
      <c r="N200" s="4">
        <f t="shared" si="3"/>
        <v>65</v>
      </c>
    </row>
    <row r="201" spans="1:15" ht="18.75" x14ac:dyDescent="0.25">
      <c r="A201" s="110" t="s">
        <v>167</v>
      </c>
      <c r="B201" s="284">
        <f>+ENERO!$AG201</f>
        <v>1</v>
      </c>
      <c r="C201" s="284">
        <f>+FEBRERO!$AG201</f>
        <v>0</v>
      </c>
      <c r="D201" s="284">
        <f>+MARZO!$AG201</f>
        <v>2</v>
      </c>
      <c r="E201" s="284">
        <f>+ABRIL!$AG201</f>
        <v>0</v>
      </c>
      <c r="F201" s="284">
        <f>+MAYO!$AG201</f>
        <v>0</v>
      </c>
      <c r="G201" s="284">
        <f>+JUNIO!$AG201</f>
        <v>0</v>
      </c>
      <c r="H201" s="284">
        <f>+JULIO!$AG201</f>
        <v>0</v>
      </c>
      <c r="I201" s="284">
        <f>+AGOSTO!$AG201</f>
        <v>0</v>
      </c>
      <c r="J201" s="284">
        <f>+SEPTIEMBRE!$AG201</f>
        <v>0</v>
      </c>
      <c r="K201" s="284">
        <f>+OCTUBRE!$AG201</f>
        <v>0</v>
      </c>
      <c r="L201" s="284">
        <f>+NOVIEMBRE!$AG201</f>
        <v>0</v>
      </c>
      <c r="M201" s="284">
        <f>+DICIEMBRE!$AG201</f>
        <v>0</v>
      </c>
      <c r="N201" s="4">
        <f t="shared" si="3"/>
        <v>3</v>
      </c>
    </row>
    <row r="202" spans="1:15" ht="18.75" x14ac:dyDescent="0.25">
      <c r="A202" s="110" t="s">
        <v>125</v>
      </c>
      <c r="B202" s="284">
        <f>+ENERO!$AG202</f>
        <v>3</v>
      </c>
      <c r="C202" s="284">
        <f>+FEBRERO!$AG202</f>
        <v>4</v>
      </c>
      <c r="D202" s="284">
        <f>+MARZO!$AG202</f>
        <v>3</v>
      </c>
      <c r="E202" s="284">
        <f>+ABRIL!$AG202</f>
        <v>3</v>
      </c>
      <c r="F202" s="284">
        <f>+MAYO!$AG202</f>
        <v>4</v>
      </c>
      <c r="G202" s="284">
        <f>+JUNIO!$AG202</f>
        <v>1</v>
      </c>
      <c r="H202" s="284">
        <f>+JULIO!$AG202</f>
        <v>1</v>
      </c>
      <c r="I202" s="284">
        <f>+AGOSTO!$AG202</f>
        <v>2</v>
      </c>
      <c r="J202" s="284">
        <f>+SEPTIEMBRE!$AG202</f>
        <v>6</v>
      </c>
      <c r="K202" s="284">
        <f>+OCTUBRE!$AG202</f>
        <v>7</v>
      </c>
      <c r="L202" s="284">
        <f>+NOVIEMBRE!$AG202</f>
        <v>2</v>
      </c>
      <c r="M202" s="284">
        <f>+DICIEMBRE!$AG202</f>
        <v>7</v>
      </c>
      <c r="N202" s="4">
        <f t="shared" si="3"/>
        <v>43</v>
      </c>
    </row>
    <row r="203" spans="1:15" ht="18.75" x14ac:dyDescent="0.25">
      <c r="A203" s="110" t="s">
        <v>126</v>
      </c>
      <c r="B203" s="284">
        <f>+ENERO!$AG203</f>
        <v>33</v>
      </c>
      <c r="C203" s="284">
        <f>+FEBRERO!$AG203</f>
        <v>18</v>
      </c>
      <c r="D203" s="284">
        <f>+MARZO!$AG203</f>
        <v>23</v>
      </c>
      <c r="E203" s="284">
        <f>+ABRIL!$AG203</f>
        <v>3</v>
      </c>
      <c r="F203" s="284">
        <f>+MAYO!$AG203</f>
        <v>0</v>
      </c>
      <c r="G203" s="284">
        <f>+JUNIO!$AG203</f>
        <v>5</v>
      </c>
      <c r="H203" s="284">
        <f>+JULIO!$AG203</f>
        <v>2</v>
      </c>
      <c r="I203" s="284">
        <f>+AGOSTO!$AG203</f>
        <v>5</v>
      </c>
      <c r="J203" s="284">
        <f>+SEPTIEMBRE!$AG203</f>
        <v>11</v>
      </c>
      <c r="K203" s="284">
        <f>+OCTUBRE!$AG203</f>
        <v>23</v>
      </c>
      <c r="L203" s="284">
        <f>+NOVIEMBRE!$AG203</f>
        <v>7</v>
      </c>
      <c r="M203" s="284">
        <f>+DICIEMBRE!$AG203</f>
        <v>13</v>
      </c>
      <c r="N203" s="4">
        <f t="shared" si="3"/>
        <v>143</v>
      </c>
    </row>
    <row r="204" spans="1:15" ht="18.75" x14ac:dyDescent="0.25">
      <c r="A204" s="112" t="s">
        <v>170</v>
      </c>
      <c r="B204" s="284">
        <f>+ENERO!$AG204</f>
        <v>12</v>
      </c>
      <c r="C204" s="284">
        <f>+FEBRERO!$AG204</f>
        <v>10</v>
      </c>
      <c r="D204" s="284">
        <f>+MARZO!$AG204</f>
        <v>10</v>
      </c>
      <c r="E204" s="284">
        <f>+ABRIL!$AG204</f>
        <v>0</v>
      </c>
      <c r="F204" s="284">
        <f>+MAYO!$AG204</f>
        <v>0</v>
      </c>
      <c r="G204" s="284">
        <f>+JUNIO!$AG204</f>
        <v>0</v>
      </c>
      <c r="H204" s="284">
        <f>+JULIO!$AG204</f>
        <v>0</v>
      </c>
      <c r="I204" s="284">
        <f>+AGOSTO!$AG204</f>
        <v>0</v>
      </c>
      <c r="J204" s="284">
        <f>+SEPTIEMBRE!$AG204</f>
        <v>0</v>
      </c>
      <c r="K204" s="284">
        <f>+OCTUBRE!$AG204</f>
        <v>4</v>
      </c>
      <c r="L204" s="284">
        <f>+NOVIEMBRE!$AG204</f>
        <v>6</v>
      </c>
      <c r="M204" s="284">
        <f>+DICIEMBRE!$AG204</f>
        <v>5</v>
      </c>
      <c r="N204" s="4">
        <f t="shared" si="3"/>
        <v>47</v>
      </c>
    </row>
    <row r="205" spans="1:15" ht="19.5" thickBot="1" x14ac:dyDescent="0.3">
      <c r="A205" s="231" t="s">
        <v>166</v>
      </c>
      <c r="B205" s="284">
        <f>+ENERO!$AG205</f>
        <v>0</v>
      </c>
      <c r="C205" s="284">
        <f>+FEBRERO!$AG205</f>
        <v>1</v>
      </c>
      <c r="D205" s="284">
        <f>+MARZO!$AG205</f>
        <v>0</v>
      </c>
      <c r="E205" s="284">
        <f>+ABRIL!$AG205</f>
        <v>0</v>
      </c>
      <c r="F205" s="284">
        <f>+MAYO!$AG205</f>
        <v>0</v>
      </c>
      <c r="G205" s="284">
        <f>+JUNIO!$AG205</f>
        <v>0</v>
      </c>
      <c r="H205" s="284">
        <f>+JULIO!$AG205</f>
        <v>0</v>
      </c>
      <c r="I205" s="284">
        <f>+AGOSTO!$AG205</f>
        <v>0</v>
      </c>
      <c r="J205" s="284">
        <f>+SEPTIEMBRE!$AG205</f>
        <v>0</v>
      </c>
      <c r="K205" s="284">
        <f>+OCTUBRE!$AG205</f>
        <v>0</v>
      </c>
      <c r="L205" s="284">
        <f>+NOVIEMBRE!$AG205</f>
        <v>1</v>
      </c>
      <c r="M205" s="284">
        <f>+DICIEMBRE!$AG205</f>
        <v>2</v>
      </c>
      <c r="N205" s="108">
        <f t="shared" si="3"/>
        <v>4</v>
      </c>
    </row>
    <row r="206" spans="1:15" ht="19.5" thickBot="1" x14ac:dyDescent="0.3">
      <c r="A206" s="215" t="s">
        <v>83</v>
      </c>
      <c r="B206" s="285">
        <f>+ENERO!$AG206</f>
        <v>4894</v>
      </c>
      <c r="C206" s="285">
        <f>+FEBRERO!$AG206</f>
        <v>4759</v>
      </c>
      <c r="D206" s="285">
        <f>+MARZO!$AG206</f>
        <v>3702</v>
      </c>
      <c r="E206" s="285">
        <f>+ABRIL!$AG206</f>
        <v>1895</v>
      </c>
      <c r="F206" s="285">
        <f>+MAYO!$AG206</f>
        <v>2536</v>
      </c>
      <c r="G206" s="285">
        <f>+JUNIO!$AG206</f>
        <v>2696</v>
      </c>
      <c r="H206" s="285">
        <f>+JULIO!$AG206</f>
        <v>3064</v>
      </c>
      <c r="I206" s="285">
        <f>+AGOSTO!$AG206</f>
        <v>3157</v>
      </c>
      <c r="J206" s="285">
        <f>+SEPTIEMBRE!$AG206</f>
        <v>3068</v>
      </c>
      <c r="K206" s="285">
        <f>+OCTUBRE!$AG206</f>
        <v>3624</v>
      </c>
      <c r="L206" s="285">
        <f>+NOVIEMBRE!$AG206</f>
        <v>3874</v>
      </c>
      <c r="M206" s="285">
        <f>+DICIEMBRE!$AG206</f>
        <v>3881</v>
      </c>
      <c r="N206" s="243">
        <f t="shared" si="3"/>
        <v>41150</v>
      </c>
      <c r="O206" s="180" t="str">
        <f>IF(N206&lt;&gt;N93,"X","")</f>
        <v/>
      </c>
    </row>
    <row r="207" spans="1:15" ht="18.75" x14ac:dyDescent="0.25">
      <c r="A207" s="343" t="s">
        <v>72</v>
      </c>
      <c r="B207" s="286">
        <f>+ENERO!$AG207</f>
        <v>1</v>
      </c>
      <c r="C207" s="286">
        <f>+FEBRERO!$AG207</f>
        <v>0</v>
      </c>
      <c r="D207" s="286">
        <f>+MARZO!$AG207</f>
        <v>1</v>
      </c>
      <c r="E207" s="286">
        <f>+ABRIL!$AG207</f>
        <v>0</v>
      </c>
      <c r="F207" s="286">
        <f>+MAYO!$AG207</f>
        <v>0</v>
      </c>
      <c r="G207" s="286">
        <f>+JUNIO!$AG207</f>
        <v>2</v>
      </c>
      <c r="H207" s="286">
        <f>+JULIO!$AG207</f>
        <v>0</v>
      </c>
      <c r="I207" s="286">
        <f>+AGOSTO!$AG207</f>
        <v>0</v>
      </c>
      <c r="J207" s="286">
        <f>+SEPTIEMBRE!$AG207</f>
        <v>2</v>
      </c>
      <c r="K207" s="286">
        <f>+OCTUBRE!$AG207</f>
        <v>0</v>
      </c>
      <c r="L207" s="286">
        <f>+NOVIEMBRE!$AG207</f>
        <v>1</v>
      </c>
      <c r="M207" s="286">
        <f>+DICIEMBRE!$AG207</f>
        <v>2</v>
      </c>
      <c r="N207" s="241">
        <f t="shared" si="3"/>
        <v>9</v>
      </c>
    </row>
    <row r="208" spans="1:15" ht="18.75" x14ac:dyDescent="0.25">
      <c r="A208" s="344" t="s">
        <v>73</v>
      </c>
      <c r="B208" s="286">
        <f>+ENERO!$AG208</f>
        <v>33</v>
      </c>
      <c r="C208" s="286">
        <f>+FEBRERO!$AG208</f>
        <v>26</v>
      </c>
      <c r="D208" s="286">
        <f>+MARZO!$AG208</f>
        <v>27</v>
      </c>
      <c r="E208" s="286">
        <f>+ABRIL!$AG208</f>
        <v>18</v>
      </c>
      <c r="F208" s="286">
        <f>+MAYO!$AG208</f>
        <v>9</v>
      </c>
      <c r="G208" s="286">
        <f>+JUNIO!$AG208</f>
        <v>10</v>
      </c>
      <c r="H208" s="286">
        <f>+JULIO!$AG208</f>
        <v>8</v>
      </c>
      <c r="I208" s="286">
        <f>+AGOSTO!$AG208</f>
        <v>13</v>
      </c>
      <c r="J208" s="286">
        <f>+SEPTIEMBRE!$AG208</f>
        <v>16</v>
      </c>
      <c r="K208" s="286">
        <f>+OCTUBRE!$AG208</f>
        <v>19</v>
      </c>
      <c r="L208" s="286">
        <f>+NOVIEMBRE!$AG208</f>
        <v>23</v>
      </c>
      <c r="M208" s="286">
        <f>+DICIEMBRE!$AG208</f>
        <v>23</v>
      </c>
      <c r="N208" s="208">
        <f t="shared" si="3"/>
        <v>225</v>
      </c>
    </row>
    <row r="209" spans="1:15" ht="18.75" x14ac:dyDescent="0.25">
      <c r="A209" s="344" t="s">
        <v>74</v>
      </c>
      <c r="B209" s="286">
        <f>+ENERO!$AG209</f>
        <v>510</v>
      </c>
      <c r="C209" s="286">
        <f>+FEBRERO!$AG209</f>
        <v>461</v>
      </c>
      <c r="D209" s="286">
        <f>+MARZO!$AG209</f>
        <v>367</v>
      </c>
      <c r="E209" s="286">
        <f>+ABRIL!$AG209</f>
        <v>263</v>
      </c>
      <c r="F209" s="286">
        <f>+MAYO!$AG209</f>
        <v>313</v>
      </c>
      <c r="G209" s="286">
        <f>+JUNIO!$AG209</f>
        <v>286</v>
      </c>
      <c r="H209" s="286">
        <f>+JULIO!$AG209</f>
        <v>302</v>
      </c>
      <c r="I209" s="286">
        <f>+AGOSTO!$AG209</f>
        <v>280</v>
      </c>
      <c r="J209" s="286">
        <f>+SEPTIEMBRE!$AG209</f>
        <v>334</v>
      </c>
      <c r="K209" s="286">
        <f>+OCTUBRE!$AG209</f>
        <v>345</v>
      </c>
      <c r="L209" s="286">
        <f>+NOVIEMBRE!$AG209</f>
        <v>356</v>
      </c>
      <c r="M209" s="286">
        <f>+DICIEMBRE!$AG209</f>
        <v>350</v>
      </c>
      <c r="N209" s="97">
        <f t="shared" si="3"/>
        <v>4167</v>
      </c>
    </row>
    <row r="210" spans="1:15" ht="18.75" x14ac:dyDescent="0.25">
      <c r="A210" s="344" t="s">
        <v>75</v>
      </c>
      <c r="B210" s="286">
        <f>+ENERO!$AG210</f>
        <v>3440</v>
      </c>
      <c r="C210" s="286">
        <f>+FEBRERO!$AG210</f>
        <v>3263</v>
      </c>
      <c r="D210" s="286">
        <f>+MARZO!$AG210</f>
        <v>2095</v>
      </c>
      <c r="E210" s="286">
        <f>+ABRIL!$AG210</f>
        <v>687</v>
      </c>
      <c r="F210" s="286">
        <f>+MAYO!$AG210</f>
        <v>985</v>
      </c>
      <c r="G210" s="286">
        <f>+JUNIO!$AG210</f>
        <v>1179</v>
      </c>
      <c r="H210" s="286">
        <f>+JULIO!$AG210</f>
        <v>1309</v>
      </c>
      <c r="I210" s="286">
        <f>+AGOSTO!$AG210</f>
        <v>1581</v>
      </c>
      <c r="J210" s="286">
        <f>+SEPTIEMBRE!$AG210</f>
        <v>1479</v>
      </c>
      <c r="K210" s="286">
        <f>+OCTUBRE!$AG210</f>
        <v>1857</v>
      </c>
      <c r="L210" s="286">
        <f>+NOVIEMBRE!$AG210</f>
        <v>2229</v>
      </c>
      <c r="M210" s="286">
        <f>+DICIEMBRE!$AG210</f>
        <v>2461</v>
      </c>
      <c r="N210" s="97">
        <f t="shared" si="3"/>
        <v>22565</v>
      </c>
    </row>
    <row r="211" spans="1:15" ht="19.5" thickBot="1" x14ac:dyDescent="0.3">
      <c r="A211" s="401" t="s">
        <v>76</v>
      </c>
      <c r="B211" s="402">
        <f>+ENERO!$AG211</f>
        <v>910</v>
      </c>
      <c r="C211" s="402">
        <f>+FEBRERO!$AG211</f>
        <v>1009</v>
      </c>
      <c r="D211" s="402">
        <f>+MARZO!$AG211</f>
        <v>1212</v>
      </c>
      <c r="E211" s="402">
        <f>+ABRIL!$AG211</f>
        <v>927</v>
      </c>
      <c r="F211" s="402">
        <f>+MAYO!$AG211</f>
        <v>1229</v>
      </c>
      <c r="G211" s="402">
        <f>+JUNIO!$AG211</f>
        <v>1219</v>
      </c>
      <c r="H211" s="402">
        <f>+JULIO!$AG211</f>
        <v>1445</v>
      </c>
      <c r="I211" s="402">
        <f>+AGOSTO!$AG211</f>
        <v>1283</v>
      </c>
      <c r="J211" s="402">
        <f>+SEPTIEMBRE!$AG211</f>
        <v>1237</v>
      </c>
      <c r="K211" s="402">
        <f>+OCTUBRE!$AG211</f>
        <v>1403</v>
      </c>
      <c r="L211" s="402">
        <f>+NOVIEMBRE!$AG211</f>
        <v>1265</v>
      </c>
      <c r="M211" s="402">
        <f>+DICIEMBRE!$AG211</f>
        <v>1045</v>
      </c>
      <c r="N211" s="242">
        <f t="shared" si="3"/>
        <v>14184</v>
      </c>
    </row>
    <row r="212" spans="1:15" ht="19.5" thickBot="1" x14ac:dyDescent="0.3">
      <c r="A212" s="121" t="s">
        <v>622</v>
      </c>
      <c r="B212" s="403">
        <f>+ENERO!$AG212</f>
        <v>0</v>
      </c>
      <c r="C212" s="403">
        <f>+FEBRERO!$AG212</f>
        <v>0</v>
      </c>
      <c r="D212" s="403">
        <f>+MARZO!$AG212</f>
        <v>137</v>
      </c>
      <c r="E212" s="403">
        <f>+ABRIL!$AG212</f>
        <v>307</v>
      </c>
      <c r="F212" s="403">
        <f>+MAYO!$AG212</f>
        <v>556</v>
      </c>
      <c r="G212" s="403">
        <f>+JUNIO!$AG212</f>
        <v>875</v>
      </c>
      <c r="H212" s="403">
        <f>+JULIO!$AG212</f>
        <v>701</v>
      </c>
      <c r="I212" s="403">
        <f>+AGOSTO!$AG212</f>
        <v>520</v>
      </c>
      <c r="J212" s="403">
        <f>+SEPTIEMBRE!$AG212</f>
        <v>569</v>
      </c>
      <c r="K212" s="403">
        <f>+OCTUBRE!$AG212</f>
        <v>802</v>
      </c>
      <c r="L212" s="403">
        <f>+NOVIEMBRE!$AG212</f>
        <v>1027</v>
      </c>
      <c r="M212" s="403">
        <f>+DICIEMBRE!$AG212</f>
        <v>1134</v>
      </c>
      <c r="N212" s="124">
        <f t="shared" si="3"/>
        <v>6628</v>
      </c>
    </row>
    <row r="213" spans="1:15" ht="18.75" x14ac:dyDescent="0.25">
      <c r="A213" s="405" t="s">
        <v>624</v>
      </c>
      <c r="B213" s="406">
        <f>+ENERO!$AG213</f>
        <v>0</v>
      </c>
      <c r="C213" s="406">
        <f>+FEBRERO!$AG213</f>
        <v>0</v>
      </c>
      <c r="D213" s="406">
        <f>+MARZO!$AG213</f>
        <v>109</v>
      </c>
      <c r="E213" s="406">
        <f>+ABRIL!$AG213</f>
        <v>260</v>
      </c>
      <c r="F213" s="406">
        <f>+MAYO!$AG213</f>
        <v>510</v>
      </c>
      <c r="G213" s="406">
        <f>+JUNIO!$AG213</f>
        <v>709</v>
      </c>
      <c r="H213" s="406">
        <f>+JULIO!$AG213</f>
        <v>601</v>
      </c>
      <c r="I213" s="406">
        <f>+AGOSTO!$AG213</f>
        <v>400</v>
      </c>
      <c r="J213" s="406">
        <f>+SEPTIEMBRE!$AG213</f>
        <v>473</v>
      </c>
      <c r="K213" s="406">
        <f>+OCTUBRE!$AG213</f>
        <v>704</v>
      </c>
      <c r="L213" s="406">
        <f>+NOVIEMBRE!$AG213</f>
        <v>852</v>
      </c>
      <c r="M213" s="406">
        <f>+DICIEMBRE!$AG213</f>
        <v>889</v>
      </c>
      <c r="N213" s="95">
        <f t="shared" si="3"/>
        <v>5507</v>
      </c>
    </row>
    <row r="214" spans="1:15" ht="18.75" x14ac:dyDescent="0.25">
      <c r="A214" s="408" t="s">
        <v>626</v>
      </c>
      <c r="B214" s="409">
        <f>+ENERO!$AG214</f>
        <v>0</v>
      </c>
      <c r="C214" s="409">
        <f>+FEBRERO!$AG214</f>
        <v>0</v>
      </c>
      <c r="D214" s="409">
        <f>+MARZO!$AG214</f>
        <v>1</v>
      </c>
      <c r="E214" s="409">
        <f>+ABRIL!$AG214</f>
        <v>6</v>
      </c>
      <c r="F214" s="409">
        <f>+MAYO!$AG214</f>
        <v>2</v>
      </c>
      <c r="G214" s="409">
        <f>+JUNIO!$AG214</f>
        <v>15</v>
      </c>
      <c r="H214" s="409">
        <f>+JULIO!$AG214</f>
        <v>3</v>
      </c>
      <c r="I214" s="409">
        <f>+AGOSTO!$AG214</f>
        <v>6</v>
      </c>
      <c r="J214" s="409">
        <f>+SEPTIEMBRE!$AG214</f>
        <v>1</v>
      </c>
      <c r="K214" s="409">
        <f>+OCTUBRE!$AG214</f>
        <v>8</v>
      </c>
      <c r="L214" s="409">
        <f>+NOVIEMBRE!$AG214</f>
        <v>2</v>
      </c>
      <c r="M214" s="409">
        <f>+DICIEMBRE!$AG214</f>
        <v>9</v>
      </c>
      <c r="N214" s="397">
        <f t="shared" si="3"/>
        <v>53</v>
      </c>
    </row>
    <row r="215" spans="1:15" ht="18.75" x14ac:dyDescent="0.25">
      <c r="A215" s="423" t="s">
        <v>630</v>
      </c>
      <c r="B215" s="429"/>
      <c r="C215" s="429"/>
      <c r="D215" s="429"/>
      <c r="E215" s="429"/>
      <c r="F215" s="429"/>
      <c r="G215" s="429"/>
      <c r="H215" s="429"/>
      <c r="I215" s="429"/>
      <c r="J215" s="429"/>
      <c r="K215" s="429"/>
      <c r="L215" s="409">
        <f>+NOVIEMBRE!$AG215</f>
        <v>1</v>
      </c>
      <c r="M215" s="409">
        <f>+DICIEMBRE!$AG215</f>
        <v>0</v>
      </c>
      <c r="N215" s="397">
        <f t="shared" si="3"/>
        <v>1</v>
      </c>
    </row>
    <row r="216" spans="1:15" ht="18.75" x14ac:dyDescent="0.25">
      <c r="A216" s="430" t="s">
        <v>631</v>
      </c>
      <c r="B216" s="429"/>
      <c r="C216" s="429"/>
      <c r="D216" s="429"/>
      <c r="E216" s="429"/>
      <c r="F216" s="429"/>
      <c r="G216" s="429"/>
      <c r="H216" s="429"/>
      <c r="I216" s="429"/>
      <c r="J216" s="429"/>
      <c r="K216" s="429"/>
      <c r="L216" s="409">
        <f>+NOVIEMBRE!$AG216</f>
        <v>1</v>
      </c>
      <c r="M216" s="409">
        <f>+DICIEMBRE!$AG216</f>
        <v>0</v>
      </c>
      <c r="N216" s="397">
        <f t="shared" si="3"/>
        <v>1</v>
      </c>
    </row>
    <row r="217" spans="1:15" ht="18.75" x14ac:dyDescent="0.25">
      <c r="A217" s="408" t="s">
        <v>627</v>
      </c>
      <c r="B217" s="409">
        <f>+ENERO!$AG215</f>
        <v>0</v>
      </c>
      <c r="C217" s="409">
        <f>+FEBRERO!$AG215</f>
        <v>0</v>
      </c>
      <c r="D217" s="409">
        <f>+MARZO!$AG215</f>
        <v>0</v>
      </c>
      <c r="E217" s="409">
        <f>+ABRIL!$AG215</f>
        <v>0</v>
      </c>
      <c r="F217" s="409">
        <f>+MAYO!$AG215</f>
        <v>0</v>
      </c>
      <c r="G217" s="409">
        <f>+JUNIO!$AG215</f>
        <v>23</v>
      </c>
      <c r="H217" s="409">
        <f>+JULIO!$AG215</f>
        <v>2</v>
      </c>
      <c r="I217" s="409">
        <f>+AGOSTO!$AG215</f>
        <v>0</v>
      </c>
      <c r="J217" s="409">
        <f>+SEPTIEMBRE!$AG215</f>
        <v>1</v>
      </c>
      <c r="K217" s="409">
        <f>+OCTUBRE!$AG215</f>
        <v>1</v>
      </c>
      <c r="L217" s="409">
        <f>+NOVIEMBRE!$AG217</f>
        <v>4</v>
      </c>
      <c r="M217" s="409">
        <f>+DICIEMBRE!$AG217</f>
        <v>2</v>
      </c>
      <c r="N217" s="397">
        <f t="shared" si="3"/>
        <v>33</v>
      </c>
    </row>
    <row r="218" spans="1:15" ht="19.5" thickBot="1" x14ac:dyDescent="0.3">
      <c r="A218" s="410" t="s">
        <v>623</v>
      </c>
      <c r="B218" s="411">
        <f>+ENERO!$AG216</f>
        <v>0</v>
      </c>
      <c r="C218" s="411">
        <f>+FEBRERO!$AG216</f>
        <v>0</v>
      </c>
      <c r="D218" s="411">
        <f>+MARZO!$AG216</f>
        <v>20</v>
      </c>
      <c r="E218" s="411">
        <f>+ABRIL!$AG216</f>
        <v>34</v>
      </c>
      <c r="F218" s="411">
        <f>+MAYO!$AG216</f>
        <v>43</v>
      </c>
      <c r="G218" s="411">
        <f>+JUNIO!$AG216</f>
        <v>128</v>
      </c>
      <c r="H218" s="411">
        <f>+JULIO!$AG216</f>
        <v>91</v>
      </c>
      <c r="I218" s="411">
        <f>+AGOSTO!$AG216</f>
        <v>114</v>
      </c>
      <c r="J218" s="411">
        <f>+SEPTIEMBRE!$AG216</f>
        <v>94</v>
      </c>
      <c r="K218" s="411">
        <f>+OCTUBRE!$AG216</f>
        <v>1</v>
      </c>
      <c r="L218" s="411">
        <f>+NOVIEMBRE!$AG218</f>
        <v>167</v>
      </c>
      <c r="M218" s="411">
        <f>+DICIEMBRE!$AG218</f>
        <v>234</v>
      </c>
      <c r="N218" s="413">
        <f t="shared" si="3"/>
        <v>926</v>
      </c>
    </row>
    <row r="219" spans="1:15" ht="18.75" x14ac:dyDescent="0.25">
      <c r="A219" s="69" t="s">
        <v>628</v>
      </c>
      <c r="B219" s="407">
        <f>+ENERO!$AG217</f>
        <v>0</v>
      </c>
      <c r="C219" s="406">
        <f>+FEBRERO!$AG217</f>
        <v>0</v>
      </c>
      <c r="D219" s="406">
        <f>+MARZO!$AG217</f>
        <v>0</v>
      </c>
      <c r="E219" s="406">
        <f>+ABRIL!$AG217</f>
        <v>0</v>
      </c>
      <c r="F219" s="406">
        <f>+MAYO!$AG217</f>
        <v>0</v>
      </c>
      <c r="G219" s="406">
        <f>+JUNIO!$AG217</f>
        <v>0</v>
      </c>
      <c r="H219" s="406">
        <f>+JULIO!$AG217</f>
        <v>615</v>
      </c>
      <c r="I219" s="406">
        <f>+AGOSTO!$AG217</f>
        <v>512</v>
      </c>
      <c r="J219" s="406">
        <f>+SEPTIEMBRE!$AG217</f>
        <v>564</v>
      </c>
      <c r="K219" s="406">
        <f>+OCTUBRE!$AG217</f>
        <v>87</v>
      </c>
      <c r="L219" s="406">
        <f>+NOVIEMBRE!$AG219</f>
        <v>1025</v>
      </c>
      <c r="M219" s="406">
        <f>+DICIEMBRE!$AG219</f>
        <v>1132</v>
      </c>
      <c r="N219" s="95">
        <f t="shared" si="3"/>
        <v>3935</v>
      </c>
    </row>
    <row r="220" spans="1:15" ht="19.5" thickBot="1" x14ac:dyDescent="0.3">
      <c r="A220" s="424" t="s">
        <v>629</v>
      </c>
      <c r="B220" s="412">
        <f>+ENERO!$AG218</f>
        <v>0</v>
      </c>
      <c r="C220" s="411">
        <f>+FEBRERO!$AG218</f>
        <v>0</v>
      </c>
      <c r="D220" s="411">
        <f>+MARZO!$AG218</f>
        <v>137</v>
      </c>
      <c r="E220" s="411">
        <f>+ABRIL!$AG218</f>
        <v>307</v>
      </c>
      <c r="F220" s="411">
        <f>+MAYO!$AG218</f>
        <v>556</v>
      </c>
      <c r="G220" s="411">
        <f>+JUNIO!$AG218</f>
        <v>875</v>
      </c>
      <c r="H220" s="411">
        <f>+JULIO!$AG218</f>
        <v>86</v>
      </c>
      <c r="I220" s="411">
        <f>+AGOSTO!$AG218</f>
        <v>8</v>
      </c>
      <c r="J220" s="411">
        <f>+SEPTIEMBRE!$AG218</f>
        <v>5</v>
      </c>
      <c r="K220" s="411">
        <f>+OCTUBRE!$AG218</f>
        <v>802</v>
      </c>
      <c r="L220" s="411">
        <f>+NOVIEMBRE!$AG220</f>
        <v>2</v>
      </c>
      <c r="M220" s="411">
        <f>+DICIEMBRE!$AG220</f>
        <v>2</v>
      </c>
      <c r="N220" s="413">
        <f t="shared" si="3"/>
        <v>2780</v>
      </c>
    </row>
    <row r="221" spans="1:15" ht="19.5" thickBot="1" x14ac:dyDescent="0.3">
      <c r="A221" s="345" t="s">
        <v>64</v>
      </c>
      <c r="B221" s="287">
        <f>+ENERO!$AG219</f>
        <v>0</v>
      </c>
      <c r="C221" s="287">
        <f>+FEBRERO!$AG219</f>
        <v>0</v>
      </c>
      <c r="D221" s="287">
        <f>+MARZO!$AG219</f>
        <v>0</v>
      </c>
      <c r="E221" s="287">
        <f>+ABRIL!$AG219</f>
        <v>0</v>
      </c>
      <c r="F221" s="287">
        <f>+MAYO!$AG219</f>
        <v>0</v>
      </c>
      <c r="G221" s="287">
        <f>+JUNIO!$AG219</f>
        <v>0</v>
      </c>
      <c r="H221" s="287">
        <f>+JULIO!$AG219</f>
        <v>0</v>
      </c>
      <c r="I221" s="287">
        <f>+AGOSTO!$AG219</f>
        <v>0</v>
      </c>
      <c r="J221" s="287">
        <f>+SEPTIEMBRE!$AG219</f>
        <v>0</v>
      </c>
      <c r="K221" s="287">
        <f>+OCTUBRE!$AG219</f>
        <v>0</v>
      </c>
      <c r="L221" s="287">
        <f>+NOVIEMBRE!$AG221</f>
        <v>0</v>
      </c>
      <c r="M221" s="287">
        <f>+DICIEMBRE!$AG221</f>
        <v>0</v>
      </c>
      <c r="N221" s="98"/>
    </row>
    <row r="222" spans="1:15" ht="18.75" x14ac:dyDescent="0.25">
      <c r="A222" s="323" t="s">
        <v>77</v>
      </c>
      <c r="B222" s="288">
        <f>+ENERO!$AG220</f>
        <v>0.61458333333333326</v>
      </c>
      <c r="C222" s="288">
        <f>+FEBRERO!$AG220</f>
        <v>0</v>
      </c>
      <c r="D222" s="288">
        <f>+MARZO!$AG220</f>
        <v>0</v>
      </c>
      <c r="E222" s="288">
        <f>+ABRIL!$AG220</f>
        <v>0</v>
      </c>
      <c r="F222" s="288">
        <f>+MAYO!$AG220</f>
        <v>0</v>
      </c>
      <c r="G222" s="288">
        <f>+JUNIO!$AG220</f>
        <v>0</v>
      </c>
      <c r="H222" s="288">
        <f>+JULIO!$AG220</f>
        <v>0</v>
      </c>
      <c r="I222" s="288">
        <f>+AGOSTO!$AG220</f>
        <v>0</v>
      </c>
      <c r="J222" s="288">
        <f>+SEPTIEMBRE!$AG220</f>
        <v>0</v>
      </c>
      <c r="K222" s="288">
        <f>+OCTUBRE!$AG220</f>
        <v>0</v>
      </c>
      <c r="L222" s="288">
        <f>+NOVIEMBRE!$AG222</f>
        <v>0</v>
      </c>
      <c r="M222" s="288">
        <f>+DICIEMBRE!$AG222</f>
        <v>0</v>
      </c>
      <c r="N222" s="244"/>
      <c r="O222" s="437" t="s">
        <v>85</v>
      </c>
    </row>
    <row r="223" spans="1:15" ht="18.75" customHeight="1" x14ac:dyDescent="0.25">
      <c r="A223" s="346" t="s">
        <v>110</v>
      </c>
      <c r="B223" s="289">
        <f>+ENERO!$AG221</f>
        <v>0.85486111111111096</v>
      </c>
      <c r="C223" s="289">
        <f>+FEBRERO!$AG221</f>
        <v>0</v>
      </c>
      <c r="D223" s="289">
        <f>+MARZO!$AG221</f>
        <v>0</v>
      </c>
      <c r="E223" s="289">
        <f>+ABRIL!$AG221</f>
        <v>0</v>
      </c>
      <c r="F223" s="289">
        <f>+MAYO!$AG221</f>
        <v>0</v>
      </c>
      <c r="G223" s="289">
        <f>+JUNIO!$AG221</f>
        <v>0</v>
      </c>
      <c r="H223" s="289">
        <f>+JULIO!$AG221</f>
        <v>0</v>
      </c>
      <c r="I223" s="289">
        <f>+AGOSTO!$AG221</f>
        <v>0</v>
      </c>
      <c r="J223" s="289">
        <f>+SEPTIEMBRE!$AG221</f>
        <v>0</v>
      </c>
      <c r="K223" s="289">
        <f>+OCTUBRE!$AG221</f>
        <v>0</v>
      </c>
      <c r="L223" s="289">
        <f>+NOVIEMBRE!$AG223</f>
        <v>0</v>
      </c>
      <c r="M223" s="289">
        <f>+DICIEMBRE!$AG223</f>
        <v>0</v>
      </c>
      <c r="N223" s="100"/>
      <c r="O223" s="438"/>
    </row>
    <row r="224" spans="1:15" ht="18.75" customHeight="1" x14ac:dyDescent="0.25">
      <c r="A224" s="346" t="s">
        <v>111</v>
      </c>
      <c r="B224" s="289">
        <f>+ENERO!$AG222</f>
        <v>0.95347222222222239</v>
      </c>
      <c r="C224" s="289">
        <f>+FEBRERO!$AG222</f>
        <v>0</v>
      </c>
      <c r="D224" s="289">
        <f>+MARZO!$AG222</f>
        <v>0</v>
      </c>
      <c r="E224" s="289">
        <f>+ABRIL!$AG222</f>
        <v>0</v>
      </c>
      <c r="F224" s="289">
        <f>+MAYO!$AG222</f>
        <v>0</v>
      </c>
      <c r="G224" s="289">
        <f>+JUNIO!$AG222</f>
        <v>0</v>
      </c>
      <c r="H224" s="289">
        <f>+JULIO!$AG222</f>
        <v>0</v>
      </c>
      <c r="I224" s="289">
        <f>+AGOSTO!$AG222</f>
        <v>0</v>
      </c>
      <c r="J224" s="289">
        <f>+SEPTIEMBRE!$AG222</f>
        <v>0</v>
      </c>
      <c r="K224" s="289">
        <f>+OCTUBRE!$AG222</f>
        <v>0</v>
      </c>
      <c r="L224" s="289">
        <f>+NOVIEMBRE!$AG224</f>
        <v>0</v>
      </c>
      <c r="M224" s="289">
        <f>+DICIEMBRE!$AG224</f>
        <v>0</v>
      </c>
      <c r="N224" s="100"/>
      <c r="O224" s="438"/>
    </row>
    <row r="225" spans="1:15" ht="18.75" customHeight="1" x14ac:dyDescent="0.25">
      <c r="A225" s="346" t="s">
        <v>112</v>
      </c>
      <c r="B225" s="289">
        <f>+ENERO!$AG223</f>
        <v>0.68680555555555545</v>
      </c>
      <c r="C225" s="289">
        <f>+FEBRERO!$AG223</f>
        <v>0</v>
      </c>
      <c r="D225" s="289">
        <f>+MARZO!$AG223</f>
        <v>0</v>
      </c>
      <c r="E225" s="289">
        <f>+ABRIL!$AG223</f>
        <v>0</v>
      </c>
      <c r="F225" s="289">
        <f>+MAYO!$AG223</f>
        <v>0</v>
      </c>
      <c r="G225" s="289">
        <f>+JUNIO!$AG223</f>
        <v>0</v>
      </c>
      <c r="H225" s="289">
        <f>+JULIO!$AG223</f>
        <v>0</v>
      </c>
      <c r="I225" s="289">
        <f>+AGOSTO!$AG223</f>
        <v>0</v>
      </c>
      <c r="J225" s="289">
        <f>+SEPTIEMBRE!$AG223</f>
        <v>0</v>
      </c>
      <c r="K225" s="289">
        <f>+OCTUBRE!$AG223</f>
        <v>0</v>
      </c>
      <c r="L225" s="289">
        <f>+NOVIEMBRE!$AG225</f>
        <v>0</v>
      </c>
      <c r="M225" s="289">
        <f>+DICIEMBRE!$AG225</f>
        <v>0</v>
      </c>
      <c r="N225" s="100"/>
      <c r="O225" s="438"/>
    </row>
    <row r="226" spans="1:15" ht="18.75" customHeight="1" x14ac:dyDescent="0.25">
      <c r="A226" s="346" t="s">
        <v>113</v>
      </c>
      <c r="B226" s="289">
        <f>+ENERO!$AG224</f>
        <v>0.48125000000000001</v>
      </c>
      <c r="C226" s="289">
        <f>+FEBRERO!$AG224</f>
        <v>0</v>
      </c>
      <c r="D226" s="289">
        <f>+MARZO!$AG224</f>
        <v>0</v>
      </c>
      <c r="E226" s="289">
        <f>+ABRIL!$AG224</f>
        <v>0</v>
      </c>
      <c r="F226" s="289">
        <f>+MAYO!$AG224</f>
        <v>0</v>
      </c>
      <c r="G226" s="289">
        <f>+JUNIO!$AG224</f>
        <v>0</v>
      </c>
      <c r="H226" s="289">
        <f>+JULIO!$AG224</f>
        <v>0</v>
      </c>
      <c r="I226" s="289">
        <f>+AGOSTO!$AG224</f>
        <v>0</v>
      </c>
      <c r="J226" s="289">
        <f>+SEPTIEMBRE!$AG224</f>
        <v>0</v>
      </c>
      <c r="K226" s="289">
        <f>+OCTUBRE!$AG224</f>
        <v>0</v>
      </c>
      <c r="L226" s="289">
        <f>+NOVIEMBRE!$AG226</f>
        <v>0</v>
      </c>
      <c r="M226" s="289">
        <f>+DICIEMBRE!$AG226</f>
        <v>0</v>
      </c>
      <c r="N226" s="100"/>
      <c r="O226" s="438"/>
    </row>
    <row r="227" spans="1:15" ht="18.75" customHeight="1" x14ac:dyDescent="0.25">
      <c r="A227" s="346" t="s">
        <v>114</v>
      </c>
      <c r="B227" s="289">
        <f>+ENERO!$AG225</f>
        <v>0.39305555555555555</v>
      </c>
      <c r="C227" s="289">
        <f>+FEBRERO!$AG225</f>
        <v>0</v>
      </c>
      <c r="D227" s="289">
        <f>+MARZO!$AG225</f>
        <v>0</v>
      </c>
      <c r="E227" s="289">
        <f>+ABRIL!$AG225</f>
        <v>0</v>
      </c>
      <c r="F227" s="289">
        <f>+MAYO!$AG225</f>
        <v>0</v>
      </c>
      <c r="G227" s="289">
        <f>+JUNIO!$AG225</f>
        <v>0</v>
      </c>
      <c r="H227" s="289">
        <f>+JULIO!$AG225</f>
        <v>0</v>
      </c>
      <c r="I227" s="289">
        <f>+AGOSTO!$AG225</f>
        <v>0</v>
      </c>
      <c r="J227" s="289">
        <f>+SEPTIEMBRE!$AG225</f>
        <v>0</v>
      </c>
      <c r="K227" s="289">
        <f>+OCTUBRE!$AG225</f>
        <v>0</v>
      </c>
      <c r="L227" s="289">
        <f>+NOVIEMBRE!$AG227</f>
        <v>0</v>
      </c>
      <c r="M227" s="289">
        <f>+DICIEMBRE!$AG227</f>
        <v>0</v>
      </c>
      <c r="N227" s="100"/>
      <c r="O227" s="438"/>
    </row>
    <row r="228" spans="1:15" ht="18.75" customHeight="1" x14ac:dyDescent="0.25">
      <c r="A228" s="346" t="s">
        <v>115</v>
      </c>
      <c r="B228" s="289">
        <f>+ENERO!$AG226</f>
        <v>0.33958333333333329</v>
      </c>
      <c r="C228" s="289">
        <f>+FEBRERO!$AG226</f>
        <v>0</v>
      </c>
      <c r="D228" s="289">
        <f>+MARZO!$AG226</f>
        <v>0</v>
      </c>
      <c r="E228" s="289">
        <f>+ABRIL!$AG226</f>
        <v>0</v>
      </c>
      <c r="F228" s="289">
        <f>+MAYO!$AG226</f>
        <v>0</v>
      </c>
      <c r="G228" s="289">
        <f>+JUNIO!$AG226</f>
        <v>0</v>
      </c>
      <c r="H228" s="289">
        <f>+JULIO!$AG226</f>
        <v>0</v>
      </c>
      <c r="I228" s="289">
        <f>+AGOSTO!$AG226</f>
        <v>0</v>
      </c>
      <c r="J228" s="289">
        <f>+SEPTIEMBRE!$AG226</f>
        <v>0</v>
      </c>
      <c r="K228" s="289">
        <f>+OCTUBRE!$AG226</f>
        <v>0</v>
      </c>
      <c r="L228" s="289">
        <f>+NOVIEMBRE!$AG228</f>
        <v>0</v>
      </c>
      <c r="M228" s="289">
        <f>+DICIEMBRE!$AG228</f>
        <v>0</v>
      </c>
      <c r="N228" s="100"/>
      <c r="O228" s="438"/>
    </row>
    <row r="229" spans="1:15" ht="18.75" customHeight="1" x14ac:dyDescent="0.25">
      <c r="A229" s="346" t="s">
        <v>116</v>
      </c>
      <c r="B229" s="289">
        <f>+ENERO!$AG227</f>
        <v>0.21319444444444446</v>
      </c>
      <c r="C229" s="289">
        <f>+FEBRERO!$AG227</f>
        <v>0</v>
      </c>
      <c r="D229" s="289">
        <f>+MARZO!$AG227</f>
        <v>0</v>
      </c>
      <c r="E229" s="289">
        <f>+ABRIL!$AG227</f>
        <v>0</v>
      </c>
      <c r="F229" s="289">
        <f>+MAYO!$AG227</f>
        <v>0</v>
      </c>
      <c r="G229" s="289">
        <f>+JUNIO!$AG227</f>
        <v>0</v>
      </c>
      <c r="H229" s="289">
        <f>+JULIO!$AG227</f>
        <v>0</v>
      </c>
      <c r="I229" s="289">
        <f>+AGOSTO!$AG227</f>
        <v>0</v>
      </c>
      <c r="J229" s="289">
        <f>+SEPTIEMBRE!$AG227</f>
        <v>0</v>
      </c>
      <c r="K229" s="289">
        <f>+OCTUBRE!$AG227</f>
        <v>0</v>
      </c>
      <c r="L229" s="289">
        <f>+NOVIEMBRE!$AG229</f>
        <v>0</v>
      </c>
      <c r="M229" s="289">
        <f>+DICIEMBRE!$AG229</f>
        <v>0</v>
      </c>
      <c r="N229" s="100"/>
      <c r="O229" s="438"/>
    </row>
    <row r="230" spans="1:15" ht="18.75" customHeight="1" x14ac:dyDescent="0.25">
      <c r="A230" s="346" t="s">
        <v>117</v>
      </c>
      <c r="B230" s="289">
        <f>+ENERO!$AG228</f>
        <v>8.4722222222222227E-2</v>
      </c>
      <c r="C230" s="289">
        <f>+FEBRERO!$AG228</f>
        <v>0</v>
      </c>
      <c r="D230" s="289">
        <f>+MARZO!$AG228</f>
        <v>0</v>
      </c>
      <c r="E230" s="289">
        <f>+ABRIL!$AG228</f>
        <v>0</v>
      </c>
      <c r="F230" s="289">
        <f>+MAYO!$AG228</f>
        <v>0</v>
      </c>
      <c r="G230" s="289">
        <f>+JUNIO!$AG228</f>
        <v>0</v>
      </c>
      <c r="H230" s="289">
        <f>+JULIO!$AG228</f>
        <v>0</v>
      </c>
      <c r="I230" s="289">
        <f>+AGOSTO!$AG228</f>
        <v>0</v>
      </c>
      <c r="J230" s="289">
        <f>+SEPTIEMBRE!$AG228</f>
        <v>0</v>
      </c>
      <c r="K230" s="289">
        <f>+OCTUBRE!$AG228</f>
        <v>0</v>
      </c>
      <c r="L230" s="289">
        <f>+NOVIEMBRE!$AG230</f>
        <v>0</v>
      </c>
      <c r="M230" s="289">
        <f>+DICIEMBRE!$AG230</f>
        <v>0</v>
      </c>
      <c r="N230" s="100"/>
      <c r="O230" s="438"/>
    </row>
    <row r="231" spans="1:15" ht="18.75" customHeight="1" x14ac:dyDescent="0.25">
      <c r="A231" s="323" t="s">
        <v>150</v>
      </c>
      <c r="B231" s="288">
        <f>+ENERO!$AG229</f>
        <v>0.89166666666666672</v>
      </c>
      <c r="C231" s="288">
        <f>+FEBRERO!$AG229</f>
        <v>0</v>
      </c>
      <c r="D231" s="288">
        <f>+MARZO!$AG229</f>
        <v>0</v>
      </c>
      <c r="E231" s="288">
        <f>+ABRIL!$AG229</f>
        <v>0</v>
      </c>
      <c r="F231" s="288">
        <f>+MAYO!$AG229</f>
        <v>0</v>
      </c>
      <c r="G231" s="288">
        <f>+JUNIO!$AG229</f>
        <v>0</v>
      </c>
      <c r="H231" s="288">
        <f>+JULIO!$AG229</f>
        <v>0</v>
      </c>
      <c r="I231" s="288">
        <f>+AGOSTO!$AG229</f>
        <v>0</v>
      </c>
      <c r="J231" s="288">
        <f>+SEPTIEMBRE!$AG229</f>
        <v>0</v>
      </c>
      <c r="K231" s="288">
        <f>+OCTUBRE!$AG229</f>
        <v>0</v>
      </c>
      <c r="L231" s="288">
        <f>+NOVIEMBRE!$AG231</f>
        <v>0</v>
      </c>
      <c r="M231" s="288">
        <f>+DICIEMBRE!$AG231</f>
        <v>0</v>
      </c>
      <c r="N231" s="244"/>
      <c r="O231" s="438"/>
    </row>
    <row r="232" spans="1:15" ht="18.75" customHeight="1" x14ac:dyDescent="0.25">
      <c r="A232" s="323" t="s">
        <v>78</v>
      </c>
      <c r="B232" s="288">
        <f>+ENERO!$AG230</f>
        <v>1.2444444444444445</v>
      </c>
      <c r="C232" s="288">
        <f>+FEBRERO!$AG230</f>
        <v>0</v>
      </c>
      <c r="D232" s="288">
        <f>+MARZO!$AG230</f>
        <v>0</v>
      </c>
      <c r="E232" s="288">
        <f>+ABRIL!$AG230</f>
        <v>0</v>
      </c>
      <c r="F232" s="288">
        <f>+MAYO!$AG230</f>
        <v>0</v>
      </c>
      <c r="G232" s="288">
        <f>+JUNIO!$AG230</f>
        <v>0</v>
      </c>
      <c r="H232" s="288">
        <f>+JULIO!$AG230</f>
        <v>0</v>
      </c>
      <c r="I232" s="288">
        <f>+AGOSTO!$AG230</f>
        <v>0</v>
      </c>
      <c r="J232" s="288">
        <f>+SEPTIEMBRE!$AG230</f>
        <v>0</v>
      </c>
      <c r="K232" s="288">
        <f>+OCTUBRE!$AG230</f>
        <v>0</v>
      </c>
      <c r="L232" s="288">
        <f>+NOVIEMBRE!$AG232</f>
        <v>0</v>
      </c>
      <c r="M232" s="288">
        <f>+DICIEMBRE!$AG232</f>
        <v>0</v>
      </c>
      <c r="N232" s="244"/>
      <c r="O232" s="438"/>
    </row>
    <row r="233" spans="1:15" ht="18.75" customHeight="1" thickBot="1" x14ac:dyDescent="0.3">
      <c r="A233" s="323" t="s">
        <v>79</v>
      </c>
      <c r="B233" s="288">
        <f>+ENERO!$AG231</f>
        <v>1.1118055555555557</v>
      </c>
      <c r="C233" s="288">
        <f>+FEBRERO!$AG231</f>
        <v>0</v>
      </c>
      <c r="D233" s="288">
        <f>+MARZO!$AG231</f>
        <v>0</v>
      </c>
      <c r="E233" s="288">
        <f>+ABRIL!$AG231</f>
        <v>0</v>
      </c>
      <c r="F233" s="288">
        <f>+MAYO!$AG231</f>
        <v>0</v>
      </c>
      <c r="G233" s="288">
        <f>+JUNIO!$AG231</f>
        <v>0</v>
      </c>
      <c r="H233" s="288">
        <f>+JULIO!$AG231</f>
        <v>0</v>
      </c>
      <c r="I233" s="288">
        <f>+AGOSTO!$AG231</f>
        <v>0</v>
      </c>
      <c r="J233" s="288">
        <f>+SEPTIEMBRE!$AG231</f>
        <v>0</v>
      </c>
      <c r="K233" s="288">
        <f>+OCTUBRE!$AG231</f>
        <v>0</v>
      </c>
      <c r="L233" s="288">
        <f>+NOVIEMBRE!$AG233</f>
        <v>0</v>
      </c>
      <c r="M233" s="288">
        <f>+DICIEMBRE!$AG233</f>
        <v>0</v>
      </c>
      <c r="N233" s="244"/>
      <c r="O233" s="439"/>
    </row>
    <row r="234" spans="1:15" ht="19.5" customHeight="1" thickBot="1" x14ac:dyDescent="0.3">
      <c r="A234" s="347" t="s">
        <v>118</v>
      </c>
      <c r="B234" s="290">
        <f>+ENERO!$AG232</f>
        <v>3.8625000000000003</v>
      </c>
      <c r="C234" s="290">
        <f>+FEBRERO!$AG232</f>
        <v>0</v>
      </c>
      <c r="D234" s="290">
        <f>+MARZO!$AG232</f>
        <v>0</v>
      </c>
      <c r="E234" s="290">
        <f>+ABRIL!$AG232</f>
        <v>0</v>
      </c>
      <c r="F234" s="290">
        <f>+MAYO!$AG232</f>
        <v>0</v>
      </c>
      <c r="G234" s="290">
        <f>+JUNIO!$AG232</f>
        <v>0</v>
      </c>
      <c r="H234" s="290">
        <f>+JULIO!$AG232</f>
        <v>0</v>
      </c>
      <c r="I234" s="290">
        <f>+AGOSTO!$AG232</f>
        <v>0</v>
      </c>
      <c r="J234" s="290">
        <f>+SEPTIEMBRE!$AG232</f>
        <v>0</v>
      </c>
      <c r="K234" s="290">
        <f>+OCTUBRE!$AG232</f>
        <v>0</v>
      </c>
      <c r="L234" s="290">
        <f>+NOVIEMBRE!$AG234</f>
        <v>0</v>
      </c>
      <c r="M234" s="290">
        <f>+DICIEMBRE!$AG234</f>
        <v>0</v>
      </c>
      <c r="N234" s="245">
        <f t="shared" ref="M234:N234" si="4">+N233+N232+N222+N231</f>
        <v>0</v>
      </c>
      <c r="O234" s="36"/>
    </row>
    <row r="235" spans="1:15" ht="18.75" x14ac:dyDescent="0.25">
      <c r="A235" s="348" t="s">
        <v>90</v>
      </c>
      <c r="B235" s="291">
        <f>+ENERO!$AG233</f>
        <v>780</v>
      </c>
      <c r="C235" s="291">
        <f>+FEBRERO!$AG233</f>
        <v>0</v>
      </c>
      <c r="D235" s="291">
        <f>+MARZO!$AG233</f>
        <v>0</v>
      </c>
      <c r="E235" s="291">
        <f>+ABRIL!$AG233</f>
        <v>0</v>
      </c>
      <c r="F235" s="291">
        <f>+MAYO!$AG233</f>
        <v>0</v>
      </c>
      <c r="G235" s="291">
        <f>+JUNIO!$AG233</f>
        <v>0</v>
      </c>
      <c r="H235" s="291">
        <f>+JULIO!$AG233</f>
        <v>0</v>
      </c>
      <c r="I235" s="291">
        <f>+AGOSTO!$AG233</f>
        <v>0</v>
      </c>
      <c r="J235" s="291">
        <f>+SEPTIEMBRE!$AG233</f>
        <v>0</v>
      </c>
      <c r="K235" s="291">
        <f>+OCTUBRE!$AG233</f>
        <v>0</v>
      </c>
      <c r="L235" s="291">
        <f>+NOVIEMBRE!$AG235</f>
        <v>0</v>
      </c>
      <c r="M235" s="291">
        <f>+DICIEMBRE!$AG235</f>
        <v>0</v>
      </c>
      <c r="N235" s="246"/>
      <c r="O235" s="440" t="s">
        <v>96</v>
      </c>
    </row>
    <row r="236" spans="1:15" ht="18.75" customHeight="1" x14ac:dyDescent="0.25">
      <c r="A236" s="349" t="s">
        <v>91</v>
      </c>
      <c r="B236" s="292">
        <f>+ENERO!$AG234</f>
        <v>7.3333333333333304</v>
      </c>
      <c r="C236" s="292">
        <f>+FEBRERO!$AG234</f>
        <v>0</v>
      </c>
      <c r="D236" s="292">
        <f>+MARZO!$AG234</f>
        <v>0</v>
      </c>
      <c r="E236" s="292">
        <f>+ABRIL!$AG234</f>
        <v>0</v>
      </c>
      <c r="F236" s="292">
        <f>+MAYO!$AG234</f>
        <v>0</v>
      </c>
      <c r="G236" s="292">
        <f>+JUNIO!$AG234</f>
        <v>0</v>
      </c>
      <c r="H236" s="292">
        <f>+JULIO!$AG234</f>
        <v>0</v>
      </c>
      <c r="I236" s="292">
        <f>+AGOSTO!$AG234</f>
        <v>0</v>
      </c>
      <c r="J236" s="292">
        <f>+SEPTIEMBRE!$AG234</f>
        <v>0</v>
      </c>
      <c r="K236" s="292">
        <f>+OCTUBRE!$AG234</f>
        <v>0</v>
      </c>
      <c r="L236" s="292">
        <f>+NOVIEMBRE!$AG236</f>
        <v>0</v>
      </c>
      <c r="M236" s="292">
        <f>+DICIEMBRE!$AG236</f>
        <v>0</v>
      </c>
      <c r="N236" s="247"/>
      <c r="O236" s="441"/>
    </row>
    <row r="237" spans="1:15" ht="19.5" thickBot="1" x14ac:dyDescent="0.3">
      <c r="A237" s="350" t="s">
        <v>97</v>
      </c>
      <c r="B237" s="293">
        <f>+ENERO!$AG235</f>
        <v>0</v>
      </c>
      <c r="C237" s="293">
        <f>+FEBRERO!$AG235</f>
        <v>0</v>
      </c>
      <c r="D237" s="293">
        <f>+MARZO!$AG235</f>
        <v>0</v>
      </c>
      <c r="E237" s="293">
        <f>+ABRIL!$AG235</f>
        <v>0</v>
      </c>
      <c r="F237" s="293">
        <f>+MAYO!$AG235</f>
        <v>0</v>
      </c>
      <c r="G237" s="293">
        <f>+JUNIO!$AG235</f>
        <v>0</v>
      </c>
      <c r="H237" s="293">
        <f>+JULIO!$AG235</f>
        <v>0</v>
      </c>
      <c r="I237" s="293">
        <f>+AGOSTO!$AG235</f>
        <v>0</v>
      </c>
      <c r="J237" s="293">
        <f>+SEPTIEMBRE!$AG235</f>
        <v>0</v>
      </c>
      <c r="K237" s="293">
        <f>+OCTUBRE!$AG235</f>
        <v>0</v>
      </c>
      <c r="L237" s="293">
        <f>+NOVIEMBRE!$AG237</f>
        <v>0</v>
      </c>
      <c r="M237" s="293">
        <f>+DICIEMBRE!$AG237</f>
        <v>0</v>
      </c>
      <c r="N237" s="248"/>
      <c r="O237" s="442"/>
    </row>
    <row r="238" spans="1:15" ht="19.5" thickBot="1" x14ac:dyDescent="0.3">
      <c r="A238" s="362" t="s">
        <v>92</v>
      </c>
      <c r="B238" s="276">
        <f>+ENERO!$AG236</f>
        <v>110</v>
      </c>
      <c r="C238" s="276">
        <f>+FEBRERO!$AG236</f>
        <v>0</v>
      </c>
      <c r="D238" s="276">
        <f>+MARZO!$AG236</f>
        <v>0</v>
      </c>
      <c r="E238" s="276">
        <f>+ABRIL!$AG236</f>
        <v>160</v>
      </c>
      <c r="F238" s="276">
        <f>+MAYO!$AG236</f>
        <v>0</v>
      </c>
      <c r="G238" s="276">
        <f>+JUNIO!$AG236</f>
        <v>0</v>
      </c>
      <c r="H238" s="276">
        <f>+JULIO!$AG236</f>
        <v>0</v>
      </c>
      <c r="I238" s="276">
        <f>+AGOSTO!$AG236</f>
        <v>0</v>
      </c>
      <c r="J238" s="276">
        <f>+SEPTIEMBRE!$AG236</f>
        <v>0</v>
      </c>
      <c r="K238" s="276">
        <f>+OCTUBRE!$AG236</f>
        <v>0</v>
      </c>
      <c r="L238" s="276">
        <f>+NOVIEMBRE!$AG238</f>
        <v>0</v>
      </c>
      <c r="M238" s="276">
        <f>+DICIEMBRE!$AG238</f>
        <v>0</v>
      </c>
      <c r="N238" s="124">
        <f t="shared" ref="M238:N238" si="5">SUM(N239:N241)</f>
        <v>270</v>
      </c>
      <c r="O238" s="440" t="s">
        <v>93</v>
      </c>
    </row>
    <row r="239" spans="1:15" ht="18.75" customHeight="1" x14ac:dyDescent="0.25">
      <c r="A239" s="359" t="s">
        <v>94</v>
      </c>
      <c r="B239" s="360">
        <f>+ENERO!$AG237</f>
        <v>41</v>
      </c>
      <c r="C239" s="360">
        <f>+FEBRERO!$AG237</f>
        <v>0</v>
      </c>
      <c r="D239" s="360">
        <f>+MARZO!$AG237</f>
        <v>0</v>
      </c>
      <c r="E239" s="360">
        <f>+ABRIL!$AG237</f>
        <v>40</v>
      </c>
      <c r="F239" s="360">
        <f>+MAYO!$AG237</f>
        <v>0</v>
      </c>
      <c r="G239" s="360">
        <f>+JUNIO!$AG237</f>
        <v>0</v>
      </c>
      <c r="H239" s="360">
        <f>+JULIO!$AG237</f>
        <v>0</v>
      </c>
      <c r="I239" s="360">
        <f>+AGOSTO!$AG237</f>
        <v>0</v>
      </c>
      <c r="J239" s="360">
        <f>+SEPTIEMBRE!$AG237</f>
        <v>0</v>
      </c>
      <c r="K239" s="360">
        <f>+OCTUBRE!$AG237</f>
        <v>0</v>
      </c>
      <c r="L239" s="360">
        <f>+NOVIEMBRE!$AG239</f>
        <v>0</v>
      </c>
      <c r="M239" s="360">
        <f>+DICIEMBRE!$AG239</f>
        <v>0</v>
      </c>
      <c r="N239" s="361">
        <f>SUM(B239:M239)</f>
        <v>81</v>
      </c>
      <c r="O239" s="441"/>
    </row>
    <row r="240" spans="1:15" ht="18.75" x14ac:dyDescent="0.25">
      <c r="A240" s="351" t="s">
        <v>95</v>
      </c>
      <c r="B240" s="145">
        <f>+ENERO!$AG238</f>
        <v>69</v>
      </c>
      <c r="C240" s="145">
        <f>+FEBRERO!$AG238</f>
        <v>0</v>
      </c>
      <c r="D240" s="145">
        <f>+MARZO!$AG238</f>
        <v>0</v>
      </c>
      <c r="E240" s="145">
        <f>+ABRIL!$AG238</f>
        <v>120</v>
      </c>
      <c r="F240" s="145">
        <f>+MAYO!$AG238</f>
        <v>0</v>
      </c>
      <c r="G240" s="145">
        <f>+JUNIO!$AG238</f>
        <v>0</v>
      </c>
      <c r="H240" s="145">
        <f>+JULIO!$AG238</f>
        <v>0</v>
      </c>
      <c r="I240" s="145">
        <f>+AGOSTO!$AG238</f>
        <v>0</v>
      </c>
      <c r="J240" s="145">
        <f>+SEPTIEMBRE!$AG238</f>
        <v>0</v>
      </c>
      <c r="K240" s="145">
        <f>+OCTUBRE!$AG238</f>
        <v>0</v>
      </c>
      <c r="L240" s="145">
        <f>+NOVIEMBRE!$AG240</f>
        <v>0</v>
      </c>
      <c r="M240" s="145">
        <f>+DICIEMBRE!$AG240</f>
        <v>0</v>
      </c>
      <c r="N240" s="249">
        <f t="shared" ref="N240:N241" si="6">SUM(B240:M240)</f>
        <v>189</v>
      </c>
      <c r="O240" s="441"/>
    </row>
    <row r="241" spans="1:15" ht="19.5" thickBot="1" x14ac:dyDescent="0.3">
      <c r="A241" s="352" t="s">
        <v>106</v>
      </c>
      <c r="B241" s="294">
        <f>+ENERO!$AG239</f>
        <v>0</v>
      </c>
      <c r="C241" s="294">
        <f>+FEBRERO!$AG239</f>
        <v>0</v>
      </c>
      <c r="D241" s="294">
        <f>+MARZO!$AG239</f>
        <v>0</v>
      </c>
      <c r="E241" s="294">
        <f>+ABRIL!$AG239</f>
        <v>0</v>
      </c>
      <c r="F241" s="294">
        <f>+MAYO!$AG239</f>
        <v>0</v>
      </c>
      <c r="G241" s="294">
        <f>+JUNIO!$AG239</f>
        <v>0</v>
      </c>
      <c r="H241" s="294">
        <f>+JULIO!$AG239</f>
        <v>0</v>
      </c>
      <c r="I241" s="294">
        <f>+AGOSTO!$AG239</f>
        <v>0</v>
      </c>
      <c r="J241" s="294">
        <f>+SEPTIEMBRE!$AG239</f>
        <v>0</v>
      </c>
      <c r="K241" s="294">
        <f>+OCTUBRE!$AG239</f>
        <v>0</v>
      </c>
      <c r="L241" s="294">
        <f>+NOVIEMBRE!$AG241</f>
        <v>0</v>
      </c>
      <c r="M241" s="294">
        <f>+DICIEMBRE!$AG241</f>
        <v>0</v>
      </c>
      <c r="N241" s="250">
        <f t="shared" si="6"/>
        <v>0</v>
      </c>
      <c r="O241" s="442"/>
    </row>
    <row r="242" spans="1:15" ht="24" hidden="1" thickBot="1" x14ac:dyDescent="0.3">
      <c r="A242" s="353" t="s">
        <v>148</v>
      </c>
      <c r="B242" s="295">
        <f>+ENERO!$AG240</f>
        <v>0</v>
      </c>
      <c r="C242" s="295">
        <f>+FEBRERO!$AG240</f>
        <v>0</v>
      </c>
      <c r="D242" s="295">
        <f>+MARZO!$AG240</f>
        <v>0</v>
      </c>
      <c r="E242" s="295">
        <f>+ABRIL!$AG240</f>
        <v>0</v>
      </c>
      <c r="F242" s="295">
        <f>+MAYO!$AG240</f>
        <v>0</v>
      </c>
      <c r="G242" s="295">
        <f>+JUNIO!$AG240</f>
        <v>0</v>
      </c>
      <c r="H242" s="295">
        <f>+JULIO!$AG240</f>
        <v>0</v>
      </c>
      <c r="I242" s="295">
        <f>+AGOSTO!$AG240</f>
        <v>0</v>
      </c>
      <c r="J242" s="295">
        <f>+SEPTIEMBRE!$AG240</f>
        <v>0</v>
      </c>
      <c r="K242" s="295">
        <f>+OCTUBRE!$AG240</f>
        <v>0</v>
      </c>
      <c r="L242" s="295">
        <f>+NOVIEMBRE!$AG242</f>
        <v>0</v>
      </c>
      <c r="M242" s="295">
        <f>+DICIEMBRE!$AG242</f>
        <v>0</v>
      </c>
      <c r="N242" s="201">
        <f t="shared" ref="M242:N242" si="7">SUM(N243:N248)</f>
        <v>0</v>
      </c>
    </row>
    <row r="243" spans="1:15" ht="19.5" hidden="1" thickBot="1" x14ac:dyDescent="0.3">
      <c r="A243" s="354" t="s">
        <v>159</v>
      </c>
      <c r="B243" s="296">
        <f>+ENERO!$AG241</f>
        <v>0</v>
      </c>
      <c r="C243" s="296">
        <f>+FEBRERO!$AG241</f>
        <v>0</v>
      </c>
      <c r="D243" s="296">
        <f>+MARZO!$AG241</f>
        <v>0</v>
      </c>
      <c r="E243" s="296">
        <f>+ABRIL!$AG241</f>
        <v>0</v>
      </c>
      <c r="F243" s="296">
        <f>+MAYO!$AG241</f>
        <v>0</v>
      </c>
      <c r="G243" s="296">
        <f>+JUNIO!$AG241</f>
        <v>0</v>
      </c>
      <c r="H243" s="296">
        <f>+JULIO!$AG241</f>
        <v>0</v>
      </c>
      <c r="I243" s="296">
        <f>+AGOSTO!$AG241</f>
        <v>0</v>
      </c>
      <c r="J243" s="296">
        <f>+SEPTIEMBRE!$AG241</f>
        <v>0</v>
      </c>
      <c r="K243" s="296">
        <f>+OCTUBRE!$AG241</f>
        <v>0</v>
      </c>
      <c r="L243" s="296">
        <f>+NOVIEMBRE!$AG243</f>
        <v>0</v>
      </c>
      <c r="M243" s="296">
        <f>+DICIEMBRE!$AG243</f>
        <v>0</v>
      </c>
      <c r="N243" s="197"/>
    </row>
    <row r="244" spans="1:15" ht="38.25" hidden="1" customHeight="1" x14ac:dyDescent="0.25">
      <c r="A244" s="354" t="s">
        <v>160</v>
      </c>
      <c r="B244" s="296">
        <f>+ENERO!$AG242</f>
        <v>0</v>
      </c>
      <c r="C244" s="296">
        <f>+FEBRERO!$AG242</f>
        <v>0</v>
      </c>
      <c r="D244" s="296">
        <f>+MARZO!$AG242</f>
        <v>0</v>
      </c>
      <c r="E244" s="296">
        <f>+ABRIL!$AG242</f>
        <v>0</v>
      </c>
      <c r="F244" s="296">
        <f>+MAYO!$AG242</f>
        <v>0</v>
      </c>
      <c r="G244" s="296">
        <f>+JUNIO!$AG242</f>
        <v>0</v>
      </c>
      <c r="H244" s="296">
        <f>+JULIO!$AG242</f>
        <v>0</v>
      </c>
      <c r="I244" s="296">
        <f>+AGOSTO!$AG242</f>
        <v>0</v>
      </c>
      <c r="J244" s="296">
        <f>+SEPTIEMBRE!$AG242</f>
        <v>0</v>
      </c>
      <c r="K244" s="296">
        <f>+OCTUBRE!$AG242</f>
        <v>0</v>
      </c>
      <c r="L244" s="296">
        <f>+NOVIEMBRE!$AG244</f>
        <v>0</v>
      </c>
      <c r="M244" s="296">
        <f>+DICIEMBRE!$AG244</f>
        <v>0</v>
      </c>
      <c r="N244" s="197"/>
    </row>
    <row r="245" spans="1:15" ht="40.5" hidden="1" customHeight="1" x14ac:dyDescent="0.25">
      <c r="A245" s="354" t="s">
        <v>161</v>
      </c>
      <c r="B245" s="296">
        <f>+ENERO!$AG243</f>
        <v>0</v>
      </c>
      <c r="C245" s="296">
        <f>+FEBRERO!$AG243</f>
        <v>0</v>
      </c>
      <c r="D245" s="296">
        <f>+MARZO!$AG243</f>
        <v>0</v>
      </c>
      <c r="E245" s="296">
        <f>+ABRIL!$AG243</f>
        <v>0</v>
      </c>
      <c r="F245" s="296">
        <f>+MAYO!$AG243</f>
        <v>0</v>
      </c>
      <c r="G245" s="296">
        <f>+JUNIO!$AG243</f>
        <v>0</v>
      </c>
      <c r="H245" s="296">
        <f>+JULIO!$AG243</f>
        <v>0</v>
      </c>
      <c r="I245" s="296">
        <f>+AGOSTO!$AG243</f>
        <v>0</v>
      </c>
      <c r="J245" s="296">
        <f>+SEPTIEMBRE!$AG243</f>
        <v>0</v>
      </c>
      <c r="K245" s="296">
        <f>+OCTUBRE!$AG243</f>
        <v>0</v>
      </c>
      <c r="L245" s="296">
        <f>+NOVIEMBRE!$AG245</f>
        <v>0</v>
      </c>
      <c r="M245" s="296">
        <f>+DICIEMBRE!$AG245</f>
        <v>0</v>
      </c>
      <c r="N245" s="197"/>
    </row>
    <row r="246" spans="1:15" ht="40.5" hidden="1" customHeight="1" x14ac:dyDescent="0.25">
      <c r="A246" s="354" t="s">
        <v>162</v>
      </c>
      <c r="B246" s="296">
        <f>+ENERO!$AG244</f>
        <v>0</v>
      </c>
      <c r="C246" s="296">
        <f>+FEBRERO!$AG244</f>
        <v>0</v>
      </c>
      <c r="D246" s="296">
        <f>+MARZO!$AG244</f>
        <v>0</v>
      </c>
      <c r="E246" s="296">
        <f>+ABRIL!$AG244</f>
        <v>0</v>
      </c>
      <c r="F246" s="296">
        <f>+MAYO!$AG244</f>
        <v>0</v>
      </c>
      <c r="G246" s="296">
        <f>+JUNIO!$AG244</f>
        <v>0</v>
      </c>
      <c r="H246" s="296">
        <f>+JULIO!$AG244</f>
        <v>0</v>
      </c>
      <c r="I246" s="296">
        <f>+AGOSTO!$AG244</f>
        <v>0</v>
      </c>
      <c r="J246" s="296">
        <f>+SEPTIEMBRE!$AG244</f>
        <v>0</v>
      </c>
      <c r="K246" s="296">
        <f>+OCTUBRE!$AG244</f>
        <v>0</v>
      </c>
      <c r="L246" s="296">
        <f>+NOVIEMBRE!$AG246</f>
        <v>0</v>
      </c>
      <c r="M246" s="296">
        <f>+DICIEMBRE!$AG246</f>
        <v>0</v>
      </c>
      <c r="N246" s="197"/>
    </row>
    <row r="247" spans="1:15" ht="40.5" hidden="1" customHeight="1" x14ac:dyDescent="0.25">
      <c r="A247" s="355" t="s">
        <v>163</v>
      </c>
      <c r="B247" s="297">
        <f>+ENERO!$AG245</f>
        <v>0</v>
      </c>
      <c r="C247" s="297">
        <f>+FEBRERO!$AG245</f>
        <v>0</v>
      </c>
      <c r="D247" s="297">
        <f>+MARZO!$AG245</f>
        <v>0</v>
      </c>
      <c r="E247" s="297">
        <f>+ABRIL!$AG245</f>
        <v>0</v>
      </c>
      <c r="F247" s="297">
        <f>+MAYO!$AG245</f>
        <v>0</v>
      </c>
      <c r="G247" s="297">
        <f>+JUNIO!$AG245</f>
        <v>0</v>
      </c>
      <c r="H247" s="297">
        <f>+JULIO!$AG245</f>
        <v>0</v>
      </c>
      <c r="I247" s="297">
        <f>+AGOSTO!$AG245</f>
        <v>0</v>
      </c>
      <c r="J247" s="297">
        <f>+SEPTIEMBRE!$AG245</f>
        <v>0</v>
      </c>
      <c r="K247" s="297">
        <f>+OCTUBRE!$AG245</f>
        <v>0</v>
      </c>
      <c r="L247" s="297">
        <f>+NOVIEMBRE!$AG247</f>
        <v>0</v>
      </c>
      <c r="M247" s="297">
        <f>+DICIEMBRE!$AG247</f>
        <v>0</v>
      </c>
      <c r="N247" s="138"/>
    </row>
    <row r="248" spans="1:15" ht="40.5" hidden="1" customHeight="1" thickBot="1" x14ac:dyDescent="0.3">
      <c r="A248" s="356" t="s">
        <v>164</v>
      </c>
      <c r="B248" s="298">
        <f>+ENERO!$AG246</f>
        <v>0</v>
      </c>
      <c r="C248" s="298">
        <f>+FEBRERO!$AG246</f>
        <v>0</v>
      </c>
      <c r="D248" s="298">
        <f>+MARZO!$AG246</f>
        <v>0</v>
      </c>
      <c r="E248" s="298">
        <f>+ABRIL!$AG246</f>
        <v>0</v>
      </c>
      <c r="F248" s="298">
        <f>+MAYO!$AG246</f>
        <v>0</v>
      </c>
      <c r="G248" s="298">
        <f>+JUNIO!$AG246</f>
        <v>0</v>
      </c>
      <c r="H248" s="298">
        <f>+JULIO!$AG246</f>
        <v>0</v>
      </c>
      <c r="I248" s="298">
        <f>+AGOSTO!$AG246</f>
        <v>0</v>
      </c>
      <c r="J248" s="298">
        <f>+SEPTIEMBRE!$AG246</f>
        <v>0</v>
      </c>
      <c r="K248" s="298">
        <f>+OCTUBRE!$AG246</f>
        <v>0</v>
      </c>
      <c r="L248" s="298">
        <f>+NOVIEMBRE!$AG248</f>
        <v>0</v>
      </c>
      <c r="M248" s="298">
        <f>+DICIEMBRE!$AG248</f>
        <v>0</v>
      </c>
      <c r="N248" s="224"/>
    </row>
    <row r="249" spans="1:15" ht="39.75" customHeight="1" x14ac:dyDescent="0.25">
      <c r="A249" s="357" t="s">
        <v>151</v>
      </c>
      <c r="B249" s="371">
        <f>+ENERO!$AG247</f>
        <v>2.2583333333333337</v>
      </c>
      <c r="C249" s="371">
        <f>+FEBRERO!$AG247</f>
        <v>0</v>
      </c>
      <c r="D249" s="371">
        <f>+MARZO!$AG247</f>
        <v>0</v>
      </c>
      <c r="E249" s="371">
        <f>+ABRIL!$AG247</f>
        <v>0</v>
      </c>
      <c r="F249" s="371">
        <f>+MAYO!$AG247</f>
        <v>0</v>
      </c>
      <c r="G249" s="371">
        <f>+JUNIO!$AG247</f>
        <v>0</v>
      </c>
      <c r="H249" s="371">
        <f>+JULIO!$AG247</f>
        <v>0</v>
      </c>
      <c r="I249" s="371">
        <f>+AGOSTO!$AG247</f>
        <v>0</v>
      </c>
      <c r="J249" s="371">
        <f>+SEPTIEMBRE!$AG247</f>
        <v>0</v>
      </c>
      <c r="K249" s="371">
        <f>+OCTUBRE!$AG247</f>
        <v>0</v>
      </c>
      <c r="L249" s="371">
        <f>+NOVIEMBRE!$AG249</f>
        <v>0</v>
      </c>
      <c r="M249" s="371">
        <f>+DICIEMBRE!$AG249</f>
        <v>0</v>
      </c>
      <c r="N249" s="369">
        <f>SUM(B249:M249)</f>
        <v>2.2583333333333337</v>
      </c>
    </row>
    <row r="250" spans="1:15" ht="22.5" thickBot="1" x14ac:dyDescent="0.3">
      <c r="A250" s="358" t="s">
        <v>152</v>
      </c>
      <c r="B250" s="372">
        <f>+ENERO!$AG248</f>
        <v>2.1166666666666667</v>
      </c>
      <c r="C250" s="372">
        <f>+FEBRERO!$AG248</f>
        <v>0</v>
      </c>
      <c r="D250" s="372">
        <f>+MARZO!$AG248</f>
        <v>0</v>
      </c>
      <c r="E250" s="372">
        <f>+ABRIL!$AG248</f>
        <v>0</v>
      </c>
      <c r="F250" s="372">
        <f>+MAYO!$AG248</f>
        <v>0</v>
      </c>
      <c r="G250" s="372">
        <f>+JUNIO!$AG248</f>
        <v>0</v>
      </c>
      <c r="H250" s="372">
        <f>+JULIO!$AG248</f>
        <v>0</v>
      </c>
      <c r="I250" s="372">
        <f>+AGOSTO!$AG248</f>
        <v>0</v>
      </c>
      <c r="J250" s="372">
        <f>+SEPTIEMBRE!$AG248</f>
        <v>0</v>
      </c>
      <c r="K250" s="372">
        <f>+OCTUBRE!$AG248</f>
        <v>0</v>
      </c>
      <c r="L250" s="372">
        <f>+NOVIEMBRE!$AG250</f>
        <v>0</v>
      </c>
      <c r="M250" s="372">
        <f>+DICIEMBRE!$AG250</f>
        <v>0</v>
      </c>
      <c r="N250" s="370">
        <f>SUM(B250:M250)</f>
        <v>2.1166666666666667</v>
      </c>
    </row>
    <row r="270" ht="18.75" customHeight="1" x14ac:dyDescent="0.25"/>
    <row r="271" ht="18.75" customHeight="1" x14ac:dyDescent="0.25"/>
    <row r="272" ht="18.75" customHeight="1" x14ac:dyDescent="0.25"/>
    <row r="273" ht="18.75" customHeight="1" x14ac:dyDescent="0.25"/>
    <row r="274" ht="18.75" customHeight="1" x14ac:dyDescent="0.25"/>
    <row r="275" ht="18.75" customHeight="1" x14ac:dyDescent="0.25"/>
    <row r="276" ht="18.75" customHeight="1" x14ac:dyDescent="0.25"/>
    <row r="277" ht="18.75" customHeight="1" x14ac:dyDescent="0.25"/>
    <row r="278" ht="18.75" customHeight="1" x14ac:dyDescent="0.25"/>
    <row r="279" ht="18.75" customHeight="1" x14ac:dyDescent="0.25"/>
    <row r="280" ht="18.75" customHeight="1" x14ac:dyDescent="0.25"/>
    <row r="281" ht="19.5" customHeight="1" x14ac:dyDescent="0.25"/>
    <row r="283" ht="18.75" customHeight="1" x14ac:dyDescent="0.25"/>
    <row r="286" ht="18.75" customHeight="1" x14ac:dyDescent="0.25"/>
  </sheetData>
  <dataConsolidate/>
  <mergeCells count="5">
    <mergeCell ref="A1:N1"/>
    <mergeCell ref="P84:P86"/>
    <mergeCell ref="O222:O233"/>
    <mergeCell ref="O235:O237"/>
    <mergeCell ref="O238:O241"/>
  </mergeCells>
  <conditionalFormatting sqref="B29:M52">
    <cfRule type="cellIs" dxfId="132" priority="1" operator="lessThan">
      <formula>0</formula>
    </cfRule>
  </conditionalFormatting>
  <conditionalFormatting sqref="O81">
    <cfRule type="cellIs" dxfId="130" priority="12" operator="equal">
      <formula>"*"</formula>
    </cfRule>
  </conditionalFormatting>
  <conditionalFormatting sqref="O84 O87">
    <cfRule type="cellIs" dxfId="129" priority="13" operator="equal">
      <formula>"*"</formula>
    </cfRule>
  </conditionalFormatting>
  <conditionalFormatting sqref="O93">
    <cfRule type="cellIs" dxfId="128" priority="17" operator="equal">
      <formula>"*"</formula>
    </cfRule>
  </conditionalFormatting>
  <conditionalFormatting sqref="O130">
    <cfRule type="cellIs" dxfId="127" priority="15" operator="equal">
      <formula>"*"</formula>
    </cfRule>
  </conditionalFormatting>
  <conditionalFormatting sqref="O144:O145">
    <cfRule type="cellIs" dxfId="126" priority="16" operator="equal">
      <formula>"*"</formula>
    </cfRule>
  </conditionalFormatting>
  <conditionalFormatting sqref="O179">
    <cfRule type="cellIs" dxfId="125" priority="14" operator="equal">
      <formula>"*"</formula>
    </cfRule>
  </conditionalFormatting>
  <conditionalFormatting sqref="O206">
    <cfRule type="cellIs" dxfId="124" priority="11" operator="equal">
      <formula>"X"</formula>
    </cfRule>
  </conditionalFormatting>
  <dataValidations disablePrompts="1" count="1">
    <dataValidation type="whole" allowBlank="1" showInputMessage="1" showErrorMessage="1" errorTitle="ERROR" error="Por favor ingrese solo Números" sqref="A98:A99 A101:A115" xr:uid="{00000000-0002-0000-0200-000000000000}">
      <formula1>0</formula1>
      <formula2>1000000000</formula2>
    </dataValidation>
  </dataValidations>
  <pageMargins left="0.7" right="0.7" top="0.75" bottom="0.75" header="0.3" footer="0.3"/>
  <pageSetup orientation="portrait" horizontalDpi="0" verticalDpi="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/>
  <dimension ref="A1:AI284"/>
  <sheetViews>
    <sheetView zoomScale="80" zoomScaleNormal="80" workbookViewId="0">
      <pane xSplit="1" ySplit="3" topLeftCell="B200" activePane="bottomRight" state="frozen"/>
      <selection activeCell="AG3" sqref="AG3"/>
      <selection pane="topRight" activeCell="AG3" sqref="AG3"/>
      <selection pane="bottomLeft" activeCell="AG3" sqref="AG3"/>
      <selection pane="bottomRight" activeCell="B218" sqref="B218"/>
    </sheetView>
  </sheetViews>
  <sheetFormatPr baseColWidth="10" defaultRowHeight="15" x14ac:dyDescent="0.25"/>
  <cols>
    <col min="1" max="1" width="34.7109375" customWidth="1"/>
    <col min="2" max="13" width="8.28515625" customWidth="1"/>
    <col min="14" max="14" width="10.140625" customWidth="1"/>
    <col min="15" max="27" width="8.28515625" customWidth="1"/>
    <col min="28" max="28" width="9.7109375" customWidth="1"/>
    <col min="29" max="32" width="8.28515625" customWidth="1"/>
    <col min="33" max="33" width="11.140625" customWidth="1"/>
    <col min="34" max="34" width="12.42578125" customWidth="1"/>
  </cols>
  <sheetData>
    <row r="1" spans="1:33" ht="21.75" thickBot="1" x14ac:dyDescent="0.3">
      <c r="A1" s="431"/>
      <c r="B1" s="432"/>
      <c r="C1" s="432"/>
      <c r="D1" s="432"/>
      <c r="E1" s="432"/>
      <c r="F1" s="432"/>
      <c r="G1" s="432"/>
      <c r="H1" s="432"/>
      <c r="I1" s="432"/>
      <c r="J1" s="432"/>
      <c r="K1" s="432"/>
      <c r="L1" s="432"/>
      <c r="M1" s="432"/>
      <c r="N1" s="432"/>
      <c r="O1" s="432"/>
      <c r="P1" s="432"/>
      <c r="Q1" s="432"/>
      <c r="R1" s="432"/>
      <c r="S1" s="432"/>
      <c r="T1" s="432"/>
      <c r="U1" s="432"/>
      <c r="V1" s="432"/>
      <c r="W1" s="432"/>
      <c r="X1" s="432"/>
      <c r="Y1" s="432"/>
      <c r="Z1" s="432"/>
      <c r="AA1" s="432"/>
      <c r="AB1" s="432"/>
      <c r="AC1" s="432"/>
      <c r="AD1" s="432"/>
      <c r="AE1" s="432"/>
      <c r="AF1" s="432"/>
      <c r="AG1" s="433"/>
    </row>
    <row r="2" spans="1:33" ht="21.75" thickBot="1" x14ac:dyDescent="0.3">
      <c r="A2" s="82" t="s">
        <v>153</v>
      </c>
      <c r="B2" s="106">
        <v>1</v>
      </c>
      <c r="C2" s="230">
        <f t="shared" ref="C2:AA2" si="0">+B2+1</f>
        <v>2</v>
      </c>
      <c r="D2" s="230">
        <f t="shared" si="0"/>
        <v>3</v>
      </c>
      <c r="E2" s="106">
        <f t="shared" si="0"/>
        <v>4</v>
      </c>
      <c r="F2" s="106">
        <f t="shared" si="0"/>
        <v>5</v>
      </c>
      <c r="G2" s="230">
        <f t="shared" si="0"/>
        <v>6</v>
      </c>
      <c r="H2" s="230">
        <f t="shared" si="0"/>
        <v>7</v>
      </c>
      <c r="I2" s="230">
        <f t="shared" si="0"/>
        <v>8</v>
      </c>
      <c r="J2" s="230">
        <f t="shared" si="0"/>
        <v>9</v>
      </c>
      <c r="K2" s="230">
        <f t="shared" si="0"/>
        <v>10</v>
      </c>
      <c r="L2" s="106">
        <f t="shared" si="0"/>
        <v>11</v>
      </c>
      <c r="M2" s="106">
        <f t="shared" si="0"/>
        <v>12</v>
      </c>
      <c r="N2" s="230">
        <f t="shared" si="0"/>
        <v>13</v>
      </c>
      <c r="O2" s="230">
        <f t="shared" si="0"/>
        <v>14</v>
      </c>
      <c r="P2" s="230">
        <f t="shared" si="0"/>
        <v>15</v>
      </c>
      <c r="Q2" s="230">
        <f t="shared" si="0"/>
        <v>16</v>
      </c>
      <c r="R2" s="230">
        <f t="shared" si="0"/>
        <v>17</v>
      </c>
      <c r="S2" s="106">
        <f t="shared" si="0"/>
        <v>18</v>
      </c>
      <c r="T2" s="106">
        <f t="shared" si="0"/>
        <v>19</v>
      </c>
      <c r="U2" s="230">
        <f t="shared" si="0"/>
        <v>20</v>
      </c>
      <c r="V2" s="230">
        <f t="shared" si="0"/>
        <v>21</v>
      </c>
      <c r="W2" s="230">
        <f t="shared" si="0"/>
        <v>22</v>
      </c>
      <c r="X2" s="230">
        <f t="shared" si="0"/>
        <v>23</v>
      </c>
      <c r="Y2" s="230">
        <f t="shared" si="0"/>
        <v>24</v>
      </c>
      <c r="Z2" s="106">
        <f t="shared" si="0"/>
        <v>25</v>
      </c>
      <c r="AA2" s="106">
        <f t="shared" si="0"/>
        <v>26</v>
      </c>
      <c r="AB2" s="230">
        <v>27</v>
      </c>
      <c r="AC2" s="230">
        <f>+AB2+1</f>
        <v>28</v>
      </c>
      <c r="AD2" s="230">
        <v>29</v>
      </c>
      <c r="AE2" s="230">
        <v>30</v>
      </c>
      <c r="AF2" s="230">
        <v>31</v>
      </c>
      <c r="AG2" s="3" t="s">
        <v>80</v>
      </c>
    </row>
    <row r="3" spans="1:33" ht="19.5" thickBot="1" x14ac:dyDescent="0.3">
      <c r="A3" s="136" t="s">
        <v>0</v>
      </c>
      <c r="B3" s="135">
        <f t="shared" ref="B3:AF3" si="1">SUM(B4:B27)</f>
        <v>163</v>
      </c>
      <c r="C3" s="135">
        <f t="shared" si="1"/>
        <v>169</v>
      </c>
      <c r="D3" s="135">
        <f t="shared" si="1"/>
        <v>175</v>
      </c>
      <c r="E3" s="135">
        <f t="shared" si="1"/>
        <v>225</v>
      </c>
      <c r="F3" s="135">
        <f t="shared" si="1"/>
        <v>228</v>
      </c>
      <c r="G3" s="135">
        <f t="shared" si="1"/>
        <v>188</v>
      </c>
      <c r="H3" s="135">
        <f t="shared" si="1"/>
        <v>165</v>
      </c>
      <c r="I3" s="135">
        <f t="shared" si="1"/>
        <v>155</v>
      </c>
      <c r="J3" s="135">
        <f t="shared" si="1"/>
        <v>141</v>
      </c>
      <c r="K3" s="135">
        <f t="shared" si="1"/>
        <v>140</v>
      </c>
      <c r="L3" s="135">
        <f t="shared" si="1"/>
        <v>206</v>
      </c>
      <c r="M3" s="135">
        <f t="shared" si="1"/>
        <v>199</v>
      </c>
      <c r="N3" s="135">
        <f t="shared" si="1"/>
        <v>175</v>
      </c>
      <c r="O3" s="135">
        <f t="shared" si="1"/>
        <v>151</v>
      </c>
      <c r="P3" s="135">
        <f t="shared" si="1"/>
        <v>149</v>
      </c>
      <c r="Q3" s="135">
        <f t="shared" si="1"/>
        <v>157</v>
      </c>
      <c r="R3" s="135">
        <f t="shared" si="1"/>
        <v>158</v>
      </c>
      <c r="S3" s="135">
        <f t="shared" si="1"/>
        <v>195</v>
      </c>
      <c r="T3" s="135">
        <f t="shared" si="1"/>
        <v>224</v>
      </c>
      <c r="U3" s="135">
        <f t="shared" si="1"/>
        <v>158</v>
      </c>
      <c r="V3" s="135">
        <f t="shared" si="1"/>
        <v>163</v>
      </c>
      <c r="W3" s="135">
        <f t="shared" si="1"/>
        <v>156</v>
      </c>
      <c r="X3" s="135">
        <f t="shared" si="1"/>
        <v>161</v>
      </c>
      <c r="Y3" s="135">
        <f t="shared" si="1"/>
        <v>152</v>
      </c>
      <c r="Z3" s="135">
        <f t="shared" si="1"/>
        <v>219</v>
      </c>
      <c r="AA3" s="135">
        <f t="shared" si="1"/>
        <v>231</v>
      </c>
      <c r="AB3" s="135">
        <f t="shared" si="1"/>
        <v>167</v>
      </c>
      <c r="AC3" s="135">
        <f t="shared" si="1"/>
        <v>142</v>
      </c>
      <c r="AD3" s="135">
        <f t="shared" si="1"/>
        <v>159</v>
      </c>
      <c r="AE3" s="135">
        <f t="shared" si="1"/>
        <v>147</v>
      </c>
      <c r="AF3" s="135">
        <f t="shared" si="1"/>
        <v>170</v>
      </c>
      <c r="AG3" s="187">
        <f>SUM(B3:AF3)</f>
        <v>5388</v>
      </c>
    </row>
    <row r="4" spans="1:33" ht="18.75" x14ac:dyDescent="0.25">
      <c r="A4" s="113" t="s">
        <v>54</v>
      </c>
      <c r="B4" s="114">
        <v>5</v>
      </c>
      <c r="C4" s="114"/>
      <c r="D4" s="114"/>
      <c r="E4" s="114">
        <v>11</v>
      </c>
      <c r="F4" s="114">
        <v>2</v>
      </c>
      <c r="G4" s="114"/>
      <c r="H4" s="114"/>
      <c r="I4" s="114"/>
      <c r="J4" s="114"/>
      <c r="K4" s="114"/>
      <c r="L4" s="114">
        <v>3</v>
      </c>
      <c r="M4" s="114">
        <v>6</v>
      </c>
      <c r="N4" s="114"/>
      <c r="O4" s="114"/>
      <c r="P4" s="114"/>
      <c r="Q4" s="114"/>
      <c r="R4" s="114"/>
      <c r="S4" s="114">
        <v>3</v>
      </c>
      <c r="T4" s="114">
        <v>10</v>
      </c>
      <c r="U4" s="114"/>
      <c r="V4" s="114"/>
      <c r="W4" s="114"/>
      <c r="X4" s="114"/>
      <c r="Y4" s="114"/>
      <c r="Z4" s="114">
        <v>10</v>
      </c>
      <c r="AA4" s="114">
        <v>5</v>
      </c>
      <c r="AB4" s="114"/>
      <c r="AC4" s="114"/>
      <c r="AD4" s="114"/>
      <c r="AE4" s="114"/>
      <c r="AF4" s="115"/>
      <c r="AG4" s="132">
        <f t="shared" ref="AG4:AG83" si="2">SUM(B4:AF4)</f>
        <v>55</v>
      </c>
    </row>
    <row r="5" spans="1:33" ht="18.75" x14ac:dyDescent="0.25">
      <c r="A5" s="41" t="s">
        <v>55</v>
      </c>
      <c r="B5" s="7">
        <v>9</v>
      </c>
      <c r="C5" s="7"/>
      <c r="D5" s="7"/>
      <c r="E5" s="7">
        <v>7</v>
      </c>
      <c r="F5" s="7">
        <v>7</v>
      </c>
      <c r="G5" s="7"/>
      <c r="H5" s="7">
        <v>1</v>
      </c>
      <c r="I5" s="7"/>
      <c r="J5" s="7"/>
      <c r="K5" s="7"/>
      <c r="L5" s="7">
        <v>5</v>
      </c>
      <c r="M5" s="7">
        <v>6</v>
      </c>
      <c r="N5" s="7"/>
      <c r="O5" s="7"/>
      <c r="P5" s="7"/>
      <c r="Q5" s="7"/>
      <c r="R5" s="7"/>
      <c r="S5" s="7">
        <v>11</v>
      </c>
      <c r="T5" s="7">
        <v>10</v>
      </c>
      <c r="U5" s="7"/>
      <c r="V5" s="7"/>
      <c r="W5" s="7"/>
      <c r="X5" s="7"/>
      <c r="Y5" s="7"/>
      <c r="Z5" s="7">
        <v>14</v>
      </c>
      <c r="AA5" s="7">
        <v>10</v>
      </c>
      <c r="AB5" s="7"/>
      <c r="AC5" s="7"/>
      <c r="AD5" s="7"/>
      <c r="AE5" s="7"/>
      <c r="AF5" s="8"/>
      <c r="AG5" s="4">
        <f t="shared" si="2"/>
        <v>80</v>
      </c>
    </row>
    <row r="6" spans="1:33" ht="18.75" x14ac:dyDescent="0.25">
      <c r="A6" s="41" t="s">
        <v>56</v>
      </c>
      <c r="B6" s="7">
        <v>9</v>
      </c>
      <c r="C6" s="7"/>
      <c r="D6" s="7"/>
      <c r="E6" s="7">
        <v>12</v>
      </c>
      <c r="F6" s="7">
        <v>15</v>
      </c>
      <c r="G6" s="7"/>
      <c r="H6" s="7"/>
      <c r="I6" s="7"/>
      <c r="J6" s="7"/>
      <c r="K6" s="7"/>
      <c r="L6" s="7">
        <v>10</v>
      </c>
      <c r="M6" s="7">
        <v>11</v>
      </c>
      <c r="N6" s="7"/>
      <c r="O6" s="7"/>
      <c r="P6" s="7"/>
      <c r="Q6" s="7"/>
      <c r="R6" s="7">
        <v>1</v>
      </c>
      <c r="S6" s="7">
        <v>10</v>
      </c>
      <c r="T6" s="7">
        <v>16</v>
      </c>
      <c r="U6" s="7"/>
      <c r="V6" s="7"/>
      <c r="W6" s="7"/>
      <c r="X6" s="7"/>
      <c r="Y6" s="7"/>
      <c r="Z6" s="7">
        <v>10</v>
      </c>
      <c r="AA6" s="7">
        <v>19</v>
      </c>
      <c r="AB6" s="7"/>
      <c r="AC6" s="7"/>
      <c r="AD6" s="7"/>
      <c r="AE6" s="7"/>
      <c r="AF6" s="8"/>
      <c r="AG6" s="4">
        <f t="shared" si="2"/>
        <v>113</v>
      </c>
    </row>
    <row r="7" spans="1:33" ht="18.75" x14ac:dyDescent="0.25">
      <c r="A7" s="41" t="s">
        <v>38</v>
      </c>
      <c r="B7" s="7">
        <v>10</v>
      </c>
      <c r="C7" s="7"/>
      <c r="D7" s="7"/>
      <c r="E7" s="7">
        <v>16</v>
      </c>
      <c r="F7" s="7">
        <v>12</v>
      </c>
      <c r="G7" s="7"/>
      <c r="H7" s="7"/>
      <c r="I7" s="7"/>
      <c r="J7" s="7"/>
      <c r="K7" s="7"/>
      <c r="L7" s="7">
        <v>14</v>
      </c>
      <c r="M7" s="7">
        <v>16</v>
      </c>
      <c r="N7" s="7"/>
      <c r="O7" s="7"/>
      <c r="P7" s="7"/>
      <c r="Q7" s="7"/>
      <c r="R7" s="7"/>
      <c r="S7" s="7">
        <v>10</v>
      </c>
      <c r="T7" s="7">
        <v>13</v>
      </c>
      <c r="U7" s="7"/>
      <c r="V7" s="7"/>
      <c r="W7" s="7"/>
      <c r="X7" s="7"/>
      <c r="Y7" s="7">
        <v>1</v>
      </c>
      <c r="Z7" s="7">
        <v>8</v>
      </c>
      <c r="AA7" s="7">
        <v>8</v>
      </c>
      <c r="AB7" s="7"/>
      <c r="AC7" s="7"/>
      <c r="AD7" s="7"/>
      <c r="AE7" s="7"/>
      <c r="AF7" s="8"/>
      <c r="AG7" s="4">
        <f t="shared" si="2"/>
        <v>108</v>
      </c>
    </row>
    <row r="8" spans="1:33" ht="18.75" x14ac:dyDescent="0.25">
      <c r="A8" s="41" t="s">
        <v>39</v>
      </c>
      <c r="B8" s="7">
        <v>11</v>
      </c>
      <c r="C8" s="7"/>
      <c r="D8" s="7"/>
      <c r="E8" s="7">
        <v>13</v>
      </c>
      <c r="F8" s="7">
        <v>13</v>
      </c>
      <c r="G8" s="7"/>
      <c r="H8" s="7"/>
      <c r="I8" s="7"/>
      <c r="J8" s="7"/>
      <c r="K8" s="7"/>
      <c r="L8" s="7">
        <v>8</v>
      </c>
      <c r="M8" s="7">
        <v>15</v>
      </c>
      <c r="N8" s="7"/>
      <c r="O8" s="7"/>
      <c r="P8" s="7"/>
      <c r="Q8" s="7"/>
      <c r="R8" s="7"/>
      <c r="S8" s="7">
        <v>12</v>
      </c>
      <c r="T8" s="7">
        <v>15</v>
      </c>
      <c r="U8" s="7"/>
      <c r="V8" s="7"/>
      <c r="W8" s="7"/>
      <c r="X8" s="7"/>
      <c r="Y8" s="7"/>
      <c r="Z8" s="7">
        <v>7</v>
      </c>
      <c r="AA8" s="7">
        <v>14</v>
      </c>
      <c r="AB8" s="7"/>
      <c r="AC8" s="7"/>
      <c r="AD8" s="7"/>
      <c r="AE8" s="7"/>
      <c r="AF8" s="8"/>
      <c r="AG8" s="4">
        <f t="shared" si="2"/>
        <v>108</v>
      </c>
    </row>
    <row r="9" spans="1:33" ht="18.75" x14ac:dyDescent="0.25">
      <c r="A9" s="41" t="s">
        <v>40</v>
      </c>
      <c r="B9" s="7">
        <v>15</v>
      </c>
      <c r="C9" s="7"/>
      <c r="D9" s="7"/>
      <c r="E9" s="7">
        <v>9</v>
      </c>
      <c r="F9" s="7">
        <v>16</v>
      </c>
      <c r="G9" s="7"/>
      <c r="H9" s="7">
        <v>1</v>
      </c>
      <c r="I9" s="7"/>
      <c r="J9" s="7"/>
      <c r="K9" s="7"/>
      <c r="L9" s="7">
        <v>14</v>
      </c>
      <c r="M9" s="7">
        <v>8</v>
      </c>
      <c r="N9" s="7"/>
      <c r="O9" s="7"/>
      <c r="P9" s="7"/>
      <c r="Q9" s="7"/>
      <c r="R9" s="7"/>
      <c r="S9" s="7">
        <v>7</v>
      </c>
      <c r="T9" s="7">
        <v>10</v>
      </c>
      <c r="U9" s="7"/>
      <c r="V9" s="7"/>
      <c r="W9" s="7"/>
      <c r="X9" s="7"/>
      <c r="Y9" s="7"/>
      <c r="Z9" s="7">
        <v>20</v>
      </c>
      <c r="AA9" s="7">
        <v>13</v>
      </c>
      <c r="AB9" s="7"/>
      <c r="AC9" s="7"/>
      <c r="AD9" s="7">
        <v>1</v>
      </c>
      <c r="AE9" s="7"/>
      <c r="AF9" s="8"/>
      <c r="AG9" s="4">
        <f t="shared" si="2"/>
        <v>114</v>
      </c>
    </row>
    <row r="10" spans="1:33" ht="18.75" x14ac:dyDescent="0.25">
      <c r="A10" s="41" t="s">
        <v>41</v>
      </c>
      <c r="B10" s="7">
        <v>9</v>
      </c>
      <c r="C10" s="7"/>
      <c r="D10" s="7"/>
      <c r="E10" s="7">
        <v>13</v>
      </c>
      <c r="F10" s="7">
        <v>14</v>
      </c>
      <c r="G10" s="7"/>
      <c r="H10" s="7"/>
      <c r="I10" s="7"/>
      <c r="J10" s="7"/>
      <c r="K10" s="7"/>
      <c r="L10" s="7">
        <v>12</v>
      </c>
      <c r="M10" s="7">
        <v>10</v>
      </c>
      <c r="N10" s="7"/>
      <c r="O10" s="7"/>
      <c r="P10" s="7"/>
      <c r="Q10" s="7"/>
      <c r="R10" s="7"/>
      <c r="S10" s="7">
        <v>11</v>
      </c>
      <c r="T10" s="7">
        <v>3</v>
      </c>
      <c r="U10" s="7">
        <v>1</v>
      </c>
      <c r="V10" s="7"/>
      <c r="W10" s="7"/>
      <c r="X10" s="7"/>
      <c r="Y10" s="7"/>
      <c r="Z10" s="7">
        <v>10</v>
      </c>
      <c r="AA10" s="7">
        <v>13</v>
      </c>
      <c r="AB10" s="7"/>
      <c r="AC10" s="7"/>
      <c r="AD10" s="7"/>
      <c r="AE10" s="7"/>
      <c r="AF10" s="8"/>
      <c r="AG10" s="4">
        <f t="shared" si="2"/>
        <v>96</v>
      </c>
    </row>
    <row r="11" spans="1:33" ht="18.75" x14ac:dyDescent="0.25">
      <c r="A11" s="41" t="s">
        <v>42</v>
      </c>
      <c r="B11" s="7">
        <v>8</v>
      </c>
      <c r="C11" s="7"/>
      <c r="D11" s="7"/>
      <c r="E11" s="7">
        <v>12</v>
      </c>
      <c r="F11" s="7">
        <v>9</v>
      </c>
      <c r="G11" s="7"/>
      <c r="H11" s="7"/>
      <c r="I11" s="7"/>
      <c r="J11" s="7"/>
      <c r="K11" s="7"/>
      <c r="L11" s="7">
        <v>9</v>
      </c>
      <c r="M11" s="7">
        <v>7</v>
      </c>
      <c r="N11" s="7"/>
      <c r="O11" s="7"/>
      <c r="P11" s="7"/>
      <c r="Q11" s="7"/>
      <c r="R11" s="7"/>
      <c r="S11" s="7">
        <v>19</v>
      </c>
      <c r="T11" s="7">
        <v>12</v>
      </c>
      <c r="U11" s="7"/>
      <c r="V11" s="7"/>
      <c r="W11" s="7"/>
      <c r="X11" s="7"/>
      <c r="Y11" s="7"/>
      <c r="Z11" s="7">
        <v>9</v>
      </c>
      <c r="AA11" s="7">
        <v>16</v>
      </c>
      <c r="AB11" s="7"/>
      <c r="AC11" s="7"/>
      <c r="AD11" s="7"/>
      <c r="AE11" s="7"/>
      <c r="AF11" s="8"/>
      <c r="AG11" s="4">
        <f t="shared" si="2"/>
        <v>101</v>
      </c>
    </row>
    <row r="12" spans="1:33" ht="18.75" x14ac:dyDescent="0.25">
      <c r="A12" s="41" t="s">
        <v>43</v>
      </c>
      <c r="B12" s="7">
        <v>3</v>
      </c>
      <c r="C12" s="7"/>
      <c r="D12" s="7"/>
      <c r="E12" s="7">
        <v>18</v>
      </c>
      <c r="F12" s="7">
        <v>17</v>
      </c>
      <c r="G12" s="7"/>
      <c r="H12" s="7"/>
      <c r="I12" s="7"/>
      <c r="J12" s="7"/>
      <c r="K12" s="7"/>
      <c r="L12" s="7">
        <v>16</v>
      </c>
      <c r="M12" s="7">
        <v>10</v>
      </c>
      <c r="N12" s="7">
        <v>2</v>
      </c>
      <c r="O12" s="7"/>
      <c r="P12" s="7">
        <v>1</v>
      </c>
      <c r="Q12" s="7">
        <v>1</v>
      </c>
      <c r="R12" s="7"/>
      <c r="S12" s="7">
        <v>8</v>
      </c>
      <c r="T12" s="7">
        <v>18</v>
      </c>
      <c r="U12" s="7"/>
      <c r="V12" s="7">
        <v>1</v>
      </c>
      <c r="W12" s="7"/>
      <c r="X12" s="7"/>
      <c r="Y12" s="7"/>
      <c r="Z12" s="7">
        <v>16</v>
      </c>
      <c r="AA12" s="7">
        <v>12</v>
      </c>
      <c r="AB12" s="7"/>
      <c r="AC12" s="7"/>
      <c r="AD12" s="7"/>
      <c r="AE12" s="7"/>
      <c r="AF12" s="8"/>
      <c r="AG12" s="4">
        <f t="shared" si="2"/>
        <v>123</v>
      </c>
    </row>
    <row r="13" spans="1:33" ht="18.75" x14ac:dyDescent="0.25">
      <c r="A13" s="41" t="s">
        <v>44</v>
      </c>
      <c r="B13" s="7">
        <v>14</v>
      </c>
      <c r="C13" s="7">
        <v>67</v>
      </c>
      <c r="D13" s="7">
        <v>64</v>
      </c>
      <c r="E13" s="7">
        <v>14</v>
      </c>
      <c r="F13" s="7">
        <v>20</v>
      </c>
      <c r="G13" s="7">
        <v>67</v>
      </c>
      <c r="H13" s="7">
        <v>65</v>
      </c>
      <c r="I13" s="7">
        <v>48</v>
      </c>
      <c r="J13" s="7">
        <v>43</v>
      </c>
      <c r="K13" s="7">
        <v>55</v>
      </c>
      <c r="L13" s="7">
        <v>17</v>
      </c>
      <c r="M13" s="7">
        <v>16</v>
      </c>
      <c r="N13" s="7">
        <v>55</v>
      </c>
      <c r="O13" s="7">
        <v>54</v>
      </c>
      <c r="P13" s="7">
        <v>60</v>
      </c>
      <c r="Q13" s="7">
        <v>68</v>
      </c>
      <c r="R13" s="7">
        <v>48</v>
      </c>
      <c r="S13" s="7">
        <v>13</v>
      </c>
      <c r="T13" s="7">
        <v>22</v>
      </c>
      <c r="U13" s="7">
        <v>48</v>
      </c>
      <c r="V13" s="7">
        <v>48</v>
      </c>
      <c r="W13" s="7">
        <v>60</v>
      </c>
      <c r="X13" s="7">
        <v>55</v>
      </c>
      <c r="Y13" s="7">
        <v>49</v>
      </c>
      <c r="Z13" s="7">
        <v>13</v>
      </c>
      <c r="AA13" s="7">
        <v>17</v>
      </c>
      <c r="AB13" s="7">
        <v>50</v>
      </c>
      <c r="AC13" s="7">
        <v>56</v>
      </c>
      <c r="AD13" s="7">
        <v>63</v>
      </c>
      <c r="AE13" s="7">
        <v>39</v>
      </c>
      <c r="AF13" s="8">
        <v>52</v>
      </c>
      <c r="AG13" s="4">
        <f t="shared" si="2"/>
        <v>1360</v>
      </c>
    </row>
    <row r="14" spans="1:33" ht="18.75" x14ac:dyDescent="0.25">
      <c r="A14" s="41" t="s">
        <v>45</v>
      </c>
      <c r="B14" s="7">
        <v>9</v>
      </c>
      <c r="C14" s="7">
        <v>19</v>
      </c>
      <c r="D14" s="7">
        <v>20</v>
      </c>
      <c r="E14" s="7">
        <v>20</v>
      </c>
      <c r="F14" s="7">
        <v>11</v>
      </c>
      <c r="G14" s="7">
        <v>25</v>
      </c>
      <c r="H14" s="7">
        <v>15</v>
      </c>
      <c r="I14" s="7">
        <v>18</v>
      </c>
      <c r="J14" s="7">
        <v>20</v>
      </c>
      <c r="K14" s="7">
        <v>19</v>
      </c>
      <c r="L14" s="7">
        <v>16</v>
      </c>
      <c r="M14" s="7">
        <v>14</v>
      </c>
      <c r="N14" s="7">
        <v>17</v>
      </c>
      <c r="O14" s="7">
        <v>17</v>
      </c>
      <c r="P14" s="7">
        <v>13</v>
      </c>
      <c r="Q14" s="7">
        <v>10</v>
      </c>
      <c r="R14" s="7">
        <v>25</v>
      </c>
      <c r="S14" s="7">
        <v>17</v>
      </c>
      <c r="T14" s="7">
        <v>11</v>
      </c>
      <c r="U14" s="7">
        <v>27</v>
      </c>
      <c r="V14" s="7">
        <v>18</v>
      </c>
      <c r="W14" s="7">
        <v>10</v>
      </c>
      <c r="X14" s="7">
        <v>17</v>
      </c>
      <c r="Y14" s="7">
        <v>10</v>
      </c>
      <c r="Z14" s="7">
        <v>12</v>
      </c>
      <c r="AA14" s="7">
        <v>13</v>
      </c>
      <c r="AB14" s="7">
        <v>17</v>
      </c>
      <c r="AC14" s="7">
        <v>13</v>
      </c>
      <c r="AD14" s="7">
        <v>15</v>
      </c>
      <c r="AE14" s="7">
        <v>25</v>
      </c>
      <c r="AF14" s="8">
        <v>21</v>
      </c>
      <c r="AG14" s="4">
        <f t="shared" si="2"/>
        <v>514</v>
      </c>
    </row>
    <row r="15" spans="1:33" ht="18.75" x14ac:dyDescent="0.25">
      <c r="A15" s="41" t="s">
        <v>46</v>
      </c>
      <c r="B15" s="7">
        <v>7</v>
      </c>
      <c r="C15" s="7">
        <v>18</v>
      </c>
      <c r="D15" s="7">
        <v>12</v>
      </c>
      <c r="E15" s="7">
        <v>16</v>
      </c>
      <c r="F15" s="7">
        <v>8</v>
      </c>
      <c r="G15" s="7">
        <v>21</v>
      </c>
      <c r="H15" s="7">
        <v>18</v>
      </c>
      <c r="I15" s="7">
        <v>11</v>
      </c>
      <c r="J15" s="7">
        <v>21</v>
      </c>
      <c r="K15" s="7">
        <v>17</v>
      </c>
      <c r="L15" s="7">
        <v>10</v>
      </c>
      <c r="M15" s="7">
        <v>12</v>
      </c>
      <c r="N15" s="7">
        <v>20</v>
      </c>
      <c r="O15" s="7">
        <v>19</v>
      </c>
      <c r="P15" s="7">
        <v>12</v>
      </c>
      <c r="Q15" s="7">
        <v>15</v>
      </c>
      <c r="R15" s="7">
        <v>13</v>
      </c>
      <c r="S15" s="7">
        <v>16</v>
      </c>
      <c r="T15" s="7">
        <v>8</v>
      </c>
      <c r="U15" s="7">
        <v>15</v>
      </c>
      <c r="V15" s="7">
        <v>17</v>
      </c>
      <c r="W15" s="7">
        <v>15</v>
      </c>
      <c r="X15" s="7">
        <v>14</v>
      </c>
      <c r="Y15" s="7">
        <v>17</v>
      </c>
      <c r="Z15" s="7">
        <v>10</v>
      </c>
      <c r="AA15" s="7">
        <v>17</v>
      </c>
      <c r="AB15" s="7">
        <v>14</v>
      </c>
      <c r="AC15" s="7">
        <v>12</v>
      </c>
      <c r="AD15" s="7">
        <v>14</v>
      </c>
      <c r="AE15" s="7">
        <v>16</v>
      </c>
      <c r="AF15" s="8">
        <v>13</v>
      </c>
      <c r="AG15" s="4">
        <f t="shared" si="2"/>
        <v>448</v>
      </c>
    </row>
    <row r="16" spans="1:33" ht="18.75" x14ac:dyDescent="0.25">
      <c r="A16" s="41" t="s">
        <v>47</v>
      </c>
      <c r="B16" s="7">
        <v>15</v>
      </c>
      <c r="C16" s="7">
        <v>14</v>
      </c>
      <c r="D16" s="7">
        <v>19</v>
      </c>
      <c r="E16" s="7">
        <v>6</v>
      </c>
      <c r="F16" s="7">
        <v>18</v>
      </c>
      <c r="G16" s="7">
        <v>21</v>
      </c>
      <c r="H16" s="7">
        <v>22</v>
      </c>
      <c r="I16" s="7">
        <v>18</v>
      </c>
      <c r="J16" s="7">
        <v>11</v>
      </c>
      <c r="K16" s="7">
        <v>14</v>
      </c>
      <c r="L16" s="7">
        <v>21</v>
      </c>
      <c r="M16" s="7">
        <v>15</v>
      </c>
      <c r="N16" s="7">
        <v>18</v>
      </c>
      <c r="O16" s="7">
        <v>11</v>
      </c>
      <c r="P16" s="7">
        <v>15</v>
      </c>
      <c r="Q16" s="7">
        <v>21</v>
      </c>
      <c r="R16" s="7">
        <v>17</v>
      </c>
      <c r="S16" s="7">
        <v>8</v>
      </c>
      <c r="T16" s="7">
        <v>16</v>
      </c>
      <c r="U16" s="7">
        <v>22</v>
      </c>
      <c r="V16" s="7">
        <v>19</v>
      </c>
      <c r="W16" s="7">
        <v>15</v>
      </c>
      <c r="X16" s="7">
        <v>20</v>
      </c>
      <c r="Y16" s="7">
        <v>21</v>
      </c>
      <c r="Z16" s="7">
        <v>14</v>
      </c>
      <c r="AA16" s="7">
        <v>11</v>
      </c>
      <c r="AB16" s="7">
        <v>32</v>
      </c>
      <c r="AC16" s="7">
        <v>14</v>
      </c>
      <c r="AD16" s="7">
        <v>8</v>
      </c>
      <c r="AE16" s="7">
        <v>17</v>
      </c>
      <c r="AF16" s="8">
        <v>17</v>
      </c>
      <c r="AG16" s="4">
        <f t="shared" si="2"/>
        <v>510</v>
      </c>
    </row>
    <row r="17" spans="1:33" ht="18.75" x14ac:dyDescent="0.25">
      <c r="A17" s="41" t="s">
        <v>48</v>
      </c>
      <c r="B17" s="7">
        <v>9</v>
      </c>
      <c r="C17" s="7">
        <v>15</v>
      </c>
      <c r="D17" s="7">
        <v>23</v>
      </c>
      <c r="E17" s="7">
        <v>9</v>
      </c>
      <c r="F17" s="7">
        <v>16</v>
      </c>
      <c r="G17" s="7">
        <v>14</v>
      </c>
      <c r="H17" s="7">
        <v>15</v>
      </c>
      <c r="I17" s="7">
        <v>18</v>
      </c>
      <c r="J17" s="7">
        <v>10</v>
      </c>
      <c r="K17" s="7">
        <v>7</v>
      </c>
      <c r="L17" s="7">
        <v>9</v>
      </c>
      <c r="M17" s="7">
        <v>15</v>
      </c>
      <c r="N17" s="7">
        <v>16</v>
      </c>
      <c r="O17" s="7">
        <v>19</v>
      </c>
      <c r="P17" s="7">
        <v>13</v>
      </c>
      <c r="Q17" s="7">
        <v>15</v>
      </c>
      <c r="R17" s="7">
        <v>9</v>
      </c>
      <c r="S17" s="7">
        <v>16</v>
      </c>
      <c r="T17" s="7">
        <v>8</v>
      </c>
      <c r="U17" s="7">
        <v>8</v>
      </c>
      <c r="V17" s="7">
        <v>11</v>
      </c>
      <c r="W17" s="7">
        <v>15</v>
      </c>
      <c r="X17" s="7">
        <v>11</v>
      </c>
      <c r="Y17" s="7">
        <v>14</v>
      </c>
      <c r="Z17" s="7">
        <v>17</v>
      </c>
      <c r="AA17" s="7">
        <v>25</v>
      </c>
      <c r="AB17" s="7">
        <v>28</v>
      </c>
      <c r="AC17" s="7">
        <v>10</v>
      </c>
      <c r="AD17" s="7">
        <v>15</v>
      </c>
      <c r="AE17" s="7">
        <v>16</v>
      </c>
      <c r="AF17" s="8">
        <v>17</v>
      </c>
      <c r="AG17" s="4">
        <f t="shared" si="2"/>
        <v>443</v>
      </c>
    </row>
    <row r="18" spans="1:33" ht="18.75" x14ac:dyDescent="0.25">
      <c r="A18" s="41" t="s">
        <v>49</v>
      </c>
      <c r="B18" s="7">
        <v>10</v>
      </c>
      <c r="C18" s="7">
        <v>10</v>
      </c>
      <c r="D18" s="7">
        <v>9</v>
      </c>
      <c r="E18" s="7">
        <v>7</v>
      </c>
      <c r="F18" s="7">
        <v>19</v>
      </c>
      <c r="G18" s="7">
        <v>18</v>
      </c>
      <c r="H18" s="7">
        <v>10</v>
      </c>
      <c r="I18" s="7">
        <v>18</v>
      </c>
      <c r="J18" s="7">
        <v>16</v>
      </c>
      <c r="K18" s="7">
        <v>10</v>
      </c>
      <c r="L18" s="7">
        <v>9</v>
      </c>
      <c r="M18" s="7">
        <v>13</v>
      </c>
      <c r="N18" s="7">
        <v>23</v>
      </c>
      <c r="O18" s="7">
        <v>9</v>
      </c>
      <c r="P18" s="7">
        <v>9</v>
      </c>
      <c r="Q18" s="7">
        <v>9</v>
      </c>
      <c r="R18" s="7">
        <v>12</v>
      </c>
      <c r="S18" s="7">
        <v>10</v>
      </c>
      <c r="T18" s="7">
        <v>24</v>
      </c>
      <c r="U18" s="7">
        <v>12</v>
      </c>
      <c r="V18" s="7">
        <v>16</v>
      </c>
      <c r="W18" s="7">
        <v>19</v>
      </c>
      <c r="X18" s="7">
        <v>15</v>
      </c>
      <c r="Y18" s="7">
        <v>13</v>
      </c>
      <c r="Z18" s="7">
        <v>15</v>
      </c>
      <c r="AA18" s="7">
        <v>13</v>
      </c>
      <c r="AB18" s="7">
        <v>11</v>
      </c>
      <c r="AC18" s="7">
        <v>13</v>
      </c>
      <c r="AD18" s="7">
        <v>18</v>
      </c>
      <c r="AE18" s="7">
        <v>7</v>
      </c>
      <c r="AF18" s="8">
        <v>17</v>
      </c>
      <c r="AG18" s="4">
        <f t="shared" si="2"/>
        <v>414</v>
      </c>
    </row>
    <row r="19" spans="1:33" ht="18.75" x14ac:dyDescent="0.25">
      <c r="A19" s="41" t="s">
        <v>50</v>
      </c>
      <c r="B19" s="7">
        <v>4</v>
      </c>
      <c r="C19" s="7">
        <v>14</v>
      </c>
      <c r="D19" s="7">
        <v>13</v>
      </c>
      <c r="E19" s="7">
        <v>20</v>
      </c>
      <c r="F19" s="7">
        <v>14</v>
      </c>
      <c r="G19" s="7">
        <v>9</v>
      </c>
      <c r="H19" s="7">
        <v>4</v>
      </c>
      <c r="I19" s="7">
        <v>10</v>
      </c>
      <c r="J19" s="7">
        <v>9</v>
      </c>
      <c r="K19" s="7">
        <v>6</v>
      </c>
      <c r="L19" s="7">
        <v>11</v>
      </c>
      <c r="M19" s="7">
        <v>12</v>
      </c>
      <c r="N19" s="7">
        <v>7</v>
      </c>
      <c r="O19" s="7">
        <v>10</v>
      </c>
      <c r="P19" s="7">
        <v>12</v>
      </c>
      <c r="Q19" s="7">
        <v>7</v>
      </c>
      <c r="R19" s="7">
        <v>7</v>
      </c>
      <c r="S19" s="7">
        <v>9</v>
      </c>
      <c r="T19" s="7">
        <v>6</v>
      </c>
      <c r="U19" s="7">
        <v>13</v>
      </c>
      <c r="V19" s="7">
        <v>10</v>
      </c>
      <c r="W19" s="7">
        <v>8</v>
      </c>
      <c r="X19" s="7">
        <v>11</v>
      </c>
      <c r="Y19" s="7">
        <v>7</v>
      </c>
      <c r="Z19" s="7">
        <v>11</v>
      </c>
      <c r="AA19" s="7">
        <v>9</v>
      </c>
      <c r="AB19" s="7">
        <v>9</v>
      </c>
      <c r="AC19" s="7">
        <v>11</v>
      </c>
      <c r="AD19" s="7">
        <v>11</v>
      </c>
      <c r="AE19" s="7">
        <v>12</v>
      </c>
      <c r="AF19" s="8">
        <v>11</v>
      </c>
      <c r="AG19" s="4">
        <f t="shared" si="2"/>
        <v>307</v>
      </c>
    </row>
    <row r="20" spans="1:33" ht="18.75" x14ac:dyDescent="0.25">
      <c r="A20" s="41" t="s">
        <v>33</v>
      </c>
      <c r="B20" s="7">
        <v>4</v>
      </c>
      <c r="C20" s="7">
        <v>1</v>
      </c>
      <c r="D20" s="7">
        <v>4</v>
      </c>
      <c r="E20" s="7">
        <v>6</v>
      </c>
      <c r="F20" s="7">
        <v>5</v>
      </c>
      <c r="G20" s="7">
        <v>4</v>
      </c>
      <c r="H20" s="7">
        <v>6</v>
      </c>
      <c r="I20" s="7">
        <v>3</v>
      </c>
      <c r="J20" s="7">
        <v>4</v>
      </c>
      <c r="K20" s="7">
        <v>1</v>
      </c>
      <c r="L20" s="7">
        <v>9</v>
      </c>
      <c r="M20" s="7">
        <v>7</v>
      </c>
      <c r="N20" s="7">
        <v>5</v>
      </c>
      <c r="O20" s="7">
        <v>4</v>
      </c>
      <c r="P20" s="7">
        <v>5</v>
      </c>
      <c r="Q20" s="7">
        <v>4</v>
      </c>
      <c r="R20" s="7">
        <v>8</v>
      </c>
      <c r="S20" s="7">
        <v>4</v>
      </c>
      <c r="T20" s="7">
        <v>5</v>
      </c>
      <c r="U20" s="7">
        <v>6</v>
      </c>
      <c r="V20" s="7">
        <v>12</v>
      </c>
      <c r="W20" s="7">
        <v>6</v>
      </c>
      <c r="X20" s="7">
        <v>5</v>
      </c>
      <c r="Y20" s="7">
        <v>7</v>
      </c>
      <c r="Z20" s="7">
        <v>8</v>
      </c>
      <c r="AA20" s="7">
        <v>5</v>
      </c>
      <c r="AB20" s="7">
        <v>2</v>
      </c>
      <c r="AC20" s="7">
        <v>5</v>
      </c>
      <c r="AD20" s="7">
        <v>4</v>
      </c>
      <c r="AE20" s="7">
        <v>6</v>
      </c>
      <c r="AF20" s="8">
        <v>8</v>
      </c>
      <c r="AG20" s="4">
        <f t="shared" si="2"/>
        <v>163</v>
      </c>
    </row>
    <row r="21" spans="1:33" ht="18.75" x14ac:dyDescent="0.25">
      <c r="A21" s="41" t="s">
        <v>34</v>
      </c>
      <c r="B21" s="7">
        <v>5</v>
      </c>
      <c r="C21" s="7">
        <v>3</v>
      </c>
      <c r="D21" s="7">
        <v>2</v>
      </c>
      <c r="E21" s="7">
        <v>4</v>
      </c>
      <c r="F21" s="7">
        <v>6</v>
      </c>
      <c r="G21" s="7">
        <v>2</v>
      </c>
      <c r="H21" s="7">
        <v>1</v>
      </c>
      <c r="I21" s="7">
        <v>2</v>
      </c>
      <c r="J21" s="7">
        <v>1</v>
      </c>
      <c r="K21" s="7">
        <v>2</v>
      </c>
      <c r="L21" s="7">
        <v>5</v>
      </c>
      <c r="M21" s="7">
        <v>3</v>
      </c>
      <c r="N21" s="7">
        <v>1</v>
      </c>
      <c r="O21" s="7">
        <v>3</v>
      </c>
      <c r="P21" s="7">
        <v>2</v>
      </c>
      <c r="Q21" s="7">
        <v>3</v>
      </c>
      <c r="R21" s="7">
        <v>6</v>
      </c>
      <c r="S21" s="7">
        <v>4</v>
      </c>
      <c r="T21" s="7">
        <v>6</v>
      </c>
      <c r="U21" s="7">
        <v>2</v>
      </c>
      <c r="V21" s="7">
        <v>4</v>
      </c>
      <c r="W21" s="7">
        <v>1</v>
      </c>
      <c r="X21" s="7">
        <v>9</v>
      </c>
      <c r="Y21" s="7">
        <v>4</v>
      </c>
      <c r="Z21" s="7">
        <v>3</v>
      </c>
      <c r="AA21" s="7">
        <v>4</v>
      </c>
      <c r="AB21" s="7">
        <v>1</v>
      </c>
      <c r="AC21" s="7">
        <v>2</v>
      </c>
      <c r="AD21" s="7">
        <v>6</v>
      </c>
      <c r="AE21" s="7">
        <v>3</v>
      </c>
      <c r="AF21" s="8">
        <v>5</v>
      </c>
      <c r="AG21" s="4">
        <f t="shared" si="2"/>
        <v>105</v>
      </c>
    </row>
    <row r="22" spans="1:33" ht="18.75" x14ac:dyDescent="0.25">
      <c r="A22" s="41" t="s">
        <v>35</v>
      </c>
      <c r="B22" s="7">
        <v>4</v>
      </c>
      <c r="C22" s="7">
        <v>2</v>
      </c>
      <c r="D22" s="7">
        <v>3</v>
      </c>
      <c r="E22" s="7">
        <v>3</v>
      </c>
      <c r="F22" s="7">
        <v>3</v>
      </c>
      <c r="G22" s="7"/>
      <c r="H22" s="7">
        <v>3</v>
      </c>
      <c r="I22" s="7">
        <v>6</v>
      </c>
      <c r="J22" s="7">
        <v>1</v>
      </c>
      <c r="K22" s="7">
        <v>1</v>
      </c>
      <c r="L22" s="7">
        <v>3</v>
      </c>
      <c r="M22" s="7">
        <v>3</v>
      </c>
      <c r="N22" s="7">
        <v>3</v>
      </c>
      <c r="O22" s="7">
        <v>2</v>
      </c>
      <c r="P22" s="7">
        <v>1</v>
      </c>
      <c r="Q22" s="7">
        <v>1</v>
      </c>
      <c r="R22" s="7">
        <v>4</v>
      </c>
      <c r="S22" s="7">
        <v>4</v>
      </c>
      <c r="T22" s="7">
        <v>4</v>
      </c>
      <c r="U22" s="7">
        <v>2</v>
      </c>
      <c r="V22" s="7">
        <v>4</v>
      </c>
      <c r="W22" s="7">
        <v>2</v>
      </c>
      <c r="X22" s="7">
        <v>3</v>
      </c>
      <c r="Y22" s="7">
        <v>3</v>
      </c>
      <c r="Z22" s="7"/>
      <c r="AA22" s="7">
        <v>4</v>
      </c>
      <c r="AB22" s="7">
        <v>1</v>
      </c>
      <c r="AC22" s="7">
        <v>2</v>
      </c>
      <c r="AD22" s="7">
        <v>2</v>
      </c>
      <c r="AE22" s="7">
        <v>1</v>
      </c>
      <c r="AF22" s="8">
        <v>3</v>
      </c>
      <c r="AG22" s="4">
        <f t="shared" si="2"/>
        <v>78</v>
      </c>
    </row>
    <row r="23" spans="1:33" ht="18.75" x14ac:dyDescent="0.25">
      <c r="A23" s="41" t="s">
        <v>36</v>
      </c>
      <c r="B23" s="7">
        <v>3</v>
      </c>
      <c r="C23" s="7">
        <v>1</v>
      </c>
      <c r="D23" s="7"/>
      <c r="E23" s="7">
        <v>1</v>
      </c>
      <c r="F23" s="7"/>
      <c r="G23" s="7"/>
      <c r="H23" s="7">
        <v>1</v>
      </c>
      <c r="I23" s="7">
        <v>1</v>
      </c>
      <c r="J23" s="7">
        <v>2</v>
      </c>
      <c r="K23" s="7">
        <v>3</v>
      </c>
      <c r="L23" s="7">
        <v>1</v>
      </c>
      <c r="M23" s="7"/>
      <c r="N23" s="7">
        <v>2</v>
      </c>
      <c r="O23" s="7">
        <v>1</v>
      </c>
      <c r="P23" s="7">
        <v>3</v>
      </c>
      <c r="Q23" s="7"/>
      <c r="R23" s="7">
        <v>3</v>
      </c>
      <c r="S23" s="7"/>
      <c r="T23" s="7">
        <v>1</v>
      </c>
      <c r="U23" s="7">
        <v>1</v>
      </c>
      <c r="V23" s="7">
        <v>1</v>
      </c>
      <c r="W23" s="7">
        <v>3</v>
      </c>
      <c r="X23" s="7"/>
      <c r="Y23" s="7">
        <v>1</v>
      </c>
      <c r="Z23" s="7">
        <v>3</v>
      </c>
      <c r="AA23" s="7">
        <v>1</v>
      </c>
      <c r="AB23" s="7">
        <v>1</v>
      </c>
      <c r="AC23" s="7"/>
      <c r="AD23" s="7">
        <v>1</v>
      </c>
      <c r="AE23" s="7"/>
      <c r="AF23" s="8"/>
      <c r="AG23" s="4">
        <f t="shared" si="2"/>
        <v>35</v>
      </c>
    </row>
    <row r="24" spans="1:33" ht="18.75" x14ac:dyDescent="0.25">
      <c r="A24" s="41" t="s">
        <v>51</v>
      </c>
      <c r="B24" s="7"/>
      <c r="C24" s="7">
        <v>3</v>
      </c>
      <c r="D24" s="7">
        <v>3</v>
      </c>
      <c r="E24" s="7">
        <v>3</v>
      </c>
      <c r="F24" s="7">
        <v>1</v>
      </c>
      <c r="G24" s="7">
        <v>1</v>
      </c>
      <c r="H24" s="7"/>
      <c r="I24" s="7"/>
      <c r="J24" s="7">
        <v>2</v>
      </c>
      <c r="K24" s="7">
        <v>2</v>
      </c>
      <c r="L24" s="7">
        <v>2</v>
      </c>
      <c r="M24" s="7"/>
      <c r="N24" s="7">
        <v>5</v>
      </c>
      <c r="O24" s="7">
        <v>1</v>
      </c>
      <c r="P24" s="7">
        <v>1</v>
      </c>
      <c r="Q24" s="7"/>
      <c r="R24" s="7">
        <v>1</v>
      </c>
      <c r="S24" s="7">
        <v>2</v>
      </c>
      <c r="T24" s="7">
        <v>1</v>
      </c>
      <c r="U24" s="7">
        <v>1</v>
      </c>
      <c r="V24" s="7">
        <v>2</v>
      </c>
      <c r="W24" s="7">
        <v>1</v>
      </c>
      <c r="X24" s="7">
        <v>1</v>
      </c>
      <c r="Y24" s="7">
        <v>1</v>
      </c>
      <c r="Z24" s="7">
        <v>3</v>
      </c>
      <c r="AA24" s="7">
        <v>1</v>
      </c>
      <c r="AB24" s="7">
        <v>1</v>
      </c>
      <c r="AC24" s="7"/>
      <c r="AD24" s="7"/>
      <c r="AE24" s="7">
        <v>1</v>
      </c>
      <c r="AF24" s="8">
        <v>1</v>
      </c>
      <c r="AG24" s="4">
        <f t="shared" si="2"/>
        <v>41</v>
      </c>
    </row>
    <row r="25" spans="1:33" ht="18.75" x14ac:dyDescent="0.25">
      <c r="A25" s="41" t="s">
        <v>52</v>
      </c>
      <c r="B25" s="7"/>
      <c r="C25" s="7">
        <v>2</v>
      </c>
      <c r="D25" s="7"/>
      <c r="E25" s="7">
        <v>2</v>
      </c>
      <c r="F25" s="7">
        <v>2</v>
      </c>
      <c r="G25" s="7">
        <v>4</v>
      </c>
      <c r="H25" s="7">
        <v>3</v>
      </c>
      <c r="I25" s="7">
        <v>1</v>
      </c>
      <c r="J25" s="7"/>
      <c r="K25" s="7"/>
      <c r="L25" s="7">
        <v>1</v>
      </c>
      <c r="M25" s="7"/>
      <c r="N25" s="7">
        <v>1</v>
      </c>
      <c r="O25" s="7">
        <v>1</v>
      </c>
      <c r="P25" s="7">
        <v>1</v>
      </c>
      <c r="Q25" s="7">
        <v>2</v>
      </c>
      <c r="R25" s="7">
        <v>3</v>
      </c>
      <c r="S25" s="7"/>
      <c r="T25" s="7">
        <v>4</v>
      </c>
      <c r="U25" s="7"/>
      <c r="V25" s="7"/>
      <c r="W25" s="7">
        <v>1</v>
      </c>
      <c r="X25" s="7"/>
      <c r="Y25" s="7">
        <v>4</v>
      </c>
      <c r="Z25" s="7">
        <v>1</v>
      </c>
      <c r="AA25" s="7"/>
      <c r="AB25" s="7"/>
      <c r="AC25" s="7"/>
      <c r="AD25" s="7">
        <v>1</v>
      </c>
      <c r="AE25" s="7">
        <v>1</v>
      </c>
      <c r="AF25" s="8">
        <v>2</v>
      </c>
      <c r="AG25" s="4">
        <f t="shared" si="2"/>
        <v>37</v>
      </c>
    </row>
    <row r="26" spans="1:33" ht="18.75" x14ac:dyDescent="0.25">
      <c r="A26" s="41" t="s">
        <v>37</v>
      </c>
      <c r="B26" s="7"/>
      <c r="C26" s="7"/>
      <c r="D26" s="7">
        <v>2</v>
      </c>
      <c r="E26" s="7">
        <v>1</v>
      </c>
      <c r="F26" s="7"/>
      <c r="G26" s="7">
        <v>2</v>
      </c>
      <c r="H26" s="7"/>
      <c r="I26" s="7">
        <v>1</v>
      </c>
      <c r="J26" s="7"/>
      <c r="K26" s="7">
        <v>2</v>
      </c>
      <c r="L26" s="7">
        <v>1</v>
      </c>
      <c r="M26" s="7"/>
      <c r="N26" s="7"/>
      <c r="O26" s="7"/>
      <c r="P26" s="7">
        <v>1</v>
      </c>
      <c r="Q26" s="7"/>
      <c r="R26" s="7">
        <v>1</v>
      </c>
      <c r="S26" s="7"/>
      <c r="T26" s="7">
        <v>1</v>
      </c>
      <c r="U26" s="7"/>
      <c r="V26" s="7"/>
      <c r="W26" s="7"/>
      <c r="X26" s="7"/>
      <c r="Y26" s="7"/>
      <c r="Z26" s="7">
        <v>4</v>
      </c>
      <c r="AA26" s="7">
        <v>1</v>
      </c>
      <c r="AB26" s="7"/>
      <c r="AC26" s="7">
        <v>4</v>
      </c>
      <c r="AD26" s="7"/>
      <c r="AE26" s="7">
        <v>3</v>
      </c>
      <c r="AF26" s="8">
        <v>2</v>
      </c>
      <c r="AG26" s="4">
        <f t="shared" si="2"/>
        <v>26</v>
      </c>
    </row>
    <row r="27" spans="1:33" ht="19.5" thickBot="1" x14ac:dyDescent="0.3">
      <c r="A27" s="81" t="s">
        <v>53</v>
      </c>
      <c r="B27" s="78"/>
      <c r="C27" s="78"/>
      <c r="D27" s="78">
        <v>1</v>
      </c>
      <c r="E27" s="78">
        <v>2</v>
      </c>
      <c r="F27" s="78"/>
      <c r="G27" s="78"/>
      <c r="H27" s="78"/>
      <c r="I27" s="78"/>
      <c r="J27" s="78">
        <v>1</v>
      </c>
      <c r="K27" s="78">
        <v>1</v>
      </c>
      <c r="L27" s="78"/>
      <c r="M27" s="78"/>
      <c r="N27" s="78"/>
      <c r="O27" s="78"/>
      <c r="P27" s="78"/>
      <c r="Q27" s="78">
        <v>1</v>
      </c>
      <c r="R27" s="78"/>
      <c r="S27" s="78">
        <v>1</v>
      </c>
      <c r="T27" s="78"/>
      <c r="U27" s="78"/>
      <c r="V27" s="78"/>
      <c r="W27" s="78"/>
      <c r="X27" s="78"/>
      <c r="Y27" s="78"/>
      <c r="Z27" s="78">
        <v>1</v>
      </c>
      <c r="AA27" s="78"/>
      <c r="AB27" s="78"/>
      <c r="AC27" s="78"/>
      <c r="AD27" s="78"/>
      <c r="AE27" s="78"/>
      <c r="AF27" s="83">
        <v>1</v>
      </c>
      <c r="AG27" s="4">
        <f t="shared" si="2"/>
        <v>9</v>
      </c>
    </row>
    <row r="28" spans="1:33" ht="18.75" x14ac:dyDescent="0.25">
      <c r="A28" s="79" t="s">
        <v>107</v>
      </c>
      <c r="B28" s="80">
        <f>SUM(B29:B52)</f>
        <v>156</v>
      </c>
      <c r="C28" s="80">
        <f t="shared" ref="C28:AF28" si="3">SUM(C29:C52)</f>
        <v>152</v>
      </c>
      <c r="D28" s="80">
        <f t="shared" si="3"/>
        <v>145</v>
      </c>
      <c r="E28" s="80">
        <f t="shared" si="3"/>
        <v>191</v>
      </c>
      <c r="F28" s="80">
        <f t="shared" si="3"/>
        <v>218</v>
      </c>
      <c r="G28" s="80">
        <f t="shared" si="3"/>
        <v>150</v>
      </c>
      <c r="H28" s="80">
        <f t="shared" si="3"/>
        <v>136</v>
      </c>
      <c r="I28" s="80">
        <f t="shared" si="3"/>
        <v>132</v>
      </c>
      <c r="J28" s="80">
        <f t="shared" si="3"/>
        <v>129</v>
      </c>
      <c r="K28" s="80">
        <f t="shared" si="3"/>
        <v>119</v>
      </c>
      <c r="L28" s="80">
        <f t="shared" si="3"/>
        <v>192</v>
      </c>
      <c r="M28" s="80">
        <f t="shared" si="3"/>
        <v>198</v>
      </c>
      <c r="N28" s="80">
        <f t="shared" si="3"/>
        <v>159</v>
      </c>
      <c r="O28" s="80">
        <f t="shared" si="3"/>
        <v>142</v>
      </c>
      <c r="P28" s="80">
        <f t="shared" si="3"/>
        <v>144</v>
      </c>
      <c r="Q28" s="80">
        <f t="shared" si="3"/>
        <v>138</v>
      </c>
      <c r="R28" s="80">
        <f t="shared" si="3"/>
        <v>129</v>
      </c>
      <c r="S28" s="80">
        <f t="shared" si="3"/>
        <v>191</v>
      </c>
      <c r="T28" s="80">
        <f t="shared" si="3"/>
        <v>219</v>
      </c>
      <c r="U28" s="80">
        <f t="shared" si="3"/>
        <v>149</v>
      </c>
      <c r="V28" s="80">
        <f t="shared" si="3"/>
        <v>151</v>
      </c>
      <c r="W28" s="80">
        <f t="shared" si="3"/>
        <v>138</v>
      </c>
      <c r="X28" s="80">
        <f t="shared" si="3"/>
        <v>148</v>
      </c>
      <c r="Y28" s="80">
        <f t="shared" si="3"/>
        <v>130</v>
      </c>
      <c r="Z28" s="80">
        <f t="shared" si="3"/>
        <v>201</v>
      </c>
      <c r="AA28" s="80">
        <f t="shared" si="3"/>
        <v>225</v>
      </c>
      <c r="AB28" s="80">
        <f t="shared" si="3"/>
        <v>143</v>
      </c>
      <c r="AC28" s="80">
        <f t="shared" si="3"/>
        <v>134</v>
      </c>
      <c r="AD28" s="80">
        <f t="shared" si="3"/>
        <v>146</v>
      </c>
      <c r="AE28" s="80">
        <f>SUM(AE29:AE52)</f>
        <v>142</v>
      </c>
      <c r="AF28" s="80">
        <f t="shared" si="3"/>
        <v>147</v>
      </c>
      <c r="AG28" s="150">
        <f t="shared" si="2"/>
        <v>4894</v>
      </c>
    </row>
    <row r="29" spans="1:33" ht="18.75" x14ac:dyDescent="0.25">
      <c r="A29" s="41" t="s">
        <v>54</v>
      </c>
      <c r="B29" s="7">
        <v>5</v>
      </c>
      <c r="C29" s="7"/>
      <c r="D29" s="7">
        <v>1</v>
      </c>
      <c r="E29" s="7">
        <v>5</v>
      </c>
      <c r="F29" s="7">
        <v>2</v>
      </c>
      <c r="G29" s="7"/>
      <c r="H29" s="7"/>
      <c r="I29" s="7"/>
      <c r="J29" s="7"/>
      <c r="K29" s="7">
        <v>1</v>
      </c>
      <c r="L29" s="7">
        <v>3</v>
      </c>
      <c r="M29" s="7">
        <v>3</v>
      </c>
      <c r="N29" s="7"/>
      <c r="O29" s="7"/>
      <c r="P29" s="7"/>
      <c r="Q29" s="7"/>
      <c r="R29" s="7"/>
      <c r="S29" s="7">
        <v>2</v>
      </c>
      <c r="T29" s="7">
        <v>3</v>
      </c>
      <c r="U29" s="7"/>
      <c r="V29" s="7"/>
      <c r="W29" s="7"/>
      <c r="X29" s="7"/>
      <c r="Y29" s="7"/>
      <c r="Z29" s="7">
        <v>3</v>
      </c>
      <c r="AA29" s="7">
        <v>3</v>
      </c>
      <c r="AB29" s="7"/>
      <c r="AC29" s="7"/>
      <c r="AD29" s="7"/>
      <c r="AE29" s="7"/>
      <c r="AF29" s="8"/>
      <c r="AG29" s="4">
        <f t="shared" si="2"/>
        <v>31</v>
      </c>
    </row>
    <row r="30" spans="1:33" ht="18.75" x14ac:dyDescent="0.25">
      <c r="A30" s="41" t="s">
        <v>55</v>
      </c>
      <c r="B30" s="7">
        <v>5</v>
      </c>
      <c r="C30" s="7"/>
      <c r="D30" s="7"/>
      <c r="E30" s="7">
        <v>6</v>
      </c>
      <c r="F30" s="7">
        <v>4</v>
      </c>
      <c r="G30" s="7"/>
      <c r="H30" s="7"/>
      <c r="I30" s="7"/>
      <c r="J30" s="7"/>
      <c r="K30" s="7"/>
      <c r="L30" s="7">
        <v>2</v>
      </c>
      <c r="M30" s="7">
        <v>8</v>
      </c>
      <c r="N30" s="7"/>
      <c r="O30" s="7"/>
      <c r="P30" s="7"/>
      <c r="Q30" s="7"/>
      <c r="R30" s="7"/>
      <c r="S30" s="7">
        <v>7</v>
      </c>
      <c r="T30" s="7">
        <v>7</v>
      </c>
      <c r="U30" s="7"/>
      <c r="V30" s="7"/>
      <c r="W30" s="7"/>
      <c r="X30" s="7"/>
      <c r="Y30" s="7"/>
      <c r="Z30" s="7">
        <v>9</v>
      </c>
      <c r="AA30" s="7">
        <v>4</v>
      </c>
      <c r="AB30" s="7"/>
      <c r="AC30" s="7"/>
      <c r="AD30" s="7"/>
      <c r="AE30" s="7"/>
      <c r="AF30" s="8"/>
      <c r="AG30" s="4">
        <f t="shared" si="2"/>
        <v>52</v>
      </c>
    </row>
    <row r="31" spans="1:33" ht="18.75" x14ac:dyDescent="0.25">
      <c r="A31" s="41" t="s">
        <v>56</v>
      </c>
      <c r="B31" s="7">
        <v>9</v>
      </c>
      <c r="C31" s="7"/>
      <c r="D31" s="7"/>
      <c r="E31" s="7">
        <v>12</v>
      </c>
      <c r="F31" s="7">
        <v>9</v>
      </c>
      <c r="G31" s="7"/>
      <c r="H31" s="7"/>
      <c r="I31" s="7"/>
      <c r="J31" s="7"/>
      <c r="K31" s="7"/>
      <c r="L31" s="7">
        <v>9</v>
      </c>
      <c r="M31" s="7">
        <v>8</v>
      </c>
      <c r="N31" s="7"/>
      <c r="O31" s="7"/>
      <c r="P31" s="7"/>
      <c r="Q31" s="7"/>
      <c r="R31" s="7">
        <v>1</v>
      </c>
      <c r="S31" s="7">
        <v>12</v>
      </c>
      <c r="T31" s="7">
        <v>19</v>
      </c>
      <c r="U31" s="7"/>
      <c r="V31" s="7"/>
      <c r="W31" s="7"/>
      <c r="X31" s="7"/>
      <c r="Y31" s="7"/>
      <c r="Z31" s="7">
        <v>11</v>
      </c>
      <c r="AA31" s="7">
        <v>11</v>
      </c>
      <c r="AB31" s="7"/>
      <c r="AC31" s="7"/>
      <c r="AD31" s="7"/>
      <c r="AE31" s="7"/>
      <c r="AF31" s="8"/>
      <c r="AG31" s="4">
        <f t="shared" si="2"/>
        <v>101</v>
      </c>
    </row>
    <row r="32" spans="1:33" ht="18.75" x14ac:dyDescent="0.25">
      <c r="A32" s="41" t="s">
        <v>38</v>
      </c>
      <c r="B32" s="7">
        <v>5</v>
      </c>
      <c r="C32" s="7"/>
      <c r="D32" s="7"/>
      <c r="E32" s="7">
        <v>8</v>
      </c>
      <c r="F32" s="7">
        <v>12</v>
      </c>
      <c r="G32" s="7"/>
      <c r="H32" s="7"/>
      <c r="I32" s="7"/>
      <c r="J32" s="7"/>
      <c r="K32" s="7"/>
      <c r="L32" s="7">
        <v>11</v>
      </c>
      <c r="M32" s="7">
        <v>14</v>
      </c>
      <c r="N32" s="7"/>
      <c r="O32" s="7"/>
      <c r="P32" s="7"/>
      <c r="Q32" s="7"/>
      <c r="R32" s="7"/>
      <c r="S32" s="7">
        <v>11</v>
      </c>
      <c r="T32" s="7">
        <v>10</v>
      </c>
      <c r="U32" s="7"/>
      <c r="V32" s="7"/>
      <c r="W32" s="7"/>
      <c r="X32" s="7"/>
      <c r="Y32" s="7"/>
      <c r="Z32" s="7">
        <v>10</v>
      </c>
      <c r="AA32" s="7">
        <v>15</v>
      </c>
      <c r="AB32" s="7"/>
      <c r="AC32" s="7"/>
      <c r="AD32" s="7"/>
      <c r="AE32" s="7"/>
      <c r="AF32" s="8"/>
      <c r="AG32" s="4">
        <f t="shared" si="2"/>
        <v>96</v>
      </c>
    </row>
    <row r="33" spans="1:33" ht="18.75" x14ac:dyDescent="0.25">
      <c r="A33" s="41" t="s">
        <v>39</v>
      </c>
      <c r="B33" s="7">
        <v>14</v>
      </c>
      <c r="C33" s="7"/>
      <c r="D33" s="7"/>
      <c r="E33" s="7">
        <v>10</v>
      </c>
      <c r="F33" s="7">
        <v>11</v>
      </c>
      <c r="G33" s="7"/>
      <c r="H33" s="7"/>
      <c r="I33" s="7"/>
      <c r="J33" s="7"/>
      <c r="K33" s="7"/>
      <c r="L33" s="7">
        <v>6</v>
      </c>
      <c r="M33" s="7">
        <v>14</v>
      </c>
      <c r="N33" s="7"/>
      <c r="O33" s="7"/>
      <c r="P33" s="7"/>
      <c r="Q33" s="7"/>
      <c r="R33" s="7"/>
      <c r="S33" s="7">
        <v>10</v>
      </c>
      <c r="T33" s="7">
        <v>12</v>
      </c>
      <c r="U33" s="7"/>
      <c r="V33" s="7"/>
      <c r="W33" s="7"/>
      <c r="X33" s="7"/>
      <c r="Y33" s="7">
        <v>1</v>
      </c>
      <c r="Z33" s="7">
        <v>11</v>
      </c>
      <c r="AA33" s="7">
        <v>13</v>
      </c>
      <c r="AB33" s="7"/>
      <c r="AC33" s="7"/>
      <c r="AD33" s="7"/>
      <c r="AE33" s="7"/>
      <c r="AF33" s="8"/>
      <c r="AG33" s="4">
        <f t="shared" si="2"/>
        <v>102</v>
      </c>
    </row>
    <row r="34" spans="1:33" ht="18.75" x14ac:dyDescent="0.25">
      <c r="A34" s="41" t="s">
        <v>40</v>
      </c>
      <c r="B34" s="7">
        <v>11</v>
      </c>
      <c r="C34" s="7"/>
      <c r="D34" s="7"/>
      <c r="E34" s="7">
        <v>8</v>
      </c>
      <c r="F34" s="7">
        <v>10</v>
      </c>
      <c r="G34" s="7"/>
      <c r="H34" s="7">
        <v>1</v>
      </c>
      <c r="I34" s="7"/>
      <c r="J34" s="7"/>
      <c r="K34" s="7"/>
      <c r="L34" s="7">
        <v>9</v>
      </c>
      <c r="M34" s="7">
        <v>9</v>
      </c>
      <c r="N34" s="7"/>
      <c r="O34" s="7"/>
      <c r="P34" s="7"/>
      <c r="Q34" s="7"/>
      <c r="R34" s="7"/>
      <c r="S34" s="7">
        <v>8</v>
      </c>
      <c r="T34" s="7">
        <v>8</v>
      </c>
      <c r="U34" s="7"/>
      <c r="V34" s="7"/>
      <c r="W34" s="7"/>
      <c r="X34" s="7"/>
      <c r="Y34" s="7"/>
      <c r="Z34" s="7">
        <v>7</v>
      </c>
      <c r="AA34" s="7">
        <v>15</v>
      </c>
      <c r="AB34" s="7"/>
      <c r="AC34" s="7"/>
      <c r="AD34" s="7">
        <v>1</v>
      </c>
      <c r="AE34" s="7"/>
      <c r="AF34" s="8"/>
      <c r="AG34" s="4">
        <f t="shared" si="2"/>
        <v>87</v>
      </c>
    </row>
    <row r="35" spans="1:33" ht="18.75" x14ac:dyDescent="0.25">
      <c r="A35" s="41" t="s">
        <v>41</v>
      </c>
      <c r="B35" s="7">
        <v>12</v>
      </c>
      <c r="C35" s="7"/>
      <c r="D35" s="7"/>
      <c r="E35" s="7">
        <v>5</v>
      </c>
      <c r="F35" s="7">
        <v>11</v>
      </c>
      <c r="G35" s="7"/>
      <c r="H35" s="7"/>
      <c r="I35" s="7"/>
      <c r="J35" s="7"/>
      <c r="K35" s="7"/>
      <c r="L35" s="7">
        <v>5</v>
      </c>
      <c r="M35" s="7">
        <v>10</v>
      </c>
      <c r="N35" s="7"/>
      <c r="O35" s="7"/>
      <c r="P35" s="7"/>
      <c r="Q35" s="7"/>
      <c r="R35" s="7"/>
      <c r="S35" s="7">
        <v>7</v>
      </c>
      <c r="T35" s="7">
        <v>9</v>
      </c>
      <c r="U35" s="7">
        <v>1</v>
      </c>
      <c r="V35" s="7"/>
      <c r="W35" s="7"/>
      <c r="X35" s="7"/>
      <c r="Y35" s="7"/>
      <c r="Z35" s="7">
        <v>12</v>
      </c>
      <c r="AA35" s="7">
        <v>11</v>
      </c>
      <c r="AB35" s="7"/>
      <c r="AC35" s="7"/>
      <c r="AD35" s="7"/>
      <c r="AE35" s="7"/>
      <c r="AF35" s="8"/>
      <c r="AG35" s="4">
        <f t="shared" si="2"/>
        <v>83</v>
      </c>
    </row>
    <row r="36" spans="1:33" ht="18.75" x14ac:dyDescent="0.25">
      <c r="A36" s="41" t="s">
        <v>42</v>
      </c>
      <c r="B36" s="7">
        <v>8</v>
      </c>
      <c r="C36" s="7"/>
      <c r="D36" s="7"/>
      <c r="E36" s="7">
        <v>17</v>
      </c>
      <c r="F36" s="7">
        <v>14</v>
      </c>
      <c r="G36" s="7"/>
      <c r="H36" s="7"/>
      <c r="I36" s="7"/>
      <c r="J36" s="7"/>
      <c r="K36" s="7"/>
      <c r="L36" s="7">
        <v>15</v>
      </c>
      <c r="M36" s="7">
        <v>9</v>
      </c>
      <c r="N36" s="7"/>
      <c r="O36" s="7"/>
      <c r="P36" s="7"/>
      <c r="Q36" s="7"/>
      <c r="R36" s="7"/>
      <c r="S36" s="7">
        <v>12</v>
      </c>
      <c r="T36" s="7">
        <v>14</v>
      </c>
      <c r="U36" s="7"/>
      <c r="V36" s="7"/>
      <c r="W36" s="7"/>
      <c r="X36" s="7"/>
      <c r="Y36" s="7"/>
      <c r="Z36" s="7">
        <v>13</v>
      </c>
      <c r="AA36" s="7">
        <v>16</v>
      </c>
      <c r="AB36" s="7"/>
      <c r="AC36" s="7"/>
      <c r="AD36" s="7"/>
      <c r="AE36" s="7"/>
      <c r="AF36" s="8"/>
      <c r="AG36" s="4">
        <f t="shared" si="2"/>
        <v>118</v>
      </c>
    </row>
    <row r="37" spans="1:33" ht="18.75" x14ac:dyDescent="0.25">
      <c r="A37" s="41" t="s">
        <v>43</v>
      </c>
      <c r="B37" s="7">
        <v>6</v>
      </c>
      <c r="C37" s="7"/>
      <c r="D37" s="7"/>
      <c r="E37" s="7">
        <v>7</v>
      </c>
      <c r="F37" s="7">
        <v>13</v>
      </c>
      <c r="G37" s="7"/>
      <c r="H37" s="7"/>
      <c r="I37" s="7"/>
      <c r="J37" s="7"/>
      <c r="K37" s="7"/>
      <c r="L37" s="7">
        <v>12</v>
      </c>
      <c r="M37" s="7">
        <v>12</v>
      </c>
      <c r="N37" s="7"/>
      <c r="O37" s="7"/>
      <c r="P37" s="7"/>
      <c r="Q37" s="7"/>
      <c r="R37" s="7"/>
      <c r="S37" s="7">
        <v>13</v>
      </c>
      <c r="T37" s="7">
        <v>8</v>
      </c>
      <c r="U37" s="7"/>
      <c r="V37" s="7"/>
      <c r="W37" s="7"/>
      <c r="X37" s="7"/>
      <c r="Y37" s="7"/>
      <c r="Z37" s="7">
        <v>13</v>
      </c>
      <c r="AA37" s="7">
        <v>16</v>
      </c>
      <c r="AB37" s="7"/>
      <c r="AC37" s="7"/>
      <c r="AD37" s="7"/>
      <c r="AE37" s="7"/>
      <c r="AF37" s="8"/>
      <c r="AG37" s="4">
        <f t="shared" si="2"/>
        <v>100</v>
      </c>
    </row>
    <row r="38" spans="1:33" ht="18.75" x14ac:dyDescent="0.25">
      <c r="A38" s="41" t="s">
        <v>44</v>
      </c>
      <c r="B38" s="7">
        <v>7</v>
      </c>
      <c r="C38" s="7">
        <v>11</v>
      </c>
      <c r="D38" s="7">
        <v>3</v>
      </c>
      <c r="E38" s="7">
        <v>16</v>
      </c>
      <c r="F38" s="7">
        <v>13</v>
      </c>
      <c r="G38" s="7">
        <v>9</v>
      </c>
      <c r="H38" s="7">
        <v>2</v>
      </c>
      <c r="I38" s="7">
        <v>6</v>
      </c>
      <c r="J38" s="7">
        <v>7</v>
      </c>
      <c r="K38" s="7">
        <v>4</v>
      </c>
      <c r="L38" s="7">
        <v>16</v>
      </c>
      <c r="M38" s="7">
        <v>15</v>
      </c>
      <c r="N38" s="7">
        <v>11</v>
      </c>
      <c r="O38" s="7">
        <v>6</v>
      </c>
      <c r="P38" s="7">
        <v>8</v>
      </c>
      <c r="Q38" s="7">
        <v>7</v>
      </c>
      <c r="R38" s="7">
        <v>4</v>
      </c>
      <c r="S38" s="7">
        <v>16</v>
      </c>
      <c r="T38" s="7">
        <v>23</v>
      </c>
      <c r="U38" s="7">
        <v>9</v>
      </c>
      <c r="V38" s="7">
        <v>7</v>
      </c>
      <c r="W38" s="7">
        <v>9</v>
      </c>
      <c r="X38" s="7">
        <v>12</v>
      </c>
      <c r="Y38" s="7"/>
      <c r="Z38" s="7">
        <v>15</v>
      </c>
      <c r="AA38" s="7">
        <v>15</v>
      </c>
      <c r="AB38" s="7">
        <v>4</v>
      </c>
      <c r="AC38" s="7">
        <v>52</v>
      </c>
      <c r="AD38" s="7">
        <v>6</v>
      </c>
      <c r="AE38" s="7">
        <v>38</v>
      </c>
      <c r="AF38" s="8">
        <v>49</v>
      </c>
      <c r="AG38" s="4">
        <f t="shared" si="2"/>
        <v>400</v>
      </c>
    </row>
    <row r="39" spans="1:33" ht="18.75" x14ac:dyDescent="0.25">
      <c r="A39" s="41" t="s">
        <v>45</v>
      </c>
      <c r="B39" s="7">
        <v>12</v>
      </c>
      <c r="C39" s="7">
        <v>20</v>
      </c>
      <c r="D39" s="7">
        <v>18</v>
      </c>
      <c r="E39" s="7">
        <v>6</v>
      </c>
      <c r="F39" s="7">
        <v>15</v>
      </c>
      <c r="G39" s="7">
        <v>23</v>
      </c>
      <c r="H39" s="7">
        <v>14</v>
      </c>
      <c r="I39" s="7">
        <v>20</v>
      </c>
      <c r="J39" s="7">
        <v>11</v>
      </c>
      <c r="K39" s="7">
        <v>10</v>
      </c>
      <c r="L39" s="7">
        <v>14</v>
      </c>
      <c r="M39" s="7">
        <v>9</v>
      </c>
      <c r="N39" s="7">
        <v>19</v>
      </c>
      <c r="O39" s="7">
        <v>26</v>
      </c>
      <c r="P39" s="7">
        <v>22</v>
      </c>
      <c r="Q39" s="7">
        <v>20</v>
      </c>
      <c r="R39" s="7">
        <v>10</v>
      </c>
      <c r="S39" s="7">
        <v>13</v>
      </c>
      <c r="T39" s="7">
        <v>18</v>
      </c>
      <c r="U39" s="7">
        <v>26</v>
      </c>
      <c r="V39" s="7">
        <v>17</v>
      </c>
      <c r="W39" s="7">
        <v>20</v>
      </c>
      <c r="X39" s="7">
        <v>15</v>
      </c>
      <c r="Y39" s="7">
        <v>8</v>
      </c>
      <c r="Z39" s="7">
        <v>10</v>
      </c>
      <c r="AA39" s="7">
        <v>13</v>
      </c>
      <c r="AB39" s="7">
        <v>25</v>
      </c>
      <c r="AC39" s="7">
        <v>11</v>
      </c>
      <c r="AD39" s="7">
        <v>23</v>
      </c>
      <c r="AE39" s="7">
        <v>25</v>
      </c>
      <c r="AF39" s="8">
        <v>16</v>
      </c>
      <c r="AG39" s="4">
        <f t="shared" si="2"/>
        <v>509</v>
      </c>
    </row>
    <row r="40" spans="1:33" ht="18.75" x14ac:dyDescent="0.25">
      <c r="A40" s="41" t="s">
        <v>46</v>
      </c>
      <c r="B40" s="7">
        <v>8</v>
      </c>
      <c r="C40" s="7">
        <v>17</v>
      </c>
      <c r="D40" s="7">
        <v>16</v>
      </c>
      <c r="E40" s="7">
        <v>8</v>
      </c>
      <c r="F40" s="7">
        <v>14</v>
      </c>
      <c r="G40" s="7">
        <v>21</v>
      </c>
      <c r="H40" s="7">
        <v>16</v>
      </c>
      <c r="I40" s="7">
        <v>26</v>
      </c>
      <c r="J40" s="7">
        <v>21</v>
      </c>
      <c r="K40" s="7">
        <v>20</v>
      </c>
      <c r="L40" s="7">
        <v>12</v>
      </c>
      <c r="M40" s="7">
        <v>19</v>
      </c>
      <c r="N40" s="7">
        <v>20</v>
      </c>
      <c r="O40" s="7">
        <v>24</v>
      </c>
      <c r="P40" s="7">
        <v>25</v>
      </c>
      <c r="Q40" s="7">
        <v>17</v>
      </c>
      <c r="R40" s="7">
        <v>17</v>
      </c>
      <c r="S40" s="7">
        <v>13</v>
      </c>
      <c r="T40" s="7">
        <v>7</v>
      </c>
      <c r="U40" s="7">
        <v>34</v>
      </c>
      <c r="V40" s="7">
        <v>25</v>
      </c>
      <c r="W40" s="7">
        <v>18</v>
      </c>
      <c r="X40" s="7">
        <v>17</v>
      </c>
      <c r="Y40" s="7">
        <v>16</v>
      </c>
      <c r="Z40" s="7">
        <v>12</v>
      </c>
      <c r="AA40" s="7">
        <v>8</v>
      </c>
      <c r="AB40" s="7">
        <v>21</v>
      </c>
      <c r="AC40" s="7">
        <v>11</v>
      </c>
      <c r="AD40" s="7">
        <v>28</v>
      </c>
      <c r="AE40" s="7">
        <v>15</v>
      </c>
      <c r="AF40" s="8">
        <v>10</v>
      </c>
      <c r="AG40" s="4">
        <f t="shared" si="2"/>
        <v>536</v>
      </c>
    </row>
    <row r="41" spans="1:33" ht="18.75" x14ac:dyDescent="0.25">
      <c r="A41" s="41" t="s">
        <v>47</v>
      </c>
      <c r="B41" s="7">
        <v>12</v>
      </c>
      <c r="C41" s="7">
        <v>20</v>
      </c>
      <c r="D41" s="7">
        <v>23</v>
      </c>
      <c r="E41" s="7">
        <v>8</v>
      </c>
      <c r="F41" s="7">
        <v>20</v>
      </c>
      <c r="G41" s="7">
        <v>16</v>
      </c>
      <c r="H41" s="7">
        <v>21</v>
      </c>
      <c r="I41" s="7">
        <v>22</v>
      </c>
      <c r="J41" s="7">
        <v>22</v>
      </c>
      <c r="K41" s="7">
        <v>17</v>
      </c>
      <c r="L41" s="7">
        <v>10</v>
      </c>
      <c r="M41" s="7">
        <v>11</v>
      </c>
      <c r="N41" s="7">
        <v>23</v>
      </c>
      <c r="O41" s="7">
        <v>18</v>
      </c>
      <c r="P41" s="7">
        <v>21</v>
      </c>
      <c r="Q41" s="7">
        <v>23</v>
      </c>
      <c r="R41" s="7">
        <v>15</v>
      </c>
      <c r="S41" s="7">
        <v>13</v>
      </c>
      <c r="T41" s="7">
        <v>12</v>
      </c>
      <c r="U41" s="7">
        <v>25</v>
      </c>
      <c r="V41" s="7">
        <v>22</v>
      </c>
      <c r="W41" s="7">
        <v>24</v>
      </c>
      <c r="X41" s="7">
        <v>17</v>
      </c>
      <c r="Y41" s="7">
        <v>17</v>
      </c>
      <c r="Z41" s="7">
        <v>10</v>
      </c>
      <c r="AA41" s="7">
        <v>13</v>
      </c>
      <c r="AB41" s="7">
        <v>22</v>
      </c>
      <c r="AC41" s="7">
        <v>14</v>
      </c>
      <c r="AD41" s="7">
        <v>19</v>
      </c>
      <c r="AE41" s="7">
        <v>16</v>
      </c>
      <c r="AF41" s="8">
        <v>17</v>
      </c>
      <c r="AG41" s="4">
        <f t="shared" si="2"/>
        <v>543</v>
      </c>
    </row>
    <row r="42" spans="1:33" ht="18.75" x14ac:dyDescent="0.25">
      <c r="A42" s="41" t="s">
        <v>48</v>
      </c>
      <c r="B42" s="7">
        <v>11</v>
      </c>
      <c r="C42" s="7">
        <v>21</v>
      </c>
      <c r="D42" s="7">
        <v>10</v>
      </c>
      <c r="E42" s="7">
        <v>11</v>
      </c>
      <c r="F42" s="7">
        <v>13</v>
      </c>
      <c r="G42" s="7">
        <v>22</v>
      </c>
      <c r="H42" s="7">
        <v>19</v>
      </c>
      <c r="I42" s="7">
        <v>11</v>
      </c>
      <c r="J42" s="7">
        <v>26</v>
      </c>
      <c r="K42" s="7">
        <v>25</v>
      </c>
      <c r="L42" s="7">
        <v>9</v>
      </c>
      <c r="M42" s="7">
        <v>14</v>
      </c>
      <c r="N42" s="7">
        <v>31</v>
      </c>
      <c r="O42" s="7">
        <v>20</v>
      </c>
      <c r="P42" s="7">
        <v>19</v>
      </c>
      <c r="Q42" s="7">
        <v>15</v>
      </c>
      <c r="R42" s="7">
        <v>12</v>
      </c>
      <c r="S42" s="7">
        <v>12</v>
      </c>
      <c r="T42" s="7">
        <v>15</v>
      </c>
      <c r="U42" s="7">
        <v>20</v>
      </c>
      <c r="V42" s="7">
        <v>22</v>
      </c>
      <c r="W42" s="7">
        <v>13</v>
      </c>
      <c r="X42" s="7">
        <v>14</v>
      </c>
      <c r="Y42" s="7">
        <v>15</v>
      </c>
      <c r="Z42" s="7">
        <v>13</v>
      </c>
      <c r="AA42" s="7">
        <v>15</v>
      </c>
      <c r="AB42" s="7">
        <v>21</v>
      </c>
      <c r="AC42" s="7">
        <v>10</v>
      </c>
      <c r="AD42" s="7">
        <v>17</v>
      </c>
      <c r="AE42" s="7">
        <v>16</v>
      </c>
      <c r="AF42" s="8">
        <v>16</v>
      </c>
      <c r="AG42" s="4">
        <f t="shared" si="2"/>
        <v>508</v>
      </c>
    </row>
    <row r="43" spans="1:33" ht="18.75" x14ac:dyDescent="0.25">
      <c r="A43" s="41" t="s">
        <v>49</v>
      </c>
      <c r="B43" s="7">
        <v>12</v>
      </c>
      <c r="C43" s="7">
        <v>19</v>
      </c>
      <c r="D43" s="7">
        <v>18</v>
      </c>
      <c r="E43" s="7">
        <v>12</v>
      </c>
      <c r="F43" s="7">
        <v>11</v>
      </c>
      <c r="G43" s="7">
        <v>14</v>
      </c>
      <c r="H43" s="7">
        <v>21</v>
      </c>
      <c r="I43" s="7">
        <v>11</v>
      </c>
      <c r="J43" s="7">
        <v>16</v>
      </c>
      <c r="K43" s="7">
        <v>23</v>
      </c>
      <c r="L43" s="7">
        <v>12</v>
      </c>
      <c r="M43" s="7">
        <v>13</v>
      </c>
      <c r="N43" s="7">
        <v>16</v>
      </c>
      <c r="O43" s="7">
        <v>17</v>
      </c>
      <c r="P43" s="7">
        <v>22</v>
      </c>
      <c r="Q43" s="7">
        <v>17</v>
      </c>
      <c r="R43" s="7">
        <v>20</v>
      </c>
      <c r="S43" s="7">
        <v>8</v>
      </c>
      <c r="T43" s="7">
        <v>12</v>
      </c>
      <c r="U43" s="7">
        <v>7</v>
      </c>
      <c r="V43" s="7">
        <v>15</v>
      </c>
      <c r="W43" s="7">
        <v>16</v>
      </c>
      <c r="X43" s="7">
        <v>18</v>
      </c>
      <c r="Y43" s="7">
        <v>22</v>
      </c>
      <c r="Z43" s="7">
        <v>9</v>
      </c>
      <c r="AA43" s="7">
        <v>12</v>
      </c>
      <c r="AB43" s="7">
        <v>18</v>
      </c>
      <c r="AC43" s="7">
        <v>13</v>
      </c>
      <c r="AD43" s="7">
        <v>18</v>
      </c>
      <c r="AE43" s="7">
        <v>7</v>
      </c>
      <c r="AF43" s="8">
        <v>12</v>
      </c>
      <c r="AG43" s="4">
        <f t="shared" si="2"/>
        <v>461</v>
      </c>
    </row>
    <row r="44" spans="1:33" ht="18.75" x14ac:dyDescent="0.25">
      <c r="A44" s="41" t="s">
        <v>50</v>
      </c>
      <c r="B44" s="7">
        <v>3</v>
      </c>
      <c r="C44" s="7">
        <v>14</v>
      </c>
      <c r="D44" s="7">
        <v>13</v>
      </c>
      <c r="E44" s="7">
        <v>10</v>
      </c>
      <c r="F44" s="7">
        <v>14</v>
      </c>
      <c r="G44" s="7">
        <v>6</v>
      </c>
      <c r="H44" s="7">
        <v>14</v>
      </c>
      <c r="I44" s="7">
        <v>6</v>
      </c>
      <c r="J44" s="7">
        <v>12</v>
      </c>
      <c r="K44" s="7">
        <v>7</v>
      </c>
      <c r="L44" s="7">
        <v>13</v>
      </c>
      <c r="M44" s="7">
        <v>12</v>
      </c>
      <c r="N44" s="7">
        <v>8</v>
      </c>
      <c r="O44" s="7">
        <v>10</v>
      </c>
      <c r="P44" s="7">
        <v>10</v>
      </c>
      <c r="Q44" s="7">
        <v>13</v>
      </c>
      <c r="R44" s="7">
        <v>11</v>
      </c>
      <c r="S44" s="7">
        <v>5</v>
      </c>
      <c r="T44" s="7">
        <v>15</v>
      </c>
      <c r="U44" s="7">
        <v>7</v>
      </c>
      <c r="V44" s="7">
        <v>8</v>
      </c>
      <c r="W44" s="7">
        <v>10</v>
      </c>
      <c r="X44" s="7">
        <v>25</v>
      </c>
      <c r="Y44" s="7">
        <v>15</v>
      </c>
      <c r="Z44" s="7">
        <v>6</v>
      </c>
      <c r="AA44" s="7">
        <v>13</v>
      </c>
      <c r="AB44" s="7">
        <v>8</v>
      </c>
      <c r="AC44" s="7">
        <v>10</v>
      </c>
      <c r="AD44" s="7">
        <v>15</v>
      </c>
      <c r="AE44" s="7">
        <v>11</v>
      </c>
      <c r="AF44" s="8">
        <v>10</v>
      </c>
      <c r="AG44" s="4">
        <f t="shared" si="2"/>
        <v>334</v>
      </c>
    </row>
    <row r="45" spans="1:33" ht="18.75" x14ac:dyDescent="0.25">
      <c r="A45" s="41" t="s">
        <v>33</v>
      </c>
      <c r="B45" s="7">
        <v>4</v>
      </c>
      <c r="C45" s="7">
        <v>15</v>
      </c>
      <c r="D45" s="7">
        <v>12</v>
      </c>
      <c r="E45" s="7">
        <v>6</v>
      </c>
      <c r="F45" s="7">
        <v>13</v>
      </c>
      <c r="G45" s="7">
        <v>8</v>
      </c>
      <c r="H45" s="7">
        <v>4</v>
      </c>
      <c r="I45" s="7">
        <v>8</v>
      </c>
      <c r="J45" s="7">
        <v>6</v>
      </c>
      <c r="K45" s="7">
        <v>2</v>
      </c>
      <c r="L45" s="7">
        <v>11</v>
      </c>
      <c r="M45" s="7">
        <v>7</v>
      </c>
      <c r="N45" s="7">
        <v>2</v>
      </c>
      <c r="O45" s="7">
        <v>7</v>
      </c>
      <c r="P45" s="7">
        <v>7</v>
      </c>
      <c r="Q45" s="7">
        <v>9</v>
      </c>
      <c r="R45" s="7">
        <v>10</v>
      </c>
      <c r="S45" s="7">
        <v>9</v>
      </c>
      <c r="T45" s="7">
        <v>9</v>
      </c>
      <c r="U45" s="7">
        <v>4</v>
      </c>
      <c r="V45" s="7">
        <v>10</v>
      </c>
      <c r="W45" s="7">
        <v>4</v>
      </c>
      <c r="X45" s="7">
        <v>10</v>
      </c>
      <c r="Y45" s="7">
        <v>8</v>
      </c>
      <c r="Z45" s="7">
        <v>7</v>
      </c>
      <c r="AA45" s="7">
        <v>10</v>
      </c>
      <c r="AB45" s="7">
        <v>7</v>
      </c>
      <c r="AC45" s="7">
        <v>5</v>
      </c>
      <c r="AD45" s="7">
        <v>8</v>
      </c>
      <c r="AE45" s="7">
        <v>6</v>
      </c>
      <c r="AF45" s="8">
        <v>6</v>
      </c>
      <c r="AG45" s="4">
        <f t="shared" si="2"/>
        <v>234</v>
      </c>
    </row>
    <row r="46" spans="1:33" ht="18.75" x14ac:dyDescent="0.25">
      <c r="A46" s="41" t="s">
        <v>34</v>
      </c>
      <c r="B46" s="7">
        <v>5</v>
      </c>
      <c r="C46" s="7">
        <v>7</v>
      </c>
      <c r="D46" s="7">
        <v>13</v>
      </c>
      <c r="E46" s="7">
        <v>9</v>
      </c>
      <c r="F46" s="7">
        <v>9</v>
      </c>
      <c r="G46" s="7">
        <v>10</v>
      </c>
      <c r="H46" s="7">
        <v>10</v>
      </c>
      <c r="I46" s="7">
        <v>7</v>
      </c>
      <c r="J46" s="7">
        <v>2</v>
      </c>
      <c r="K46" s="7">
        <v>2</v>
      </c>
      <c r="L46" s="7">
        <v>2</v>
      </c>
      <c r="M46" s="7">
        <v>5</v>
      </c>
      <c r="N46" s="7">
        <v>8</v>
      </c>
      <c r="O46" s="7">
        <v>4</v>
      </c>
      <c r="P46" s="7">
        <v>4</v>
      </c>
      <c r="Q46" s="7">
        <v>8</v>
      </c>
      <c r="R46" s="7">
        <v>12</v>
      </c>
      <c r="S46" s="7">
        <v>4</v>
      </c>
      <c r="T46" s="7">
        <v>8</v>
      </c>
      <c r="U46" s="7">
        <v>7</v>
      </c>
      <c r="V46" s="7">
        <v>10</v>
      </c>
      <c r="W46" s="7">
        <v>9</v>
      </c>
      <c r="X46" s="7">
        <v>9</v>
      </c>
      <c r="Y46" s="7">
        <v>3</v>
      </c>
      <c r="Z46" s="7">
        <v>7</v>
      </c>
      <c r="AA46" s="7">
        <v>7</v>
      </c>
      <c r="AB46" s="7">
        <v>4</v>
      </c>
      <c r="AC46" s="7">
        <v>2</v>
      </c>
      <c r="AD46" s="7">
        <v>7</v>
      </c>
      <c r="AE46" s="7">
        <v>3</v>
      </c>
      <c r="AF46" s="8">
        <v>3</v>
      </c>
      <c r="AG46" s="4">
        <f t="shared" si="2"/>
        <v>200</v>
      </c>
    </row>
    <row r="47" spans="1:33" ht="18.75" x14ac:dyDescent="0.25">
      <c r="A47" s="41" t="s">
        <v>35</v>
      </c>
      <c r="B47" s="7">
        <v>4</v>
      </c>
      <c r="C47" s="7">
        <v>2</v>
      </c>
      <c r="D47" s="7">
        <v>13</v>
      </c>
      <c r="E47" s="7">
        <v>9</v>
      </c>
      <c r="F47" s="7">
        <v>4</v>
      </c>
      <c r="G47" s="7">
        <v>6</v>
      </c>
      <c r="H47" s="7">
        <v>7</v>
      </c>
      <c r="I47" s="7">
        <v>9</v>
      </c>
      <c r="J47" s="7"/>
      <c r="K47" s="7">
        <v>1</v>
      </c>
      <c r="L47" s="7">
        <v>7</v>
      </c>
      <c r="M47" s="7">
        <v>5</v>
      </c>
      <c r="N47" s="7">
        <v>6</v>
      </c>
      <c r="O47" s="7">
        <v>8</v>
      </c>
      <c r="P47" s="7">
        <v>1</v>
      </c>
      <c r="Q47" s="7">
        <v>6</v>
      </c>
      <c r="R47" s="7">
        <v>9</v>
      </c>
      <c r="S47" s="7">
        <v>6</v>
      </c>
      <c r="T47" s="7">
        <v>5</v>
      </c>
      <c r="U47" s="7">
        <v>7</v>
      </c>
      <c r="V47" s="7">
        <v>9</v>
      </c>
      <c r="W47" s="7">
        <v>7</v>
      </c>
      <c r="X47" s="7">
        <v>9</v>
      </c>
      <c r="Y47" s="7">
        <v>6</v>
      </c>
      <c r="Z47" s="7">
        <v>3</v>
      </c>
      <c r="AA47" s="7">
        <v>9</v>
      </c>
      <c r="AB47" s="7">
        <v>8</v>
      </c>
      <c r="AC47" s="7">
        <v>2</v>
      </c>
      <c r="AD47" s="7">
        <v>2</v>
      </c>
      <c r="AE47" s="7">
        <v>1</v>
      </c>
      <c r="AF47" s="8">
        <v>2</v>
      </c>
      <c r="AG47" s="4">
        <f t="shared" si="2"/>
        <v>173</v>
      </c>
    </row>
    <row r="48" spans="1:33" ht="18.75" x14ac:dyDescent="0.25">
      <c r="A48" s="41" t="s">
        <v>36</v>
      </c>
      <c r="B48" s="7">
        <v>2</v>
      </c>
      <c r="C48" s="7"/>
      <c r="D48" s="7"/>
      <c r="E48" s="7">
        <v>7</v>
      </c>
      <c r="F48" s="7">
        <v>3</v>
      </c>
      <c r="G48" s="7">
        <v>7</v>
      </c>
      <c r="H48" s="7">
        <v>4</v>
      </c>
      <c r="I48" s="7">
        <v>4</v>
      </c>
      <c r="J48" s="7">
        <v>2</v>
      </c>
      <c r="K48" s="7">
        <v>1</v>
      </c>
      <c r="L48" s="7">
        <v>6</v>
      </c>
      <c r="M48" s="7">
        <v>1</v>
      </c>
      <c r="N48" s="7">
        <v>7</v>
      </c>
      <c r="O48" s="7">
        <v>1</v>
      </c>
      <c r="P48" s="7">
        <v>2</v>
      </c>
      <c r="Q48" s="7"/>
      <c r="R48" s="7">
        <v>2</v>
      </c>
      <c r="S48" s="7">
        <v>4</v>
      </c>
      <c r="T48" s="7"/>
      <c r="U48" s="7">
        <v>1</v>
      </c>
      <c r="V48" s="7">
        <v>4</v>
      </c>
      <c r="W48" s="7">
        <v>6</v>
      </c>
      <c r="X48" s="7">
        <v>1</v>
      </c>
      <c r="Y48" s="7">
        <v>5</v>
      </c>
      <c r="Z48" s="7">
        <v>4</v>
      </c>
      <c r="AA48" s="7">
        <v>4</v>
      </c>
      <c r="AB48" s="7">
        <v>4</v>
      </c>
      <c r="AC48" s="7"/>
      <c r="AD48" s="7">
        <v>1</v>
      </c>
      <c r="AE48" s="7"/>
      <c r="AF48" s="8"/>
      <c r="AG48" s="4">
        <f t="shared" si="2"/>
        <v>83</v>
      </c>
    </row>
    <row r="49" spans="1:33" ht="18.75" x14ac:dyDescent="0.25">
      <c r="A49" s="41" t="s">
        <v>51</v>
      </c>
      <c r="B49" s="7">
        <v>1</v>
      </c>
      <c r="C49" s="7">
        <v>4</v>
      </c>
      <c r="D49" s="7">
        <v>3</v>
      </c>
      <c r="E49" s="7">
        <v>8</v>
      </c>
      <c r="F49" s="7">
        <v>1</v>
      </c>
      <c r="G49" s="7">
        <v>2</v>
      </c>
      <c r="H49" s="7"/>
      <c r="I49" s="7"/>
      <c r="J49" s="7">
        <v>2</v>
      </c>
      <c r="K49" s="7">
        <v>2</v>
      </c>
      <c r="L49" s="7">
        <v>6</v>
      </c>
      <c r="M49" s="7"/>
      <c r="N49" s="7">
        <v>6</v>
      </c>
      <c r="O49" s="7"/>
      <c r="P49" s="7">
        <v>2</v>
      </c>
      <c r="Q49" s="7"/>
      <c r="R49" s="7">
        <v>2</v>
      </c>
      <c r="S49" s="7">
        <v>4</v>
      </c>
      <c r="T49" s="7">
        <v>1</v>
      </c>
      <c r="U49" s="7"/>
      <c r="V49" s="7">
        <v>2</v>
      </c>
      <c r="W49" s="7">
        <v>1</v>
      </c>
      <c r="X49" s="7">
        <v>1</v>
      </c>
      <c r="Y49" s="7">
        <v>4</v>
      </c>
      <c r="Z49" s="7">
        <v>5</v>
      </c>
      <c r="AA49" s="7">
        <v>1</v>
      </c>
      <c r="AB49" s="7">
        <v>1</v>
      </c>
      <c r="AC49" s="7"/>
      <c r="AD49" s="7"/>
      <c r="AE49" s="7">
        <v>1</v>
      </c>
      <c r="AF49" s="8">
        <v>1</v>
      </c>
      <c r="AG49" s="4">
        <f t="shared" si="2"/>
        <v>61</v>
      </c>
    </row>
    <row r="50" spans="1:33" ht="18.75" x14ac:dyDescent="0.25">
      <c r="A50" s="41" t="s">
        <v>52</v>
      </c>
      <c r="B50" s="7"/>
      <c r="C50" s="7"/>
      <c r="D50" s="7"/>
      <c r="E50" s="7">
        <v>2</v>
      </c>
      <c r="F50" s="7">
        <v>2</v>
      </c>
      <c r="G50" s="7">
        <v>4</v>
      </c>
      <c r="H50" s="7">
        <v>1</v>
      </c>
      <c r="I50" s="7"/>
      <c r="J50" s="7">
        <v>1</v>
      </c>
      <c r="K50" s="7">
        <v>2</v>
      </c>
      <c r="L50" s="7">
        <v>1</v>
      </c>
      <c r="M50" s="7"/>
      <c r="N50" s="7">
        <v>2</v>
      </c>
      <c r="O50" s="7">
        <v>1</v>
      </c>
      <c r="P50" s="7"/>
      <c r="Q50" s="7">
        <v>2</v>
      </c>
      <c r="R50" s="7">
        <v>2</v>
      </c>
      <c r="S50" s="7">
        <v>2</v>
      </c>
      <c r="T50" s="7"/>
      <c r="U50" s="7">
        <v>1</v>
      </c>
      <c r="V50" s="7"/>
      <c r="W50" s="7">
        <v>1</v>
      </c>
      <c r="X50" s="7"/>
      <c r="Y50" s="7">
        <v>6</v>
      </c>
      <c r="Z50" s="7">
        <v>6</v>
      </c>
      <c r="AA50" s="7"/>
      <c r="AB50" s="7"/>
      <c r="AC50" s="7"/>
      <c r="AD50" s="7"/>
      <c r="AE50" s="7">
        <v>1</v>
      </c>
      <c r="AF50" s="8">
        <v>2</v>
      </c>
      <c r="AG50" s="4">
        <f t="shared" si="2"/>
        <v>39</v>
      </c>
    </row>
    <row r="51" spans="1:33" ht="18.75" x14ac:dyDescent="0.25">
      <c r="A51" s="41" t="s">
        <v>37</v>
      </c>
      <c r="B51" s="7"/>
      <c r="C51" s="7">
        <v>2</v>
      </c>
      <c r="D51" s="7">
        <v>1</v>
      </c>
      <c r="E51" s="7">
        <v>1</v>
      </c>
      <c r="F51" s="7"/>
      <c r="G51" s="7"/>
      <c r="H51" s="7">
        <v>2</v>
      </c>
      <c r="I51" s="7">
        <v>2</v>
      </c>
      <c r="J51" s="7"/>
      <c r="K51" s="7"/>
      <c r="L51" s="7">
        <v>1</v>
      </c>
      <c r="M51" s="7"/>
      <c r="N51" s="7"/>
      <c r="O51" s="7"/>
      <c r="P51" s="7">
        <v>1</v>
      </c>
      <c r="Q51" s="7"/>
      <c r="R51" s="7">
        <v>2</v>
      </c>
      <c r="S51" s="7"/>
      <c r="T51" s="7">
        <v>4</v>
      </c>
      <c r="U51" s="7"/>
      <c r="V51" s="7"/>
      <c r="W51" s="7"/>
      <c r="X51" s="7"/>
      <c r="Y51" s="7">
        <v>4</v>
      </c>
      <c r="Z51" s="7">
        <v>3</v>
      </c>
      <c r="AA51" s="7">
        <v>1</v>
      </c>
      <c r="AB51" s="7"/>
      <c r="AC51" s="7">
        <v>4</v>
      </c>
      <c r="AD51" s="7">
        <v>1</v>
      </c>
      <c r="AE51" s="7">
        <v>2</v>
      </c>
      <c r="AF51" s="8">
        <v>2</v>
      </c>
      <c r="AG51" s="4">
        <f t="shared" si="2"/>
        <v>33</v>
      </c>
    </row>
    <row r="52" spans="1:33" ht="19.5" thickBot="1" x14ac:dyDescent="0.3">
      <c r="A52" s="77" t="s">
        <v>53</v>
      </c>
      <c r="B52" s="9"/>
      <c r="C52" s="9"/>
      <c r="D52" s="9">
        <v>1</v>
      </c>
      <c r="E52" s="9"/>
      <c r="F52" s="9"/>
      <c r="G52" s="9">
        <v>2</v>
      </c>
      <c r="H52" s="9"/>
      <c r="I52" s="9"/>
      <c r="J52" s="9">
        <v>1</v>
      </c>
      <c r="K52" s="9">
        <v>2</v>
      </c>
      <c r="L52" s="9"/>
      <c r="M52" s="9"/>
      <c r="N52" s="9"/>
      <c r="O52" s="9"/>
      <c r="P52" s="9"/>
      <c r="Q52" s="9">
        <v>1</v>
      </c>
      <c r="R52" s="9"/>
      <c r="S52" s="9"/>
      <c r="T52" s="9"/>
      <c r="U52" s="9"/>
      <c r="V52" s="9"/>
      <c r="W52" s="9"/>
      <c r="X52" s="9"/>
      <c r="Y52" s="9"/>
      <c r="Z52" s="9">
        <v>2</v>
      </c>
      <c r="AA52" s="9"/>
      <c r="AB52" s="9"/>
      <c r="AC52" s="9"/>
      <c r="AD52" s="9"/>
      <c r="AE52" s="9"/>
      <c r="AF52" s="10">
        <v>1</v>
      </c>
      <c r="AG52" s="108">
        <f t="shared" si="2"/>
        <v>10</v>
      </c>
    </row>
    <row r="53" spans="1:33" ht="19.5" thickBot="1" x14ac:dyDescent="0.3">
      <c r="A53" s="136" t="s">
        <v>108</v>
      </c>
      <c r="B53" s="135">
        <f t="shared" ref="B53:AA53" si="4">SUM(B54:B77)</f>
        <v>7</v>
      </c>
      <c r="C53" s="135">
        <f t="shared" si="4"/>
        <v>17</v>
      </c>
      <c r="D53" s="135">
        <f t="shared" si="4"/>
        <v>30</v>
      </c>
      <c r="E53" s="135">
        <f t="shared" si="4"/>
        <v>34</v>
      </c>
      <c r="F53" s="135">
        <f t="shared" si="4"/>
        <v>10</v>
      </c>
      <c r="G53" s="135">
        <f t="shared" si="4"/>
        <v>38</v>
      </c>
      <c r="H53" s="135">
        <f t="shared" si="4"/>
        <v>29</v>
      </c>
      <c r="I53" s="135">
        <f t="shared" si="4"/>
        <v>23</v>
      </c>
      <c r="J53" s="135">
        <f t="shared" si="4"/>
        <v>12</v>
      </c>
      <c r="K53" s="135">
        <f t="shared" si="4"/>
        <v>21</v>
      </c>
      <c r="L53" s="135">
        <f t="shared" si="4"/>
        <v>14</v>
      </c>
      <c r="M53" s="135">
        <f t="shared" si="4"/>
        <v>1</v>
      </c>
      <c r="N53" s="135">
        <f t="shared" si="4"/>
        <v>16</v>
      </c>
      <c r="O53" s="135">
        <f t="shared" si="4"/>
        <v>9</v>
      </c>
      <c r="P53" s="135">
        <f t="shared" si="4"/>
        <v>5</v>
      </c>
      <c r="Q53" s="135">
        <f t="shared" si="4"/>
        <v>19</v>
      </c>
      <c r="R53" s="135">
        <f t="shared" si="4"/>
        <v>29</v>
      </c>
      <c r="S53" s="135">
        <f t="shared" si="4"/>
        <v>4</v>
      </c>
      <c r="T53" s="135">
        <f t="shared" si="4"/>
        <v>5</v>
      </c>
      <c r="U53" s="135">
        <f t="shared" si="4"/>
        <v>9</v>
      </c>
      <c r="V53" s="135">
        <f t="shared" si="4"/>
        <v>12</v>
      </c>
      <c r="W53" s="135">
        <f t="shared" si="4"/>
        <v>18</v>
      </c>
      <c r="X53" s="135">
        <f t="shared" si="4"/>
        <v>13</v>
      </c>
      <c r="Y53" s="135">
        <f t="shared" si="4"/>
        <v>22</v>
      </c>
      <c r="Z53" s="135">
        <f t="shared" si="4"/>
        <v>18</v>
      </c>
      <c r="AA53" s="135">
        <f t="shared" si="4"/>
        <v>6</v>
      </c>
      <c r="AB53" s="135">
        <f t="shared" ref="AB53:AF53" si="5">SUM(AB54:AB77)</f>
        <v>24</v>
      </c>
      <c r="AC53" s="135">
        <f t="shared" si="5"/>
        <v>8</v>
      </c>
      <c r="AD53" s="135">
        <f t="shared" si="5"/>
        <v>13</v>
      </c>
      <c r="AE53" s="135">
        <f t="shared" si="5"/>
        <v>5</v>
      </c>
      <c r="AF53" s="135">
        <f t="shared" si="5"/>
        <v>23</v>
      </c>
      <c r="AG53" s="116">
        <f t="shared" si="2"/>
        <v>494</v>
      </c>
    </row>
    <row r="54" spans="1:33" ht="18.75" x14ac:dyDescent="0.25">
      <c r="A54" s="113" t="s">
        <v>54</v>
      </c>
      <c r="B54" s="114"/>
      <c r="C54" s="114"/>
      <c r="D54" s="7">
        <v>3</v>
      </c>
      <c r="E54" s="114">
        <v>1</v>
      </c>
      <c r="F54" s="114">
        <v>3</v>
      </c>
      <c r="G54" s="7">
        <v>3</v>
      </c>
      <c r="H54" s="114"/>
      <c r="I54" s="114"/>
      <c r="J54" s="114">
        <v>1</v>
      </c>
      <c r="K54" s="114"/>
      <c r="L54" s="114"/>
      <c r="M54" s="114"/>
      <c r="N54" s="114"/>
      <c r="O54" s="114"/>
      <c r="P54" s="114"/>
      <c r="Q54" s="114"/>
      <c r="R54" s="114"/>
      <c r="S54" s="114"/>
      <c r="T54" s="114"/>
      <c r="U54" s="7"/>
      <c r="V54" s="114"/>
      <c r="W54" s="114"/>
      <c r="X54" s="114"/>
      <c r="Y54" s="114"/>
      <c r="Z54" s="114"/>
      <c r="AA54" s="114"/>
      <c r="AB54" s="114"/>
      <c r="AC54" s="114"/>
      <c r="AD54" s="114"/>
      <c r="AE54" s="114"/>
      <c r="AF54" s="115"/>
      <c r="AG54" s="132">
        <f t="shared" si="2"/>
        <v>11</v>
      </c>
    </row>
    <row r="55" spans="1:33" ht="18.75" x14ac:dyDescent="0.25">
      <c r="A55" s="41" t="s">
        <v>55</v>
      </c>
      <c r="B55" s="7"/>
      <c r="C55" s="7"/>
      <c r="D55" s="7">
        <v>2</v>
      </c>
      <c r="E55" s="7">
        <v>1</v>
      </c>
      <c r="F55" s="7"/>
      <c r="G55" s="7">
        <v>7</v>
      </c>
      <c r="H55" s="7"/>
      <c r="I55" s="7"/>
      <c r="J55" s="7">
        <v>4</v>
      </c>
      <c r="K55" s="7"/>
      <c r="L55" s="7">
        <v>1</v>
      </c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8"/>
      <c r="AG55" s="4">
        <f t="shared" si="2"/>
        <v>15</v>
      </c>
    </row>
    <row r="56" spans="1:33" ht="18.75" x14ac:dyDescent="0.25">
      <c r="A56" s="41" t="s">
        <v>56</v>
      </c>
      <c r="B56" s="7">
        <v>1</v>
      </c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>
        <v>2</v>
      </c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8"/>
      <c r="AG56" s="4">
        <f t="shared" si="2"/>
        <v>3</v>
      </c>
    </row>
    <row r="57" spans="1:33" ht="18.75" x14ac:dyDescent="0.25">
      <c r="A57" s="41" t="s">
        <v>38</v>
      </c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8"/>
      <c r="AG57" s="4">
        <f t="shared" si="2"/>
        <v>0</v>
      </c>
    </row>
    <row r="58" spans="1:33" ht="18.75" x14ac:dyDescent="0.25">
      <c r="A58" s="41" t="s">
        <v>39</v>
      </c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8"/>
      <c r="AG58" s="4">
        <f t="shared" si="2"/>
        <v>0</v>
      </c>
    </row>
    <row r="59" spans="1:33" ht="18.75" x14ac:dyDescent="0.25">
      <c r="A59" s="41" t="s">
        <v>40</v>
      </c>
      <c r="B59" s="7">
        <v>1</v>
      </c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8"/>
      <c r="AG59" s="4">
        <f t="shared" si="2"/>
        <v>1</v>
      </c>
    </row>
    <row r="60" spans="1:33" ht="18.75" x14ac:dyDescent="0.25">
      <c r="A60" s="41" t="s">
        <v>41</v>
      </c>
      <c r="B60" s="7">
        <v>2</v>
      </c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>
        <v>1</v>
      </c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8"/>
      <c r="AG60" s="4">
        <f t="shared" si="2"/>
        <v>3</v>
      </c>
    </row>
    <row r="61" spans="1:33" ht="18.75" x14ac:dyDescent="0.25">
      <c r="A61" s="41" t="s">
        <v>42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>
        <v>1</v>
      </c>
      <c r="AA61" s="7"/>
      <c r="AB61" s="7"/>
      <c r="AC61" s="7"/>
      <c r="AD61" s="7"/>
      <c r="AE61" s="7"/>
      <c r="AF61" s="8"/>
      <c r="AG61" s="4">
        <f t="shared" si="2"/>
        <v>1</v>
      </c>
    </row>
    <row r="62" spans="1:33" ht="18.75" x14ac:dyDescent="0.25">
      <c r="A62" s="41" t="s">
        <v>43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8"/>
      <c r="AG62" s="4">
        <f t="shared" si="2"/>
        <v>0</v>
      </c>
    </row>
    <row r="63" spans="1:33" ht="18.75" x14ac:dyDescent="0.25">
      <c r="A63" s="41" t="s">
        <v>44</v>
      </c>
      <c r="B63" s="7"/>
      <c r="C63" s="7">
        <v>1</v>
      </c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>
        <v>1</v>
      </c>
      <c r="W63" s="7"/>
      <c r="X63" s="7"/>
      <c r="Y63" s="7"/>
      <c r="Z63" s="7"/>
      <c r="AA63" s="7">
        <v>1</v>
      </c>
      <c r="AB63" s="7"/>
      <c r="AC63" s="7">
        <v>4</v>
      </c>
      <c r="AD63" s="7"/>
      <c r="AE63" s="7">
        <v>1</v>
      </c>
      <c r="AF63" s="8">
        <v>3</v>
      </c>
      <c r="AG63" s="4">
        <f t="shared" si="2"/>
        <v>11</v>
      </c>
    </row>
    <row r="64" spans="1:33" ht="18.75" x14ac:dyDescent="0.25">
      <c r="A64" s="41" t="s">
        <v>45</v>
      </c>
      <c r="B64" s="7">
        <v>1</v>
      </c>
      <c r="C64" s="7">
        <v>1</v>
      </c>
      <c r="D64" s="7"/>
      <c r="E64" s="7"/>
      <c r="F64" s="7"/>
      <c r="G64" s="7"/>
      <c r="H64" s="7">
        <v>4</v>
      </c>
      <c r="I64" s="7">
        <v>2</v>
      </c>
      <c r="J64" s="7"/>
      <c r="K64" s="7">
        <v>2</v>
      </c>
      <c r="L64" s="7"/>
      <c r="M64" s="7"/>
      <c r="N64" s="7">
        <v>2</v>
      </c>
      <c r="O64" s="7"/>
      <c r="P64" s="7"/>
      <c r="Q64" s="7"/>
      <c r="R64" s="7">
        <v>1</v>
      </c>
      <c r="S64" s="7"/>
      <c r="T64" s="7"/>
      <c r="U64" s="7">
        <v>2</v>
      </c>
      <c r="V64" s="7">
        <v>2</v>
      </c>
      <c r="W64" s="7"/>
      <c r="X64" s="7">
        <v>2</v>
      </c>
      <c r="Y64" s="7">
        <v>3</v>
      </c>
      <c r="Z64" s="7"/>
      <c r="AA64" s="7"/>
      <c r="AB64" s="7"/>
      <c r="AC64" s="7">
        <v>2</v>
      </c>
      <c r="AD64" s="7"/>
      <c r="AE64" s="7"/>
      <c r="AF64" s="8">
        <v>5</v>
      </c>
      <c r="AG64" s="4">
        <f t="shared" si="2"/>
        <v>29</v>
      </c>
    </row>
    <row r="65" spans="1:33" ht="18.75" x14ac:dyDescent="0.25">
      <c r="A65" s="41" t="s">
        <v>46</v>
      </c>
      <c r="B65" s="7"/>
      <c r="C65" s="7">
        <v>5</v>
      </c>
      <c r="D65" s="7"/>
      <c r="E65" s="7"/>
      <c r="F65" s="7"/>
      <c r="G65" s="7"/>
      <c r="H65" s="7">
        <v>4</v>
      </c>
      <c r="I65" s="7"/>
      <c r="J65" s="7"/>
      <c r="K65" s="7">
        <v>7</v>
      </c>
      <c r="L65" s="7"/>
      <c r="M65" s="7"/>
      <c r="N65" s="7">
        <v>1</v>
      </c>
      <c r="O65" s="7">
        <v>2</v>
      </c>
      <c r="P65" s="7">
        <v>3</v>
      </c>
      <c r="Q65" s="7">
        <v>2</v>
      </c>
      <c r="R65" s="7">
        <v>10</v>
      </c>
      <c r="S65" s="7"/>
      <c r="T65" s="7"/>
      <c r="U65" s="7"/>
      <c r="V65" s="7">
        <v>3</v>
      </c>
      <c r="W65" s="7">
        <v>4</v>
      </c>
      <c r="X65" s="7">
        <v>2</v>
      </c>
      <c r="Y65" s="7">
        <v>1</v>
      </c>
      <c r="Z65" s="7"/>
      <c r="AA65" s="7"/>
      <c r="AB65" s="7">
        <v>4</v>
      </c>
      <c r="AC65" s="7">
        <v>1</v>
      </c>
      <c r="AD65" s="7">
        <v>7</v>
      </c>
      <c r="AE65" s="7">
        <v>1</v>
      </c>
      <c r="AF65" s="8">
        <v>3</v>
      </c>
      <c r="AG65" s="4">
        <f t="shared" si="2"/>
        <v>60</v>
      </c>
    </row>
    <row r="66" spans="1:33" ht="18.75" x14ac:dyDescent="0.25">
      <c r="A66" s="41" t="s">
        <v>47</v>
      </c>
      <c r="B66" s="7"/>
      <c r="C66" s="7">
        <v>4</v>
      </c>
      <c r="D66" s="7"/>
      <c r="E66" s="7"/>
      <c r="F66" s="7"/>
      <c r="G66" s="7"/>
      <c r="H66" s="7">
        <v>3</v>
      </c>
      <c r="I66" s="7">
        <v>1</v>
      </c>
      <c r="J66" s="7"/>
      <c r="K66" s="7">
        <v>5</v>
      </c>
      <c r="L66" s="7"/>
      <c r="M66" s="7"/>
      <c r="N66" s="7">
        <v>1</v>
      </c>
      <c r="O66" s="7">
        <v>3</v>
      </c>
      <c r="P66" s="7"/>
      <c r="Q66" s="7">
        <v>6</v>
      </c>
      <c r="R66" s="7">
        <v>3</v>
      </c>
      <c r="S66" s="7"/>
      <c r="T66" s="7"/>
      <c r="U66" s="7"/>
      <c r="V66" s="7">
        <v>3</v>
      </c>
      <c r="W66" s="7">
        <v>4</v>
      </c>
      <c r="X66" s="7">
        <v>2</v>
      </c>
      <c r="Y66" s="7"/>
      <c r="Z66" s="7"/>
      <c r="AA66" s="7"/>
      <c r="AB66" s="7">
        <v>2</v>
      </c>
      <c r="AC66" s="7"/>
      <c r="AD66" s="7">
        <v>3</v>
      </c>
      <c r="AE66" s="7">
        <v>1</v>
      </c>
      <c r="AF66" s="8"/>
      <c r="AG66" s="4">
        <f t="shared" si="2"/>
        <v>41</v>
      </c>
    </row>
    <row r="67" spans="1:33" ht="18.75" x14ac:dyDescent="0.25">
      <c r="A67" s="41" t="s">
        <v>48</v>
      </c>
      <c r="B67" s="7"/>
      <c r="C67" s="7">
        <v>2</v>
      </c>
      <c r="D67" s="7"/>
      <c r="E67" s="7"/>
      <c r="F67" s="7"/>
      <c r="G67" s="7"/>
      <c r="H67" s="7">
        <v>6</v>
      </c>
      <c r="I67" s="7"/>
      <c r="J67" s="7"/>
      <c r="K67" s="7">
        <v>7</v>
      </c>
      <c r="L67" s="7"/>
      <c r="M67" s="7"/>
      <c r="N67" s="7">
        <v>1</v>
      </c>
      <c r="O67" s="7">
        <v>1</v>
      </c>
      <c r="P67" s="7"/>
      <c r="Q67" s="7">
        <v>2</v>
      </c>
      <c r="R67" s="7">
        <v>3</v>
      </c>
      <c r="S67" s="7"/>
      <c r="T67" s="7"/>
      <c r="U67" s="7"/>
      <c r="V67" s="7"/>
      <c r="W67" s="7"/>
      <c r="X67" s="7"/>
      <c r="Y67" s="7">
        <v>3</v>
      </c>
      <c r="Z67" s="7"/>
      <c r="AA67" s="7"/>
      <c r="AB67" s="7">
        <v>1</v>
      </c>
      <c r="AC67" s="7"/>
      <c r="AD67" s="7">
        <v>2</v>
      </c>
      <c r="AE67" s="7"/>
      <c r="AF67" s="8">
        <v>1</v>
      </c>
      <c r="AG67" s="4">
        <f t="shared" si="2"/>
        <v>29</v>
      </c>
    </row>
    <row r="68" spans="1:33" ht="18.75" x14ac:dyDescent="0.25">
      <c r="A68" s="41" t="s">
        <v>49</v>
      </c>
      <c r="B68" s="7">
        <v>1</v>
      </c>
      <c r="C68" s="7">
        <v>4</v>
      </c>
      <c r="D68" s="7"/>
      <c r="E68" s="7"/>
      <c r="F68" s="7"/>
      <c r="G68" s="7"/>
      <c r="H68" s="7">
        <v>2</v>
      </c>
      <c r="I68" s="7">
        <v>2</v>
      </c>
      <c r="J68" s="7"/>
      <c r="K68" s="7"/>
      <c r="L68" s="7"/>
      <c r="M68" s="7">
        <v>1</v>
      </c>
      <c r="N68" s="7">
        <v>1</v>
      </c>
      <c r="O68" s="7"/>
      <c r="P68" s="7"/>
      <c r="Q68" s="7">
        <v>7</v>
      </c>
      <c r="R68" s="7">
        <v>7</v>
      </c>
      <c r="S68" s="7"/>
      <c r="T68" s="7"/>
      <c r="U68" s="7"/>
      <c r="V68" s="7"/>
      <c r="W68" s="7">
        <v>2</v>
      </c>
      <c r="X68" s="7">
        <v>5</v>
      </c>
      <c r="Y68" s="7">
        <v>5</v>
      </c>
      <c r="Z68" s="7"/>
      <c r="AA68" s="7">
        <v>3</v>
      </c>
      <c r="AB68" s="7">
        <v>1</v>
      </c>
      <c r="AC68" s="7"/>
      <c r="AD68" s="7"/>
      <c r="AE68" s="7"/>
      <c r="AF68" s="8">
        <v>5</v>
      </c>
      <c r="AG68" s="4">
        <f t="shared" si="2"/>
        <v>46</v>
      </c>
    </row>
    <row r="69" spans="1:33" ht="18.75" x14ac:dyDescent="0.25">
      <c r="A69" s="41" t="s">
        <v>50</v>
      </c>
      <c r="B69" s="7"/>
      <c r="C69" s="7"/>
      <c r="D69" s="7"/>
      <c r="E69" s="7"/>
      <c r="F69" s="7"/>
      <c r="G69" s="7"/>
      <c r="H69" s="7"/>
      <c r="I69" s="7">
        <v>1</v>
      </c>
      <c r="J69" s="7"/>
      <c r="K69" s="7"/>
      <c r="L69" s="7"/>
      <c r="M69" s="7"/>
      <c r="N69" s="7"/>
      <c r="O69" s="7">
        <v>2</v>
      </c>
      <c r="P69" s="7"/>
      <c r="Q69" s="7">
        <v>1</v>
      </c>
      <c r="R69" s="7">
        <v>3</v>
      </c>
      <c r="S69" s="7"/>
      <c r="T69" s="7"/>
      <c r="U69" s="7">
        <v>1</v>
      </c>
      <c r="V69" s="7"/>
      <c r="W69" s="7">
        <v>1</v>
      </c>
      <c r="X69" s="7">
        <v>1</v>
      </c>
      <c r="Y69" s="7">
        <v>2</v>
      </c>
      <c r="Z69" s="7">
        <v>1</v>
      </c>
      <c r="AA69" s="7"/>
      <c r="AB69" s="7">
        <v>1</v>
      </c>
      <c r="AC69" s="7">
        <v>1</v>
      </c>
      <c r="AD69" s="7"/>
      <c r="AE69" s="7">
        <v>1</v>
      </c>
      <c r="AF69" s="8">
        <v>1</v>
      </c>
      <c r="AG69" s="4">
        <f t="shared" si="2"/>
        <v>17</v>
      </c>
    </row>
    <row r="70" spans="1:33" ht="18.75" x14ac:dyDescent="0.25">
      <c r="A70" s="41" t="s">
        <v>33</v>
      </c>
      <c r="B70" s="114"/>
      <c r="C70" s="114"/>
      <c r="D70" s="7">
        <v>6</v>
      </c>
      <c r="E70" s="114">
        <v>4</v>
      </c>
      <c r="F70" s="114">
        <v>2</v>
      </c>
      <c r="G70" s="7">
        <v>2</v>
      </c>
      <c r="H70" s="114">
        <v>2</v>
      </c>
      <c r="I70" s="7">
        <v>5</v>
      </c>
      <c r="J70" s="114">
        <v>5</v>
      </c>
      <c r="K70" s="114"/>
      <c r="L70" s="114"/>
      <c r="M70" s="114"/>
      <c r="N70" s="114"/>
      <c r="O70" s="114"/>
      <c r="P70" s="114">
        <v>1</v>
      </c>
      <c r="Q70" s="114"/>
      <c r="R70" s="114"/>
      <c r="S70" s="114"/>
      <c r="T70" s="114"/>
      <c r="U70" s="7"/>
      <c r="V70" s="114"/>
      <c r="W70" s="114">
        <v>1</v>
      </c>
      <c r="X70" s="114"/>
      <c r="Y70" s="114">
        <v>1</v>
      </c>
      <c r="Z70" s="114"/>
      <c r="AA70" s="114"/>
      <c r="AB70" s="114">
        <v>4</v>
      </c>
      <c r="AC70" s="114"/>
      <c r="AD70" s="114">
        <v>1</v>
      </c>
      <c r="AE70" s="114"/>
      <c r="AF70" s="115">
        <v>2</v>
      </c>
      <c r="AG70" s="4">
        <f t="shared" si="2"/>
        <v>36</v>
      </c>
    </row>
    <row r="71" spans="1:33" ht="18.75" x14ac:dyDescent="0.25">
      <c r="A71" s="41" t="s">
        <v>34</v>
      </c>
      <c r="B71" s="114"/>
      <c r="C71" s="114"/>
      <c r="D71" s="7">
        <v>3</v>
      </c>
      <c r="E71" s="114">
        <v>8</v>
      </c>
      <c r="F71" s="114">
        <v>3</v>
      </c>
      <c r="G71" s="7">
        <v>6</v>
      </c>
      <c r="H71" s="114"/>
      <c r="I71" s="7">
        <v>4</v>
      </c>
      <c r="J71" s="114">
        <v>1</v>
      </c>
      <c r="K71" s="114"/>
      <c r="L71" s="114"/>
      <c r="M71" s="114"/>
      <c r="N71" s="114"/>
      <c r="O71" s="114"/>
      <c r="P71" s="114"/>
      <c r="Q71" s="114">
        <v>1</v>
      </c>
      <c r="R71" s="114">
        <v>1</v>
      </c>
      <c r="S71" s="114"/>
      <c r="T71" s="114"/>
      <c r="U71" s="7">
        <v>2</v>
      </c>
      <c r="V71" s="114"/>
      <c r="W71" s="114">
        <v>3</v>
      </c>
      <c r="X71" s="114">
        <v>1</v>
      </c>
      <c r="Y71" s="114"/>
      <c r="Z71" s="114">
        <v>6</v>
      </c>
      <c r="AA71" s="114"/>
      <c r="AB71" s="114">
        <v>2</v>
      </c>
      <c r="AC71" s="114"/>
      <c r="AD71" s="114"/>
      <c r="AE71" s="114"/>
      <c r="AF71" s="115">
        <v>2</v>
      </c>
      <c r="AG71" s="4">
        <f t="shared" si="2"/>
        <v>43</v>
      </c>
    </row>
    <row r="72" spans="1:33" ht="18.75" x14ac:dyDescent="0.25">
      <c r="A72" s="41" t="s">
        <v>35</v>
      </c>
      <c r="B72" s="114"/>
      <c r="C72" s="114"/>
      <c r="D72" s="7">
        <v>12</v>
      </c>
      <c r="E72" s="114">
        <v>5</v>
      </c>
      <c r="F72" s="114"/>
      <c r="G72" s="7">
        <v>7</v>
      </c>
      <c r="H72" s="114">
        <v>6</v>
      </c>
      <c r="I72" s="7">
        <v>8</v>
      </c>
      <c r="J72" s="114"/>
      <c r="K72" s="114"/>
      <c r="L72" s="114">
        <v>2</v>
      </c>
      <c r="M72" s="114"/>
      <c r="N72" s="114">
        <v>2</v>
      </c>
      <c r="O72" s="114"/>
      <c r="P72" s="114"/>
      <c r="Q72" s="114"/>
      <c r="R72" s="114"/>
      <c r="S72" s="114">
        <v>3</v>
      </c>
      <c r="T72" s="114"/>
      <c r="U72" s="7">
        <v>4</v>
      </c>
      <c r="V72" s="114">
        <v>2</v>
      </c>
      <c r="W72" s="114">
        <v>1</v>
      </c>
      <c r="X72" s="114"/>
      <c r="Y72" s="114">
        <v>3</v>
      </c>
      <c r="Z72" s="114"/>
      <c r="AA72" s="114">
        <v>2</v>
      </c>
      <c r="AB72" s="114"/>
      <c r="AC72" s="114"/>
      <c r="AD72" s="114"/>
      <c r="AE72" s="114"/>
      <c r="AF72" s="115">
        <v>1</v>
      </c>
      <c r="AG72" s="4">
        <f t="shared" si="2"/>
        <v>58</v>
      </c>
    </row>
    <row r="73" spans="1:33" ht="18.75" x14ac:dyDescent="0.25">
      <c r="A73" s="41" t="s">
        <v>36</v>
      </c>
      <c r="B73" s="114">
        <v>1</v>
      </c>
      <c r="C73" s="114"/>
      <c r="D73" s="7">
        <v>4</v>
      </c>
      <c r="E73" s="114">
        <v>6</v>
      </c>
      <c r="F73" s="114">
        <v>1</v>
      </c>
      <c r="G73" s="7">
        <v>11</v>
      </c>
      <c r="H73" s="114">
        <v>2</v>
      </c>
      <c r="I73" s="7"/>
      <c r="J73" s="114">
        <v>1</v>
      </c>
      <c r="K73" s="114"/>
      <c r="L73" s="114">
        <v>6</v>
      </c>
      <c r="M73" s="114"/>
      <c r="N73" s="114">
        <v>8</v>
      </c>
      <c r="O73" s="114"/>
      <c r="P73" s="114"/>
      <c r="Q73" s="114"/>
      <c r="R73" s="114">
        <v>1</v>
      </c>
      <c r="S73" s="114">
        <v>1</v>
      </c>
      <c r="T73" s="114">
        <v>1</v>
      </c>
      <c r="U73" s="7"/>
      <c r="V73" s="114">
        <v>1</v>
      </c>
      <c r="W73" s="114"/>
      <c r="X73" s="114"/>
      <c r="Y73" s="114">
        <v>4</v>
      </c>
      <c r="Z73" s="114">
        <v>8</v>
      </c>
      <c r="AA73" s="114"/>
      <c r="AB73" s="114">
        <v>9</v>
      </c>
      <c r="AC73" s="114"/>
      <c r="AD73" s="114"/>
      <c r="AE73" s="114"/>
      <c r="AF73" s="115"/>
      <c r="AG73" s="4">
        <f t="shared" si="2"/>
        <v>65</v>
      </c>
    </row>
    <row r="74" spans="1:33" ht="18.75" x14ac:dyDescent="0.25">
      <c r="A74" s="41" t="s">
        <v>51</v>
      </c>
      <c r="B74" s="114"/>
      <c r="C74" s="114"/>
      <c r="D74" s="7"/>
      <c r="E74" s="114">
        <v>5</v>
      </c>
      <c r="F74" s="114"/>
      <c r="G74" s="7">
        <v>2</v>
      </c>
      <c r="H74" s="114"/>
      <c r="I74" s="7"/>
      <c r="J74" s="114"/>
      <c r="K74" s="114"/>
      <c r="L74" s="114">
        <v>2</v>
      </c>
      <c r="M74" s="114"/>
      <c r="N74" s="114"/>
      <c r="O74" s="114">
        <v>1</v>
      </c>
      <c r="P74" s="114"/>
      <c r="Q74" s="114"/>
      <c r="R74" s="114"/>
      <c r="S74" s="114"/>
      <c r="T74" s="114"/>
      <c r="U74" s="7"/>
      <c r="V74" s="114"/>
      <c r="W74" s="114">
        <v>2</v>
      </c>
      <c r="X74" s="114"/>
      <c r="Y74" s="114"/>
      <c r="Z74" s="114">
        <v>1</v>
      </c>
      <c r="AA74" s="114"/>
      <c r="AB74" s="114"/>
      <c r="AC74" s="114"/>
      <c r="AD74" s="114"/>
      <c r="AE74" s="114"/>
      <c r="AF74" s="115"/>
      <c r="AG74" s="4">
        <f t="shared" si="2"/>
        <v>13</v>
      </c>
    </row>
    <row r="75" spans="1:33" ht="18.75" x14ac:dyDescent="0.25">
      <c r="A75" s="41" t="s">
        <v>52</v>
      </c>
      <c r="B75" s="114"/>
      <c r="C75" s="114"/>
      <c r="D75" s="7"/>
      <c r="E75" s="114"/>
      <c r="F75" s="114">
        <v>1</v>
      </c>
      <c r="G75" s="7"/>
      <c r="H75" s="114"/>
      <c r="I75" s="7"/>
      <c r="J75" s="114"/>
      <c r="K75" s="114"/>
      <c r="L75" s="114">
        <v>3</v>
      </c>
      <c r="M75" s="114"/>
      <c r="N75" s="114"/>
      <c r="O75" s="114"/>
      <c r="P75" s="114"/>
      <c r="Q75" s="114"/>
      <c r="R75" s="114"/>
      <c r="S75" s="114"/>
      <c r="T75" s="114">
        <v>1</v>
      </c>
      <c r="U75" s="7"/>
      <c r="V75" s="114"/>
      <c r="W75" s="114"/>
      <c r="X75" s="114"/>
      <c r="Y75" s="114"/>
      <c r="Z75" s="114"/>
      <c r="AA75" s="114"/>
      <c r="AB75" s="114"/>
      <c r="AC75" s="114"/>
      <c r="AD75" s="114"/>
      <c r="AE75" s="114"/>
      <c r="AF75" s="115"/>
      <c r="AG75" s="4">
        <f t="shared" si="2"/>
        <v>5</v>
      </c>
    </row>
    <row r="76" spans="1:33" ht="18.75" x14ac:dyDescent="0.25">
      <c r="A76" s="41" t="s">
        <v>37</v>
      </c>
      <c r="B76" s="114"/>
      <c r="C76" s="114"/>
      <c r="D76" s="7"/>
      <c r="E76" s="114"/>
      <c r="F76" s="114"/>
      <c r="G76" s="7"/>
      <c r="H76" s="114"/>
      <c r="I76" s="7"/>
      <c r="J76" s="114"/>
      <c r="K76" s="114"/>
      <c r="L76" s="114"/>
      <c r="M76" s="114"/>
      <c r="N76" s="114"/>
      <c r="O76" s="114"/>
      <c r="P76" s="114">
        <v>1</v>
      </c>
      <c r="Q76" s="114"/>
      <c r="R76" s="114"/>
      <c r="S76" s="114"/>
      <c r="T76" s="114"/>
      <c r="U76" s="7"/>
      <c r="V76" s="114"/>
      <c r="W76" s="114"/>
      <c r="X76" s="114"/>
      <c r="Y76" s="114"/>
      <c r="Z76" s="114">
        <v>1</v>
      </c>
      <c r="AA76" s="114"/>
      <c r="AB76" s="114"/>
      <c r="AC76" s="114"/>
      <c r="AD76" s="114"/>
      <c r="AE76" s="114">
        <v>1</v>
      </c>
      <c r="AF76" s="115"/>
      <c r="AG76" s="4">
        <f t="shared" si="2"/>
        <v>3</v>
      </c>
    </row>
    <row r="77" spans="1:33" ht="19.5" thickBot="1" x14ac:dyDescent="0.3">
      <c r="A77" s="134" t="s">
        <v>53</v>
      </c>
      <c r="B77" s="166"/>
      <c r="C77" s="166"/>
      <c r="D77" s="9"/>
      <c r="E77" s="166">
        <v>4</v>
      </c>
      <c r="F77" s="166"/>
      <c r="G77" s="9"/>
      <c r="H77" s="166"/>
      <c r="I77" s="9"/>
      <c r="J77" s="166"/>
      <c r="K77" s="166"/>
      <c r="L77" s="166"/>
      <c r="M77" s="166"/>
      <c r="N77" s="166"/>
      <c r="O77" s="166"/>
      <c r="P77" s="166"/>
      <c r="Q77" s="166"/>
      <c r="R77" s="166"/>
      <c r="S77" s="166"/>
      <c r="T77" s="166"/>
      <c r="U77" s="9"/>
      <c r="V77" s="166"/>
      <c r="W77" s="166"/>
      <c r="X77" s="166"/>
      <c r="Y77" s="166"/>
      <c r="Z77" s="166"/>
      <c r="AA77" s="166"/>
      <c r="AB77" s="166"/>
      <c r="AC77" s="166"/>
      <c r="AD77" s="166"/>
      <c r="AE77" s="166"/>
      <c r="AF77" s="167"/>
      <c r="AG77" s="108">
        <f t="shared" si="2"/>
        <v>4</v>
      </c>
    </row>
    <row r="78" spans="1:33" ht="19.5" hidden="1" customHeight="1" thickBot="1" x14ac:dyDescent="0.3">
      <c r="A78" s="183" t="s">
        <v>99</v>
      </c>
      <c r="B78" s="185">
        <f t="shared" ref="B78:AA78" si="6">SUM(B79:B80)</f>
        <v>163</v>
      </c>
      <c r="C78" s="185">
        <f t="shared" si="6"/>
        <v>169</v>
      </c>
      <c r="D78" s="185">
        <f t="shared" si="6"/>
        <v>175</v>
      </c>
      <c r="E78" s="184">
        <f t="shared" si="6"/>
        <v>225</v>
      </c>
      <c r="F78" s="184">
        <f t="shared" si="6"/>
        <v>228</v>
      </c>
      <c r="G78" s="184">
        <f t="shared" si="6"/>
        <v>188</v>
      </c>
      <c r="H78" s="184">
        <f t="shared" si="6"/>
        <v>165</v>
      </c>
      <c r="I78" s="184">
        <f t="shared" si="6"/>
        <v>155</v>
      </c>
      <c r="J78" s="184">
        <f t="shared" si="6"/>
        <v>141</v>
      </c>
      <c r="K78" s="184">
        <f t="shared" si="6"/>
        <v>140</v>
      </c>
      <c r="L78" s="184">
        <f t="shared" si="6"/>
        <v>206</v>
      </c>
      <c r="M78" s="184">
        <f t="shared" si="6"/>
        <v>199</v>
      </c>
      <c r="N78" s="184">
        <f t="shared" si="6"/>
        <v>175</v>
      </c>
      <c r="O78" s="184">
        <f>SUM(O79:O80)</f>
        <v>151</v>
      </c>
      <c r="P78" s="184">
        <f t="shared" si="6"/>
        <v>149</v>
      </c>
      <c r="Q78" s="184">
        <f t="shared" si="6"/>
        <v>157</v>
      </c>
      <c r="R78" s="184">
        <f t="shared" si="6"/>
        <v>158</v>
      </c>
      <c r="S78" s="184">
        <f t="shared" si="6"/>
        <v>195</v>
      </c>
      <c r="T78" s="184">
        <f t="shared" si="6"/>
        <v>224</v>
      </c>
      <c r="U78" s="184">
        <f t="shared" si="6"/>
        <v>158</v>
      </c>
      <c r="V78" s="184">
        <f t="shared" si="6"/>
        <v>163</v>
      </c>
      <c r="W78" s="184">
        <f t="shared" si="6"/>
        <v>156</v>
      </c>
      <c r="X78" s="184">
        <f t="shared" si="6"/>
        <v>161</v>
      </c>
      <c r="Y78" s="184">
        <f t="shared" si="6"/>
        <v>152</v>
      </c>
      <c r="Z78" s="184">
        <f t="shared" si="6"/>
        <v>219</v>
      </c>
      <c r="AA78" s="184">
        <f t="shared" si="6"/>
        <v>231</v>
      </c>
      <c r="AB78" s="184">
        <f t="shared" ref="AB78:AF78" si="7">SUM(AB79:AB80)</f>
        <v>167</v>
      </c>
      <c r="AC78" s="184">
        <f t="shared" si="7"/>
        <v>142</v>
      </c>
      <c r="AD78" s="184">
        <f t="shared" si="7"/>
        <v>159</v>
      </c>
      <c r="AE78" s="184">
        <f t="shared" si="7"/>
        <v>147</v>
      </c>
      <c r="AF78" s="186">
        <f t="shared" si="7"/>
        <v>170</v>
      </c>
      <c r="AG78" s="116">
        <f t="shared" si="2"/>
        <v>5388</v>
      </c>
    </row>
    <row r="79" spans="1:33" ht="19.5" hidden="1" customHeight="1" thickBot="1" x14ac:dyDescent="0.3">
      <c r="A79" s="181" t="s">
        <v>58</v>
      </c>
      <c r="B79" s="114">
        <f t="shared" ref="B79:AA79" si="8">SUM(B4:B27)-B80</f>
        <v>163</v>
      </c>
      <c r="C79" s="114">
        <f t="shared" si="8"/>
        <v>169</v>
      </c>
      <c r="D79" s="114">
        <f t="shared" si="8"/>
        <v>175</v>
      </c>
      <c r="E79" s="114">
        <f t="shared" si="8"/>
        <v>225</v>
      </c>
      <c r="F79" s="114">
        <f t="shared" si="8"/>
        <v>123</v>
      </c>
      <c r="G79" s="114">
        <f t="shared" si="8"/>
        <v>188</v>
      </c>
      <c r="H79" s="114">
        <f t="shared" si="8"/>
        <v>163</v>
      </c>
      <c r="I79" s="114">
        <f t="shared" si="8"/>
        <v>155</v>
      </c>
      <c r="J79" s="114">
        <f t="shared" si="8"/>
        <v>141</v>
      </c>
      <c r="K79" s="114">
        <f t="shared" si="8"/>
        <v>140</v>
      </c>
      <c r="L79" s="114">
        <f t="shared" si="8"/>
        <v>206</v>
      </c>
      <c r="M79" s="114">
        <f t="shared" si="8"/>
        <v>110</v>
      </c>
      <c r="N79" s="114">
        <f t="shared" si="8"/>
        <v>173</v>
      </c>
      <c r="O79" s="114">
        <f t="shared" si="8"/>
        <v>151</v>
      </c>
      <c r="P79" s="114">
        <f t="shared" si="8"/>
        <v>149</v>
      </c>
      <c r="Q79" s="114">
        <f t="shared" si="8"/>
        <v>157</v>
      </c>
      <c r="R79" s="114">
        <f t="shared" si="8"/>
        <v>157</v>
      </c>
      <c r="S79" s="114">
        <f t="shared" si="8"/>
        <v>104</v>
      </c>
      <c r="T79" s="114">
        <f t="shared" si="8"/>
        <v>117</v>
      </c>
      <c r="U79" s="114">
        <f t="shared" si="8"/>
        <v>157</v>
      </c>
      <c r="V79" s="114">
        <f t="shared" si="8"/>
        <v>162</v>
      </c>
      <c r="W79" s="114">
        <f t="shared" si="8"/>
        <v>156</v>
      </c>
      <c r="X79" s="114">
        <f t="shared" si="8"/>
        <v>161</v>
      </c>
      <c r="Y79" s="114">
        <f t="shared" si="8"/>
        <v>151</v>
      </c>
      <c r="Z79" s="114">
        <f t="shared" si="8"/>
        <v>219</v>
      </c>
      <c r="AA79" s="114">
        <f t="shared" si="8"/>
        <v>121</v>
      </c>
      <c r="AB79" s="114">
        <f t="shared" ref="AB79:AF79" si="9">SUM(AB4:AB27)-AB80</f>
        <v>167</v>
      </c>
      <c r="AC79" s="114">
        <f t="shared" si="9"/>
        <v>142</v>
      </c>
      <c r="AD79" s="114">
        <f t="shared" si="9"/>
        <v>159</v>
      </c>
      <c r="AE79" s="114">
        <f t="shared" si="9"/>
        <v>147</v>
      </c>
      <c r="AF79" s="114">
        <f t="shared" si="9"/>
        <v>170</v>
      </c>
      <c r="AG79" s="132">
        <f t="shared" si="2"/>
        <v>4878</v>
      </c>
    </row>
    <row r="80" spans="1:33" ht="19.5" hidden="1" customHeight="1" thickBot="1" x14ac:dyDescent="0.3">
      <c r="A80" s="107" t="s">
        <v>57</v>
      </c>
      <c r="B80" s="11"/>
      <c r="C80" s="11"/>
      <c r="D80" s="9">
        <v>0</v>
      </c>
      <c r="E80" s="9">
        <v>0</v>
      </c>
      <c r="F80" s="9">
        <f>SUM(F4:F12)</f>
        <v>105</v>
      </c>
      <c r="G80" s="9">
        <f>SUM(G4:G12)</f>
        <v>0</v>
      </c>
      <c r="H80" s="9">
        <f>SUM(H4:H12)</f>
        <v>2</v>
      </c>
      <c r="I80" s="11"/>
      <c r="J80" s="11"/>
      <c r="K80" s="9">
        <v>0</v>
      </c>
      <c r="L80" s="9">
        <v>0</v>
      </c>
      <c r="M80" s="9">
        <f>SUM(M4:M12)</f>
        <v>89</v>
      </c>
      <c r="N80" s="9">
        <f>SUM(N4:N12)</f>
        <v>2</v>
      </c>
      <c r="O80" s="9">
        <f>SUM(O4:O12)</f>
        <v>0</v>
      </c>
      <c r="P80" s="11"/>
      <c r="Q80" s="11"/>
      <c r="R80" s="9">
        <f>SUM(R4:R12)</f>
        <v>1</v>
      </c>
      <c r="S80" s="9">
        <f>SUM(S4:S12)</f>
        <v>91</v>
      </c>
      <c r="T80" s="9">
        <f>SUM(T4:T12)</f>
        <v>107</v>
      </c>
      <c r="U80" s="9">
        <f>SUM(U4:U12)</f>
        <v>1</v>
      </c>
      <c r="V80" s="9">
        <f>SUM(V4:V12)</f>
        <v>1</v>
      </c>
      <c r="W80" s="11"/>
      <c r="X80" s="11"/>
      <c r="Y80" s="9">
        <f>SUM(Y4:Y12)</f>
        <v>1</v>
      </c>
      <c r="Z80" s="11"/>
      <c r="AA80" s="9">
        <f>SUM(AA4:AA12)</f>
        <v>110</v>
      </c>
      <c r="AB80" s="9">
        <f>SUM(AB4:AB12)</f>
        <v>0</v>
      </c>
      <c r="AC80" s="9">
        <f>SUM(AC4:AC12)</f>
        <v>0</v>
      </c>
      <c r="AD80" s="11"/>
      <c r="AE80" s="11"/>
      <c r="AF80" s="9">
        <f>SUM(AF4:AF12)</f>
        <v>0</v>
      </c>
      <c r="AG80" s="108">
        <f t="shared" si="2"/>
        <v>510</v>
      </c>
    </row>
    <row r="81" spans="1:35" ht="19.5" thickBot="1" x14ac:dyDescent="0.3">
      <c r="A81" s="183" t="s">
        <v>98</v>
      </c>
      <c r="B81" s="184">
        <f t="shared" ref="B81:AF81" si="10">SUM(B82:B83)</f>
        <v>7</v>
      </c>
      <c r="C81" s="184">
        <f t="shared" si="10"/>
        <v>17</v>
      </c>
      <c r="D81" s="184">
        <f t="shared" si="10"/>
        <v>30</v>
      </c>
      <c r="E81" s="184">
        <f t="shared" si="10"/>
        <v>34</v>
      </c>
      <c r="F81" s="184">
        <f t="shared" si="10"/>
        <v>10</v>
      </c>
      <c r="G81" s="184">
        <f t="shared" si="10"/>
        <v>38</v>
      </c>
      <c r="H81" s="184">
        <f t="shared" si="10"/>
        <v>29</v>
      </c>
      <c r="I81" s="184">
        <f t="shared" si="10"/>
        <v>23</v>
      </c>
      <c r="J81" s="184">
        <f t="shared" si="10"/>
        <v>12</v>
      </c>
      <c r="K81" s="184">
        <f t="shared" si="10"/>
        <v>21</v>
      </c>
      <c r="L81" s="184">
        <f t="shared" si="10"/>
        <v>14</v>
      </c>
      <c r="M81" s="184">
        <f t="shared" si="10"/>
        <v>1</v>
      </c>
      <c r="N81" s="184">
        <f t="shared" si="10"/>
        <v>16</v>
      </c>
      <c r="O81" s="184">
        <f t="shared" si="10"/>
        <v>9</v>
      </c>
      <c r="P81" s="184">
        <f t="shared" si="10"/>
        <v>5</v>
      </c>
      <c r="Q81" s="184">
        <f t="shared" si="10"/>
        <v>19</v>
      </c>
      <c r="R81" s="184">
        <f t="shared" si="10"/>
        <v>29</v>
      </c>
      <c r="S81" s="184">
        <f t="shared" si="10"/>
        <v>4</v>
      </c>
      <c r="T81" s="184">
        <f t="shared" si="10"/>
        <v>5</v>
      </c>
      <c r="U81" s="184">
        <f t="shared" si="10"/>
        <v>9</v>
      </c>
      <c r="V81" s="184">
        <f t="shared" si="10"/>
        <v>12</v>
      </c>
      <c r="W81" s="184">
        <f t="shared" si="10"/>
        <v>18</v>
      </c>
      <c r="X81" s="184">
        <f t="shared" si="10"/>
        <v>13</v>
      </c>
      <c r="Y81" s="184">
        <f t="shared" si="10"/>
        <v>22</v>
      </c>
      <c r="Z81" s="184">
        <f>SUM(Z82:Z83)</f>
        <v>18</v>
      </c>
      <c r="AA81" s="184">
        <f t="shared" si="10"/>
        <v>6</v>
      </c>
      <c r="AB81" s="184">
        <f t="shared" si="10"/>
        <v>24</v>
      </c>
      <c r="AC81" s="184">
        <f t="shared" si="10"/>
        <v>8</v>
      </c>
      <c r="AD81" s="184">
        <f t="shared" si="10"/>
        <v>13</v>
      </c>
      <c r="AE81" s="184">
        <f t="shared" si="10"/>
        <v>5</v>
      </c>
      <c r="AF81" s="184">
        <f t="shared" si="10"/>
        <v>23</v>
      </c>
      <c r="AG81" s="116">
        <f t="shared" si="2"/>
        <v>494</v>
      </c>
      <c r="AH81" s="180" t="str">
        <f>IF(AG81&lt;&gt;AG53,"*","")</f>
        <v/>
      </c>
    </row>
    <row r="82" spans="1:35" ht="18.75" x14ac:dyDescent="0.25">
      <c r="A82" s="181" t="s">
        <v>57</v>
      </c>
      <c r="B82" s="182"/>
      <c r="C82" s="114">
        <f t="shared" ref="C82:Y82" si="11">SUM(C54:C62)</f>
        <v>0</v>
      </c>
      <c r="D82" s="114">
        <f t="shared" si="11"/>
        <v>5</v>
      </c>
      <c r="E82" s="182"/>
      <c r="F82" s="182"/>
      <c r="G82" s="114">
        <f t="shared" si="11"/>
        <v>10</v>
      </c>
      <c r="H82" s="114">
        <f t="shared" si="11"/>
        <v>0</v>
      </c>
      <c r="I82" s="114">
        <f t="shared" si="11"/>
        <v>0</v>
      </c>
      <c r="J82" s="114">
        <f t="shared" si="11"/>
        <v>5</v>
      </c>
      <c r="K82" s="114">
        <f t="shared" si="11"/>
        <v>0</v>
      </c>
      <c r="L82" s="182"/>
      <c r="M82" s="182"/>
      <c r="N82" s="114">
        <f t="shared" si="11"/>
        <v>0</v>
      </c>
      <c r="O82" s="114">
        <f t="shared" si="11"/>
        <v>0</v>
      </c>
      <c r="P82" s="114">
        <f t="shared" si="11"/>
        <v>0</v>
      </c>
      <c r="Q82" s="114">
        <f t="shared" si="11"/>
        <v>0</v>
      </c>
      <c r="R82" s="114">
        <f t="shared" si="11"/>
        <v>0</v>
      </c>
      <c r="S82" s="182"/>
      <c r="T82" s="182"/>
      <c r="U82" s="114">
        <f t="shared" si="11"/>
        <v>0</v>
      </c>
      <c r="V82" s="114">
        <f t="shared" si="11"/>
        <v>0</v>
      </c>
      <c r="W82" s="114">
        <f t="shared" si="11"/>
        <v>0</v>
      </c>
      <c r="X82" s="114">
        <f t="shared" si="11"/>
        <v>0</v>
      </c>
      <c r="Y82" s="114">
        <f t="shared" si="11"/>
        <v>0</v>
      </c>
      <c r="Z82" s="182"/>
      <c r="AA82" s="182"/>
      <c r="AB82" s="114">
        <f t="shared" ref="AB82:AF82" si="12">SUM(AB54:AB62)</f>
        <v>0</v>
      </c>
      <c r="AC82" s="114">
        <f t="shared" si="12"/>
        <v>0</v>
      </c>
      <c r="AD82" s="114">
        <f t="shared" si="12"/>
        <v>0</v>
      </c>
      <c r="AE82" s="114">
        <f t="shared" si="12"/>
        <v>0</v>
      </c>
      <c r="AF82" s="114">
        <f t="shared" si="12"/>
        <v>0</v>
      </c>
      <c r="AG82" s="132">
        <f t="shared" si="2"/>
        <v>20</v>
      </c>
    </row>
    <row r="83" spans="1:35" ht="19.5" thickBot="1" x14ac:dyDescent="0.3">
      <c r="A83" s="107" t="s">
        <v>58</v>
      </c>
      <c r="B83" s="9">
        <f t="shared" ref="B83" si="13">SUM(B54:B77)-B82</f>
        <v>7</v>
      </c>
      <c r="C83" s="9">
        <f t="shared" ref="C83" si="14">SUM(C54:C77)-C82</f>
        <v>17</v>
      </c>
      <c r="D83" s="9">
        <f t="shared" ref="D83:AF83" si="15">SUM(D54:D77)-D82</f>
        <v>25</v>
      </c>
      <c r="E83" s="9">
        <f t="shared" si="15"/>
        <v>34</v>
      </c>
      <c r="F83" s="9">
        <f t="shared" si="15"/>
        <v>10</v>
      </c>
      <c r="G83" s="9">
        <f t="shared" si="15"/>
        <v>28</v>
      </c>
      <c r="H83" s="9">
        <f t="shared" si="15"/>
        <v>29</v>
      </c>
      <c r="I83" s="9">
        <f t="shared" si="15"/>
        <v>23</v>
      </c>
      <c r="J83" s="9">
        <f t="shared" si="15"/>
        <v>7</v>
      </c>
      <c r="K83" s="9">
        <f t="shared" si="15"/>
        <v>21</v>
      </c>
      <c r="L83" s="9">
        <f t="shared" si="15"/>
        <v>14</v>
      </c>
      <c r="M83" s="9">
        <f t="shared" si="15"/>
        <v>1</v>
      </c>
      <c r="N83" s="9">
        <f t="shared" si="15"/>
        <v>16</v>
      </c>
      <c r="O83" s="9">
        <f t="shared" si="15"/>
        <v>9</v>
      </c>
      <c r="P83" s="9">
        <f t="shared" si="15"/>
        <v>5</v>
      </c>
      <c r="Q83" s="9">
        <f t="shared" si="15"/>
        <v>19</v>
      </c>
      <c r="R83" s="9">
        <f t="shared" si="15"/>
        <v>29</v>
      </c>
      <c r="S83" s="9">
        <f t="shared" si="15"/>
        <v>4</v>
      </c>
      <c r="T83" s="9">
        <f t="shared" si="15"/>
        <v>5</v>
      </c>
      <c r="U83" s="9">
        <f t="shared" si="15"/>
        <v>9</v>
      </c>
      <c r="V83" s="9">
        <f t="shared" si="15"/>
        <v>12</v>
      </c>
      <c r="W83" s="9">
        <f t="shared" si="15"/>
        <v>18</v>
      </c>
      <c r="X83" s="9">
        <f t="shared" si="15"/>
        <v>13</v>
      </c>
      <c r="Y83" s="9">
        <f t="shared" si="15"/>
        <v>22</v>
      </c>
      <c r="Z83" s="9">
        <f t="shared" si="15"/>
        <v>18</v>
      </c>
      <c r="AA83" s="9">
        <f t="shared" si="15"/>
        <v>6</v>
      </c>
      <c r="AB83" s="9">
        <f t="shared" si="15"/>
        <v>24</v>
      </c>
      <c r="AC83" s="9">
        <f t="shared" si="15"/>
        <v>8</v>
      </c>
      <c r="AD83" s="9">
        <f t="shared" si="15"/>
        <v>13</v>
      </c>
      <c r="AE83" s="9">
        <f t="shared" si="15"/>
        <v>5</v>
      </c>
      <c r="AF83" s="9">
        <f t="shared" si="15"/>
        <v>23</v>
      </c>
      <c r="AG83" s="4">
        <f t="shared" si="2"/>
        <v>474</v>
      </c>
    </row>
    <row r="84" spans="1:35" ht="19.5" thickBot="1" x14ac:dyDescent="0.3">
      <c r="A84" s="164" t="s">
        <v>146</v>
      </c>
      <c r="B84" s="165">
        <f>SUM(B85:B86)</f>
        <v>7</v>
      </c>
      <c r="C84" s="165">
        <f t="shared" ref="C84:AF84" si="16">SUM(C85:C86)</f>
        <v>17</v>
      </c>
      <c r="D84" s="165">
        <f t="shared" si="16"/>
        <v>30</v>
      </c>
      <c r="E84" s="165">
        <f t="shared" si="16"/>
        <v>34</v>
      </c>
      <c r="F84" s="165">
        <f t="shared" si="16"/>
        <v>10</v>
      </c>
      <c r="G84" s="165">
        <f t="shared" si="16"/>
        <v>38</v>
      </c>
      <c r="H84" s="165">
        <f t="shared" si="16"/>
        <v>29</v>
      </c>
      <c r="I84" s="165">
        <f t="shared" si="16"/>
        <v>23</v>
      </c>
      <c r="J84" s="165">
        <f t="shared" si="16"/>
        <v>12</v>
      </c>
      <c r="K84" s="165">
        <f t="shared" si="16"/>
        <v>21</v>
      </c>
      <c r="L84" s="165">
        <f t="shared" si="16"/>
        <v>14</v>
      </c>
      <c r="M84" s="165">
        <f t="shared" si="16"/>
        <v>1</v>
      </c>
      <c r="N84" s="165">
        <f t="shared" si="16"/>
        <v>16</v>
      </c>
      <c r="O84" s="165">
        <f t="shared" si="16"/>
        <v>9</v>
      </c>
      <c r="P84" s="165">
        <f t="shared" si="16"/>
        <v>5</v>
      </c>
      <c r="Q84" s="165">
        <f t="shared" si="16"/>
        <v>19</v>
      </c>
      <c r="R84" s="165">
        <f t="shared" si="16"/>
        <v>29</v>
      </c>
      <c r="S84" s="165">
        <f t="shared" si="16"/>
        <v>4</v>
      </c>
      <c r="T84" s="165">
        <f t="shared" si="16"/>
        <v>5</v>
      </c>
      <c r="U84" s="165">
        <f t="shared" si="16"/>
        <v>9</v>
      </c>
      <c r="V84" s="165">
        <f t="shared" si="16"/>
        <v>12</v>
      </c>
      <c r="W84" s="165">
        <f t="shared" si="16"/>
        <v>18</v>
      </c>
      <c r="X84" s="165">
        <f t="shared" si="16"/>
        <v>13</v>
      </c>
      <c r="Y84" s="165">
        <f t="shared" si="16"/>
        <v>22</v>
      </c>
      <c r="Z84" s="165">
        <f t="shared" si="16"/>
        <v>18</v>
      </c>
      <c r="AA84" s="165">
        <f t="shared" si="16"/>
        <v>6</v>
      </c>
      <c r="AB84" s="165">
        <f t="shared" si="16"/>
        <v>24</v>
      </c>
      <c r="AC84" s="165">
        <f t="shared" si="16"/>
        <v>8</v>
      </c>
      <c r="AD84" s="165">
        <f t="shared" si="16"/>
        <v>13</v>
      </c>
      <c r="AE84" s="165">
        <f t="shared" si="16"/>
        <v>5</v>
      </c>
      <c r="AF84" s="165">
        <f t="shared" si="16"/>
        <v>23</v>
      </c>
      <c r="AG84" s="171">
        <f t="shared" ref="AG84:AG126" si="17">SUM(B84:AF84)</f>
        <v>494</v>
      </c>
      <c r="AH84" s="180" t="str">
        <f>IF(AG84&lt;&gt;AG82+AG83,"*","")</f>
        <v/>
      </c>
      <c r="AI84" s="434" t="s">
        <v>1</v>
      </c>
    </row>
    <row r="85" spans="1:35" ht="18.75" x14ac:dyDescent="0.25">
      <c r="A85" s="72" t="s">
        <v>144</v>
      </c>
      <c r="B85" s="169">
        <v>2</v>
      </c>
      <c r="C85" s="169">
        <v>2</v>
      </c>
      <c r="D85" s="169">
        <v>8</v>
      </c>
      <c r="E85" s="169">
        <v>4</v>
      </c>
      <c r="F85" s="169">
        <v>0</v>
      </c>
      <c r="G85" s="169">
        <v>5</v>
      </c>
      <c r="H85" s="169">
        <v>2</v>
      </c>
      <c r="I85" s="169">
        <v>3</v>
      </c>
      <c r="J85" s="169">
        <v>2</v>
      </c>
      <c r="K85" s="169">
        <v>7</v>
      </c>
      <c r="L85" s="169">
        <v>3</v>
      </c>
      <c r="M85" s="169">
        <v>0</v>
      </c>
      <c r="N85" s="169">
        <v>4</v>
      </c>
      <c r="O85" s="169">
        <v>4</v>
      </c>
      <c r="P85" s="169">
        <v>2</v>
      </c>
      <c r="Q85" s="169">
        <v>1</v>
      </c>
      <c r="R85" s="169">
        <v>4</v>
      </c>
      <c r="S85" s="169">
        <v>0</v>
      </c>
      <c r="T85" s="169">
        <v>0</v>
      </c>
      <c r="U85" s="169">
        <v>3</v>
      </c>
      <c r="V85" s="169">
        <v>1</v>
      </c>
      <c r="W85" s="169">
        <v>4</v>
      </c>
      <c r="X85" s="169">
        <v>3</v>
      </c>
      <c r="Y85" s="169">
        <v>3</v>
      </c>
      <c r="Z85" s="169">
        <v>3</v>
      </c>
      <c r="AA85" s="169">
        <v>0</v>
      </c>
      <c r="AB85" s="169">
        <v>5</v>
      </c>
      <c r="AC85" s="169">
        <v>1</v>
      </c>
      <c r="AD85" s="169">
        <v>4</v>
      </c>
      <c r="AE85" s="169"/>
      <c r="AF85" s="170">
        <v>2</v>
      </c>
      <c r="AG85" s="168">
        <f t="shared" si="17"/>
        <v>82</v>
      </c>
      <c r="AI85" s="435"/>
    </row>
    <row r="86" spans="1:35" ht="19.5" thickBot="1" x14ac:dyDescent="0.3">
      <c r="A86" s="172" t="s">
        <v>145</v>
      </c>
      <c r="B86" s="173">
        <v>5</v>
      </c>
      <c r="C86" s="173">
        <v>15</v>
      </c>
      <c r="D86" s="173">
        <v>22</v>
      </c>
      <c r="E86" s="173">
        <v>30</v>
      </c>
      <c r="F86" s="173">
        <v>10</v>
      </c>
      <c r="G86" s="173">
        <v>33</v>
      </c>
      <c r="H86" s="173">
        <v>27</v>
      </c>
      <c r="I86" s="173">
        <v>20</v>
      </c>
      <c r="J86" s="173">
        <v>10</v>
      </c>
      <c r="K86" s="173">
        <v>14</v>
      </c>
      <c r="L86" s="173">
        <v>11</v>
      </c>
      <c r="M86" s="173">
        <v>1</v>
      </c>
      <c r="N86" s="173">
        <v>12</v>
      </c>
      <c r="O86" s="173">
        <v>5</v>
      </c>
      <c r="P86" s="173">
        <v>3</v>
      </c>
      <c r="Q86" s="173">
        <v>18</v>
      </c>
      <c r="R86" s="173">
        <v>25</v>
      </c>
      <c r="S86" s="173">
        <v>4</v>
      </c>
      <c r="T86" s="173">
        <v>5</v>
      </c>
      <c r="U86" s="173">
        <v>6</v>
      </c>
      <c r="V86" s="173">
        <v>11</v>
      </c>
      <c r="W86" s="173">
        <v>14</v>
      </c>
      <c r="X86" s="173">
        <v>10</v>
      </c>
      <c r="Y86" s="173">
        <v>19</v>
      </c>
      <c r="Z86" s="173">
        <v>15</v>
      </c>
      <c r="AA86" s="173">
        <v>6</v>
      </c>
      <c r="AB86" s="173">
        <v>19</v>
      </c>
      <c r="AC86" s="173">
        <v>7</v>
      </c>
      <c r="AD86" s="173">
        <v>9</v>
      </c>
      <c r="AE86" s="173">
        <v>5</v>
      </c>
      <c r="AF86" s="174">
        <v>21</v>
      </c>
      <c r="AG86" s="176">
        <f t="shared" si="17"/>
        <v>412</v>
      </c>
      <c r="AI86" s="436"/>
    </row>
    <row r="87" spans="1:35" ht="19.5" thickBot="1" x14ac:dyDescent="0.3">
      <c r="A87" s="177" t="s">
        <v>147</v>
      </c>
      <c r="B87" s="178">
        <f>SUM(B88:B92)</f>
        <v>7</v>
      </c>
      <c r="C87" s="178">
        <f t="shared" ref="C87:AF87" si="18">SUM(C88:C92)</f>
        <v>17</v>
      </c>
      <c r="D87" s="178">
        <f t="shared" si="18"/>
        <v>30</v>
      </c>
      <c r="E87" s="178">
        <f t="shared" si="18"/>
        <v>34</v>
      </c>
      <c r="F87" s="178">
        <f t="shared" si="18"/>
        <v>10</v>
      </c>
      <c r="G87" s="178">
        <f t="shared" si="18"/>
        <v>38</v>
      </c>
      <c r="H87" s="178">
        <f t="shared" si="18"/>
        <v>29</v>
      </c>
      <c r="I87" s="178">
        <f t="shared" si="18"/>
        <v>23</v>
      </c>
      <c r="J87" s="178">
        <f t="shared" si="18"/>
        <v>12</v>
      </c>
      <c r="K87" s="178">
        <f t="shared" si="18"/>
        <v>21</v>
      </c>
      <c r="L87" s="178">
        <f t="shared" si="18"/>
        <v>14</v>
      </c>
      <c r="M87" s="178">
        <f t="shared" si="18"/>
        <v>1</v>
      </c>
      <c r="N87" s="178">
        <f t="shared" si="18"/>
        <v>16</v>
      </c>
      <c r="O87" s="178">
        <f t="shared" si="18"/>
        <v>9</v>
      </c>
      <c r="P87" s="178">
        <f t="shared" si="18"/>
        <v>5</v>
      </c>
      <c r="Q87" s="178">
        <f t="shared" si="18"/>
        <v>19</v>
      </c>
      <c r="R87" s="178">
        <f t="shared" si="18"/>
        <v>29</v>
      </c>
      <c r="S87" s="178">
        <f t="shared" si="18"/>
        <v>4</v>
      </c>
      <c r="T87" s="178">
        <f t="shared" si="18"/>
        <v>5</v>
      </c>
      <c r="U87" s="178">
        <f t="shared" si="18"/>
        <v>9</v>
      </c>
      <c r="V87" s="178">
        <f t="shared" si="18"/>
        <v>12</v>
      </c>
      <c r="W87" s="178">
        <f t="shared" si="18"/>
        <v>18</v>
      </c>
      <c r="X87" s="178">
        <f t="shared" si="18"/>
        <v>13</v>
      </c>
      <c r="Y87" s="178">
        <f t="shared" si="18"/>
        <v>22</v>
      </c>
      <c r="Z87" s="178">
        <f t="shared" si="18"/>
        <v>18</v>
      </c>
      <c r="AA87" s="178">
        <f t="shared" si="18"/>
        <v>6</v>
      </c>
      <c r="AB87" s="178">
        <f t="shared" si="18"/>
        <v>24</v>
      </c>
      <c r="AC87" s="178">
        <f t="shared" si="18"/>
        <v>8</v>
      </c>
      <c r="AD87" s="178">
        <f t="shared" si="18"/>
        <v>13</v>
      </c>
      <c r="AE87" s="178">
        <f t="shared" si="18"/>
        <v>5</v>
      </c>
      <c r="AF87" s="178">
        <f t="shared" si="18"/>
        <v>23</v>
      </c>
      <c r="AG87" s="179">
        <f t="shared" si="17"/>
        <v>494</v>
      </c>
      <c r="AH87" s="175" t="str">
        <f>IF(AG87&lt;&gt;AG84,"*","")</f>
        <v/>
      </c>
    </row>
    <row r="88" spans="1:35" ht="18.75" x14ac:dyDescent="0.25">
      <c r="A88" s="104" t="s">
        <v>127</v>
      </c>
      <c r="B88" s="166">
        <v>3</v>
      </c>
      <c r="C88" s="166">
        <v>11</v>
      </c>
      <c r="D88" s="166">
        <v>6</v>
      </c>
      <c r="E88" s="166">
        <v>9</v>
      </c>
      <c r="F88" s="166">
        <v>6</v>
      </c>
      <c r="G88" s="166">
        <v>23</v>
      </c>
      <c r="H88" s="166">
        <v>5</v>
      </c>
      <c r="I88" s="166">
        <v>7</v>
      </c>
      <c r="J88" s="166">
        <v>4</v>
      </c>
      <c r="K88" s="166">
        <v>13</v>
      </c>
      <c r="L88" s="166">
        <v>4</v>
      </c>
      <c r="M88" s="166">
        <v>1</v>
      </c>
      <c r="N88" s="166">
        <v>7</v>
      </c>
      <c r="O88" s="166">
        <v>6</v>
      </c>
      <c r="P88" s="166">
        <v>4</v>
      </c>
      <c r="Q88" s="166">
        <v>7</v>
      </c>
      <c r="R88" s="166">
        <v>11</v>
      </c>
      <c r="S88" s="166"/>
      <c r="T88" s="166">
        <v>3</v>
      </c>
      <c r="U88" s="166">
        <v>4</v>
      </c>
      <c r="V88" s="166">
        <v>4</v>
      </c>
      <c r="W88" s="166">
        <v>6</v>
      </c>
      <c r="X88" s="166">
        <v>5</v>
      </c>
      <c r="Y88" s="166">
        <v>7</v>
      </c>
      <c r="Z88" s="166">
        <v>3</v>
      </c>
      <c r="AA88" s="166">
        <v>1</v>
      </c>
      <c r="AB88" s="166">
        <v>6</v>
      </c>
      <c r="AC88" s="166">
        <v>2</v>
      </c>
      <c r="AD88" s="166">
        <v>8</v>
      </c>
      <c r="AE88" s="166">
        <v>1</v>
      </c>
      <c r="AF88" s="167">
        <v>7</v>
      </c>
      <c r="AG88" s="132">
        <f t="shared" si="17"/>
        <v>184</v>
      </c>
    </row>
    <row r="89" spans="1:35" ht="18.75" x14ac:dyDescent="0.25">
      <c r="A89" s="105" t="s">
        <v>73</v>
      </c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10"/>
      <c r="AG89" s="4">
        <f t="shared" si="17"/>
        <v>0</v>
      </c>
    </row>
    <row r="90" spans="1:35" ht="18.75" x14ac:dyDescent="0.25">
      <c r="A90" s="105" t="s">
        <v>74</v>
      </c>
      <c r="B90" s="9"/>
      <c r="C90" s="9"/>
      <c r="D90" s="9"/>
      <c r="E90" s="9"/>
      <c r="F90" s="9"/>
      <c r="G90" s="9"/>
      <c r="H90" s="9"/>
      <c r="I90" s="9">
        <v>1</v>
      </c>
      <c r="J90" s="9"/>
      <c r="K90" s="9">
        <v>1</v>
      </c>
      <c r="L90" s="9"/>
      <c r="M90" s="9"/>
      <c r="N90" s="9"/>
      <c r="O90" s="9"/>
      <c r="P90" s="9"/>
      <c r="Q90" s="9"/>
      <c r="R90" s="9">
        <v>1</v>
      </c>
      <c r="S90" s="9"/>
      <c r="T90" s="9"/>
      <c r="U90" s="9"/>
      <c r="V90" s="9"/>
      <c r="W90" s="9"/>
      <c r="X90" s="9">
        <v>1</v>
      </c>
      <c r="Y90" s="9"/>
      <c r="Z90" s="9"/>
      <c r="AA90" s="9"/>
      <c r="AB90" s="9"/>
      <c r="AC90" s="9"/>
      <c r="AD90" s="9">
        <v>1</v>
      </c>
      <c r="AE90" s="9"/>
      <c r="AF90" s="10"/>
      <c r="AG90" s="4">
        <f t="shared" si="17"/>
        <v>5</v>
      </c>
    </row>
    <row r="91" spans="1:35" ht="18.75" x14ac:dyDescent="0.25">
      <c r="A91" s="105" t="s">
        <v>75</v>
      </c>
      <c r="B91" s="9">
        <v>1</v>
      </c>
      <c r="C91" s="9">
        <v>2</v>
      </c>
      <c r="D91" s="9">
        <v>14</v>
      </c>
      <c r="E91" s="9">
        <v>12</v>
      </c>
      <c r="F91" s="9">
        <v>3</v>
      </c>
      <c r="G91" s="9">
        <v>14</v>
      </c>
      <c r="H91" s="9">
        <v>13</v>
      </c>
      <c r="I91" s="9">
        <v>6</v>
      </c>
      <c r="J91" s="9">
        <v>3</v>
      </c>
      <c r="K91" s="9">
        <v>1</v>
      </c>
      <c r="L91" s="9">
        <v>8</v>
      </c>
      <c r="M91" s="9"/>
      <c r="N91" s="9">
        <v>8</v>
      </c>
      <c r="O91" s="9">
        <v>2</v>
      </c>
      <c r="P91" s="9">
        <v>1</v>
      </c>
      <c r="Q91" s="9">
        <v>4</v>
      </c>
      <c r="R91" s="9">
        <v>8</v>
      </c>
      <c r="S91" s="9"/>
      <c r="T91" s="9"/>
      <c r="U91" s="9">
        <v>4</v>
      </c>
      <c r="V91" s="9">
        <v>3</v>
      </c>
      <c r="W91" s="9">
        <v>1</v>
      </c>
      <c r="X91" s="9">
        <v>6</v>
      </c>
      <c r="Y91" s="9">
        <v>6</v>
      </c>
      <c r="Z91" s="9">
        <v>9</v>
      </c>
      <c r="AA91" s="9">
        <v>4</v>
      </c>
      <c r="AB91" s="9">
        <v>8</v>
      </c>
      <c r="AC91" s="9">
        <v>3</v>
      </c>
      <c r="AD91" s="9">
        <v>1</v>
      </c>
      <c r="AE91" s="9">
        <v>3</v>
      </c>
      <c r="AF91" s="10">
        <v>7</v>
      </c>
      <c r="AG91" s="4">
        <f t="shared" si="17"/>
        <v>155</v>
      </c>
    </row>
    <row r="92" spans="1:35" ht="19.5" thickBot="1" x14ac:dyDescent="0.3">
      <c r="A92" s="105" t="s">
        <v>76</v>
      </c>
      <c r="B92" s="9">
        <v>3</v>
      </c>
      <c r="C92" s="9">
        <v>4</v>
      </c>
      <c r="D92" s="9">
        <v>10</v>
      </c>
      <c r="E92" s="9">
        <v>13</v>
      </c>
      <c r="F92" s="9">
        <v>1</v>
      </c>
      <c r="G92" s="9">
        <v>1</v>
      </c>
      <c r="H92" s="9">
        <v>11</v>
      </c>
      <c r="I92" s="9">
        <v>9</v>
      </c>
      <c r="J92" s="9">
        <v>5</v>
      </c>
      <c r="K92" s="9">
        <v>6</v>
      </c>
      <c r="L92" s="9">
        <v>2</v>
      </c>
      <c r="M92" s="9"/>
      <c r="N92" s="9">
        <v>1</v>
      </c>
      <c r="O92" s="9">
        <v>1</v>
      </c>
      <c r="P92" s="9"/>
      <c r="Q92" s="9">
        <v>8</v>
      </c>
      <c r="R92" s="9">
        <v>9</v>
      </c>
      <c r="S92" s="9">
        <v>4</v>
      </c>
      <c r="T92" s="9">
        <v>2</v>
      </c>
      <c r="U92" s="9">
        <v>1</v>
      </c>
      <c r="V92" s="9">
        <v>5</v>
      </c>
      <c r="W92" s="9">
        <v>11</v>
      </c>
      <c r="X92" s="9">
        <v>1</v>
      </c>
      <c r="Y92" s="9">
        <v>9</v>
      </c>
      <c r="Z92" s="9">
        <v>6</v>
      </c>
      <c r="AA92" s="9">
        <v>1</v>
      </c>
      <c r="AB92" s="9">
        <v>10</v>
      </c>
      <c r="AC92" s="9">
        <v>3</v>
      </c>
      <c r="AD92" s="9">
        <v>3</v>
      </c>
      <c r="AE92" s="9">
        <v>1</v>
      </c>
      <c r="AF92" s="10">
        <v>9</v>
      </c>
      <c r="AG92" s="4">
        <f t="shared" si="17"/>
        <v>150</v>
      </c>
    </row>
    <row r="93" spans="1:35" ht="18.75" x14ac:dyDescent="0.25">
      <c r="A93" s="73" t="s">
        <v>615</v>
      </c>
      <c r="B93" s="74">
        <f t="shared" ref="B93:AF93" si="19">+B94+B100</f>
        <v>156</v>
      </c>
      <c r="C93" s="74">
        <f t="shared" si="19"/>
        <v>152</v>
      </c>
      <c r="D93" s="74">
        <f t="shared" si="19"/>
        <v>145</v>
      </c>
      <c r="E93" s="74">
        <f t="shared" si="19"/>
        <v>191</v>
      </c>
      <c r="F93" s="74">
        <f t="shared" si="19"/>
        <v>218</v>
      </c>
      <c r="G93" s="74">
        <f t="shared" si="19"/>
        <v>150</v>
      </c>
      <c r="H93" s="74">
        <f t="shared" si="19"/>
        <v>136</v>
      </c>
      <c r="I93" s="74">
        <f t="shared" si="19"/>
        <v>132</v>
      </c>
      <c r="J93" s="74">
        <f t="shared" si="19"/>
        <v>129</v>
      </c>
      <c r="K93" s="74">
        <f t="shared" si="19"/>
        <v>119</v>
      </c>
      <c r="L93" s="74">
        <f t="shared" si="19"/>
        <v>192</v>
      </c>
      <c r="M93" s="74">
        <f t="shared" si="19"/>
        <v>198</v>
      </c>
      <c r="N93" s="74">
        <f t="shared" si="19"/>
        <v>159</v>
      </c>
      <c r="O93" s="74">
        <f t="shared" si="19"/>
        <v>142</v>
      </c>
      <c r="P93" s="74">
        <f t="shared" si="19"/>
        <v>144</v>
      </c>
      <c r="Q93" s="74">
        <f t="shared" si="19"/>
        <v>138</v>
      </c>
      <c r="R93" s="74">
        <f t="shared" si="19"/>
        <v>129</v>
      </c>
      <c r="S93" s="74">
        <f t="shared" si="19"/>
        <v>191</v>
      </c>
      <c r="T93" s="74">
        <f t="shared" si="19"/>
        <v>219</v>
      </c>
      <c r="U93" s="74">
        <f t="shared" si="19"/>
        <v>149</v>
      </c>
      <c r="V93" s="74">
        <f t="shared" si="19"/>
        <v>151</v>
      </c>
      <c r="W93" s="74">
        <f t="shared" si="19"/>
        <v>138</v>
      </c>
      <c r="X93" s="74">
        <f t="shared" si="19"/>
        <v>148</v>
      </c>
      <c r="Y93" s="74">
        <f t="shared" si="19"/>
        <v>130</v>
      </c>
      <c r="Z93" s="74">
        <f t="shared" si="19"/>
        <v>201</v>
      </c>
      <c r="AA93" s="74">
        <f t="shared" si="19"/>
        <v>225</v>
      </c>
      <c r="AB93" s="74">
        <f t="shared" si="19"/>
        <v>143</v>
      </c>
      <c r="AC93" s="74">
        <f t="shared" si="19"/>
        <v>134</v>
      </c>
      <c r="AD93" s="74">
        <f t="shared" si="19"/>
        <v>146</v>
      </c>
      <c r="AE93" s="74">
        <f t="shared" si="19"/>
        <v>142</v>
      </c>
      <c r="AF93" s="84">
        <f t="shared" si="19"/>
        <v>147</v>
      </c>
      <c r="AG93" s="150">
        <f t="shared" si="17"/>
        <v>4894</v>
      </c>
      <c r="AH93" s="37" t="str">
        <f>IF(AG93&lt;&gt;AG28,"*","")</f>
        <v/>
      </c>
    </row>
    <row r="94" spans="1:35" ht="18.75" x14ac:dyDescent="0.25">
      <c r="A94" s="42" t="s">
        <v>65</v>
      </c>
      <c r="B94" s="17">
        <f t="shared" ref="B94:AF94" si="20">SUM(B95:B99)</f>
        <v>23</v>
      </c>
      <c r="C94" s="17">
        <f t="shared" si="20"/>
        <v>14</v>
      </c>
      <c r="D94" s="17">
        <f t="shared" si="20"/>
        <v>22</v>
      </c>
      <c r="E94" s="17">
        <f t="shared" si="20"/>
        <v>19</v>
      </c>
      <c r="F94" s="17">
        <f t="shared" si="20"/>
        <v>40</v>
      </c>
      <c r="G94" s="17">
        <f t="shared" si="20"/>
        <v>21</v>
      </c>
      <c r="H94" s="17">
        <f t="shared" si="20"/>
        <v>13</v>
      </c>
      <c r="I94" s="17">
        <f t="shared" si="20"/>
        <v>18</v>
      </c>
      <c r="J94" s="17">
        <f t="shared" si="20"/>
        <v>12</v>
      </c>
      <c r="K94" s="17">
        <f t="shared" si="20"/>
        <v>18</v>
      </c>
      <c r="L94" s="17">
        <f t="shared" si="20"/>
        <v>27</v>
      </c>
      <c r="M94" s="17">
        <f t="shared" si="20"/>
        <v>36</v>
      </c>
      <c r="N94" s="17">
        <f t="shared" si="20"/>
        <v>15</v>
      </c>
      <c r="O94" s="17">
        <f t="shared" si="20"/>
        <v>15</v>
      </c>
      <c r="P94" s="17">
        <f t="shared" si="20"/>
        <v>10</v>
      </c>
      <c r="Q94" s="17">
        <f t="shared" si="20"/>
        <v>20</v>
      </c>
      <c r="R94" s="17">
        <f t="shared" si="20"/>
        <v>15</v>
      </c>
      <c r="S94" s="17">
        <f t="shared" si="20"/>
        <v>26</v>
      </c>
      <c r="T94" s="17">
        <f t="shared" si="20"/>
        <v>34</v>
      </c>
      <c r="U94" s="17">
        <f t="shared" si="20"/>
        <v>18</v>
      </c>
      <c r="V94" s="17">
        <f t="shared" si="20"/>
        <v>24</v>
      </c>
      <c r="W94" s="17">
        <f t="shared" si="20"/>
        <v>16</v>
      </c>
      <c r="X94" s="17">
        <f t="shared" si="20"/>
        <v>24</v>
      </c>
      <c r="Y94" s="17">
        <f t="shared" si="20"/>
        <v>15</v>
      </c>
      <c r="Z94" s="17">
        <f t="shared" si="20"/>
        <v>31</v>
      </c>
      <c r="AA94" s="17">
        <f t="shared" si="20"/>
        <v>36</v>
      </c>
      <c r="AB94" s="17">
        <f t="shared" si="20"/>
        <v>24</v>
      </c>
      <c r="AC94" s="17">
        <f t="shared" si="20"/>
        <v>13</v>
      </c>
      <c r="AD94" s="17">
        <f t="shared" si="20"/>
        <v>21</v>
      </c>
      <c r="AE94" s="17">
        <f t="shared" si="20"/>
        <v>18</v>
      </c>
      <c r="AF94" s="18">
        <f t="shared" si="20"/>
        <v>29</v>
      </c>
      <c r="AG94" s="4">
        <f t="shared" si="17"/>
        <v>667</v>
      </c>
    </row>
    <row r="95" spans="1:35" ht="18.75" x14ac:dyDescent="0.25">
      <c r="A95" s="44" t="s">
        <v>81</v>
      </c>
      <c r="B95" s="7"/>
      <c r="C95" s="7"/>
      <c r="D95" s="7"/>
      <c r="E95" s="7"/>
      <c r="F95" s="7">
        <v>1</v>
      </c>
      <c r="G95" s="7">
        <v>3</v>
      </c>
      <c r="H95" s="7"/>
      <c r="I95" s="7">
        <v>1</v>
      </c>
      <c r="J95" s="7"/>
      <c r="K95" s="7">
        <v>2</v>
      </c>
      <c r="L95" s="7">
        <v>1</v>
      </c>
      <c r="M95" s="7">
        <v>2</v>
      </c>
      <c r="N95" s="7">
        <v>2</v>
      </c>
      <c r="O95" s="7"/>
      <c r="P95" s="7"/>
      <c r="Q95" s="7">
        <v>1</v>
      </c>
      <c r="R95" s="7">
        <v>1</v>
      </c>
      <c r="S95" s="7"/>
      <c r="T95" s="7">
        <v>2</v>
      </c>
      <c r="U95" s="7"/>
      <c r="V95" s="7"/>
      <c r="W95" s="7">
        <v>1</v>
      </c>
      <c r="X95" s="7"/>
      <c r="Y95" s="7"/>
      <c r="Z95" s="7"/>
      <c r="AA95" s="7"/>
      <c r="AB95" s="7">
        <v>3</v>
      </c>
      <c r="AC95" s="7"/>
      <c r="AD95" s="7"/>
      <c r="AE95" s="7">
        <v>1</v>
      </c>
      <c r="AF95" s="8">
        <v>2</v>
      </c>
      <c r="AG95" s="4">
        <f t="shared" si="17"/>
        <v>23</v>
      </c>
    </row>
    <row r="96" spans="1:35" ht="18.75" x14ac:dyDescent="0.25">
      <c r="A96" s="45" t="s">
        <v>82</v>
      </c>
      <c r="B96" s="7">
        <v>2</v>
      </c>
      <c r="C96" s="7">
        <v>1</v>
      </c>
      <c r="D96" s="7">
        <v>2</v>
      </c>
      <c r="E96" s="7">
        <v>3</v>
      </c>
      <c r="F96" s="7">
        <v>4</v>
      </c>
      <c r="G96" s="7">
        <v>1</v>
      </c>
      <c r="H96" s="7">
        <v>2</v>
      </c>
      <c r="I96" s="7">
        <v>2</v>
      </c>
      <c r="J96" s="7">
        <v>1</v>
      </c>
      <c r="K96" s="7">
        <v>1</v>
      </c>
      <c r="L96" s="7">
        <v>5</v>
      </c>
      <c r="M96" s="7">
        <v>5</v>
      </c>
      <c r="N96" s="7">
        <v>1</v>
      </c>
      <c r="O96" s="7">
        <v>3</v>
      </c>
      <c r="P96" s="7">
        <v>2</v>
      </c>
      <c r="Q96" s="7">
        <v>3</v>
      </c>
      <c r="R96" s="7">
        <v>1</v>
      </c>
      <c r="S96" s="141">
        <v>2</v>
      </c>
      <c r="T96" s="7">
        <v>3</v>
      </c>
      <c r="U96" s="7">
        <v>1</v>
      </c>
      <c r="V96" s="7">
        <v>2</v>
      </c>
      <c r="W96" s="7"/>
      <c r="X96" s="7">
        <v>3</v>
      </c>
      <c r="Y96" s="7">
        <v>1</v>
      </c>
      <c r="Z96" s="7">
        <v>2</v>
      </c>
      <c r="AA96" s="7">
        <v>6</v>
      </c>
      <c r="AB96" s="7"/>
      <c r="AC96" s="7"/>
      <c r="AD96" s="7">
        <v>3</v>
      </c>
      <c r="AE96" s="7">
        <v>3</v>
      </c>
      <c r="AF96" s="8"/>
      <c r="AG96" s="4">
        <f t="shared" si="17"/>
        <v>65</v>
      </c>
    </row>
    <row r="97" spans="1:33" ht="18.75" x14ac:dyDescent="0.25">
      <c r="A97" s="46" t="s">
        <v>70</v>
      </c>
      <c r="B97" s="7">
        <v>5</v>
      </c>
      <c r="C97" s="7"/>
      <c r="D97" s="7">
        <v>4</v>
      </c>
      <c r="E97" s="7">
        <v>3</v>
      </c>
      <c r="F97" s="7">
        <v>10</v>
      </c>
      <c r="G97" s="7">
        <v>5</v>
      </c>
      <c r="H97" s="7"/>
      <c r="I97" s="7">
        <v>5</v>
      </c>
      <c r="J97" s="7">
        <v>4</v>
      </c>
      <c r="K97" s="7">
        <v>5</v>
      </c>
      <c r="L97" s="7">
        <v>7</v>
      </c>
      <c r="M97" s="7">
        <v>12</v>
      </c>
      <c r="N97" s="7">
        <v>2</v>
      </c>
      <c r="O97" s="7">
        <v>1</v>
      </c>
      <c r="P97" s="7">
        <v>2</v>
      </c>
      <c r="Q97" s="7">
        <v>1</v>
      </c>
      <c r="R97" s="7">
        <v>1</v>
      </c>
      <c r="S97" s="7">
        <v>3</v>
      </c>
      <c r="T97" s="7">
        <v>4</v>
      </c>
      <c r="U97" s="7">
        <v>4</v>
      </c>
      <c r="V97" s="7">
        <v>5</v>
      </c>
      <c r="W97" s="7">
        <v>4</v>
      </c>
      <c r="X97" s="7">
        <v>8</v>
      </c>
      <c r="Y97" s="7">
        <v>1</v>
      </c>
      <c r="Z97" s="7">
        <v>4</v>
      </c>
      <c r="AA97" s="7">
        <v>2</v>
      </c>
      <c r="AB97" s="7">
        <v>4</v>
      </c>
      <c r="AC97" s="7">
        <v>4</v>
      </c>
      <c r="AD97" s="7">
        <v>11</v>
      </c>
      <c r="AE97" s="7">
        <v>1</v>
      </c>
      <c r="AF97" s="8">
        <v>11</v>
      </c>
      <c r="AG97" s="4">
        <f t="shared" si="17"/>
        <v>133</v>
      </c>
    </row>
    <row r="98" spans="1:33" ht="18.75" x14ac:dyDescent="0.25">
      <c r="A98" s="47" t="s">
        <v>6</v>
      </c>
      <c r="B98" s="7">
        <v>10</v>
      </c>
      <c r="C98" s="7">
        <v>8</v>
      </c>
      <c r="D98" s="7">
        <v>6</v>
      </c>
      <c r="E98" s="7">
        <v>10</v>
      </c>
      <c r="F98" s="7">
        <v>13</v>
      </c>
      <c r="G98" s="7">
        <v>8</v>
      </c>
      <c r="H98" s="7">
        <v>8</v>
      </c>
      <c r="I98" s="7">
        <v>4</v>
      </c>
      <c r="J98" s="7">
        <v>3</v>
      </c>
      <c r="K98" s="7">
        <v>5</v>
      </c>
      <c r="L98" s="7">
        <v>5</v>
      </c>
      <c r="M98" s="7">
        <v>11</v>
      </c>
      <c r="N98" s="7">
        <v>5</v>
      </c>
      <c r="O98" s="7">
        <v>2</v>
      </c>
      <c r="P98" s="7">
        <v>5</v>
      </c>
      <c r="Q98" s="7">
        <v>5</v>
      </c>
      <c r="R98" s="7">
        <v>5</v>
      </c>
      <c r="S98" s="7">
        <v>9</v>
      </c>
      <c r="T98" s="7">
        <v>13</v>
      </c>
      <c r="U98" s="7">
        <v>10</v>
      </c>
      <c r="V98" s="7">
        <v>10</v>
      </c>
      <c r="W98" s="7">
        <v>4</v>
      </c>
      <c r="X98" s="7">
        <v>10</v>
      </c>
      <c r="Y98" s="7">
        <v>7</v>
      </c>
      <c r="Z98" s="7">
        <v>15</v>
      </c>
      <c r="AA98" s="7">
        <v>10</v>
      </c>
      <c r="AB98" s="7">
        <v>11</v>
      </c>
      <c r="AC98" s="7">
        <v>3</v>
      </c>
      <c r="AD98" s="7">
        <v>1</v>
      </c>
      <c r="AE98" s="7">
        <v>7</v>
      </c>
      <c r="AF98" s="8">
        <v>9</v>
      </c>
      <c r="AG98" s="4">
        <f t="shared" si="17"/>
        <v>232</v>
      </c>
    </row>
    <row r="99" spans="1:33" ht="18.75" x14ac:dyDescent="0.25">
      <c r="A99" s="48" t="s">
        <v>7</v>
      </c>
      <c r="B99" s="7">
        <v>6</v>
      </c>
      <c r="C99" s="7">
        <v>5</v>
      </c>
      <c r="D99" s="7">
        <v>10</v>
      </c>
      <c r="E99" s="7">
        <v>3</v>
      </c>
      <c r="F99" s="7">
        <v>12</v>
      </c>
      <c r="G99" s="7">
        <v>4</v>
      </c>
      <c r="H99" s="7">
        <v>3</v>
      </c>
      <c r="I99" s="7">
        <v>6</v>
      </c>
      <c r="J99" s="7">
        <v>4</v>
      </c>
      <c r="K99" s="7">
        <v>5</v>
      </c>
      <c r="L99" s="7">
        <v>9</v>
      </c>
      <c r="M99" s="7">
        <v>6</v>
      </c>
      <c r="N99" s="7">
        <v>5</v>
      </c>
      <c r="O99" s="7">
        <v>9</v>
      </c>
      <c r="P99" s="7">
        <v>1</v>
      </c>
      <c r="Q99" s="7">
        <v>10</v>
      </c>
      <c r="R99" s="7">
        <v>7</v>
      </c>
      <c r="S99" s="7">
        <v>12</v>
      </c>
      <c r="T99" s="7">
        <v>12</v>
      </c>
      <c r="U99" s="7">
        <v>3</v>
      </c>
      <c r="V99" s="7">
        <v>7</v>
      </c>
      <c r="W99" s="7">
        <v>7</v>
      </c>
      <c r="X99" s="7">
        <v>3</v>
      </c>
      <c r="Y99" s="7">
        <v>6</v>
      </c>
      <c r="Z99" s="7">
        <v>10</v>
      </c>
      <c r="AA99" s="7">
        <v>18</v>
      </c>
      <c r="AB99" s="7">
        <v>6</v>
      </c>
      <c r="AC99" s="7">
        <v>6</v>
      </c>
      <c r="AD99" s="7">
        <v>6</v>
      </c>
      <c r="AE99" s="7">
        <v>6</v>
      </c>
      <c r="AF99" s="8">
        <v>7</v>
      </c>
      <c r="AG99" s="4">
        <f t="shared" si="17"/>
        <v>214</v>
      </c>
    </row>
    <row r="100" spans="1:33" ht="18.75" x14ac:dyDescent="0.25">
      <c r="A100" s="42" t="s">
        <v>66</v>
      </c>
      <c r="B100" s="17">
        <f t="shared" ref="B100:AF100" si="21">SUM(B101:B115)</f>
        <v>133</v>
      </c>
      <c r="C100" s="17">
        <f t="shared" si="21"/>
        <v>138</v>
      </c>
      <c r="D100" s="17">
        <f t="shared" si="21"/>
        <v>123</v>
      </c>
      <c r="E100" s="17">
        <f t="shared" si="21"/>
        <v>172</v>
      </c>
      <c r="F100" s="17">
        <f t="shared" si="21"/>
        <v>178</v>
      </c>
      <c r="G100" s="17">
        <f t="shared" si="21"/>
        <v>129</v>
      </c>
      <c r="H100" s="17">
        <f t="shared" si="21"/>
        <v>123</v>
      </c>
      <c r="I100" s="17">
        <f t="shared" si="21"/>
        <v>114</v>
      </c>
      <c r="J100" s="17">
        <f t="shared" si="21"/>
        <v>117</v>
      </c>
      <c r="K100" s="17">
        <f t="shared" si="21"/>
        <v>101</v>
      </c>
      <c r="L100" s="17">
        <f t="shared" si="21"/>
        <v>165</v>
      </c>
      <c r="M100" s="17">
        <f t="shared" si="21"/>
        <v>162</v>
      </c>
      <c r="N100" s="17">
        <f t="shared" si="21"/>
        <v>144</v>
      </c>
      <c r="O100" s="17">
        <f t="shared" si="21"/>
        <v>127</v>
      </c>
      <c r="P100" s="17">
        <f t="shared" si="21"/>
        <v>134</v>
      </c>
      <c r="Q100" s="17">
        <f t="shared" si="21"/>
        <v>118</v>
      </c>
      <c r="R100" s="17">
        <f t="shared" si="21"/>
        <v>114</v>
      </c>
      <c r="S100" s="17">
        <f t="shared" si="21"/>
        <v>165</v>
      </c>
      <c r="T100" s="17">
        <f t="shared" si="21"/>
        <v>185</v>
      </c>
      <c r="U100" s="17">
        <f t="shared" si="21"/>
        <v>131</v>
      </c>
      <c r="V100" s="17">
        <f t="shared" si="21"/>
        <v>127</v>
      </c>
      <c r="W100" s="17">
        <f t="shared" si="21"/>
        <v>122</v>
      </c>
      <c r="X100" s="17">
        <f t="shared" si="21"/>
        <v>124</v>
      </c>
      <c r="Y100" s="17">
        <f t="shared" si="21"/>
        <v>115</v>
      </c>
      <c r="Z100" s="17">
        <f t="shared" si="21"/>
        <v>170</v>
      </c>
      <c r="AA100" s="17">
        <f t="shared" si="21"/>
        <v>189</v>
      </c>
      <c r="AB100" s="17">
        <f t="shared" si="21"/>
        <v>119</v>
      </c>
      <c r="AC100" s="17">
        <f t="shared" si="21"/>
        <v>121</v>
      </c>
      <c r="AD100" s="17">
        <f t="shared" si="21"/>
        <v>125</v>
      </c>
      <c r="AE100" s="17">
        <f t="shared" si="21"/>
        <v>124</v>
      </c>
      <c r="AF100" s="18">
        <f t="shared" si="21"/>
        <v>118</v>
      </c>
      <c r="AG100" s="4">
        <f t="shared" si="17"/>
        <v>4227</v>
      </c>
    </row>
    <row r="101" spans="1:33" ht="18.75" x14ac:dyDescent="0.25">
      <c r="A101" s="48" t="s">
        <v>8</v>
      </c>
      <c r="B101" s="7">
        <v>9</v>
      </c>
      <c r="C101" s="7">
        <v>8</v>
      </c>
      <c r="D101" s="7">
        <v>11</v>
      </c>
      <c r="E101" s="7">
        <v>18</v>
      </c>
      <c r="F101" s="7">
        <v>11</v>
      </c>
      <c r="G101" s="7">
        <v>13</v>
      </c>
      <c r="H101" s="7">
        <v>13</v>
      </c>
      <c r="I101" s="7">
        <v>5</v>
      </c>
      <c r="J101" s="7">
        <v>9</v>
      </c>
      <c r="K101" s="7">
        <v>5</v>
      </c>
      <c r="L101" s="7">
        <v>11</v>
      </c>
      <c r="M101" s="7">
        <v>16</v>
      </c>
      <c r="N101" s="7">
        <v>13</v>
      </c>
      <c r="O101" s="7">
        <v>6</v>
      </c>
      <c r="P101" s="7">
        <v>10</v>
      </c>
      <c r="Q101" s="7">
        <v>8</v>
      </c>
      <c r="R101" s="7">
        <v>6</v>
      </c>
      <c r="S101" s="7">
        <v>11</v>
      </c>
      <c r="T101" s="7">
        <v>13</v>
      </c>
      <c r="U101" s="7">
        <v>13</v>
      </c>
      <c r="V101" s="7">
        <v>6</v>
      </c>
      <c r="W101" s="7">
        <v>8</v>
      </c>
      <c r="X101" s="7">
        <v>12</v>
      </c>
      <c r="Y101" s="7">
        <v>14</v>
      </c>
      <c r="Z101" s="7">
        <v>9</v>
      </c>
      <c r="AA101" s="7">
        <v>15</v>
      </c>
      <c r="AB101" s="7">
        <v>9</v>
      </c>
      <c r="AC101" s="7">
        <v>11</v>
      </c>
      <c r="AD101" s="7">
        <v>11</v>
      </c>
      <c r="AE101" s="7">
        <v>9</v>
      </c>
      <c r="AF101" s="8">
        <v>6</v>
      </c>
      <c r="AG101" s="4">
        <f t="shared" si="17"/>
        <v>319</v>
      </c>
    </row>
    <row r="102" spans="1:33" ht="18.75" x14ac:dyDescent="0.25">
      <c r="A102" s="48" t="s">
        <v>9</v>
      </c>
      <c r="B102" s="7">
        <v>12</v>
      </c>
      <c r="C102" s="7">
        <v>23</v>
      </c>
      <c r="D102" s="7">
        <v>17</v>
      </c>
      <c r="E102" s="7">
        <v>14</v>
      </c>
      <c r="F102" s="7">
        <v>13</v>
      </c>
      <c r="G102" s="7">
        <v>15</v>
      </c>
      <c r="H102" s="7">
        <v>8</v>
      </c>
      <c r="I102" s="7">
        <v>13</v>
      </c>
      <c r="J102" s="7">
        <v>11</v>
      </c>
      <c r="K102" s="7">
        <v>11</v>
      </c>
      <c r="L102" s="7">
        <v>19</v>
      </c>
      <c r="M102" s="7">
        <v>22</v>
      </c>
      <c r="N102" s="7">
        <v>9</v>
      </c>
      <c r="O102" s="7">
        <v>10</v>
      </c>
      <c r="P102" s="7">
        <v>21</v>
      </c>
      <c r="Q102" s="7">
        <v>16</v>
      </c>
      <c r="R102" s="7">
        <v>10</v>
      </c>
      <c r="S102" s="7">
        <v>16</v>
      </c>
      <c r="T102" s="7">
        <v>16</v>
      </c>
      <c r="U102" s="7">
        <v>23</v>
      </c>
      <c r="V102" s="7">
        <v>12</v>
      </c>
      <c r="W102" s="7">
        <v>12</v>
      </c>
      <c r="X102" s="7">
        <v>19</v>
      </c>
      <c r="Y102" s="7">
        <v>9</v>
      </c>
      <c r="Z102" s="7">
        <v>13</v>
      </c>
      <c r="AA102" s="7">
        <v>19</v>
      </c>
      <c r="AB102" s="7">
        <v>14</v>
      </c>
      <c r="AC102" s="7">
        <v>16</v>
      </c>
      <c r="AD102" s="7">
        <v>11</v>
      </c>
      <c r="AE102" s="7">
        <v>6</v>
      </c>
      <c r="AF102" s="8">
        <v>19</v>
      </c>
      <c r="AG102" s="4">
        <f t="shared" si="17"/>
        <v>449</v>
      </c>
    </row>
    <row r="103" spans="1:33" ht="18.75" x14ac:dyDescent="0.25">
      <c r="A103" s="49" t="s">
        <v>10</v>
      </c>
      <c r="B103" s="7">
        <v>14</v>
      </c>
      <c r="C103" s="7">
        <v>14</v>
      </c>
      <c r="D103" s="7">
        <v>11</v>
      </c>
      <c r="E103" s="7">
        <v>19</v>
      </c>
      <c r="F103" s="7">
        <v>12</v>
      </c>
      <c r="G103" s="7">
        <v>10</v>
      </c>
      <c r="H103" s="7">
        <v>10</v>
      </c>
      <c r="I103" s="7">
        <v>18</v>
      </c>
      <c r="J103" s="7">
        <v>8</v>
      </c>
      <c r="K103" s="7">
        <v>14</v>
      </c>
      <c r="L103" s="7">
        <v>17</v>
      </c>
      <c r="M103" s="7">
        <v>17</v>
      </c>
      <c r="N103" s="7">
        <v>17</v>
      </c>
      <c r="O103" s="7">
        <v>12</v>
      </c>
      <c r="P103" s="7">
        <v>15</v>
      </c>
      <c r="Q103" s="7">
        <v>12</v>
      </c>
      <c r="R103" s="7">
        <v>10</v>
      </c>
      <c r="S103" s="7">
        <v>13</v>
      </c>
      <c r="T103" s="7">
        <v>16</v>
      </c>
      <c r="U103" s="7">
        <v>9</v>
      </c>
      <c r="V103" s="7">
        <v>16</v>
      </c>
      <c r="W103" s="7">
        <v>9</v>
      </c>
      <c r="X103" s="7">
        <v>9</v>
      </c>
      <c r="Y103" s="7">
        <v>10</v>
      </c>
      <c r="Z103" s="7">
        <v>14</v>
      </c>
      <c r="AA103" s="7">
        <v>23</v>
      </c>
      <c r="AB103" s="7">
        <v>12</v>
      </c>
      <c r="AC103" s="7">
        <v>15</v>
      </c>
      <c r="AD103" s="7">
        <v>10</v>
      </c>
      <c r="AE103" s="7">
        <v>13</v>
      </c>
      <c r="AF103" s="8">
        <v>10</v>
      </c>
      <c r="AG103" s="4">
        <f t="shared" si="17"/>
        <v>409</v>
      </c>
    </row>
    <row r="104" spans="1:33" ht="18.75" x14ac:dyDescent="0.25">
      <c r="A104" s="49" t="s">
        <v>11</v>
      </c>
      <c r="B104" s="7">
        <v>12</v>
      </c>
      <c r="C104" s="7">
        <v>15</v>
      </c>
      <c r="D104" s="7">
        <v>6</v>
      </c>
      <c r="E104" s="7">
        <v>16</v>
      </c>
      <c r="F104" s="7">
        <v>19</v>
      </c>
      <c r="G104" s="7">
        <v>12</v>
      </c>
      <c r="H104" s="7">
        <v>9</v>
      </c>
      <c r="I104" s="7">
        <v>9</v>
      </c>
      <c r="J104" s="7">
        <v>12</v>
      </c>
      <c r="K104" s="7">
        <v>9</v>
      </c>
      <c r="L104" s="7">
        <v>20</v>
      </c>
      <c r="M104" s="7">
        <v>9</v>
      </c>
      <c r="N104" s="7">
        <v>14</v>
      </c>
      <c r="O104" s="7">
        <v>13</v>
      </c>
      <c r="P104" s="7">
        <v>11</v>
      </c>
      <c r="Q104" s="7">
        <v>7</v>
      </c>
      <c r="R104" s="7">
        <v>11</v>
      </c>
      <c r="S104" s="7">
        <v>13</v>
      </c>
      <c r="T104" s="7">
        <v>19</v>
      </c>
      <c r="U104" s="7">
        <v>6</v>
      </c>
      <c r="V104" s="7">
        <v>15</v>
      </c>
      <c r="W104" s="7">
        <v>5</v>
      </c>
      <c r="X104" s="7">
        <v>8</v>
      </c>
      <c r="Y104" s="7">
        <v>10</v>
      </c>
      <c r="Z104" s="7">
        <v>13</v>
      </c>
      <c r="AA104" s="7">
        <v>13</v>
      </c>
      <c r="AB104" s="7">
        <v>11</v>
      </c>
      <c r="AC104" s="7">
        <v>10</v>
      </c>
      <c r="AD104" s="7">
        <v>16</v>
      </c>
      <c r="AE104" s="7">
        <v>16</v>
      </c>
      <c r="AF104" s="8">
        <v>7</v>
      </c>
      <c r="AG104" s="4">
        <f t="shared" si="17"/>
        <v>366</v>
      </c>
    </row>
    <row r="105" spans="1:33" ht="18.75" x14ac:dyDescent="0.25">
      <c r="A105" s="49" t="s">
        <v>12</v>
      </c>
      <c r="B105" s="7">
        <v>8</v>
      </c>
      <c r="C105" s="7">
        <v>8</v>
      </c>
      <c r="D105" s="7">
        <v>8</v>
      </c>
      <c r="E105" s="7">
        <v>15</v>
      </c>
      <c r="F105" s="7">
        <v>11</v>
      </c>
      <c r="G105" s="7">
        <v>8</v>
      </c>
      <c r="H105" s="7">
        <v>8</v>
      </c>
      <c r="I105" s="7">
        <v>10</v>
      </c>
      <c r="J105" s="7">
        <v>9</v>
      </c>
      <c r="K105" s="7">
        <v>9</v>
      </c>
      <c r="L105" s="7">
        <v>14</v>
      </c>
      <c r="M105" s="7">
        <v>12</v>
      </c>
      <c r="N105" s="7">
        <v>13</v>
      </c>
      <c r="O105" s="7">
        <v>9</v>
      </c>
      <c r="P105" s="7">
        <v>12</v>
      </c>
      <c r="Q105" s="7">
        <v>7</v>
      </c>
      <c r="R105" s="7">
        <v>5</v>
      </c>
      <c r="S105" s="7">
        <v>13</v>
      </c>
      <c r="T105" s="7">
        <v>16</v>
      </c>
      <c r="U105" s="7">
        <v>11</v>
      </c>
      <c r="V105" s="7">
        <v>11</v>
      </c>
      <c r="W105" s="7">
        <v>6</v>
      </c>
      <c r="X105" s="7">
        <v>12</v>
      </c>
      <c r="Y105" s="7">
        <v>5</v>
      </c>
      <c r="Z105" s="7">
        <v>12</v>
      </c>
      <c r="AA105" s="7">
        <v>20</v>
      </c>
      <c r="AB105" s="7">
        <v>11</v>
      </c>
      <c r="AC105" s="7">
        <v>6</v>
      </c>
      <c r="AD105" s="7">
        <v>9</v>
      </c>
      <c r="AE105" s="7">
        <v>7</v>
      </c>
      <c r="AF105" s="8">
        <v>10</v>
      </c>
      <c r="AG105" s="4">
        <f t="shared" si="17"/>
        <v>315</v>
      </c>
    </row>
    <row r="106" spans="1:33" ht="18.75" x14ac:dyDescent="0.25">
      <c r="A106" s="49" t="s">
        <v>13</v>
      </c>
      <c r="B106" s="7">
        <v>6</v>
      </c>
      <c r="C106" s="7">
        <v>8</v>
      </c>
      <c r="D106" s="7">
        <v>6</v>
      </c>
      <c r="E106" s="7">
        <v>8</v>
      </c>
      <c r="F106" s="7">
        <v>20</v>
      </c>
      <c r="G106" s="7">
        <v>7</v>
      </c>
      <c r="H106" s="7">
        <v>4</v>
      </c>
      <c r="I106" s="7">
        <v>8</v>
      </c>
      <c r="J106" s="7">
        <v>11</v>
      </c>
      <c r="K106" s="7">
        <v>8</v>
      </c>
      <c r="L106" s="7">
        <v>15</v>
      </c>
      <c r="M106" s="7">
        <v>12</v>
      </c>
      <c r="N106" s="7">
        <v>12</v>
      </c>
      <c r="O106" s="7">
        <v>10</v>
      </c>
      <c r="P106" s="7">
        <v>13</v>
      </c>
      <c r="Q106" s="7">
        <v>10</v>
      </c>
      <c r="R106" s="7">
        <v>8</v>
      </c>
      <c r="S106" s="7">
        <v>8</v>
      </c>
      <c r="T106" s="7">
        <v>14</v>
      </c>
      <c r="U106" s="7">
        <v>9</v>
      </c>
      <c r="V106" s="7">
        <v>8</v>
      </c>
      <c r="W106" s="7">
        <v>8</v>
      </c>
      <c r="X106" s="7">
        <v>5</v>
      </c>
      <c r="Y106" s="7">
        <v>8</v>
      </c>
      <c r="Z106" s="7">
        <v>9</v>
      </c>
      <c r="AA106" s="7">
        <v>13</v>
      </c>
      <c r="AB106" s="7">
        <v>7</v>
      </c>
      <c r="AC106" s="7">
        <v>9</v>
      </c>
      <c r="AD106" s="7">
        <v>8</v>
      </c>
      <c r="AE106" s="7">
        <v>7</v>
      </c>
      <c r="AF106" s="8">
        <v>8</v>
      </c>
      <c r="AG106" s="4">
        <f t="shared" si="17"/>
        <v>287</v>
      </c>
    </row>
    <row r="107" spans="1:33" ht="18.75" x14ac:dyDescent="0.25">
      <c r="A107" s="49" t="s">
        <v>14</v>
      </c>
      <c r="B107" s="7">
        <v>11</v>
      </c>
      <c r="C107" s="7">
        <v>5</v>
      </c>
      <c r="D107" s="7">
        <v>8</v>
      </c>
      <c r="E107" s="7">
        <v>15</v>
      </c>
      <c r="F107" s="7">
        <v>14</v>
      </c>
      <c r="G107" s="7">
        <v>12</v>
      </c>
      <c r="H107" s="7">
        <v>10</v>
      </c>
      <c r="I107" s="7">
        <v>5</v>
      </c>
      <c r="J107" s="7">
        <v>12</v>
      </c>
      <c r="K107" s="7">
        <v>10</v>
      </c>
      <c r="L107" s="7">
        <v>9</v>
      </c>
      <c r="M107" s="7">
        <v>14</v>
      </c>
      <c r="N107" s="7">
        <v>19</v>
      </c>
      <c r="O107" s="7">
        <v>9</v>
      </c>
      <c r="P107" s="7">
        <v>2</v>
      </c>
      <c r="Q107" s="7">
        <v>7</v>
      </c>
      <c r="R107" s="7">
        <v>6</v>
      </c>
      <c r="S107" s="7">
        <v>20</v>
      </c>
      <c r="T107" s="7">
        <v>19</v>
      </c>
      <c r="U107" s="7">
        <v>6</v>
      </c>
      <c r="V107" s="7">
        <v>9</v>
      </c>
      <c r="W107" s="7">
        <v>13</v>
      </c>
      <c r="X107" s="7">
        <v>17</v>
      </c>
      <c r="Y107" s="7">
        <v>9</v>
      </c>
      <c r="Z107" s="7">
        <v>11</v>
      </c>
      <c r="AA107" s="7">
        <v>17</v>
      </c>
      <c r="AB107" s="7">
        <v>9</v>
      </c>
      <c r="AC107" s="7">
        <v>8</v>
      </c>
      <c r="AD107" s="7">
        <v>12</v>
      </c>
      <c r="AE107" s="7">
        <v>10</v>
      </c>
      <c r="AF107" s="8">
        <v>16</v>
      </c>
      <c r="AG107" s="4">
        <f t="shared" si="17"/>
        <v>344</v>
      </c>
    </row>
    <row r="108" spans="1:33" ht="18.75" x14ac:dyDescent="0.25">
      <c r="A108" s="49" t="s">
        <v>15</v>
      </c>
      <c r="B108" s="7">
        <v>10</v>
      </c>
      <c r="C108" s="7">
        <v>14</v>
      </c>
      <c r="D108" s="7">
        <v>11</v>
      </c>
      <c r="E108" s="7">
        <v>16</v>
      </c>
      <c r="F108" s="7">
        <v>13</v>
      </c>
      <c r="G108" s="7">
        <v>9</v>
      </c>
      <c r="H108" s="7">
        <v>16</v>
      </c>
      <c r="I108" s="7">
        <v>11</v>
      </c>
      <c r="J108" s="7">
        <v>8</v>
      </c>
      <c r="K108" s="7">
        <v>8</v>
      </c>
      <c r="L108" s="7">
        <v>14</v>
      </c>
      <c r="M108" s="7">
        <v>15</v>
      </c>
      <c r="N108" s="7">
        <v>6</v>
      </c>
      <c r="O108" s="7">
        <v>18</v>
      </c>
      <c r="P108" s="7">
        <v>14</v>
      </c>
      <c r="Q108" s="7">
        <v>16</v>
      </c>
      <c r="R108" s="7">
        <v>14</v>
      </c>
      <c r="S108" s="7">
        <v>14</v>
      </c>
      <c r="T108" s="7">
        <v>22</v>
      </c>
      <c r="U108" s="7">
        <v>14</v>
      </c>
      <c r="V108" s="7">
        <v>14</v>
      </c>
      <c r="W108" s="7">
        <v>17</v>
      </c>
      <c r="X108" s="7">
        <v>9</v>
      </c>
      <c r="Y108" s="7">
        <v>13</v>
      </c>
      <c r="Z108" s="7">
        <v>16</v>
      </c>
      <c r="AA108" s="7">
        <v>11</v>
      </c>
      <c r="AB108" s="7">
        <v>15</v>
      </c>
      <c r="AC108" s="7">
        <v>10</v>
      </c>
      <c r="AD108" s="7">
        <v>9</v>
      </c>
      <c r="AE108" s="7">
        <v>8</v>
      </c>
      <c r="AF108" s="8">
        <v>12</v>
      </c>
      <c r="AG108" s="4">
        <f t="shared" si="17"/>
        <v>397</v>
      </c>
    </row>
    <row r="109" spans="1:33" ht="18.75" x14ac:dyDescent="0.25">
      <c r="A109" s="49" t="s">
        <v>16</v>
      </c>
      <c r="B109" s="7">
        <v>14</v>
      </c>
      <c r="C109" s="7">
        <v>10</v>
      </c>
      <c r="D109" s="7">
        <v>11</v>
      </c>
      <c r="E109" s="7">
        <v>12</v>
      </c>
      <c r="F109" s="7">
        <v>16</v>
      </c>
      <c r="G109" s="7">
        <v>8</v>
      </c>
      <c r="H109" s="7">
        <v>9</v>
      </c>
      <c r="I109" s="7">
        <v>13</v>
      </c>
      <c r="J109" s="7">
        <v>7</v>
      </c>
      <c r="K109" s="7">
        <v>7</v>
      </c>
      <c r="L109" s="7">
        <v>6</v>
      </c>
      <c r="M109" s="7">
        <v>9</v>
      </c>
      <c r="N109" s="7">
        <v>12</v>
      </c>
      <c r="O109" s="7">
        <v>5</v>
      </c>
      <c r="P109" s="7">
        <v>11</v>
      </c>
      <c r="Q109" s="7">
        <v>8</v>
      </c>
      <c r="R109" s="7">
        <v>7</v>
      </c>
      <c r="S109" s="7">
        <v>15</v>
      </c>
      <c r="T109" s="7">
        <v>13</v>
      </c>
      <c r="U109" s="7">
        <v>9</v>
      </c>
      <c r="V109" s="7">
        <v>7</v>
      </c>
      <c r="W109" s="7">
        <v>8</v>
      </c>
      <c r="X109" s="7">
        <v>5</v>
      </c>
      <c r="Y109" s="7">
        <v>7</v>
      </c>
      <c r="Z109" s="7">
        <v>21</v>
      </c>
      <c r="AA109" s="7">
        <v>16</v>
      </c>
      <c r="AB109" s="7">
        <v>3</v>
      </c>
      <c r="AC109" s="7">
        <v>5</v>
      </c>
      <c r="AD109" s="7">
        <v>13</v>
      </c>
      <c r="AE109" s="7">
        <v>15</v>
      </c>
      <c r="AF109" s="8">
        <v>9</v>
      </c>
      <c r="AG109" s="4">
        <f t="shared" si="17"/>
        <v>311</v>
      </c>
    </row>
    <row r="110" spans="1:33" ht="18.75" x14ac:dyDescent="0.25">
      <c r="A110" s="49" t="s">
        <v>17</v>
      </c>
      <c r="B110" s="7">
        <v>7</v>
      </c>
      <c r="C110" s="7">
        <v>11</v>
      </c>
      <c r="D110" s="7">
        <v>10</v>
      </c>
      <c r="E110" s="7">
        <v>9</v>
      </c>
      <c r="F110" s="7">
        <v>12</v>
      </c>
      <c r="G110" s="7">
        <v>13</v>
      </c>
      <c r="H110" s="7">
        <v>8</v>
      </c>
      <c r="I110" s="7">
        <v>7</v>
      </c>
      <c r="J110" s="7">
        <v>9</v>
      </c>
      <c r="K110" s="7">
        <v>9</v>
      </c>
      <c r="L110" s="7">
        <v>6</v>
      </c>
      <c r="M110" s="7">
        <v>11</v>
      </c>
      <c r="N110" s="7">
        <v>6</v>
      </c>
      <c r="O110" s="7">
        <v>10</v>
      </c>
      <c r="P110" s="7">
        <v>8</v>
      </c>
      <c r="Q110" s="7">
        <v>9</v>
      </c>
      <c r="R110" s="7">
        <v>10</v>
      </c>
      <c r="S110" s="7">
        <v>11</v>
      </c>
      <c r="T110" s="7">
        <v>11</v>
      </c>
      <c r="U110" s="7">
        <v>6</v>
      </c>
      <c r="V110" s="7">
        <v>9</v>
      </c>
      <c r="W110" s="7">
        <v>7</v>
      </c>
      <c r="X110" s="7">
        <v>5</v>
      </c>
      <c r="Y110" s="7">
        <v>11</v>
      </c>
      <c r="Z110" s="7">
        <v>14</v>
      </c>
      <c r="AA110" s="7">
        <v>10</v>
      </c>
      <c r="AB110" s="7">
        <v>10</v>
      </c>
      <c r="AC110" s="7">
        <v>6</v>
      </c>
      <c r="AD110" s="7">
        <v>5</v>
      </c>
      <c r="AE110" s="7">
        <v>10</v>
      </c>
      <c r="AF110" s="8">
        <v>4</v>
      </c>
      <c r="AG110" s="4">
        <f t="shared" si="17"/>
        <v>274</v>
      </c>
    </row>
    <row r="111" spans="1:33" ht="18.75" x14ac:dyDescent="0.25">
      <c r="A111" s="49" t="s">
        <v>18</v>
      </c>
      <c r="B111" s="7">
        <v>12</v>
      </c>
      <c r="C111" s="7">
        <v>4</v>
      </c>
      <c r="D111" s="7">
        <v>10</v>
      </c>
      <c r="E111" s="7">
        <v>8</v>
      </c>
      <c r="F111" s="7">
        <v>12</v>
      </c>
      <c r="G111" s="7">
        <v>6</v>
      </c>
      <c r="H111" s="7">
        <v>8</v>
      </c>
      <c r="I111" s="7">
        <v>6</v>
      </c>
      <c r="J111" s="7">
        <v>6</v>
      </c>
      <c r="K111" s="7">
        <v>5</v>
      </c>
      <c r="L111" s="7">
        <v>7</v>
      </c>
      <c r="M111" s="7">
        <v>12</v>
      </c>
      <c r="N111" s="7">
        <v>9</v>
      </c>
      <c r="O111" s="7">
        <v>8</v>
      </c>
      <c r="P111" s="7">
        <v>5</v>
      </c>
      <c r="Q111" s="7">
        <v>5</v>
      </c>
      <c r="R111" s="7">
        <v>6</v>
      </c>
      <c r="S111" s="7">
        <v>11</v>
      </c>
      <c r="T111" s="7">
        <v>10</v>
      </c>
      <c r="U111" s="7">
        <v>6</v>
      </c>
      <c r="V111" s="7">
        <v>7</v>
      </c>
      <c r="W111" s="7">
        <v>8</v>
      </c>
      <c r="X111" s="7">
        <v>6</v>
      </c>
      <c r="Y111" s="7">
        <v>4</v>
      </c>
      <c r="Z111" s="7">
        <v>6</v>
      </c>
      <c r="AA111" s="7">
        <v>7</v>
      </c>
      <c r="AB111" s="7">
        <v>4</v>
      </c>
      <c r="AC111" s="7">
        <v>11</v>
      </c>
      <c r="AD111" s="7">
        <v>4</v>
      </c>
      <c r="AE111" s="7">
        <v>7</v>
      </c>
      <c r="AF111" s="8">
        <v>4</v>
      </c>
      <c r="AG111" s="4">
        <f t="shared" si="17"/>
        <v>224</v>
      </c>
    </row>
    <row r="112" spans="1:33" ht="18.75" x14ac:dyDescent="0.25">
      <c r="A112" s="49" t="s">
        <v>19</v>
      </c>
      <c r="B112" s="7">
        <v>7</v>
      </c>
      <c r="C112" s="7">
        <v>9</v>
      </c>
      <c r="D112" s="7">
        <v>5</v>
      </c>
      <c r="E112" s="7">
        <v>4</v>
      </c>
      <c r="F112" s="7">
        <v>9</v>
      </c>
      <c r="G112" s="7">
        <v>4</v>
      </c>
      <c r="H112" s="7">
        <v>2</v>
      </c>
      <c r="I112" s="7">
        <v>2</v>
      </c>
      <c r="J112" s="7">
        <v>6</v>
      </c>
      <c r="K112" s="7">
        <v>1</v>
      </c>
      <c r="L112" s="7">
        <v>10</v>
      </c>
      <c r="M112" s="7">
        <v>2</v>
      </c>
      <c r="N112" s="7">
        <v>5</v>
      </c>
      <c r="O112" s="7">
        <v>4</v>
      </c>
      <c r="P112" s="7">
        <v>5</v>
      </c>
      <c r="Q112" s="7">
        <v>5</v>
      </c>
      <c r="R112" s="7">
        <v>9</v>
      </c>
      <c r="S112" s="7">
        <v>9</v>
      </c>
      <c r="T112" s="7">
        <v>5</v>
      </c>
      <c r="U112" s="7">
        <v>6</v>
      </c>
      <c r="V112" s="7">
        <v>4</v>
      </c>
      <c r="W112" s="7">
        <v>7</v>
      </c>
      <c r="X112" s="7">
        <v>4</v>
      </c>
      <c r="Y112" s="7">
        <v>4</v>
      </c>
      <c r="Z112" s="7">
        <v>8</v>
      </c>
      <c r="AA112" s="7">
        <v>10</v>
      </c>
      <c r="AB112" s="7">
        <v>5</v>
      </c>
      <c r="AC112" s="7">
        <v>3</v>
      </c>
      <c r="AD112" s="7">
        <v>5</v>
      </c>
      <c r="AE112" s="7">
        <v>4</v>
      </c>
      <c r="AF112" s="8">
        <v>3</v>
      </c>
      <c r="AG112" s="4">
        <f>SUM(B112:AF112)</f>
        <v>166</v>
      </c>
    </row>
    <row r="113" spans="1:33" ht="18.75" x14ac:dyDescent="0.25">
      <c r="A113" s="49" t="s">
        <v>20</v>
      </c>
      <c r="B113" s="7">
        <v>7</v>
      </c>
      <c r="C113" s="7">
        <v>5</v>
      </c>
      <c r="D113" s="7">
        <v>3</v>
      </c>
      <c r="E113" s="7">
        <v>10</v>
      </c>
      <c r="F113" s="7">
        <v>10</v>
      </c>
      <c r="G113" s="7">
        <v>4</v>
      </c>
      <c r="H113" s="7">
        <v>7</v>
      </c>
      <c r="I113" s="7">
        <v>4</v>
      </c>
      <c r="J113" s="7">
        <v>3</v>
      </c>
      <c r="K113" s="7">
        <v>1</v>
      </c>
      <c r="L113" s="7">
        <v>7</v>
      </c>
      <c r="M113" s="7">
        <v>6</v>
      </c>
      <c r="N113" s="7">
        <v>3</v>
      </c>
      <c r="O113" s="7">
        <v>9</v>
      </c>
      <c r="P113" s="7">
        <v>2</v>
      </c>
      <c r="Q113" s="7">
        <v>3</v>
      </c>
      <c r="R113" s="7">
        <v>7</v>
      </c>
      <c r="S113" s="7">
        <v>3</v>
      </c>
      <c r="T113" s="7">
        <v>5</v>
      </c>
      <c r="U113" s="7">
        <v>8</v>
      </c>
      <c r="V113" s="7">
        <v>2</v>
      </c>
      <c r="W113" s="7">
        <v>8</v>
      </c>
      <c r="X113" s="7">
        <v>9</v>
      </c>
      <c r="Y113" s="7">
        <v>4</v>
      </c>
      <c r="Z113" s="7">
        <v>7</v>
      </c>
      <c r="AA113" s="7">
        <v>9</v>
      </c>
      <c r="AB113" s="7">
        <v>6</v>
      </c>
      <c r="AC113" s="7">
        <v>5</v>
      </c>
      <c r="AD113" s="7">
        <v>7</v>
      </c>
      <c r="AE113" s="7">
        <v>5</v>
      </c>
      <c r="AF113" s="8">
        <v>6</v>
      </c>
      <c r="AG113" s="4">
        <f t="shared" si="17"/>
        <v>175</v>
      </c>
    </row>
    <row r="114" spans="1:33" ht="18.75" x14ac:dyDescent="0.25">
      <c r="A114" s="49" t="s">
        <v>21</v>
      </c>
      <c r="B114" s="7">
        <v>4</v>
      </c>
      <c r="C114" s="7">
        <v>4</v>
      </c>
      <c r="D114" s="7">
        <v>6</v>
      </c>
      <c r="E114" s="7">
        <v>8</v>
      </c>
      <c r="F114" s="7">
        <v>6</v>
      </c>
      <c r="G114" s="7">
        <v>8</v>
      </c>
      <c r="H114" s="7">
        <v>11</v>
      </c>
      <c r="I114" s="7">
        <v>3</v>
      </c>
      <c r="J114" s="7">
        <v>6</v>
      </c>
      <c r="K114" s="7">
        <v>4</v>
      </c>
      <c r="L114" s="7">
        <v>10</v>
      </c>
      <c r="M114" s="7">
        <v>5</v>
      </c>
      <c r="N114" s="7">
        <v>6</v>
      </c>
      <c r="O114" s="7">
        <v>4</v>
      </c>
      <c r="P114" s="7">
        <v>5</v>
      </c>
      <c r="Q114" s="7">
        <v>5</v>
      </c>
      <c r="R114" s="7">
        <v>5</v>
      </c>
      <c r="S114" s="7">
        <v>8</v>
      </c>
      <c r="T114" s="7">
        <v>6</v>
      </c>
      <c r="U114" s="7">
        <v>5</v>
      </c>
      <c r="V114" s="7">
        <v>7</v>
      </c>
      <c r="W114" s="7">
        <v>6</v>
      </c>
      <c r="X114" s="7">
        <v>4</v>
      </c>
      <c r="Y114" s="7">
        <v>7</v>
      </c>
      <c r="Z114" s="7">
        <v>17</v>
      </c>
      <c r="AA114" s="7">
        <v>6</v>
      </c>
      <c r="AB114" s="7">
        <v>3</v>
      </c>
      <c r="AC114" s="7">
        <v>6</v>
      </c>
      <c r="AD114" s="7">
        <v>5</v>
      </c>
      <c r="AE114" s="7">
        <v>7</v>
      </c>
      <c r="AF114" s="8">
        <v>4</v>
      </c>
      <c r="AG114" s="4">
        <f t="shared" si="17"/>
        <v>191</v>
      </c>
    </row>
    <row r="115" spans="1:33" ht="19.5" thickBot="1" x14ac:dyDescent="0.3">
      <c r="A115" s="76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2"/>
      <c r="AG115" s="4">
        <f t="shared" si="17"/>
        <v>0</v>
      </c>
    </row>
    <row r="116" spans="1:33" ht="18.75" x14ac:dyDescent="0.25">
      <c r="A116" s="73" t="s">
        <v>61</v>
      </c>
      <c r="B116" s="74">
        <f t="shared" ref="B116:AA116" si="22">SUM(B117:B129)</f>
        <v>66</v>
      </c>
      <c r="C116" s="74">
        <f t="shared" si="22"/>
        <v>71</v>
      </c>
      <c r="D116" s="74">
        <f t="shared" si="22"/>
        <v>79</v>
      </c>
      <c r="E116" s="74">
        <f t="shared" si="22"/>
        <v>95</v>
      </c>
      <c r="F116" s="74">
        <f t="shared" si="22"/>
        <v>105</v>
      </c>
      <c r="G116" s="74">
        <f t="shared" si="22"/>
        <v>82</v>
      </c>
      <c r="H116" s="74">
        <f t="shared" si="22"/>
        <v>72</v>
      </c>
      <c r="I116" s="74">
        <f t="shared" si="22"/>
        <v>63</v>
      </c>
      <c r="J116" s="74">
        <f t="shared" si="22"/>
        <v>52</v>
      </c>
      <c r="K116" s="74">
        <f t="shared" si="22"/>
        <v>50</v>
      </c>
      <c r="L116" s="74">
        <f t="shared" si="22"/>
        <v>85</v>
      </c>
      <c r="M116" s="74">
        <f t="shared" si="22"/>
        <v>78</v>
      </c>
      <c r="N116" s="74">
        <f t="shared" si="22"/>
        <v>69</v>
      </c>
      <c r="O116" s="74">
        <f t="shared" si="22"/>
        <v>64</v>
      </c>
      <c r="P116" s="74">
        <f t="shared" si="22"/>
        <v>62</v>
      </c>
      <c r="Q116" s="74">
        <f t="shared" si="22"/>
        <v>79</v>
      </c>
      <c r="R116" s="74">
        <f t="shared" si="22"/>
        <v>70</v>
      </c>
      <c r="S116" s="74">
        <f t="shared" si="22"/>
        <v>97</v>
      </c>
      <c r="T116" s="74">
        <f t="shared" si="22"/>
        <v>109</v>
      </c>
      <c r="U116" s="74">
        <f t="shared" si="22"/>
        <v>75</v>
      </c>
      <c r="V116" s="74">
        <f t="shared" si="22"/>
        <v>76</v>
      </c>
      <c r="W116" s="74">
        <f t="shared" si="22"/>
        <v>72</v>
      </c>
      <c r="X116" s="74">
        <f t="shared" si="22"/>
        <v>62</v>
      </c>
      <c r="Y116" s="74">
        <f t="shared" si="22"/>
        <v>60</v>
      </c>
      <c r="Z116" s="74">
        <f t="shared" si="22"/>
        <v>108</v>
      </c>
      <c r="AA116" s="74">
        <f t="shared" si="22"/>
        <v>99</v>
      </c>
      <c r="AB116" s="74">
        <f t="shared" ref="AB116:AF116" si="23">SUM(AB117:AB129)</f>
        <v>78</v>
      </c>
      <c r="AC116" s="74">
        <f t="shared" si="23"/>
        <v>59</v>
      </c>
      <c r="AD116" s="74">
        <f t="shared" si="23"/>
        <v>81</v>
      </c>
      <c r="AE116" s="74">
        <f t="shared" si="23"/>
        <v>67</v>
      </c>
      <c r="AF116" s="84">
        <f t="shared" si="23"/>
        <v>60</v>
      </c>
      <c r="AG116" s="4">
        <f t="shared" si="17"/>
        <v>2345</v>
      </c>
    </row>
    <row r="117" spans="1:33" ht="18.75" x14ac:dyDescent="0.25">
      <c r="A117" s="43" t="s">
        <v>59</v>
      </c>
      <c r="B117" s="7">
        <v>50</v>
      </c>
      <c r="C117" s="7">
        <v>57</v>
      </c>
      <c r="D117" s="7">
        <v>57</v>
      </c>
      <c r="E117" s="7">
        <v>60</v>
      </c>
      <c r="F117" s="7">
        <v>76</v>
      </c>
      <c r="G117" s="7">
        <v>48</v>
      </c>
      <c r="H117" s="7">
        <v>56</v>
      </c>
      <c r="I117" s="7">
        <v>42</v>
      </c>
      <c r="J117" s="7">
        <v>35</v>
      </c>
      <c r="K117" s="7">
        <v>33</v>
      </c>
      <c r="L117" s="7">
        <v>63</v>
      </c>
      <c r="M117" s="7">
        <v>45</v>
      </c>
      <c r="N117" s="7">
        <v>43</v>
      </c>
      <c r="O117" s="7">
        <v>47</v>
      </c>
      <c r="P117" s="7">
        <v>45</v>
      </c>
      <c r="Q117" s="7">
        <v>58</v>
      </c>
      <c r="R117" s="7">
        <v>47</v>
      </c>
      <c r="S117" s="7">
        <v>76</v>
      </c>
      <c r="T117" s="7">
        <v>71</v>
      </c>
      <c r="U117" s="7">
        <v>57</v>
      </c>
      <c r="V117" s="7">
        <v>54</v>
      </c>
      <c r="W117" s="7">
        <v>49</v>
      </c>
      <c r="X117" s="7">
        <v>43</v>
      </c>
      <c r="Y117" s="7">
        <v>38</v>
      </c>
      <c r="Z117" s="7">
        <v>73</v>
      </c>
      <c r="AA117" s="7">
        <v>65</v>
      </c>
      <c r="AB117" s="7">
        <v>51</v>
      </c>
      <c r="AC117" s="7">
        <v>37</v>
      </c>
      <c r="AD117" s="7">
        <v>57</v>
      </c>
      <c r="AE117" s="7">
        <v>43</v>
      </c>
      <c r="AF117" s="8">
        <v>43</v>
      </c>
      <c r="AG117" s="4">
        <f t="shared" si="17"/>
        <v>1619</v>
      </c>
    </row>
    <row r="118" spans="1:33" ht="19.5" hidden="1" customHeight="1" thickBot="1" x14ac:dyDescent="0.3">
      <c r="A118" s="43" t="s">
        <v>23</v>
      </c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8"/>
      <c r="AG118" s="4">
        <f t="shared" si="17"/>
        <v>0</v>
      </c>
    </row>
    <row r="119" spans="1:33" ht="19.5" hidden="1" customHeight="1" thickBot="1" x14ac:dyDescent="0.3">
      <c r="A119" s="43" t="s">
        <v>24</v>
      </c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8"/>
      <c r="AG119" s="4">
        <f t="shared" si="17"/>
        <v>0</v>
      </c>
    </row>
    <row r="120" spans="1:33" ht="19.5" hidden="1" customHeight="1" thickBot="1" x14ac:dyDescent="0.3">
      <c r="A120" s="43" t="s">
        <v>25</v>
      </c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8"/>
      <c r="AG120" s="4">
        <f t="shared" si="17"/>
        <v>0</v>
      </c>
    </row>
    <row r="121" spans="1:33" ht="19.5" hidden="1" customHeight="1" thickBot="1" x14ac:dyDescent="0.3">
      <c r="A121" s="43" t="s">
        <v>26</v>
      </c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8"/>
      <c r="AG121" s="4">
        <f t="shared" si="17"/>
        <v>0</v>
      </c>
    </row>
    <row r="122" spans="1:33" ht="19.5" hidden="1" customHeight="1" thickBot="1" x14ac:dyDescent="0.3">
      <c r="A122" s="43" t="s">
        <v>27</v>
      </c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8"/>
      <c r="AG122" s="4">
        <f t="shared" si="17"/>
        <v>0</v>
      </c>
    </row>
    <row r="123" spans="1:33" ht="19.5" hidden="1" customHeight="1" thickBot="1" x14ac:dyDescent="0.3">
      <c r="A123" s="43" t="s">
        <v>28</v>
      </c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8"/>
      <c r="AG123" s="4">
        <f t="shared" si="17"/>
        <v>0</v>
      </c>
    </row>
    <row r="124" spans="1:33" ht="19.5" hidden="1" customHeight="1" thickBot="1" x14ac:dyDescent="0.3">
      <c r="A124" s="43" t="s">
        <v>29</v>
      </c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8"/>
      <c r="AG124" s="4">
        <f t="shared" si="17"/>
        <v>0</v>
      </c>
    </row>
    <row r="125" spans="1:33" ht="19.5" hidden="1" customHeight="1" thickBot="1" x14ac:dyDescent="0.3">
      <c r="A125" s="41" t="s">
        <v>30</v>
      </c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8"/>
      <c r="AG125" s="4">
        <f t="shared" si="17"/>
        <v>0</v>
      </c>
    </row>
    <row r="126" spans="1:33" ht="19.5" hidden="1" customHeight="1" thickBot="1" x14ac:dyDescent="0.3">
      <c r="A126" s="41" t="s">
        <v>31</v>
      </c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8"/>
      <c r="AG126" s="4">
        <f t="shared" si="17"/>
        <v>0</v>
      </c>
    </row>
    <row r="127" spans="1:33" ht="19.5" hidden="1" customHeight="1" thickBot="1" x14ac:dyDescent="0.3">
      <c r="A127" s="41" t="s">
        <v>32</v>
      </c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8"/>
      <c r="AG127" s="4">
        <f t="shared" ref="AG127:AG133" si="24">SUM(B127:AF127)</f>
        <v>0</v>
      </c>
    </row>
    <row r="128" spans="1:33" ht="19.5" hidden="1" customHeight="1" thickBot="1" x14ac:dyDescent="0.3">
      <c r="A128" s="43" t="s">
        <v>60</v>
      </c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8"/>
      <c r="AG128" s="4">
        <f t="shared" si="24"/>
        <v>0</v>
      </c>
    </row>
    <row r="129" spans="1:35" ht="19.5" thickBot="1" x14ac:dyDescent="0.3">
      <c r="A129" s="75" t="s">
        <v>86</v>
      </c>
      <c r="B129" s="13">
        <f>6+10</f>
        <v>16</v>
      </c>
      <c r="C129" s="13">
        <f>3+11</f>
        <v>14</v>
      </c>
      <c r="D129" s="13">
        <f>10+1+11</f>
        <v>22</v>
      </c>
      <c r="E129" s="13">
        <f>24+11</f>
        <v>35</v>
      </c>
      <c r="F129" s="13">
        <f>15+14</f>
        <v>29</v>
      </c>
      <c r="G129" s="13">
        <f>20+14</f>
        <v>34</v>
      </c>
      <c r="H129" s="13">
        <f>7+9</f>
        <v>16</v>
      </c>
      <c r="I129" s="13">
        <f>12+1+8</f>
        <v>21</v>
      </c>
      <c r="J129" s="13">
        <f>8+9</f>
        <v>17</v>
      </c>
      <c r="K129" s="13">
        <f>9+8</f>
        <v>17</v>
      </c>
      <c r="L129" s="13">
        <f>13+9</f>
        <v>22</v>
      </c>
      <c r="M129" s="13">
        <f>14+1+18</f>
        <v>33</v>
      </c>
      <c r="N129" s="13">
        <f>11+1+14</f>
        <v>26</v>
      </c>
      <c r="O129" s="13">
        <f>9+8</f>
        <v>17</v>
      </c>
      <c r="P129" s="13">
        <f>7+1+9</f>
        <v>17</v>
      </c>
      <c r="Q129" s="13">
        <f>11+10</f>
        <v>21</v>
      </c>
      <c r="R129" s="13">
        <f>14+9</f>
        <v>23</v>
      </c>
      <c r="S129" s="13">
        <f>17+1+3</f>
        <v>21</v>
      </c>
      <c r="T129" s="13">
        <f>19+1+18</f>
        <v>38</v>
      </c>
      <c r="U129" s="13">
        <f>11+1+6</f>
        <v>18</v>
      </c>
      <c r="V129" s="13">
        <f>13+9</f>
        <v>22</v>
      </c>
      <c r="W129" s="13">
        <f>15+8</f>
        <v>23</v>
      </c>
      <c r="X129" s="13">
        <f>9+1+9</f>
        <v>19</v>
      </c>
      <c r="Y129" s="13">
        <f>13+9</f>
        <v>22</v>
      </c>
      <c r="Z129" s="13">
        <f>24+11</f>
        <v>35</v>
      </c>
      <c r="AA129" s="13">
        <f>20+1+13</f>
        <v>34</v>
      </c>
      <c r="AB129" s="13">
        <v>27</v>
      </c>
      <c r="AC129" s="13">
        <v>22</v>
      </c>
      <c r="AD129" s="13">
        <v>24</v>
      </c>
      <c r="AE129" s="13">
        <v>24</v>
      </c>
      <c r="AF129" s="14">
        <v>17</v>
      </c>
      <c r="AG129" s="4">
        <f t="shared" si="24"/>
        <v>726</v>
      </c>
    </row>
    <row r="130" spans="1:35" ht="18.75" x14ac:dyDescent="0.25">
      <c r="A130" s="73" t="s">
        <v>109</v>
      </c>
      <c r="B130" s="74">
        <f t="shared" ref="B130:AA130" si="25">SUM(B131:B143)</f>
        <v>156</v>
      </c>
      <c r="C130" s="74">
        <f t="shared" si="25"/>
        <v>152</v>
      </c>
      <c r="D130" s="74">
        <f t="shared" si="25"/>
        <v>145</v>
      </c>
      <c r="E130" s="74">
        <f t="shared" si="25"/>
        <v>191</v>
      </c>
      <c r="F130" s="74">
        <f t="shared" si="25"/>
        <v>218</v>
      </c>
      <c r="G130" s="74">
        <f t="shared" si="25"/>
        <v>150</v>
      </c>
      <c r="H130" s="74">
        <f t="shared" si="25"/>
        <v>136</v>
      </c>
      <c r="I130" s="74">
        <f t="shared" si="25"/>
        <v>132</v>
      </c>
      <c r="J130" s="74">
        <f t="shared" si="25"/>
        <v>129</v>
      </c>
      <c r="K130" s="74">
        <f t="shared" si="25"/>
        <v>119</v>
      </c>
      <c r="L130" s="74">
        <f t="shared" si="25"/>
        <v>192</v>
      </c>
      <c r="M130" s="74">
        <f t="shared" si="25"/>
        <v>198</v>
      </c>
      <c r="N130" s="74">
        <f t="shared" si="25"/>
        <v>159</v>
      </c>
      <c r="O130" s="74">
        <f t="shared" si="25"/>
        <v>142</v>
      </c>
      <c r="P130" s="74">
        <f t="shared" si="25"/>
        <v>144</v>
      </c>
      <c r="Q130" s="74">
        <f t="shared" si="25"/>
        <v>138</v>
      </c>
      <c r="R130" s="74">
        <f t="shared" si="25"/>
        <v>129</v>
      </c>
      <c r="S130" s="74">
        <f t="shared" si="25"/>
        <v>191</v>
      </c>
      <c r="T130" s="74">
        <f t="shared" si="25"/>
        <v>219</v>
      </c>
      <c r="U130" s="74">
        <f t="shared" si="25"/>
        <v>149</v>
      </c>
      <c r="V130" s="74">
        <f t="shared" si="25"/>
        <v>151</v>
      </c>
      <c r="W130" s="74">
        <f t="shared" si="25"/>
        <v>138</v>
      </c>
      <c r="X130" s="74">
        <f t="shared" si="25"/>
        <v>148</v>
      </c>
      <c r="Y130" s="74">
        <f t="shared" si="25"/>
        <v>130</v>
      </c>
      <c r="Z130" s="74">
        <f t="shared" si="25"/>
        <v>201</v>
      </c>
      <c r="AA130" s="74">
        <f t="shared" si="25"/>
        <v>225</v>
      </c>
      <c r="AB130" s="74">
        <f t="shared" ref="AB130:AF130" si="26">SUM(AB131:AB143)</f>
        <v>143</v>
      </c>
      <c r="AC130" s="74">
        <f t="shared" si="26"/>
        <v>134</v>
      </c>
      <c r="AD130" s="74">
        <f t="shared" si="26"/>
        <v>146</v>
      </c>
      <c r="AE130" s="74">
        <f t="shared" si="26"/>
        <v>142</v>
      </c>
      <c r="AF130" s="84">
        <f t="shared" si="26"/>
        <v>147</v>
      </c>
      <c r="AG130" s="150">
        <f t="shared" si="24"/>
        <v>4894</v>
      </c>
      <c r="AH130" s="1" t="str">
        <f>IF(AG130&lt;&gt;AG93,"*","")</f>
        <v/>
      </c>
    </row>
    <row r="131" spans="1:35" ht="18.75" x14ac:dyDescent="0.25">
      <c r="A131" s="43" t="s">
        <v>59</v>
      </c>
      <c r="B131" s="7">
        <v>49</v>
      </c>
      <c r="C131" s="7">
        <v>51</v>
      </c>
      <c r="D131" s="7">
        <v>46</v>
      </c>
      <c r="E131" s="7">
        <v>52</v>
      </c>
      <c r="F131" s="7">
        <v>70</v>
      </c>
      <c r="G131" s="7">
        <v>34</v>
      </c>
      <c r="H131" s="7">
        <v>45</v>
      </c>
      <c r="I131" s="7">
        <v>34</v>
      </c>
      <c r="J131" s="7">
        <v>29</v>
      </c>
      <c r="K131" s="7">
        <v>27</v>
      </c>
      <c r="L131" s="7">
        <v>59</v>
      </c>
      <c r="M131" s="7">
        <v>45</v>
      </c>
      <c r="N131" s="7">
        <v>41</v>
      </c>
      <c r="O131" s="7">
        <v>44</v>
      </c>
      <c r="P131" s="7">
        <v>43</v>
      </c>
      <c r="Q131" s="7">
        <v>51</v>
      </c>
      <c r="R131" s="7">
        <v>35</v>
      </c>
      <c r="S131" s="7">
        <v>73</v>
      </c>
      <c r="T131" s="7">
        <v>70</v>
      </c>
      <c r="U131" s="7">
        <v>57</v>
      </c>
      <c r="V131" s="7">
        <v>48</v>
      </c>
      <c r="W131" s="7">
        <v>41</v>
      </c>
      <c r="X131" s="7">
        <v>39</v>
      </c>
      <c r="Y131" s="7">
        <v>29</v>
      </c>
      <c r="Z131" s="7">
        <v>72</v>
      </c>
      <c r="AA131" s="7">
        <v>63</v>
      </c>
      <c r="AB131" s="7">
        <v>46</v>
      </c>
      <c r="AC131" s="7">
        <v>36</v>
      </c>
      <c r="AD131" s="7">
        <v>53</v>
      </c>
      <c r="AE131" s="7">
        <v>42</v>
      </c>
      <c r="AF131" s="8">
        <v>33</v>
      </c>
      <c r="AG131" s="4">
        <f t="shared" si="24"/>
        <v>1457</v>
      </c>
    </row>
    <row r="132" spans="1:35" ht="18.75" x14ac:dyDescent="0.25">
      <c r="A132" s="43" t="s">
        <v>23</v>
      </c>
      <c r="B132" s="7">
        <v>14</v>
      </c>
      <c r="C132" s="7">
        <v>11</v>
      </c>
      <c r="D132" s="7">
        <v>9</v>
      </c>
      <c r="E132" s="7">
        <v>16</v>
      </c>
      <c r="F132" s="7">
        <v>9</v>
      </c>
      <c r="G132" s="7">
        <v>13</v>
      </c>
      <c r="H132" s="7">
        <v>11</v>
      </c>
      <c r="I132" s="7">
        <v>8</v>
      </c>
      <c r="J132" s="7">
        <v>5</v>
      </c>
      <c r="K132" s="7">
        <v>14</v>
      </c>
      <c r="L132" s="7">
        <v>12</v>
      </c>
      <c r="M132" s="7">
        <v>11</v>
      </c>
      <c r="N132" s="7">
        <v>14</v>
      </c>
      <c r="O132" s="7">
        <v>10</v>
      </c>
      <c r="P132" s="7">
        <v>10</v>
      </c>
      <c r="Q132" s="7">
        <v>7</v>
      </c>
      <c r="R132" s="7">
        <v>7</v>
      </c>
      <c r="S132" s="7">
        <v>14</v>
      </c>
      <c r="T132" s="7">
        <v>14</v>
      </c>
      <c r="U132" s="7">
        <v>8</v>
      </c>
      <c r="V132" s="7">
        <v>10</v>
      </c>
      <c r="W132" s="7">
        <v>9</v>
      </c>
      <c r="X132" s="7">
        <v>11</v>
      </c>
      <c r="Y132" s="7">
        <v>3</v>
      </c>
      <c r="Z132" s="7">
        <v>14</v>
      </c>
      <c r="AA132" s="7">
        <v>9</v>
      </c>
      <c r="AB132" s="7">
        <v>7</v>
      </c>
      <c r="AC132" s="7">
        <v>9</v>
      </c>
      <c r="AD132" s="7">
        <v>4</v>
      </c>
      <c r="AE132" s="7">
        <v>8</v>
      </c>
      <c r="AF132" s="8">
        <v>13</v>
      </c>
      <c r="AG132" s="4">
        <f t="shared" si="24"/>
        <v>314</v>
      </c>
    </row>
    <row r="133" spans="1:35" ht="18.75" x14ac:dyDescent="0.25">
      <c r="A133" s="43" t="s">
        <v>24</v>
      </c>
      <c r="B133" s="7">
        <v>10</v>
      </c>
      <c r="C133" s="7">
        <v>4</v>
      </c>
      <c r="D133" s="7">
        <v>9</v>
      </c>
      <c r="E133" s="7">
        <v>9</v>
      </c>
      <c r="F133" s="7">
        <v>13</v>
      </c>
      <c r="G133" s="7">
        <v>9</v>
      </c>
      <c r="H133" s="7">
        <v>18</v>
      </c>
      <c r="I133" s="7">
        <v>9</v>
      </c>
      <c r="J133" s="7">
        <v>11</v>
      </c>
      <c r="K133" s="7">
        <v>8</v>
      </c>
      <c r="L133" s="7">
        <v>19</v>
      </c>
      <c r="M133" s="7">
        <v>12</v>
      </c>
      <c r="N133" s="7">
        <v>9</v>
      </c>
      <c r="O133" s="7">
        <v>16</v>
      </c>
      <c r="P133" s="7">
        <v>11</v>
      </c>
      <c r="Q133" s="7">
        <v>3</v>
      </c>
      <c r="R133" s="7">
        <v>11</v>
      </c>
      <c r="S133" s="7">
        <v>14</v>
      </c>
      <c r="T133" s="7">
        <v>15</v>
      </c>
      <c r="U133" s="7">
        <v>10</v>
      </c>
      <c r="V133" s="7">
        <v>12</v>
      </c>
      <c r="W133" s="7">
        <v>13</v>
      </c>
      <c r="X133" s="7">
        <v>8</v>
      </c>
      <c r="Y133" s="7">
        <v>14</v>
      </c>
      <c r="Z133" s="7">
        <v>14</v>
      </c>
      <c r="AA133" s="7">
        <v>19</v>
      </c>
      <c r="AB133" s="7">
        <v>12</v>
      </c>
      <c r="AC133" s="7">
        <v>12</v>
      </c>
      <c r="AD133" s="7">
        <v>11</v>
      </c>
      <c r="AE133" s="7">
        <v>5</v>
      </c>
      <c r="AF133" s="8">
        <v>10</v>
      </c>
      <c r="AG133" s="4">
        <f t="shared" si="24"/>
        <v>350</v>
      </c>
    </row>
    <row r="134" spans="1:35" ht="18.75" x14ac:dyDescent="0.25">
      <c r="A134" s="43" t="s">
        <v>25</v>
      </c>
      <c r="B134" s="7">
        <f>1+12</f>
        <v>13</v>
      </c>
      <c r="C134" s="7">
        <v>9</v>
      </c>
      <c r="D134" s="7">
        <v>3</v>
      </c>
      <c r="E134" s="7">
        <v>10</v>
      </c>
      <c r="F134" s="7">
        <f>1+8</f>
        <v>9</v>
      </c>
      <c r="G134" s="7">
        <v>6</v>
      </c>
      <c r="H134" s="7">
        <v>4</v>
      </c>
      <c r="I134" s="7">
        <v>4</v>
      </c>
      <c r="J134" s="7">
        <f>1+8</f>
        <v>9</v>
      </c>
      <c r="K134" s="7">
        <f>1+5</f>
        <v>6</v>
      </c>
      <c r="L134" s="7">
        <v>7</v>
      </c>
      <c r="M134" s="7">
        <v>9</v>
      </c>
      <c r="N134" s="7">
        <f>9+1</f>
        <v>10</v>
      </c>
      <c r="O134" s="7">
        <v>5</v>
      </c>
      <c r="P134" s="7">
        <v>6</v>
      </c>
      <c r="Q134" s="7">
        <v>5</v>
      </c>
      <c r="R134" s="7">
        <f>1+10</f>
        <v>11</v>
      </c>
      <c r="S134" s="7">
        <v>6</v>
      </c>
      <c r="T134" s="7">
        <v>15</v>
      </c>
      <c r="U134" s="7">
        <f>1+6+1</f>
        <v>8</v>
      </c>
      <c r="V134" s="7">
        <v>9</v>
      </c>
      <c r="W134" s="7">
        <v>8</v>
      </c>
      <c r="X134" s="7">
        <v>6</v>
      </c>
      <c r="Y134" s="7">
        <v>8</v>
      </c>
      <c r="Z134" s="7">
        <v>8</v>
      </c>
      <c r="AA134" s="7">
        <v>13</v>
      </c>
      <c r="AB134" s="7">
        <v>4</v>
      </c>
      <c r="AC134" s="7">
        <f>1+7</f>
        <v>8</v>
      </c>
      <c r="AD134" s="7">
        <f>2+5</f>
        <v>7</v>
      </c>
      <c r="AE134" s="7">
        <v>15</v>
      </c>
      <c r="AF134" s="8">
        <v>11</v>
      </c>
      <c r="AG134" s="4">
        <f t="shared" ref="AG134:AG147" si="27">SUM(B134:AF134)</f>
        <v>252</v>
      </c>
    </row>
    <row r="135" spans="1:35" ht="18.75" x14ac:dyDescent="0.25">
      <c r="A135" s="43" t="s">
        <v>26</v>
      </c>
      <c r="B135" s="7">
        <v>7</v>
      </c>
      <c r="C135" s="7">
        <v>7</v>
      </c>
      <c r="D135" s="7">
        <v>15</v>
      </c>
      <c r="E135" s="7">
        <v>9</v>
      </c>
      <c r="F135" s="7">
        <v>13</v>
      </c>
      <c r="G135" s="7">
        <v>6</v>
      </c>
      <c r="H135" s="7">
        <v>4</v>
      </c>
      <c r="I135" s="7">
        <v>12</v>
      </c>
      <c r="J135" s="7">
        <v>9</v>
      </c>
      <c r="K135" s="7">
        <v>11</v>
      </c>
      <c r="L135" s="7">
        <v>10</v>
      </c>
      <c r="M135" s="7">
        <v>10</v>
      </c>
      <c r="N135" s="7">
        <v>11</v>
      </c>
      <c r="O135" s="7">
        <v>8</v>
      </c>
      <c r="P135" s="7">
        <v>13</v>
      </c>
      <c r="Q135" s="7">
        <v>11</v>
      </c>
      <c r="R135" s="7">
        <v>11</v>
      </c>
      <c r="S135" s="7">
        <v>9</v>
      </c>
      <c r="T135" s="7">
        <v>16</v>
      </c>
      <c r="U135" s="7">
        <v>9</v>
      </c>
      <c r="V135" s="7">
        <v>13</v>
      </c>
      <c r="W135" s="7">
        <v>12</v>
      </c>
      <c r="X135" s="7">
        <v>12</v>
      </c>
      <c r="Y135" s="7">
        <v>11</v>
      </c>
      <c r="Z135" s="7">
        <v>9</v>
      </c>
      <c r="AA135" s="7">
        <v>16</v>
      </c>
      <c r="AB135" s="7">
        <v>9</v>
      </c>
      <c r="AC135" s="7">
        <v>7</v>
      </c>
      <c r="AD135" s="7">
        <v>10</v>
      </c>
      <c r="AE135" s="7">
        <v>7</v>
      </c>
      <c r="AF135" s="8">
        <v>9</v>
      </c>
      <c r="AG135" s="4">
        <f t="shared" si="27"/>
        <v>316</v>
      </c>
    </row>
    <row r="136" spans="1:35" ht="18.75" x14ac:dyDescent="0.25">
      <c r="A136" s="43" t="s">
        <v>27</v>
      </c>
      <c r="B136" s="7">
        <v>35</v>
      </c>
      <c r="C136" s="7">
        <v>34</v>
      </c>
      <c r="D136" s="7">
        <v>26</v>
      </c>
      <c r="E136" s="7">
        <v>35</v>
      </c>
      <c r="F136" s="7">
        <v>36</v>
      </c>
      <c r="G136" s="7">
        <v>30</v>
      </c>
      <c r="H136" s="7">
        <v>22</v>
      </c>
      <c r="I136" s="7">
        <v>21</v>
      </c>
      <c r="J136" s="7">
        <v>30</v>
      </c>
      <c r="K136" s="7">
        <v>26</v>
      </c>
      <c r="L136" s="7">
        <v>37</v>
      </c>
      <c r="M136" s="7">
        <v>45</v>
      </c>
      <c r="N136" s="7">
        <v>29</v>
      </c>
      <c r="O136" s="7">
        <v>30</v>
      </c>
      <c r="P136" s="7">
        <v>28</v>
      </c>
      <c r="Q136" s="7">
        <v>26</v>
      </c>
      <c r="R136" s="7">
        <v>19</v>
      </c>
      <c r="S136" s="7">
        <v>29</v>
      </c>
      <c r="T136" s="7">
        <v>29</v>
      </c>
      <c r="U136" s="7">
        <v>27</v>
      </c>
      <c r="V136" s="7">
        <v>21</v>
      </c>
      <c r="W136" s="7">
        <v>23</v>
      </c>
      <c r="X136" s="7">
        <v>37</v>
      </c>
      <c r="Y136" s="7">
        <v>20</v>
      </c>
      <c r="Z136" s="7">
        <v>34</v>
      </c>
      <c r="AA136" s="7">
        <v>39</v>
      </c>
      <c r="AB136" s="7">
        <v>21</v>
      </c>
      <c r="AC136" s="7">
        <v>26</v>
      </c>
      <c r="AD136" s="7">
        <v>24</v>
      </c>
      <c r="AE136" s="7">
        <v>20</v>
      </c>
      <c r="AF136" s="8">
        <v>24</v>
      </c>
      <c r="AG136" s="4">
        <f t="shared" si="27"/>
        <v>883</v>
      </c>
    </row>
    <row r="137" spans="1:35" ht="18.75" x14ac:dyDescent="0.25">
      <c r="A137" s="43" t="s">
        <v>28</v>
      </c>
      <c r="B137" s="7">
        <f>1+2</f>
        <v>3</v>
      </c>
      <c r="C137" s="7">
        <v>7</v>
      </c>
      <c r="D137" s="7">
        <v>4</v>
      </c>
      <c r="E137" s="7">
        <v>9</v>
      </c>
      <c r="F137" s="7">
        <f>16+2</f>
        <v>18</v>
      </c>
      <c r="G137" s="7">
        <f>9+1</f>
        <v>10</v>
      </c>
      <c r="H137" s="7">
        <v>8</v>
      </c>
      <c r="I137" s="7">
        <f>7+3</f>
        <v>10</v>
      </c>
      <c r="J137" s="7">
        <f>10+1</f>
        <v>11</v>
      </c>
      <c r="K137" s="7">
        <f>4+1</f>
        <v>5</v>
      </c>
      <c r="L137" s="7">
        <v>6</v>
      </c>
      <c r="M137" s="7">
        <f>10+1</f>
        <v>11</v>
      </c>
      <c r="N137" s="7">
        <f>8+1</f>
        <v>9</v>
      </c>
      <c r="O137" s="7">
        <f>3+1</f>
        <v>4</v>
      </c>
      <c r="P137" s="7">
        <f>5+1</f>
        <v>6</v>
      </c>
      <c r="Q137" s="7">
        <f>3+1</f>
        <v>4</v>
      </c>
      <c r="R137" s="7">
        <v>4</v>
      </c>
      <c r="S137" s="7">
        <f>5+1</f>
        <v>6</v>
      </c>
      <c r="T137" s="7">
        <f>13+3</f>
        <v>16</v>
      </c>
      <c r="U137" s="7">
        <v>4</v>
      </c>
      <c r="V137" s="7">
        <v>1</v>
      </c>
      <c r="W137" s="7">
        <f>6+1</f>
        <v>7</v>
      </c>
      <c r="X137" s="7">
        <f>7+1</f>
        <v>8</v>
      </c>
      <c r="Y137" s="7">
        <v>3</v>
      </c>
      <c r="Z137" s="7">
        <f>7+1</f>
        <v>8</v>
      </c>
      <c r="AA137" s="7">
        <f>10+1</f>
        <v>11</v>
      </c>
      <c r="AB137" s="7">
        <v>5</v>
      </c>
      <c r="AC137" s="7">
        <f>3+2</f>
        <v>5</v>
      </c>
      <c r="AD137" s="7"/>
      <c r="AE137" s="7">
        <v>11</v>
      </c>
      <c r="AF137" s="8">
        <v>9</v>
      </c>
      <c r="AG137" s="4">
        <f t="shared" si="27"/>
        <v>223</v>
      </c>
    </row>
    <row r="138" spans="1:35" ht="18.75" x14ac:dyDescent="0.25">
      <c r="A138" s="43" t="s">
        <v>29</v>
      </c>
      <c r="B138" s="7">
        <v>2</v>
      </c>
      <c r="C138" s="7">
        <v>9</v>
      </c>
      <c r="D138" s="7">
        <v>7</v>
      </c>
      <c r="E138" s="7">
        <v>10</v>
      </c>
      <c r="F138" s="7">
        <v>8</v>
      </c>
      <c r="G138" s="7">
        <v>4</v>
      </c>
      <c r="H138" s="7">
        <v>5</v>
      </c>
      <c r="I138" s="7">
        <v>7</v>
      </c>
      <c r="J138" s="7">
        <v>3</v>
      </c>
      <c r="K138" s="7">
        <v>4</v>
      </c>
      <c r="L138" s="7">
        <v>6</v>
      </c>
      <c r="M138" s="7">
        <v>6</v>
      </c>
      <c r="N138" s="7">
        <v>6</v>
      </c>
      <c r="O138" s="7">
        <v>5</v>
      </c>
      <c r="P138" s="7">
        <v>7</v>
      </c>
      <c r="Q138" s="7">
        <v>7</v>
      </c>
      <c r="R138" s="7">
        <v>2</v>
      </c>
      <c r="S138" s="7">
        <v>3</v>
      </c>
      <c r="T138" s="7">
        <v>10</v>
      </c>
      <c r="U138" s="7">
        <v>7</v>
      </c>
      <c r="V138" s="7">
        <v>8</v>
      </c>
      <c r="W138" s="7">
        <v>2</v>
      </c>
      <c r="X138" s="7">
        <v>3</v>
      </c>
      <c r="Y138" s="7">
        <v>14</v>
      </c>
      <c r="Z138" s="7">
        <v>3</v>
      </c>
      <c r="AA138" s="7">
        <v>6</v>
      </c>
      <c r="AB138" s="7">
        <v>6</v>
      </c>
      <c r="AC138" s="7">
        <v>1</v>
      </c>
      <c r="AD138" s="7">
        <f>4+7</f>
        <v>11</v>
      </c>
      <c r="AE138" s="7">
        <v>4</v>
      </c>
      <c r="AF138" s="8">
        <v>10</v>
      </c>
      <c r="AG138" s="4">
        <f t="shared" si="27"/>
        <v>186</v>
      </c>
    </row>
    <row r="139" spans="1:35" ht="18.75" x14ac:dyDescent="0.25">
      <c r="A139" s="41" t="s">
        <v>30</v>
      </c>
      <c r="B139" s="7">
        <v>3</v>
      </c>
      <c r="C139" s="7">
        <f>2+1</f>
        <v>3</v>
      </c>
      <c r="D139" s="7">
        <v>2</v>
      </c>
      <c r="E139" s="7">
        <v>2</v>
      </c>
      <c r="F139" s="7">
        <v>1</v>
      </c>
      <c r="G139" s="7">
        <f>1+1</f>
        <v>2</v>
      </c>
      <c r="H139" s="7">
        <f>1+1</f>
        <v>2</v>
      </c>
      <c r="I139" s="7">
        <f>1+1</f>
        <v>2</v>
      </c>
      <c r="J139" s="7"/>
      <c r="K139" s="7"/>
      <c r="L139" s="7">
        <f>4+2</f>
        <v>6</v>
      </c>
      <c r="M139" s="7">
        <f>5+1</f>
        <v>6</v>
      </c>
      <c r="N139" s="7"/>
      <c r="O139" s="7"/>
      <c r="P139" s="7"/>
      <c r="Q139" s="7">
        <v>1</v>
      </c>
      <c r="R139" s="7">
        <v>4</v>
      </c>
      <c r="S139" s="7">
        <v>1</v>
      </c>
      <c r="T139" s="7">
        <f>1+1</f>
        <v>2</v>
      </c>
      <c r="U139" s="7"/>
      <c r="V139" s="7">
        <v>2</v>
      </c>
      <c r="W139" s="7">
        <v>1</v>
      </c>
      <c r="X139" s="7"/>
      <c r="Y139" s="7"/>
      <c r="Z139" s="7">
        <v>2</v>
      </c>
      <c r="AA139" s="7">
        <v>4</v>
      </c>
      <c r="AB139" s="7">
        <v>4</v>
      </c>
      <c r="AC139" s="7">
        <v>1</v>
      </c>
      <c r="AD139" s="7">
        <v>1</v>
      </c>
      <c r="AE139" s="7">
        <v>2</v>
      </c>
      <c r="AF139" s="8">
        <v>3</v>
      </c>
      <c r="AG139" s="4">
        <f t="shared" si="27"/>
        <v>57</v>
      </c>
    </row>
    <row r="140" spans="1:35" ht="18.75" x14ac:dyDescent="0.25">
      <c r="A140" s="41" t="s">
        <v>31</v>
      </c>
      <c r="B140" s="7"/>
      <c r="C140" s="7"/>
      <c r="D140" s="7">
        <v>2</v>
      </c>
      <c r="E140" s="7">
        <v>1</v>
      </c>
      <c r="F140" s="7">
        <v>2</v>
      </c>
      <c r="G140" s="7">
        <v>2</v>
      </c>
      <c r="H140" s="7">
        <v>1</v>
      </c>
      <c r="I140" s="7"/>
      <c r="J140" s="7">
        <v>2</v>
      </c>
      <c r="K140" s="7">
        <v>2</v>
      </c>
      <c r="L140" s="7">
        <v>1</v>
      </c>
      <c r="M140" s="7">
        <v>4</v>
      </c>
      <c r="N140" s="7">
        <v>1</v>
      </c>
      <c r="O140" s="7">
        <v>1</v>
      </c>
      <c r="P140" s="7"/>
      <c r="Q140" s="7">
        <v>2</v>
      </c>
      <c r="R140" s="7">
        <v>1</v>
      </c>
      <c r="S140" s="7">
        <v>3</v>
      </c>
      <c r="T140" s="7">
        <v>1</v>
      </c>
      <c r="U140" s="7">
        <v>1</v>
      </c>
      <c r="V140" s="7">
        <v>1</v>
      </c>
      <c r="W140" s="7">
        <v>1</v>
      </c>
      <c r="X140" s="7">
        <v>2</v>
      </c>
      <c r="Y140" s="7">
        <v>4</v>
      </c>
      <c r="Z140" s="7">
        <v>2</v>
      </c>
      <c r="AA140" s="7">
        <v>4</v>
      </c>
      <c r="AB140" s="7">
        <v>4</v>
      </c>
      <c r="AC140" s="7">
        <v>1</v>
      </c>
      <c r="AD140" s="7"/>
      <c r="AE140" s="7">
        <v>1</v>
      </c>
      <c r="AF140" s="8">
        <v>5</v>
      </c>
      <c r="AG140" s="4">
        <f t="shared" si="27"/>
        <v>52</v>
      </c>
    </row>
    <row r="141" spans="1:35" ht="18.75" x14ac:dyDescent="0.25">
      <c r="A141" s="41" t="s">
        <v>32</v>
      </c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>
        <v>1</v>
      </c>
      <c r="N141" s="7">
        <v>1</v>
      </c>
      <c r="O141" s="7"/>
      <c r="P141" s="7"/>
      <c r="Q141" s="7">
        <v>1</v>
      </c>
      <c r="R141" s="7"/>
      <c r="S141" s="7"/>
      <c r="T141" s="7"/>
      <c r="U141" s="7"/>
      <c r="V141" s="7"/>
      <c r="W141" s="7"/>
      <c r="X141" s="7"/>
      <c r="Y141" s="7">
        <v>1</v>
      </c>
      <c r="Z141" s="7"/>
      <c r="AA141" s="7"/>
      <c r="AB141" s="7">
        <v>0</v>
      </c>
      <c r="AC141" s="7"/>
      <c r="AD141" s="7"/>
      <c r="AE141" s="7"/>
      <c r="AF141" s="8"/>
      <c r="AG141" s="4">
        <f t="shared" si="27"/>
        <v>4</v>
      </c>
    </row>
    <row r="142" spans="1:35" ht="18.75" x14ac:dyDescent="0.25">
      <c r="A142" s="43" t="s">
        <v>60</v>
      </c>
      <c r="B142" s="7">
        <f>1+1+2</f>
        <v>4</v>
      </c>
      <c r="C142" s="7">
        <f>1+1+1+1</f>
        <v>4</v>
      </c>
      <c r="D142" s="7">
        <f>1+1+1+1+1</f>
        <v>5</v>
      </c>
      <c r="E142" s="7">
        <f>2+2+2+1+2+1</f>
        <v>10</v>
      </c>
      <c r="F142" s="7">
        <f>1+1+2+1+2+2+1</f>
        <v>10</v>
      </c>
      <c r="G142" s="7">
        <f>1+1+1+1</f>
        <v>4</v>
      </c>
      <c r="H142" s="7">
        <f>1+1+1+1</f>
        <v>4</v>
      </c>
      <c r="I142" s="7">
        <f>1+1+1+1+1</f>
        <v>5</v>
      </c>
      <c r="J142" s="7">
        <f>1+1+1</f>
        <v>3</v>
      </c>
      <c r="K142" s="7">
        <f>1+1+1</f>
        <v>3</v>
      </c>
      <c r="L142" s="7">
        <f>1+1+2+1+1+1+1</f>
        <v>8</v>
      </c>
      <c r="M142" s="7">
        <f>1+1+1+2+1</f>
        <v>6</v>
      </c>
      <c r="N142" s="7">
        <f>2+1+1+1+1</f>
        <v>6</v>
      </c>
      <c r="O142" s="7">
        <f>1+1+1</f>
        <v>3</v>
      </c>
      <c r="P142" s="7">
        <f>1+1+1+1</f>
        <v>4</v>
      </c>
      <c r="Q142" s="7">
        <f>1+1+1+1</f>
        <v>4</v>
      </c>
      <c r="R142" s="7">
        <f>1+1+1+2+1+1</f>
        <v>7</v>
      </c>
      <c r="S142" s="7">
        <f>7+1+2+2</f>
        <v>12</v>
      </c>
      <c r="T142" s="7">
        <f>1+1+1+1</f>
        <v>4</v>
      </c>
      <c r="U142" s="7">
        <f>1+1+1+1</f>
        <v>4</v>
      </c>
      <c r="V142" s="7">
        <f>2+1+1+1+1</f>
        <v>6</v>
      </c>
      <c r="W142" s="7">
        <f>1+1</f>
        <v>2</v>
      </c>
      <c r="X142" s="7">
        <f>1+2+1</f>
        <v>4</v>
      </c>
      <c r="Y142" s="7">
        <f>3+1</f>
        <v>4</v>
      </c>
      <c r="Z142" s="7">
        <f>3+1+1+1</f>
        <v>6</v>
      </c>
      <c r="AA142" s="7">
        <f>1+2+1+1+1+2</f>
        <v>8</v>
      </c>
      <c r="AB142" s="7">
        <v>5</v>
      </c>
      <c r="AC142" s="7">
        <v>7</v>
      </c>
      <c r="AD142" s="7">
        <f>2+1+1</f>
        <v>4</v>
      </c>
      <c r="AE142" s="7">
        <f>1+3</f>
        <v>4</v>
      </c>
      <c r="AF142" s="8">
        <v>5</v>
      </c>
      <c r="AG142" s="4">
        <f t="shared" si="27"/>
        <v>165</v>
      </c>
    </row>
    <row r="143" spans="1:35" ht="19.5" thickBot="1" x14ac:dyDescent="0.3">
      <c r="A143" s="75" t="s">
        <v>86</v>
      </c>
      <c r="B143" s="13">
        <f>6+10</f>
        <v>16</v>
      </c>
      <c r="C143" s="13">
        <f>3+10</f>
        <v>13</v>
      </c>
      <c r="D143" s="13">
        <f>7+1+9</f>
        <v>17</v>
      </c>
      <c r="E143" s="13">
        <f>19+9</f>
        <v>28</v>
      </c>
      <c r="F143" s="13">
        <f>15+14</f>
        <v>29</v>
      </c>
      <c r="G143" s="13">
        <f>19+11</f>
        <v>30</v>
      </c>
      <c r="H143" s="13">
        <f>5+7</f>
        <v>12</v>
      </c>
      <c r="I143" s="13">
        <f>12+1+7</f>
        <v>20</v>
      </c>
      <c r="J143" s="13">
        <f>8+9</f>
        <v>17</v>
      </c>
      <c r="K143" s="13">
        <f>7+6</f>
        <v>13</v>
      </c>
      <c r="L143" s="13">
        <f>12+9</f>
        <v>21</v>
      </c>
      <c r="M143" s="13">
        <f>13+1+18</f>
        <v>32</v>
      </c>
      <c r="N143" s="13">
        <f>10+1+11</f>
        <v>22</v>
      </c>
      <c r="O143" s="13">
        <f>8+8</f>
        <v>16</v>
      </c>
      <c r="P143" s="13">
        <f>6+1+9</f>
        <v>16</v>
      </c>
      <c r="Q143" s="13">
        <f>7+9</f>
        <v>16</v>
      </c>
      <c r="R143" s="13">
        <f>9+8</f>
        <v>17</v>
      </c>
      <c r="S143" s="13">
        <f>17+1+3</f>
        <v>21</v>
      </c>
      <c r="T143" s="13">
        <f>19+1+7</f>
        <v>27</v>
      </c>
      <c r="U143" s="13">
        <f>8+1+5</f>
        <v>14</v>
      </c>
      <c r="V143" s="13">
        <f>13+7</f>
        <v>20</v>
      </c>
      <c r="W143" s="13">
        <f>11+8</f>
        <v>19</v>
      </c>
      <c r="X143" s="13">
        <f>9+1+8</f>
        <v>18</v>
      </c>
      <c r="Y143" s="13">
        <f>11+8</f>
        <v>19</v>
      </c>
      <c r="Z143" s="13">
        <f>20+9</f>
        <v>29</v>
      </c>
      <c r="AA143" s="13">
        <f>20+1+12</f>
        <v>33</v>
      </c>
      <c r="AB143" s="13">
        <v>20</v>
      </c>
      <c r="AC143" s="13">
        <v>21</v>
      </c>
      <c r="AD143" s="13">
        <f>20+1</f>
        <v>21</v>
      </c>
      <c r="AE143" s="13">
        <v>23</v>
      </c>
      <c r="AF143" s="14">
        <v>15</v>
      </c>
      <c r="AG143" s="108">
        <f t="shared" si="27"/>
        <v>635</v>
      </c>
    </row>
    <row r="144" spans="1:35" ht="19.5" thickBot="1" x14ac:dyDescent="0.3">
      <c r="A144" s="164" t="s">
        <v>89</v>
      </c>
      <c r="B144" s="165">
        <f t="shared" ref="B144:AD144" si="28">+B146+B156+B158+B167</f>
        <v>156</v>
      </c>
      <c r="C144" s="165">
        <f t="shared" si="28"/>
        <v>152</v>
      </c>
      <c r="D144" s="165">
        <f t="shared" si="28"/>
        <v>145</v>
      </c>
      <c r="E144" s="165">
        <f t="shared" si="28"/>
        <v>191</v>
      </c>
      <c r="F144" s="165">
        <f t="shared" si="28"/>
        <v>218</v>
      </c>
      <c r="G144" s="165">
        <f t="shared" si="28"/>
        <v>150</v>
      </c>
      <c r="H144" s="165">
        <f t="shared" si="28"/>
        <v>136</v>
      </c>
      <c r="I144" s="165">
        <f t="shared" si="28"/>
        <v>132</v>
      </c>
      <c r="J144" s="165">
        <f t="shared" si="28"/>
        <v>129</v>
      </c>
      <c r="K144" s="165">
        <f t="shared" si="28"/>
        <v>119</v>
      </c>
      <c r="L144" s="165">
        <f t="shared" si="28"/>
        <v>192</v>
      </c>
      <c r="M144" s="165">
        <f t="shared" si="28"/>
        <v>198</v>
      </c>
      <c r="N144" s="165">
        <f t="shared" si="28"/>
        <v>159</v>
      </c>
      <c r="O144" s="165">
        <f t="shared" si="28"/>
        <v>142</v>
      </c>
      <c r="P144" s="165">
        <f t="shared" si="28"/>
        <v>144</v>
      </c>
      <c r="Q144" s="165">
        <f t="shared" si="28"/>
        <v>138</v>
      </c>
      <c r="R144" s="165">
        <f t="shared" si="28"/>
        <v>129</v>
      </c>
      <c r="S144" s="165">
        <f t="shared" si="28"/>
        <v>191</v>
      </c>
      <c r="T144" s="165">
        <f t="shared" si="28"/>
        <v>219</v>
      </c>
      <c r="U144" s="165">
        <f t="shared" si="28"/>
        <v>149</v>
      </c>
      <c r="V144" s="165">
        <f t="shared" si="28"/>
        <v>151</v>
      </c>
      <c r="W144" s="165">
        <f t="shared" si="28"/>
        <v>138</v>
      </c>
      <c r="X144" s="165">
        <f t="shared" si="28"/>
        <v>148</v>
      </c>
      <c r="Y144" s="165">
        <f t="shared" si="28"/>
        <v>130</v>
      </c>
      <c r="Z144" s="165">
        <f t="shared" si="28"/>
        <v>201</v>
      </c>
      <c r="AA144" s="165">
        <f t="shared" si="28"/>
        <v>225</v>
      </c>
      <c r="AB144" s="165">
        <f t="shared" si="28"/>
        <v>143</v>
      </c>
      <c r="AC144" s="165">
        <f t="shared" si="28"/>
        <v>134</v>
      </c>
      <c r="AD144" s="165">
        <f t="shared" si="28"/>
        <v>146</v>
      </c>
      <c r="AE144" s="165">
        <f>+AE146+AE156+AE158+AE167</f>
        <v>142</v>
      </c>
      <c r="AF144" s="165">
        <f t="shared" ref="AF144" si="29">+AF146+AF156+AF158+AF167</f>
        <v>147</v>
      </c>
      <c r="AG144" s="116">
        <f t="shared" si="27"/>
        <v>4894</v>
      </c>
      <c r="AH144" s="38" t="str">
        <f>IF(AG144&lt;&gt;AG93,"*","")</f>
        <v/>
      </c>
      <c r="AI144" t="s">
        <v>140</v>
      </c>
    </row>
    <row r="145" spans="1:34" ht="19.5" thickBot="1" x14ac:dyDescent="0.3">
      <c r="A145" s="160" t="s">
        <v>98</v>
      </c>
      <c r="B145" s="161">
        <f t="shared" ref="B145:AD145" si="30">+B149+B155+B157+B172</f>
        <v>7</v>
      </c>
      <c r="C145" s="161">
        <f t="shared" si="30"/>
        <v>17</v>
      </c>
      <c r="D145" s="161">
        <f t="shared" si="30"/>
        <v>30</v>
      </c>
      <c r="E145" s="161">
        <f t="shared" si="30"/>
        <v>34</v>
      </c>
      <c r="F145" s="161">
        <f t="shared" si="30"/>
        <v>10</v>
      </c>
      <c r="G145" s="161">
        <f t="shared" si="30"/>
        <v>38</v>
      </c>
      <c r="H145" s="161">
        <f t="shared" si="30"/>
        <v>29</v>
      </c>
      <c r="I145" s="161">
        <f t="shared" si="30"/>
        <v>23</v>
      </c>
      <c r="J145" s="161">
        <f t="shared" si="30"/>
        <v>12</v>
      </c>
      <c r="K145" s="161">
        <f t="shared" si="30"/>
        <v>21</v>
      </c>
      <c r="L145" s="161">
        <f t="shared" si="30"/>
        <v>14</v>
      </c>
      <c r="M145" s="161">
        <f t="shared" si="30"/>
        <v>1</v>
      </c>
      <c r="N145" s="161">
        <f t="shared" si="30"/>
        <v>16</v>
      </c>
      <c r="O145" s="161">
        <f t="shared" si="30"/>
        <v>9</v>
      </c>
      <c r="P145" s="161">
        <f t="shared" si="30"/>
        <v>5</v>
      </c>
      <c r="Q145" s="161">
        <f t="shared" si="30"/>
        <v>19</v>
      </c>
      <c r="R145" s="161">
        <f t="shared" si="30"/>
        <v>29</v>
      </c>
      <c r="S145" s="161">
        <f t="shared" si="30"/>
        <v>4</v>
      </c>
      <c r="T145" s="161">
        <f t="shared" si="30"/>
        <v>5</v>
      </c>
      <c r="U145" s="161">
        <f t="shared" si="30"/>
        <v>9</v>
      </c>
      <c r="V145" s="161">
        <f t="shared" si="30"/>
        <v>12</v>
      </c>
      <c r="W145" s="161">
        <f t="shared" si="30"/>
        <v>18</v>
      </c>
      <c r="X145" s="161">
        <f t="shared" si="30"/>
        <v>13</v>
      </c>
      <c r="Y145" s="161">
        <f t="shared" si="30"/>
        <v>22</v>
      </c>
      <c r="Z145" s="161">
        <f t="shared" si="30"/>
        <v>18</v>
      </c>
      <c r="AA145" s="161">
        <f t="shared" si="30"/>
        <v>6</v>
      </c>
      <c r="AB145" s="161">
        <f t="shared" si="30"/>
        <v>24</v>
      </c>
      <c r="AC145" s="161">
        <f t="shared" si="30"/>
        <v>8</v>
      </c>
      <c r="AD145" s="161">
        <f t="shared" si="30"/>
        <v>13</v>
      </c>
      <c r="AE145" s="161">
        <f>+AE149+AE155+AE157+AE172</f>
        <v>5</v>
      </c>
      <c r="AF145" s="162">
        <f t="shared" ref="AF145" si="31">+AF149+AF155+AF157+AF172</f>
        <v>23</v>
      </c>
      <c r="AG145" s="163">
        <f t="shared" si="27"/>
        <v>494</v>
      </c>
      <c r="AH145" s="1"/>
    </row>
    <row r="146" spans="1:34" ht="19.5" thickBot="1" x14ac:dyDescent="0.3">
      <c r="A146" s="117" t="s">
        <v>69</v>
      </c>
      <c r="B146" s="118">
        <f t="shared" ref="B146:AG147" si="32">+B148+B154</f>
        <v>0</v>
      </c>
      <c r="C146" s="118">
        <f t="shared" si="32"/>
        <v>0</v>
      </c>
      <c r="D146" s="118">
        <f t="shared" si="32"/>
        <v>0</v>
      </c>
      <c r="E146" s="118">
        <f t="shared" si="32"/>
        <v>0</v>
      </c>
      <c r="F146" s="118">
        <f t="shared" si="32"/>
        <v>0</v>
      </c>
      <c r="G146" s="118">
        <f t="shared" si="32"/>
        <v>0</v>
      </c>
      <c r="H146" s="118">
        <f t="shared" si="32"/>
        <v>0</v>
      </c>
      <c r="I146" s="118">
        <f t="shared" si="32"/>
        <v>0</v>
      </c>
      <c r="J146" s="118">
        <f t="shared" si="32"/>
        <v>0</v>
      </c>
      <c r="K146" s="118">
        <f t="shared" si="32"/>
        <v>0</v>
      </c>
      <c r="L146" s="118">
        <f t="shared" si="32"/>
        <v>1</v>
      </c>
      <c r="M146" s="118">
        <f t="shared" si="32"/>
        <v>0</v>
      </c>
      <c r="N146" s="118">
        <f t="shared" si="32"/>
        <v>0</v>
      </c>
      <c r="O146" s="118">
        <f t="shared" si="32"/>
        <v>0</v>
      </c>
      <c r="P146" s="118">
        <f t="shared" si="32"/>
        <v>0</v>
      </c>
      <c r="Q146" s="118">
        <f t="shared" si="32"/>
        <v>0</v>
      </c>
      <c r="R146" s="118">
        <f t="shared" si="32"/>
        <v>0</v>
      </c>
      <c r="S146" s="118">
        <f t="shared" si="32"/>
        <v>0</v>
      </c>
      <c r="T146" s="118">
        <f t="shared" si="32"/>
        <v>0</v>
      </c>
      <c r="U146" s="118">
        <f t="shared" si="32"/>
        <v>0</v>
      </c>
      <c r="V146" s="118">
        <f t="shared" si="32"/>
        <v>0</v>
      </c>
      <c r="W146" s="118">
        <f t="shared" si="32"/>
        <v>0</v>
      </c>
      <c r="X146" s="118">
        <f t="shared" si="32"/>
        <v>0</v>
      </c>
      <c r="Y146" s="118">
        <f t="shared" si="32"/>
        <v>0</v>
      </c>
      <c r="Z146" s="118">
        <f t="shared" si="32"/>
        <v>0</v>
      </c>
      <c r="AA146" s="118">
        <f t="shared" si="32"/>
        <v>0</v>
      </c>
      <c r="AB146" s="118">
        <f t="shared" si="32"/>
        <v>0</v>
      </c>
      <c r="AC146" s="118">
        <f t="shared" si="32"/>
        <v>0</v>
      </c>
      <c r="AD146" s="118">
        <f t="shared" si="32"/>
        <v>0</v>
      </c>
      <c r="AE146" s="118">
        <f t="shared" si="32"/>
        <v>0</v>
      </c>
      <c r="AF146" s="119">
        <f t="shared" si="32"/>
        <v>0</v>
      </c>
      <c r="AG146" s="120">
        <f t="shared" si="32"/>
        <v>1</v>
      </c>
    </row>
    <row r="147" spans="1:34" ht="19.5" thickBot="1" x14ac:dyDescent="0.3">
      <c r="A147" s="153" t="s">
        <v>130</v>
      </c>
      <c r="B147" s="154">
        <f t="shared" si="32"/>
        <v>0</v>
      </c>
      <c r="C147" s="154">
        <f t="shared" si="32"/>
        <v>0</v>
      </c>
      <c r="D147" s="154">
        <f t="shared" si="32"/>
        <v>0</v>
      </c>
      <c r="E147" s="154">
        <f t="shared" si="32"/>
        <v>0</v>
      </c>
      <c r="F147" s="154">
        <f t="shared" si="32"/>
        <v>0</v>
      </c>
      <c r="G147" s="154">
        <f t="shared" si="32"/>
        <v>0</v>
      </c>
      <c r="H147" s="154">
        <f t="shared" si="32"/>
        <v>0</v>
      </c>
      <c r="I147" s="154">
        <f t="shared" si="32"/>
        <v>0</v>
      </c>
      <c r="J147" s="154">
        <f t="shared" si="32"/>
        <v>0</v>
      </c>
      <c r="K147" s="154">
        <f t="shared" si="32"/>
        <v>0</v>
      </c>
      <c r="L147" s="154">
        <f t="shared" si="32"/>
        <v>0</v>
      </c>
      <c r="M147" s="154">
        <f t="shared" si="32"/>
        <v>0</v>
      </c>
      <c r="N147" s="154">
        <f t="shared" si="32"/>
        <v>0</v>
      </c>
      <c r="O147" s="154">
        <f t="shared" si="32"/>
        <v>0</v>
      </c>
      <c r="P147" s="154">
        <f t="shared" si="32"/>
        <v>0</v>
      </c>
      <c r="Q147" s="154">
        <f t="shared" si="32"/>
        <v>0</v>
      </c>
      <c r="R147" s="154">
        <f t="shared" si="32"/>
        <v>0</v>
      </c>
      <c r="S147" s="154">
        <f t="shared" si="32"/>
        <v>0</v>
      </c>
      <c r="T147" s="154">
        <f t="shared" si="32"/>
        <v>0</v>
      </c>
      <c r="U147" s="154">
        <f t="shared" si="32"/>
        <v>0</v>
      </c>
      <c r="V147" s="154">
        <f t="shared" si="32"/>
        <v>0</v>
      </c>
      <c r="W147" s="154">
        <f t="shared" si="32"/>
        <v>0</v>
      </c>
      <c r="X147" s="154">
        <f t="shared" si="32"/>
        <v>0</v>
      </c>
      <c r="Y147" s="154">
        <f t="shared" si="32"/>
        <v>0</v>
      </c>
      <c r="Z147" s="154">
        <f t="shared" si="32"/>
        <v>0</v>
      </c>
      <c r="AA147" s="154">
        <f t="shared" si="32"/>
        <v>0</v>
      </c>
      <c r="AB147" s="154">
        <f>+AB149+AB155</f>
        <v>0</v>
      </c>
      <c r="AC147" s="154">
        <f t="shared" si="32"/>
        <v>0</v>
      </c>
      <c r="AD147" s="154">
        <f t="shared" si="32"/>
        <v>0</v>
      </c>
      <c r="AE147" s="154">
        <f t="shared" si="32"/>
        <v>0</v>
      </c>
      <c r="AF147" s="155"/>
      <c r="AG147" s="156">
        <f t="shared" si="27"/>
        <v>0</v>
      </c>
    </row>
    <row r="148" spans="1:34" ht="19.5" thickBot="1" x14ac:dyDescent="0.3">
      <c r="A148" s="125" t="s">
        <v>68</v>
      </c>
      <c r="B148" s="126">
        <f>SUM(B150:B153)</f>
        <v>0</v>
      </c>
      <c r="C148" s="126">
        <f t="shared" ref="C148:AF148" si="33">SUM(C150:C153)</f>
        <v>0</v>
      </c>
      <c r="D148" s="126">
        <f t="shared" si="33"/>
        <v>0</v>
      </c>
      <c r="E148" s="126">
        <f t="shared" si="33"/>
        <v>0</v>
      </c>
      <c r="F148" s="126">
        <f t="shared" si="33"/>
        <v>0</v>
      </c>
      <c r="G148" s="126">
        <f t="shared" si="33"/>
        <v>0</v>
      </c>
      <c r="H148" s="126">
        <f t="shared" si="33"/>
        <v>0</v>
      </c>
      <c r="I148" s="126">
        <f t="shared" si="33"/>
        <v>0</v>
      </c>
      <c r="J148" s="126">
        <f t="shared" si="33"/>
        <v>0</v>
      </c>
      <c r="K148" s="126">
        <f t="shared" si="33"/>
        <v>0</v>
      </c>
      <c r="L148" s="126">
        <f t="shared" si="33"/>
        <v>0</v>
      </c>
      <c r="M148" s="126">
        <f t="shared" si="33"/>
        <v>0</v>
      </c>
      <c r="N148" s="126">
        <f t="shared" si="33"/>
        <v>0</v>
      </c>
      <c r="O148" s="126">
        <f t="shared" si="33"/>
        <v>0</v>
      </c>
      <c r="P148" s="126">
        <f t="shared" si="33"/>
        <v>0</v>
      </c>
      <c r="Q148" s="126">
        <f t="shared" si="33"/>
        <v>0</v>
      </c>
      <c r="R148" s="126">
        <f t="shared" si="33"/>
        <v>0</v>
      </c>
      <c r="S148" s="126">
        <f t="shared" si="33"/>
        <v>0</v>
      </c>
      <c r="T148" s="126">
        <f t="shared" si="33"/>
        <v>0</v>
      </c>
      <c r="U148" s="126">
        <f t="shared" si="33"/>
        <v>0</v>
      </c>
      <c r="V148" s="126">
        <f t="shared" si="33"/>
        <v>0</v>
      </c>
      <c r="W148" s="126">
        <f t="shared" si="33"/>
        <v>0</v>
      </c>
      <c r="X148" s="126">
        <f t="shared" si="33"/>
        <v>0</v>
      </c>
      <c r="Y148" s="126">
        <f t="shared" si="33"/>
        <v>0</v>
      </c>
      <c r="Z148" s="126">
        <f t="shared" si="33"/>
        <v>0</v>
      </c>
      <c r="AA148" s="126">
        <f t="shared" si="33"/>
        <v>0</v>
      </c>
      <c r="AB148" s="126">
        <f t="shared" si="33"/>
        <v>0</v>
      </c>
      <c r="AC148" s="126">
        <f t="shared" si="33"/>
        <v>0</v>
      </c>
      <c r="AD148" s="126">
        <f t="shared" si="33"/>
        <v>0</v>
      </c>
      <c r="AE148" s="126">
        <f t="shared" si="33"/>
        <v>0</v>
      </c>
      <c r="AF148" s="127">
        <f t="shared" si="33"/>
        <v>0</v>
      </c>
      <c r="AG148" s="128">
        <f t="shared" ref="AG148:AG232" si="34">SUM(B148:AF148)</f>
        <v>0</v>
      </c>
    </row>
    <row r="149" spans="1:34" ht="19.5" thickBot="1" x14ac:dyDescent="0.3">
      <c r="A149" s="153" t="s">
        <v>131</v>
      </c>
      <c r="B149" s="154"/>
      <c r="C149" s="154"/>
      <c r="D149" s="154"/>
      <c r="E149" s="154"/>
      <c r="F149" s="154"/>
      <c r="G149" s="154"/>
      <c r="H149" s="154"/>
      <c r="I149" s="154"/>
      <c r="J149" s="154"/>
      <c r="K149" s="154"/>
      <c r="L149" s="154"/>
      <c r="M149" s="154"/>
      <c r="N149" s="154"/>
      <c r="O149" s="154"/>
      <c r="P149" s="154"/>
      <c r="Q149" s="154"/>
      <c r="R149" s="154"/>
      <c r="S149" s="154"/>
      <c r="T149" s="154"/>
      <c r="U149" s="154"/>
      <c r="V149" s="154"/>
      <c r="W149" s="154"/>
      <c r="X149" s="154"/>
      <c r="Y149" s="154"/>
      <c r="Z149" s="154"/>
      <c r="AA149" s="154"/>
      <c r="AB149" s="154"/>
      <c r="AC149" s="154"/>
      <c r="AD149" s="154"/>
      <c r="AE149" s="154"/>
      <c r="AF149" s="155"/>
      <c r="AG149" s="156">
        <f t="shared" si="34"/>
        <v>0</v>
      </c>
    </row>
    <row r="150" spans="1:34" ht="18.75" x14ac:dyDescent="0.25">
      <c r="A150" s="129" t="s">
        <v>100</v>
      </c>
      <c r="B150" s="130"/>
      <c r="C150" s="130"/>
      <c r="D150" s="130"/>
      <c r="E150" s="130"/>
      <c r="F150" s="130"/>
      <c r="G150" s="130"/>
      <c r="H150" s="130"/>
      <c r="I150" s="130"/>
      <c r="J150" s="130"/>
      <c r="K150" s="130"/>
      <c r="L150" s="130"/>
      <c r="M150" s="130"/>
      <c r="N150" s="130"/>
      <c r="O150" s="130"/>
      <c r="P150" s="130"/>
      <c r="Q150" s="130"/>
      <c r="R150" s="130"/>
      <c r="S150" s="130"/>
      <c r="T150" s="130"/>
      <c r="U150" s="130"/>
      <c r="V150" s="130"/>
      <c r="W150" s="130"/>
      <c r="X150" s="130"/>
      <c r="Y150" s="130"/>
      <c r="Z150" s="130"/>
      <c r="AA150" s="130"/>
      <c r="AB150" s="130"/>
      <c r="AC150" s="130"/>
      <c r="AD150" s="130"/>
      <c r="AE150" s="130"/>
      <c r="AF150" s="131"/>
      <c r="AG150" s="132">
        <f t="shared" si="34"/>
        <v>0</v>
      </c>
    </row>
    <row r="151" spans="1:34" ht="18.75" x14ac:dyDescent="0.25">
      <c r="A151" s="50" t="s">
        <v>101</v>
      </c>
      <c r="B151" s="29"/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  <c r="AA151" s="29"/>
      <c r="AB151" s="29"/>
      <c r="AC151" s="29"/>
      <c r="AD151" s="29"/>
      <c r="AE151" s="29"/>
      <c r="AF151" s="21"/>
      <c r="AG151" s="4">
        <f t="shared" si="34"/>
        <v>0</v>
      </c>
    </row>
    <row r="152" spans="1:34" ht="18.75" x14ac:dyDescent="0.25">
      <c r="A152" s="50" t="s">
        <v>102</v>
      </c>
      <c r="B152" s="29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  <c r="AA152" s="29"/>
      <c r="AB152" s="29"/>
      <c r="AC152" s="29"/>
      <c r="AD152" s="29"/>
      <c r="AE152" s="29"/>
      <c r="AF152" s="21"/>
      <c r="AG152" s="4">
        <f t="shared" si="34"/>
        <v>0</v>
      </c>
    </row>
    <row r="153" spans="1:34" ht="19.5" thickBot="1" x14ac:dyDescent="0.3">
      <c r="A153" s="71" t="s">
        <v>103</v>
      </c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  <c r="AA153" s="30"/>
      <c r="AB153" s="30"/>
      <c r="AC153" s="30"/>
      <c r="AD153" s="30"/>
      <c r="AE153" s="30"/>
      <c r="AF153" s="22"/>
      <c r="AG153" s="28">
        <f t="shared" si="34"/>
        <v>0</v>
      </c>
    </row>
    <row r="154" spans="1:34" ht="19.5" thickBot="1" x14ac:dyDescent="0.3">
      <c r="A154" s="125" t="s">
        <v>67</v>
      </c>
      <c r="B154" s="126"/>
      <c r="C154" s="126"/>
      <c r="D154" s="126"/>
      <c r="E154" s="126"/>
      <c r="F154" s="126"/>
      <c r="G154" s="126"/>
      <c r="H154" s="126"/>
      <c r="I154" s="126"/>
      <c r="J154" s="126"/>
      <c r="K154" s="126"/>
      <c r="L154" s="126">
        <v>1</v>
      </c>
      <c r="M154" s="126"/>
      <c r="N154" s="126"/>
      <c r="O154" s="126"/>
      <c r="P154" s="126"/>
      <c r="Q154" s="126"/>
      <c r="R154" s="126"/>
      <c r="S154" s="126"/>
      <c r="T154" s="126"/>
      <c r="U154" s="126"/>
      <c r="V154" s="126"/>
      <c r="W154" s="126"/>
      <c r="X154" s="126"/>
      <c r="Y154" s="126"/>
      <c r="Z154" s="126"/>
      <c r="AA154" s="126"/>
      <c r="AB154" s="126"/>
      <c r="AC154" s="126"/>
      <c r="AD154" s="126"/>
      <c r="AE154" s="126"/>
      <c r="AF154" s="127"/>
      <c r="AG154" s="128">
        <f t="shared" si="34"/>
        <v>1</v>
      </c>
    </row>
    <row r="155" spans="1:34" ht="19.5" thickBot="1" x14ac:dyDescent="0.3">
      <c r="A155" s="153" t="s">
        <v>132</v>
      </c>
      <c r="B155" s="154"/>
      <c r="C155" s="154"/>
      <c r="D155" s="154"/>
      <c r="E155" s="154"/>
      <c r="F155" s="154"/>
      <c r="G155" s="154"/>
      <c r="H155" s="154"/>
      <c r="I155" s="154"/>
      <c r="J155" s="154"/>
      <c r="K155" s="154"/>
      <c r="L155" s="154"/>
      <c r="M155" s="154"/>
      <c r="N155" s="154"/>
      <c r="O155" s="154"/>
      <c r="P155" s="154"/>
      <c r="Q155" s="154"/>
      <c r="R155" s="154"/>
      <c r="S155" s="154"/>
      <c r="T155" s="154"/>
      <c r="U155" s="154"/>
      <c r="V155" s="154"/>
      <c r="W155" s="154"/>
      <c r="X155" s="154"/>
      <c r="Y155" s="154"/>
      <c r="Z155" s="154"/>
      <c r="AA155" s="154"/>
      <c r="AB155" s="154"/>
      <c r="AC155" s="154"/>
      <c r="AD155" s="154"/>
      <c r="AE155" s="154"/>
      <c r="AF155" s="155"/>
      <c r="AG155" s="156">
        <f t="shared" si="34"/>
        <v>0</v>
      </c>
    </row>
    <row r="156" spans="1:34" ht="18.75" x14ac:dyDescent="0.25">
      <c r="A156" s="69" t="s">
        <v>62</v>
      </c>
      <c r="B156" s="56">
        <v>155</v>
      </c>
      <c r="C156" s="56">
        <v>151</v>
      </c>
      <c r="D156" s="56">
        <v>143</v>
      </c>
      <c r="E156" s="56">
        <v>189</v>
      </c>
      <c r="F156" s="56">
        <v>218</v>
      </c>
      <c r="G156" s="56">
        <v>149</v>
      </c>
      <c r="H156" s="56">
        <v>134</v>
      </c>
      <c r="I156" s="56">
        <v>131</v>
      </c>
      <c r="J156" s="56">
        <v>128</v>
      </c>
      <c r="K156" s="56">
        <v>119</v>
      </c>
      <c r="L156" s="56">
        <v>191</v>
      </c>
      <c r="M156" s="56">
        <v>197</v>
      </c>
      <c r="N156" s="56">
        <v>159</v>
      </c>
      <c r="O156" s="56">
        <v>141</v>
      </c>
      <c r="P156" s="56">
        <v>143</v>
      </c>
      <c r="Q156" s="56">
        <v>137</v>
      </c>
      <c r="R156" s="56">
        <v>129</v>
      </c>
      <c r="S156" s="56">
        <v>188</v>
      </c>
      <c r="T156" s="56">
        <v>216</v>
      </c>
      <c r="U156" s="56">
        <v>148</v>
      </c>
      <c r="V156" s="56">
        <v>150</v>
      </c>
      <c r="W156" s="56">
        <v>138</v>
      </c>
      <c r="X156" s="56">
        <v>145</v>
      </c>
      <c r="Y156" s="56">
        <v>129</v>
      </c>
      <c r="Z156" s="56">
        <v>196</v>
      </c>
      <c r="AA156" s="56">
        <v>223</v>
      </c>
      <c r="AB156" s="56">
        <v>143</v>
      </c>
      <c r="AC156" s="56">
        <v>134</v>
      </c>
      <c r="AD156" s="56">
        <v>146</v>
      </c>
      <c r="AE156" s="56">
        <v>142</v>
      </c>
      <c r="AF156" s="85">
        <v>147</v>
      </c>
      <c r="AG156" s="95">
        <f t="shared" si="34"/>
        <v>4859</v>
      </c>
      <c r="AH156" s="2" t="s">
        <v>84</v>
      </c>
    </row>
    <row r="157" spans="1:34" ht="19.5" thickBot="1" x14ac:dyDescent="0.3">
      <c r="A157" s="75" t="s">
        <v>1</v>
      </c>
      <c r="B157" s="13">
        <v>6</v>
      </c>
      <c r="C157" s="13">
        <v>17</v>
      </c>
      <c r="D157" s="13">
        <v>30</v>
      </c>
      <c r="E157" s="13">
        <v>34</v>
      </c>
      <c r="F157" s="13">
        <v>10</v>
      </c>
      <c r="G157" s="13">
        <v>38</v>
      </c>
      <c r="H157" s="13">
        <v>29</v>
      </c>
      <c r="I157" s="13">
        <v>23</v>
      </c>
      <c r="J157" s="13">
        <v>12</v>
      </c>
      <c r="K157" s="13">
        <v>21</v>
      </c>
      <c r="L157" s="13">
        <v>14</v>
      </c>
      <c r="M157" s="13">
        <v>1</v>
      </c>
      <c r="N157" s="13">
        <v>16</v>
      </c>
      <c r="O157" s="13">
        <v>9</v>
      </c>
      <c r="P157" s="13">
        <v>5</v>
      </c>
      <c r="Q157" s="13">
        <v>19</v>
      </c>
      <c r="R157" s="13">
        <v>29</v>
      </c>
      <c r="S157" s="13">
        <v>4</v>
      </c>
      <c r="T157" s="13">
        <v>5</v>
      </c>
      <c r="U157" s="13">
        <v>9</v>
      </c>
      <c r="V157" s="13">
        <v>12</v>
      </c>
      <c r="W157" s="13">
        <v>18</v>
      </c>
      <c r="X157" s="13">
        <v>12</v>
      </c>
      <c r="Y157" s="13">
        <v>22</v>
      </c>
      <c r="Z157" s="13">
        <v>18</v>
      </c>
      <c r="AA157" s="13">
        <v>6</v>
      </c>
      <c r="AB157" s="13">
        <v>23</v>
      </c>
      <c r="AC157" s="13">
        <v>8</v>
      </c>
      <c r="AD157" s="13">
        <v>13</v>
      </c>
      <c r="AE157" s="13">
        <v>5</v>
      </c>
      <c r="AF157" s="14">
        <v>23</v>
      </c>
      <c r="AG157" s="157">
        <f t="shared" si="34"/>
        <v>491</v>
      </c>
      <c r="AH157" s="2"/>
    </row>
    <row r="158" spans="1:34" ht="19.5" thickBot="1" x14ac:dyDescent="0.3">
      <c r="A158" s="121" t="s">
        <v>22</v>
      </c>
      <c r="B158" s="122">
        <f t="shared" ref="B158:AA158" si="35">SUM(B159:B166)</f>
        <v>1</v>
      </c>
      <c r="C158" s="122">
        <f t="shared" si="35"/>
        <v>1</v>
      </c>
      <c r="D158" s="122">
        <f t="shared" si="35"/>
        <v>1</v>
      </c>
      <c r="E158" s="122">
        <f t="shared" si="35"/>
        <v>2</v>
      </c>
      <c r="F158" s="122">
        <f t="shared" si="35"/>
        <v>0</v>
      </c>
      <c r="G158" s="122">
        <f t="shared" si="35"/>
        <v>0</v>
      </c>
      <c r="H158" s="122">
        <f t="shared" si="35"/>
        <v>2</v>
      </c>
      <c r="I158" s="122">
        <f t="shared" si="35"/>
        <v>1</v>
      </c>
      <c r="J158" s="122">
        <f t="shared" si="35"/>
        <v>1</v>
      </c>
      <c r="K158" s="122">
        <f t="shared" si="35"/>
        <v>0</v>
      </c>
      <c r="L158" s="122">
        <f t="shared" si="35"/>
        <v>0</v>
      </c>
      <c r="M158" s="122">
        <f t="shared" si="35"/>
        <v>1</v>
      </c>
      <c r="N158" s="122">
        <f t="shared" si="35"/>
        <v>0</v>
      </c>
      <c r="O158" s="122">
        <f t="shared" si="35"/>
        <v>1</v>
      </c>
      <c r="P158" s="122">
        <f t="shared" si="35"/>
        <v>1</v>
      </c>
      <c r="Q158" s="122">
        <f t="shared" si="35"/>
        <v>1</v>
      </c>
      <c r="R158" s="122">
        <f t="shared" si="35"/>
        <v>0</v>
      </c>
      <c r="S158" s="122">
        <f t="shared" si="35"/>
        <v>2</v>
      </c>
      <c r="T158" s="122">
        <f t="shared" si="35"/>
        <v>3</v>
      </c>
      <c r="U158" s="122">
        <f t="shared" si="35"/>
        <v>1</v>
      </c>
      <c r="V158" s="122">
        <f t="shared" si="35"/>
        <v>0</v>
      </c>
      <c r="W158" s="122">
        <f t="shared" si="35"/>
        <v>0</v>
      </c>
      <c r="X158" s="122">
        <f t="shared" si="35"/>
        <v>0</v>
      </c>
      <c r="Y158" s="122">
        <f t="shared" si="35"/>
        <v>1</v>
      </c>
      <c r="Z158" s="122">
        <f t="shared" si="35"/>
        <v>3</v>
      </c>
      <c r="AA158" s="122">
        <f t="shared" si="35"/>
        <v>0</v>
      </c>
      <c r="AB158" s="122">
        <f t="shared" ref="AB158:AF158" si="36">SUM(AB159:AB166)</f>
        <v>0</v>
      </c>
      <c r="AC158" s="122">
        <f t="shared" si="36"/>
        <v>0</v>
      </c>
      <c r="AD158" s="122">
        <f t="shared" si="36"/>
        <v>0</v>
      </c>
      <c r="AE158" s="122">
        <f t="shared" si="36"/>
        <v>0</v>
      </c>
      <c r="AF158" s="123">
        <f t="shared" si="36"/>
        <v>0</v>
      </c>
      <c r="AG158" s="124">
        <f t="shared" si="34"/>
        <v>23</v>
      </c>
    </row>
    <row r="159" spans="1:34" ht="18.75" x14ac:dyDescent="0.25">
      <c r="A159" s="129" t="s">
        <v>23</v>
      </c>
      <c r="B159" s="130"/>
      <c r="C159" s="130"/>
      <c r="D159" s="130"/>
      <c r="E159" s="130"/>
      <c r="F159" s="130"/>
      <c r="G159" s="130"/>
      <c r="H159" s="130"/>
      <c r="I159" s="130"/>
      <c r="J159" s="130"/>
      <c r="K159" s="130"/>
      <c r="L159" s="130"/>
      <c r="M159" s="130"/>
      <c r="N159" s="130"/>
      <c r="O159" s="130"/>
      <c r="P159" s="130"/>
      <c r="Q159" s="130"/>
      <c r="R159" s="130"/>
      <c r="S159" s="130"/>
      <c r="T159" s="130"/>
      <c r="U159" s="130"/>
      <c r="V159" s="130"/>
      <c r="W159" s="130"/>
      <c r="X159" s="130"/>
      <c r="Y159" s="130"/>
      <c r="Z159" s="130">
        <v>1</v>
      </c>
      <c r="AA159" s="130"/>
      <c r="AB159" s="130"/>
      <c r="AC159" s="130"/>
      <c r="AD159" s="130"/>
      <c r="AE159" s="130"/>
      <c r="AF159" s="131"/>
      <c r="AG159" s="132">
        <f t="shared" si="34"/>
        <v>1</v>
      </c>
    </row>
    <row r="160" spans="1:34" ht="18.75" x14ac:dyDescent="0.25">
      <c r="A160" s="50" t="s">
        <v>24</v>
      </c>
      <c r="B160" s="29">
        <v>1</v>
      </c>
      <c r="C160" s="29"/>
      <c r="D160" s="29"/>
      <c r="E160" s="29">
        <v>1</v>
      </c>
      <c r="F160" s="29"/>
      <c r="G160" s="29"/>
      <c r="H160" s="29"/>
      <c r="I160" s="29"/>
      <c r="J160" s="29">
        <v>1</v>
      </c>
      <c r="K160" s="29"/>
      <c r="L160" s="29"/>
      <c r="M160" s="29">
        <v>1</v>
      </c>
      <c r="N160" s="29"/>
      <c r="O160" s="29"/>
      <c r="P160" s="29"/>
      <c r="Q160" s="29">
        <v>1</v>
      </c>
      <c r="R160" s="29"/>
      <c r="S160" s="29"/>
      <c r="T160" s="29"/>
      <c r="U160" s="29">
        <v>1</v>
      </c>
      <c r="V160" s="29"/>
      <c r="W160" s="29"/>
      <c r="X160" s="29"/>
      <c r="Y160" s="29"/>
      <c r="Z160" s="29">
        <v>1</v>
      </c>
      <c r="AA160" s="29"/>
      <c r="AB160" s="29"/>
      <c r="AC160" s="29"/>
      <c r="AD160" s="29"/>
      <c r="AE160" s="29"/>
      <c r="AF160" s="21"/>
      <c r="AG160" s="4">
        <f t="shared" si="34"/>
        <v>7</v>
      </c>
    </row>
    <row r="161" spans="1:34" ht="18.75" x14ac:dyDescent="0.25">
      <c r="A161" s="50" t="s">
        <v>59</v>
      </c>
      <c r="B161" s="29"/>
      <c r="C161" s="29">
        <v>1</v>
      </c>
      <c r="D161" s="29"/>
      <c r="E161" s="29"/>
      <c r="F161" s="29"/>
      <c r="G161" s="29"/>
      <c r="H161" s="29">
        <v>2</v>
      </c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  <c r="AA161" s="29"/>
      <c r="AB161" s="29"/>
      <c r="AC161" s="29"/>
      <c r="AD161" s="29"/>
      <c r="AE161" s="29"/>
      <c r="AF161" s="21"/>
      <c r="AG161" s="4">
        <f t="shared" si="34"/>
        <v>3</v>
      </c>
    </row>
    <row r="162" spans="1:34" ht="18.75" x14ac:dyDescent="0.25">
      <c r="A162" s="50" t="s">
        <v>25</v>
      </c>
      <c r="B162" s="29"/>
      <c r="C162" s="29"/>
      <c r="D162" s="29">
        <v>1</v>
      </c>
      <c r="E162" s="29"/>
      <c r="F162" s="29"/>
      <c r="G162" s="29"/>
      <c r="H162" s="29"/>
      <c r="I162" s="29">
        <v>1</v>
      </c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>
        <v>1</v>
      </c>
      <c r="U162" s="29"/>
      <c r="V162" s="29"/>
      <c r="W162" s="29"/>
      <c r="X162" s="29"/>
      <c r="Y162" s="29">
        <v>1</v>
      </c>
      <c r="Z162" s="29"/>
      <c r="AA162" s="29"/>
      <c r="AB162" s="29"/>
      <c r="AC162" s="29"/>
      <c r="AD162" s="29"/>
      <c r="AE162" s="29"/>
      <c r="AF162" s="21"/>
      <c r="AG162" s="4">
        <f t="shared" si="34"/>
        <v>4</v>
      </c>
    </row>
    <row r="163" spans="1:34" ht="18.75" x14ac:dyDescent="0.25">
      <c r="A163" s="50" t="s">
        <v>26</v>
      </c>
      <c r="B163" s="29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  <c r="AA163" s="29"/>
      <c r="AB163" s="29"/>
      <c r="AC163" s="29"/>
      <c r="AD163" s="29"/>
      <c r="AE163" s="29"/>
      <c r="AF163" s="21"/>
      <c r="AG163" s="4">
        <f t="shared" si="34"/>
        <v>0</v>
      </c>
    </row>
    <row r="164" spans="1:34" ht="18.75" x14ac:dyDescent="0.25">
      <c r="A164" s="50" t="s">
        <v>27</v>
      </c>
      <c r="B164" s="29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  <c r="AA164" s="29"/>
      <c r="AB164" s="29"/>
      <c r="AC164" s="29"/>
      <c r="AD164" s="29"/>
      <c r="AE164" s="29"/>
      <c r="AF164" s="21"/>
      <c r="AG164" s="4">
        <f t="shared" si="34"/>
        <v>0</v>
      </c>
    </row>
    <row r="165" spans="1:34" ht="18.75" x14ac:dyDescent="0.25">
      <c r="A165" s="50" t="s">
        <v>28</v>
      </c>
      <c r="B165" s="29"/>
      <c r="C165" s="29"/>
      <c r="D165" s="29"/>
      <c r="E165" s="29">
        <v>1</v>
      </c>
      <c r="F165" s="29"/>
      <c r="G165" s="29"/>
      <c r="H165" s="29"/>
      <c r="I165" s="29"/>
      <c r="J165" s="29"/>
      <c r="K165" s="29"/>
      <c r="L165" s="29"/>
      <c r="M165" s="29"/>
      <c r="N165" s="29"/>
      <c r="O165" s="29">
        <v>1</v>
      </c>
      <c r="P165" s="29">
        <v>1</v>
      </c>
      <c r="Q165" s="29"/>
      <c r="R165" s="29"/>
      <c r="S165" s="29">
        <v>2</v>
      </c>
      <c r="T165" s="29">
        <v>2</v>
      </c>
      <c r="U165" s="29"/>
      <c r="V165" s="29"/>
      <c r="W165" s="29"/>
      <c r="X165" s="29"/>
      <c r="Y165" s="29"/>
      <c r="Z165" s="29">
        <v>1</v>
      </c>
      <c r="AA165" s="29"/>
      <c r="AB165" s="29"/>
      <c r="AC165" s="29"/>
      <c r="AD165" s="29"/>
      <c r="AE165" s="29"/>
      <c r="AF165" s="21"/>
      <c r="AG165" s="4">
        <f t="shared" si="34"/>
        <v>8</v>
      </c>
    </row>
    <row r="166" spans="1:34" ht="19.5" thickBot="1" x14ac:dyDescent="0.3">
      <c r="A166" s="71" t="s">
        <v>29</v>
      </c>
      <c r="B166" s="30"/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  <c r="AA166" s="30"/>
      <c r="AB166" s="30"/>
      <c r="AC166" s="30"/>
      <c r="AD166" s="30"/>
      <c r="AE166" s="30"/>
      <c r="AF166" s="22"/>
      <c r="AG166" s="28">
        <f t="shared" si="34"/>
        <v>0</v>
      </c>
    </row>
    <row r="167" spans="1:34" ht="18.75" x14ac:dyDescent="0.25">
      <c r="A167" s="69" t="s">
        <v>71</v>
      </c>
      <c r="B167" s="56">
        <f t="shared" ref="B167:AA167" si="37">SUM(B168:B171)</f>
        <v>0</v>
      </c>
      <c r="C167" s="56">
        <f t="shared" si="37"/>
        <v>0</v>
      </c>
      <c r="D167" s="56">
        <f t="shared" si="37"/>
        <v>1</v>
      </c>
      <c r="E167" s="56">
        <f t="shared" si="37"/>
        <v>0</v>
      </c>
      <c r="F167" s="56">
        <f t="shared" si="37"/>
        <v>0</v>
      </c>
      <c r="G167" s="56">
        <f t="shared" si="37"/>
        <v>1</v>
      </c>
      <c r="H167" s="56">
        <f t="shared" si="37"/>
        <v>0</v>
      </c>
      <c r="I167" s="56">
        <f t="shared" si="37"/>
        <v>0</v>
      </c>
      <c r="J167" s="56">
        <f t="shared" si="37"/>
        <v>0</v>
      </c>
      <c r="K167" s="56">
        <f t="shared" si="37"/>
        <v>0</v>
      </c>
      <c r="L167" s="56">
        <f t="shared" si="37"/>
        <v>0</v>
      </c>
      <c r="M167" s="56">
        <f t="shared" si="37"/>
        <v>0</v>
      </c>
      <c r="N167" s="56">
        <f t="shared" si="37"/>
        <v>0</v>
      </c>
      <c r="O167" s="56">
        <f t="shared" si="37"/>
        <v>0</v>
      </c>
      <c r="P167" s="56">
        <f t="shared" si="37"/>
        <v>0</v>
      </c>
      <c r="Q167" s="56">
        <f t="shared" si="37"/>
        <v>0</v>
      </c>
      <c r="R167" s="56">
        <f t="shared" si="37"/>
        <v>0</v>
      </c>
      <c r="S167" s="56">
        <f t="shared" si="37"/>
        <v>1</v>
      </c>
      <c r="T167" s="56">
        <f t="shared" si="37"/>
        <v>0</v>
      </c>
      <c r="U167" s="56">
        <f t="shared" si="37"/>
        <v>0</v>
      </c>
      <c r="V167" s="56">
        <f t="shared" si="37"/>
        <v>1</v>
      </c>
      <c r="W167" s="56">
        <f t="shared" si="37"/>
        <v>0</v>
      </c>
      <c r="X167" s="56">
        <f t="shared" si="37"/>
        <v>3</v>
      </c>
      <c r="Y167" s="56">
        <f t="shared" si="37"/>
        <v>0</v>
      </c>
      <c r="Z167" s="56">
        <f t="shared" si="37"/>
        <v>2</v>
      </c>
      <c r="AA167" s="56">
        <f t="shared" si="37"/>
        <v>2</v>
      </c>
      <c r="AB167" s="56">
        <f t="shared" ref="AB167:AF167" si="38">SUM(AB168:AB171)</f>
        <v>0</v>
      </c>
      <c r="AC167" s="56">
        <f t="shared" si="38"/>
        <v>0</v>
      </c>
      <c r="AD167" s="56">
        <f t="shared" si="38"/>
        <v>0</v>
      </c>
      <c r="AE167" s="56">
        <f t="shared" si="38"/>
        <v>0</v>
      </c>
      <c r="AF167" s="85">
        <f t="shared" si="38"/>
        <v>0</v>
      </c>
      <c r="AG167" s="95">
        <f t="shared" si="34"/>
        <v>11</v>
      </c>
    </row>
    <row r="168" spans="1:34" ht="18.75" x14ac:dyDescent="0.25">
      <c r="A168" s="51" t="s">
        <v>30</v>
      </c>
      <c r="B168" s="29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  <c r="AA168" s="29"/>
      <c r="AB168" s="29"/>
      <c r="AC168" s="29"/>
      <c r="AD168" s="29"/>
      <c r="AE168" s="29"/>
      <c r="AF168" s="21"/>
      <c r="AG168" s="4">
        <f t="shared" si="34"/>
        <v>0</v>
      </c>
    </row>
    <row r="169" spans="1:34" ht="18.75" x14ac:dyDescent="0.25">
      <c r="A169" s="51" t="s">
        <v>31</v>
      </c>
      <c r="B169" s="29"/>
      <c r="C169" s="29"/>
      <c r="D169" s="29">
        <v>1</v>
      </c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>
        <v>1</v>
      </c>
      <c r="T169" s="29"/>
      <c r="U169" s="29"/>
      <c r="V169" s="29"/>
      <c r="W169" s="29"/>
      <c r="X169" s="29"/>
      <c r="Y169" s="29"/>
      <c r="Z169" s="29">
        <v>2</v>
      </c>
      <c r="AA169" s="29"/>
      <c r="AB169" s="29"/>
      <c r="AC169" s="29"/>
      <c r="AD169" s="29"/>
      <c r="AE169" s="29"/>
      <c r="AF169" s="21"/>
      <c r="AG169" s="4">
        <f t="shared" si="34"/>
        <v>4</v>
      </c>
    </row>
    <row r="170" spans="1:34" ht="18.75" x14ac:dyDescent="0.25">
      <c r="A170" s="51" t="s">
        <v>32</v>
      </c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1"/>
      <c r="AG170" s="4">
        <f t="shared" si="34"/>
        <v>0</v>
      </c>
    </row>
    <row r="171" spans="1:34" ht="19.5" thickBot="1" x14ac:dyDescent="0.3">
      <c r="A171" s="70" t="s">
        <v>87</v>
      </c>
      <c r="B171" s="30"/>
      <c r="C171" s="30"/>
      <c r="D171" s="30"/>
      <c r="E171" s="30"/>
      <c r="F171" s="30"/>
      <c r="G171" s="30">
        <v>1</v>
      </c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>
        <v>1</v>
      </c>
      <c r="W171" s="30"/>
      <c r="X171" s="30">
        <v>3</v>
      </c>
      <c r="Y171" s="30"/>
      <c r="Z171" s="30"/>
      <c r="AA171" s="30">
        <v>2</v>
      </c>
      <c r="AB171" s="30"/>
      <c r="AC171" s="30"/>
      <c r="AD171" s="30"/>
      <c r="AE171" s="30"/>
      <c r="AF171" s="22"/>
      <c r="AG171" s="28">
        <f t="shared" si="34"/>
        <v>7</v>
      </c>
    </row>
    <row r="172" spans="1:34" ht="19.5" thickBot="1" x14ac:dyDescent="0.3">
      <c r="A172" s="158" t="s">
        <v>128</v>
      </c>
      <c r="B172" s="151">
        <v>1</v>
      </c>
      <c r="C172" s="151"/>
      <c r="D172" s="151"/>
      <c r="E172" s="151"/>
      <c r="F172" s="151"/>
      <c r="G172" s="151"/>
      <c r="H172" s="151"/>
      <c r="I172" s="151"/>
      <c r="J172" s="151"/>
      <c r="K172" s="151"/>
      <c r="L172" s="151"/>
      <c r="M172" s="151"/>
      <c r="N172" s="151"/>
      <c r="O172" s="151"/>
      <c r="P172" s="151"/>
      <c r="Q172" s="151"/>
      <c r="R172" s="151"/>
      <c r="S172" s="151"/>
      <c r="T172" s="151"/>
      <c r="U172" s="151"/>
      <c r="V172" s="151"/>
      <c r="W172" s="151"/>
      <c r="X172" s="151">
        <v>1</v>
      </c>
      <c r="Y172" s="151"/>
      <c r="Z172" s="151"/>
      <c r="AA172" s="151"/>
      <c r="AB172" s="151">
        <v>1</v>
      </c>
      <c r="AC172" s="151"/>
      <c r="AD172" s="151"/>
      <c r="AE172" s="151"/>
      <c r="AF172" s="152"/>
      <c r="AG172" s="159">
        <f t="shared" si="34"/>
        <v>3</v>
      </c>
    </row>
    <row r="173" spans="1:34" ht="18.75" x14ac:dyDescent="0.25">
      <c r="A173" s="68" t="s">
        <v>2</v>
      </c>
      <c r="B173" s="15">
        <v>1</v>
      </c>
      <c r="C173" s="15">
        <v>0</v>
      </c>
      <c r="D173" s="15">
        <v>1</v>
      </c>
      <c r="E173" s="15">
        <v>0</v>
      </c>
      <c r="F173" s="15">
        <v>0</v>
      </c>
      <c r="G173" s="15">
        <v>0</v>
      </c>
      <c r="H173" s="15">
        <v>0</v>
      </c>
      <c r="I173" s="15">
        <v>0</v>
      </c>
      <c r="J173" s="15">
        <v>0</v>
      </c>
      <c r="K173" s="15">
        <v>0</v>
      </c>
      <c r="L173" s="15">
        <v>0</v>
      </c>
      <c r="M173" s="15">
        <v>1</v>
      </c>
      <c r="N173" s="15">
        <v>0</v>
      </c>
      <c r="O173" s="15">
        <v>0</v>
      </c>
      <c r="P173" s="15">
        <v>0</v>
      </c>
      <c r="Q173" s="15">
        <v>0</v>
      </c>
      <c r="R173" s="15">
        <v>1</v>
      </c>
      <c r="S173" s="15">
        <v>3</v>
      </c>
      <c r="T173" s="15">
        <v>0</v>
      </c>
      <c r="U173" s="15">
        <v>0</v>
      </c>
      <c r="V173" s="15">
        <v>0</v>
      </c>
      <c r="W173" s="15">
        <v>0</v>
      </c>
      <c r="X173" s="15">
        <v>0</v>
      </c>
      <c r="Y173" s="15">
        <v>2</v>
      </c>
      <c r="Z173" s="15">
        <v>0</v>
      </c>
      <c r="AA173" s="15">
        <v>0</v>
      </c>
      <c r="AB173" s="15">
        <v>0</v>
      </c>
      <c r="AC173" s="15">
        <v>0</v>
      </c>
      <c r="AD173" s="15">
        <v>0</v>
      </c>
      <c r="AE173" s="15">
        <v>0</v>
      </c>
      <c r="AF173" s="23"/>
      <c r="AG173" s="5">
        <f t="shared" si="34"/>
        <v>9</v>
      </c>
      <c r="AH173" s="2" t="s">
        <v>137</v>
      </c>
    </row>
    <row r="174" spans="1:34" ht="19.5" thickBot="1" x14ac:dyDescent="0.3">
      <c r="A174" s="146" t="s">
        <v>3</v>
      </c>
      <c r="B174" s="16">
        <f>SUM(B175:B176)</f>
        <v>4</v>
      </c>
      <c r="C174" s="16">
        <f t="shared" ref="C174:AA174" si="39">SUM(C175:C176)</f>
        <v>4</v>
      </c>
      <c r="D174" s="16">
        <f t="shared" si="39"/>
        <v>4</v>
      </c>
      <c r="E174" s="16">
        <f t="shared" si="39"/>
        <v>4</v>
      </c>
      <c r="F174" s="16">
        <f t="shared" si="39"/>
        <v>9</v>
      </c>
      <c r="G174" s="16">
        <f t="shared" si="39"/>
        <v>3</v>
      </c>
      <c r="H174" s="16">
        <f t="shared" si="39"/>
        <v>3</v>
      </c>
      <c r="I174" s="16">
        <f t="shared" si="39"/>
        <v>5</v>
      </c>
      <c r="J174" s="16">
        <f t="shared" si="39"/>
        <v>4</v>
      </c>
      <c r="K174" s="16">
        <f t="shared" si="39"/>
        <v>3</v>
      </c>
      <c r="L174" s="16">
        <f t="shared" si="39"/>
        <v>4</v>
      </c>
      <c r="M174" s="16">
        <f t="shared" si="39"/>
        <v>5</v>
      </c>
      <c r="N174" s="16">
        <f t="shared" si="39"/>
        <v>3</v>
      </c>
      <c r="O174" s="16">
        <f t="shared" si="39"/>
        <v>2</v>
      </c>
      <c r="P174" s="16">
        <f t="shared" si="39"/>
        <v>4</v>
      </c>
      <c r="Q174" s="16">
        <f t="shared" si="39"/>
        <v>4</v>
      </c>
      <c r="R174" s="16">
        <f t="shared" si="39"/>
        <v>3</v>
      </c>
      <c r="S174" s="16">
        <f t="shared" si="39"/>
        <v>6</v>
      </c>
      <c r="T174" s="16">
        <f t="shared" si="39"/>
        <v>8</v>
      </c>
      <c r="U174" s="16">
        <f t="shared" si="39"/>
        <v>5</v>
      </c>
      <c r="V174" s="16">
        <f t="shared" si="39"/>
        <v>4</v>
      </c>
      <c r="W174" s="16">
        <f t="shared" si="39"/>
        <v>4</v>
      </c>
      <c r="X174" s="16">
        <f t="shared" si="39"/>
        <v>6</v>
      </c>
      <c r="Y174" s="16">
        <f t="shared" si="39"/>
        <v>4</v>
      </c>
      <c r="Z174" s="16">
        <f t="shared" si="39"/>
        <v>7</v>
      </c>
      <c r="AA174" s="16">
        <f t="shared" si="39"/>
        <v>8</v>
      </c>
      <c r="AB174" s="16">
        <f t="shared" ref="AB174:AF174" si="40">SUM(AB175:AB176)</f>
        <v>3</v>
      </c>
      <c r="AC174" s="16">
        <f t="shared" si="40"/>
        <v>2</v>
      </c>
      <c r="AD174" s="16">
        <f t="shared" si="40"/>
        <v>7</v>
      </c>
      <c r="AE174" s="16">
        <f t="shared" si="40"/>
        <v>9</v>
      </c>
      <c r="AF174" s="24">
        <f t="shared" si="40"/>
        <v>3</v>
      </c>
      <c r="AG174" s="6">
        <f t="shared" si="34"/>
        <v>144</v>
      </c>
      <c r="AH174" s="2" t="s">
        <v>138</v>
      </c>
    </row>
    <row r="175" spans="1:34" ht="18.75" x14ac:dyDescent="0.25">
      <c r="A175" s="133" t="s">
        <v>120</v>
      </c>
      <c r="B175" s="15">
        <v>0</v>
      </c>
      <c r="C175" s="15">
        <v>0</v>
      </c>
      <c r="D175" s="15">
        <v>0</v>
      </c>
      <c r="E175" s="15">
        <v>0</v>
      </c>
      <c r="F175" s="15">
        <v>1</v>
      </c>
      <c r="G175" s="15">
        <v>0</v>
      </c>
      <c r="H175" s="15">
        <v>0</v>
      </c>
      <c r="I175" s="15">
        <v>1</v>
      </c>
      <c r="J175" s="15">
        <v>0</v>
      </c>
      <c r="K175" s="15">
        <v>2</v>
      </c>
      <c r="L175" s="15">
        <v>0</v>
      </c>
      <c r="M175" s="15">
        <v>0</v>
      </c>
      <c r="N175" s="15">
        <v>0</v>
      </c>
      <c r="O175" s="15">
        <v>1</v>
      </c>
      <c r="P175" s="15">
        <v>0</v>
      </c>
      <c r="Q175" s="15">
        <v>0</v>
      </c>
      <c r="R175" s="15">
        <v>0</v>
      </c>
      <c r="S175" s="15">
        <v>0</v>
      </c>
      <c r="T175" s="15">
        <v>0</v>
      </c>
      <c r="U175" s="15">
        <v>0</v>
      </c>
      <c r="V175" s="15">
        <v>0</v>
      </c>
      <c r="W175" s="15">
        <v>1</v>
      </c>
      <c r="X175" s="15">
        <v>1</v>
      </c>
      <c r="Y175" s="15">
        <v>1</v>
      </c>
      <c r="Z175" s="15">
        <v>0</v>
      </c>
      <c r="AA175" s="15">
        <v>0</v>
      </c>
      <c r="AB175" s="15">
        <v>0</v>
      </c>
      <c r="AC175" s="15"/>
      <c r="AD175" s="15">
        <v>3</v>
      </c>
      <c r="AE175" s="15">
        <v>0</v>
      </c>
      <c r="AF175" s="23">
        <v>0</v>
      </c>
      <c r="AG175" s="5">
        <f t="shared" si="34"/>
        <v>11</v>
      </c>
      <c r="AH175" s="2" t="s">
        <v>138</v>
      </c>
    </row>
    <row r="176" spans="1:34" ht="19.5" thickBot="1" x14ac:dyDescent="0.3">
      <c r="A176" s="104" t="s">
        <v>119</v>
      </c>
      <c r="B176" s="101">
        <v>4</v>
      </c>
      <c r="C176" s="101">
        <v>4</v>
      </c>
      <c r="D176" s="101">
        <v>4</v>
      </c>
      <c r="E176" s="101">
        <v>4</v>
      </c>
      <c r="F176" s="101">
        <v>8</v>
      </c>
      <c r="G176" s="101">
        <v>3</v>
      </c>
      <c r="H176" s="101">
        <v>3</v>
      </c>
      <c r="I176" s="101">
        <v>4</v>
      </c>
      <c r="J176" s="101">
        <v>4</v>
      </c>
      <c r="K176" s="101">
        <v>1</v>
      </c>
      <c r="L176" s="101">
        <v>4</v>
      </c>
      <c r="M176" s="101">
        <v>5</v>
      </c>
      <c r="N176" s="101">
        <v>3</v>
      </c>
      <c r="O176" s="101">
        <v>1</v>
      </c>
      <c r="P176" s="101">
        <v>4</v>
      </c>
      <c r="Q176" s="101">
        <v>4</v>
      </c>
      <c r="R176" s="101">
        <v>3</v>
      </c>
      <c r="S176" s="101">
        <v>6</v>
      </c>
      <c r="T176" s="101">
        <v>8</v>
      </c>
      <c r="U176" s="101">
        <v>5</v>
      </c>
      <c r="V176" s="101">
        <v>4</v>
      </c>
      <c r="W176" s="101">
        <v>3</v>
      </c>
      <c r="X176" s="101">
        <v>5</v>
      </c>
      <c r="Y176" s="101">
        <v>3</v>
      </c>
      <c r="Z176" s="101">
        <v>7</v>
      </c>
      <c r="AA176" s="101">
        <v>8</v>
      </c>
      <c r="AB176" s="101">
        <v>3</v>
      </c>
      <c r="AC176" s="101">
        <v>2</v>
      </c>
      <c r="AD176" s="101">
        <v>4</v>
      </c>
      <c r="AE176" s="101">
        <v>9</v>
      </c>
      <c r="AF176" s="102">
        <v>3</v>
      </c>
      <c r="AG176" s="103">
        <f t="shared" si="34"/>
        <v>133</v>
      </c>
      <c r="AH176" s="2" t="s">
        <v>138</v>
      </c>
    </row>
    <row r="177" spans="1:34" ht="18.75" x14ac:dyDescent="0.25">
      <c r="A177" s="64" t="s">
        <v>105</v>
      </c>
      <c r="B177" s="65"/>
      <c r="C177" s="65"/>
      <c r="D177" s="65"/>
      <c r="E177" s="65"/>
      <c r="F177" s="65"/>
      <c r="G177" s="65"/>
      <c r="H177" s="65"/>
      <c r="I177" s="65"/>
      <c r="J177" s="65"/>
      <c r="K177" s="65"/>
      <c r="L177" s="65"/>
      <c r="M177" s="65"/>
      <c r="N177" s="65"/>
      <c r="O177" s="65"/>
      <c r="P177" s="65"/>
      <c r="Q177" s="65"/>
      <c r="R177" s="65"/>
      <c r="S177" s="65"/>
      <c r="T177" s="65"/>
      <c r="U177" s="65"/>
      <c r="V177" s="65"/>
      <c r="W177" s="65"/>
      <c r="X177" s="65"/>
      <c r="Y177" s="65"/>
      <c r="Z177" s="65"/>
      <c r="AA177" s="65"/>
      <c r="AB177" s="65"/>
      <c r="AC177" s="65"/>
      <c r="AD177" s="65"/>
      <c r="AE177" s="65"/>
      <c r="AF177" s="86"/>
      <c r="AG177" s="96">
        <f t="shared" si="34"/>
        <v>0</v>
      </c>
    </row>
    <row r="178" spans="1:34" ht="19.5" thickBot="1" x14ac:dyDescent="0.3">
      <c r="A178" s="66" t="s">
        <v>104</v>
      </c>
      <c r="B178" s="67"/>
      <c r="C178" s="67"/>
      <c r="D178" s="67"/>
      <c r="E178" s="67"/>
      <c r="F178" s="67"/>
      <c r="G178" s="67"/>
      <c r="H178" s="67"/>
      <c r="I178" s="67"/>
      <c r="J178" s="67"/>
      <c r="K178" s="67"/>
      <c r="L178" s="67"/>
      <c r="M178" s="67"/>
      <c r="N178" s="67"/>
      <c r="O178" s="67"/>
      <c r="P178" s="67"/>
      <c r="Q178" s="67"/>
      <c r="R178" s="67"/>
      <c r="S178" s="67"/>
      <c r="T178" s="67"/>
      <c r="U178" s="67"/>
      <c r="V178" s="67"/>
      <c r="W178" s="67"/>
      <c r="X178" s="67"/>
      <c r="Y178" s="67"/>
      <c r="Z178" s="67"/>
      <c r="AA178" s="67"/>
      <c r="AB178" s="67"/>
      <c r="AC178" s="67"/>
      <c r="AD178" s="67"/>
      <c r="AE178" s="67"/>
      <c r="AF178" s="87"/>
      <c r="AG178" s="32">
        <f t="shared" si="34"/>
        <v>0</v>
      </c>
    </row>
    <row r="179" spans="1:34" ht="19.5" thickBot="1" x14ac:dyDescent="0.3">
      <c r="A179" s="219" t="s">
        <v>149</v>
      </c>
      <c r="B179" s="220">
        <f t="shared" ref="B179:AF179" si="41">SUM(B180:B205)</f>
        <v>26</v>
      </c>
      <c r="C179" s="220">
        <f t="shared" si="41"/>
        <v>21</v>
      </c>
      <c r="D179" s="220">
        <f t="shared" si="41"/>
        <v>13</v>
      </c>
      <c r="E179" s="220">
        <f t="shared" si="41"/>
        <v>23</v>
      </c>
      <c r="F179" s="220">
        <f t="shared" si="41"/>
        <v>34</v>
      </c>
      <c r="G179" s="220">
        <f t="shared" si="41"/>
        <v>13</v>
      </c>
      <c r="H179" s="220">
        <f t="shared" si="41"/>
        <v>21</v>
      </c>
      <c r="I179" s="220">
        <f t="shared" si="41"/>
        <v>10</v>
      </c>
      <c r="J179" s="220">
        <f t="shared" si="41"/>
        <v>13</v>
      </c>
      <c r="K179" s="220">
        <f t="shared" si="41"/>
        <v>3</v>
      </c>
      <c r="L179" s="220">
        <f t="shared" si="41"/>
        <v>13</v>
      </c>
      <c r="M179" s="220">
        <f t="shared" si="41"/>
        <v>5</v>
      </c>
      <c r="N179" s="220">
        <f t="shared" si="41"/>
        <v>23</v>
      </c>
      <c r="O179" s="220">
        <f t="shared" si="41"/>
        <v>16</v>
      </c>
      <c r="P179" s="220">
        <f t="shared" si="41"/>
        <v>13</v>
      </c>
      <c r="Q179" s="220">
        <f t="shared" si="41"/>
        <v>16</v>
      </c>
      <c r="R179" s="220">
        <f t="shared" si="41"/>
        <v>16</v>
      </c>
      <c r="S179" s="220">
        <f t="shared" si="41"/>
        <v>10</v>
      </c>
      <c r="T179" s="220">
        <f t="shared" si="41"/>
        <v>27</v>
      </c>
      <c r="U179" s="220">
        <f t="shared" si="41"/>
        <v>16</v>
      </c>
      <c r="V179" s="220">
        <f t="shared" si="41"/>
        <v>24</v>
      </c>
      <c r="W179" s="220">
        <f t="shared" si="41"/>
        <v>20</v>
      </c>
      <c r="X179" s="220">
        <f t="shared" si="41"/>
        <v>19</v>
      </c>
      <c r="Y179" s="220">
        <f t="shared" si="41"/>
        <v>17</v>
      </c>
      <c r="Z179" s="220">
        <f t="shared" si="41"/>
        <v>19</v>
      </c>
      <c r="AA179" s="220">
        <f t="shared" si="41"/>
        <v>24</v>
      </c>
      <c r="AB179" s="220">
        <f t="shared" si="41"/>
        <v>12</v>
      </c>
      <c r="AC179" s="220">
        <f t="shared" si="41"/>
        <v>19</v>
      </c>
      <c r="AD179" s="220">
        <f t="shared" si="41"/>
        <v>11</v>
      </c>
      <c r="AE179" s="220">
        <f t="shared" si="41"/>
        <v>11</v>
      </c>
      <c r="AF179" s="221">
        <f t="shared" si="41"/>
        <v>6</v>
      </c>
      <c r="AG179" s="156">
        <f t="shared" si="34"/>
        <v>514</v>
      </c>
      <c r="AH179" s="38"/>
    </row>
    <row r="180" spans="1:34" ht="18.75" x14ac:dyDescent="0.25">
      <c r="A180" s="109" t="s">
        <v>4</v>
      </c>
      <c r="B180" s="216">
        <v>7</v>
      </c>
      <c r="C180" s="216">
        <v>1</v>
      </c>
      <c r="D180" s="216">
        <v>6</v>
      </c>
      <c r="E180" s="216">
        <v>17</v>
      </c>
      <c r="F180" s="216">
        <v>9</v>
      </c>
      <c r="G180" s="216">
        <v>4</v>
      </c>
      <c r="H180" s="216">
        <v>2</v>
      </c>
      <c r="I180" s="216">
        <v>2</v>
      </c>
      <c r="J180" s="216">
        <v>4</v>
      </c>
      <c r="K180" s="216">
        <v>2</v>
      </c>
      <c r="L180" s="216">
        <v>5</v>
      </c>
      <c r="M180" s="216">
        <v>3</v>
      </c>
      <c r="N180" s="217">
        <v>5</v>
      </c>
      <c r="O180" s="217">
        <v>3</v>
      </c>
      <c r="P180" s="217">
        <v>2</v>
      </c>
      <c r="Q180" s="217">
        <v>1</v>
      </c>
      <c r="R180" s="217">
        <v>12</v>
      </c>
      <c r="S180" s="217">
        <v>4</v>
      </c>
      <c r="T180" s="217">
        <v>7</v>
      </c>
      <c r="U180" s="217"/>
      <c r="V180" s="217">
        <v>8</v>
      </c>
      <c r="W180" s="217">
        <v>6</v>
      </c>
      <c r="X180" s="217">
        <v>3</v>
      </c>
      <c r="Y180" s="217">
        <v>9</v>
      </c>
      <c r="Z180" s="217">
        <v>8</v>
      </c>
      <c r="AA180" s="217">
        <v>6</v>
      </c>
      <c r="AB180" s="217">
        <v>1</v>
      </c>
      <c r="AC180" s="217"/>
      <c r="AD180" s="217">
        <v>5</v>
      </c>
      <c r="AE180" s="217">
        <v>1</v>
      </c>
      <c r="AF180" s="218">
        <v>6</v>
      </c>
      <c r="AG180" s="31">
        <f t="shared" si="34"/>
        <v>149</v>
      </c>
    </row>
    <row r="181" spans="1:34" ht="18.75" x14ac:dyDescent="0.25">
      <c r="A181" s="109" t="s">
        <v>122</v>
      </c>
      <c r="B181" s="147"/>
      <c r="C181" s="147"/>
      <c r="D181" s="147"/>
      <c r="E181" s="147">
        <v>1</v>
      </c>
      <c r="F181" s="147"/>
      <c r="G181" s="147"/>
      <c r="H181" s="147"/>
      <c r="I181" s="147"/>
      <c r="J181" s="147"/>
      <c r="K181" s="147"/>
      <c r="L181" s="147"/>
      <c r="M181" s="147"/>
      <c r="N181" s="17"/>
      <c r="O181" s="17"/>
      <c r="P181" s="17"/>
      <c r="Q181" s="17"/>
      <c r="R181" s="17"/>
      <c r="S181" s="17">
        <v>1</v>
      </c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  <c r="AE181" s="17"/>
      <c r="AF181" s="18"/>
      <c r="AG181" s="4">
        <f t="shared" si="34"/>
        <v>2</v>
      </c>
    </row>
    <row r="182" spans="1:34" ht="18.75" x14ac:dyDescent="0.25">
      <c r="A182" s="109" t="s">
        <v>123</v>
      </c>
      <c r="B182" s="147">
        <v>8</v>
      </c>
      <c r="C182" s="147">
        <v>3</v>
      </c>
      <c r="D182" s="147">
        <v>5</v>
      </c>
      <c r="E182" s="147"/>
      <c r="F182" s="147">
        <v>19</v>
      </c>
      <c r="G182" s="147">
        <v>6</v>
      </c>
      <c r="H182" s="147">
        <v>16</v>
      </c>
      <c r="I182" s="147">
        <v>1</v>
      </c>
      <c r="J182" s="147">
        <v>4</v>
      </c>
      <c r="K182" s="147">
        <v>1</v>
      </c>
      <c r="L182" s="147">
        <v>4</v>
      </c>
      <c r="M182" s="147"/>
      <c r="N182" s="17">
        <v>14</v>
      </c>
      <c r="O182" s="17">
        <v>10</v>
      </c>
      <c r="P182" s="17">
        <v>9</v>
      </c>
      <c r="Q182" s="17">
        <v>2</v>
      </c>
      <c r="R182" s="17">
        <v>3</v>
      </c>
      <c r="S182" s="17">
        <v>3</v>
      </c>
      <c r="T182" s="17">
        <v>14</v>
      </c>
      <c r="U182" s="17">
        <v>12</v>
      </c>
      <c r="V182" s="17">
        <v>11</v>
      </c>
      <c r="W182" s="17">
        <v>6</v>
      </c>
      <c r="X182" s="17">
        <v>10</v>
      </c>
      <c r="Y182" s="17">
        <v>6</v>
      </c>
      <c r="Z182" s="17">
        <v>8</v>
      </c>
      <c r="AA182" s="17">
        <v>11</v>
      </c>
      <c r="AB182" s="17">
        <v>8</v>
      </c>
      <c r="AC182" s="17">
        <v>17</v>
      </c>
      <c r="AD182" s="17"/>
      <c r="AE182" s="17">
        <v>6</v>
      </c>
      <c r="AF182" s="18"/>
      <c r="AG182" s="4">
        <f t="shared" si="34"/>
        <v>217</v>
      </c>
    </row>
    <row r="183" spans="1:34" ht="18.75" x14ac:dyDescent="0.25">
      <c r="A183" s="109" t="s">
        <v>614</v>
      </c>
      <c r="B183" s="147"/>
      <c r="C183" s="147"/>
      <c r="D183" s="147"/>
      <c r="E183" s="147"/>
      <c r="F183" s="147"/>
      <c r="G183" s="147"/>
      <c r="H183" s="147"/>
      <c r="I183" s="147"/>
      <c r="J183" s="147"/>
      <c r="K183" s="147"/>
      <c r="L183" s="147"/>
      <c r="M183" s="14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  <c r="AE183" s="17"/>
      <c r="AF183" s="18"/>
      <c r="AG183" s="4">
        <f t="shared" si="34"/>
        <v>0</v>
      </c>
    </row>
    <row r="184" spans="1:34" s="398" customFormat="1" ht="18.75" x14ac:dyDescent="0.25">
      <c r="A184" s="393" t="s">
        <v>621</v>
      </c>
      <c r="B184" s="394"/>
      <c r="C184" s="394"/>
      <c r="D184" s="394"/>
      <c r="E184" s="394"/>
      <c r="F184" s="394"/>
      <c r="G184" s="394"/>
      <c r="H184" s="394"/>
      <c r="I184" s="394"/>
      <c r="J184" s="394"/>
      <c r="K184" s="394"/>
      <c r="L184" s="394"/>
      <c r="M184" s="394"/>
      <c r="N184" s="395"/>
      <c r="O184" s="395"/>
      <c r="P184" s="395"/>
      <c r="Q184" s="395"/>
      <c r="R184" s="395"/>
      <c r="S184" s="395"/>
      <c r="T184" s="395"/>
      <c r="U184" s="395"/>
      <c r="V184" s="395"/>
      <c r="W184" s="395"/>
      <c r="X184" s="395"/>
      <c r="Y184" s="395"/>
      <c r="Z184" s="395"/>
      <c r="AA184" s="395"/>
      <c r="AB184" s="395"/>
      <c r="AC184" s="395"/>
      <c r="AD184" s="395"/>
      <c r="AE184" s="395"/>
      <c r="AF184" s="396"/>
      <c r="AG184" s="397">
        <f t="shared" ref="AG184" si="42">SUM(B184:AF184)</f>
        <v>0</v>
      </c>
    </row>
    <row r="185" spans="1:34" ht="18.75" x14ac:dyDescent="0.25">
      <c r="A185" s="109" t="s">
        <v>165</v>
      </c>
      <c r="B185" s="147"/>
      <c r="C185" s="147"/>
      <c r="D185" s="147"/>
      <c r="E185" s="147"/>
      <c r="F185" s="147"/>
      <c r="G185" s="147"/>
      <c r="H185" s="147"/>
      <c r="I185" s="147"/>
      <c r="J185" s="147"/>
      <c r="K185" s="147"/>
      <c r="L185" s="147"/>
      <c r="M185" s="147"/>
      <c r="N185" s="17">
        <v>1</v>
      </c>
      <c r="O185" s="17"/>
      <c r="P185" s="17"/>
      <c r="Q185" s="17">
        <v>4</v>
      </c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  <c r="AF185" s="18"/>
      <c r="AG185" s="4">
        <f t="shared" si="34"/>
        <v>5</v>
      </c>
    </row>
    <row r="186" spans="1:34" ht="18.75" x14ac:dyDescent="0.25">
      <c r="A186" s="109" t="s">
        <v>141</v>
      </c>
      <c r="B186" s="147"/>
      <c r="C186" s="147"/>
      <c r="D186" s="147"/>
      <c r="E186" s="147"/>
      <c r="F186" s="147"/>
      <c r="G186" s="147"/>
      <c r="H186" s="147"/>
      <c r="I186" s="147"/>
      <c r="J186" s="147">
        <v>1</v>
      </c>
      <c r="K186" s="147"/>
      <c r="L186" s="147"/>
      <c r="M186" s="14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  <c r="AF186" s="18"/>
      <c r="AG186" s="4">
        <f t="shared" si="34"/>
        <v>1</v>
      </c>
    </row>
    <row r="187" spans="1:34" ht="18.75" x14ac:dyDescent="0.25">
      <c r="A187" s="109" t="s">
        <v>613</v>
      </c>
      <c r="B187" s="147"/>
      <c r="C187" s="147">
        <v>1</v>
      </c>
      <c r="D187" s="147"/>
      <c r="E187" s="147"/>
      <c r="F187" s="147"/>
      <c r="G187" s="147"/>
      <c r="H187" s="147"/>
      <c r="I187" s="147"/>
      <c r="J187" s="147"/>
      <c r="K187" s="147"/>
      <c r="L187" s="147"/>
      <c r="M187" s="14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  <c r="AF187" s="18"/>
      <c r="AG187" s="4">
        <f t="shared" si="34"/>
        <v>1</v>
      </c>
    </row>
    <row r="188" spans="1:34" ht="18.75" x14ac:dyDescent="0.25">
      <c r="A188" s="109" t="s">
        <v>139</v>
      </c>
      <c r="B188" s="147"/>
      <c r="C188" s="147">
        <v>7</v>
      </c>
      <c r="D188" s="147"/>
      <c r="E188" s="147">
        <v>1</v>
      </c>
      <c r="F188" s="147"/>
      <c r="G188" s="147"/>
      <c r="H188" s="147"/>
      <c r="I188" s="147"/>
      <c r="J188" s="147">
        <v>4</v>
      </c>
      <c r="K188" s="147"/>
      <c r="L188" s="147">
        <v>2</v>
      </c>
      <c r="M188" s="147">
        <v>1</v>
      </c>
      <c r="N188" s="17"/>
      <c r="O188" s="17"/>
      <c r="P188" s="17"/>
      <c r="Q188" s="17">
        <v>5</v>
      </c>
      <c r="R188" s="17"/>
      <c r="S188" s="17">
        <v>1</v>
      </c>
      <c r="T188" s="17"/>
      <c r="U188" s="17">
        <v>1</v>
      </c>
      <c r="V188" s="17">
        <v>1</v>
      </c>
      <c r="W188" s="17">
        <v>1</v>
      </c>
      <c r="X188" s="17"/>
      <c r="Y188" s="17"/>
      <c r="Z188" s="17"/>
      <c r="AA188" s="17"/>
      <c r="AB188" s="17"/>
      <c r="AC188" s="17"/>
      <c r="AD188" s="17"/>
      <c r="AE188" s="17"/>
      <c r="AF188" s="18"/>
      <c r="AG188" s="4">
        <f t="shared" si="34"/>
        <v>24</v>
      </c>
    </row>
    <row r="189" spans="1:34" ht="18.75" x14ac:dyDescent="0.25">
      <c r="A189" s="110" t="s">
        <v>63</v>
      </c>
      <c r="B189" s="147"/>
      <c r="C189" s="147"/>
      <c r="D189" s="147"/>
      <c r="E189" s="147"/>
      <c r="F189" s="147"/>
      <c r="G189" s="147"/>
      <c r="H189" s="147"/>
      <c r="I189" s="147"/>
      <c r="J189" s="147"/>
      <c r="K189" s="147"/>
      <c r="L189" s="147"/>
      <c r="M189" s="147"/>
      <c r="N189" s="17"/>
      <c r="O189" s="17"/>
      <c r="P189" s="17"/>
      <c r="Q189" s="17"/>
      <c r="R189" s="17"/>
      <c r="S189" s="17"/>
      <c r="T189" s="17">
        <v>1</v>
      </c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  <c r="AE189" s="17"/>
      <c r="AF189" s="18"/>
      <c r="AG189" s="4">
        <f t="shared" si="34"/>
        <v>1</v>
      </c>
    </row>
    <row r="190" spans="1:34" ht="18.75" x14ac:dyDescent="0.25">
      <c r="A190" s="110" t="s">
        <v>142</v>
      </c>
      <c r="B190" s="147"/>
      <c r="C190" s="147"/>
      <c r="D190" s="147"/>
      <c r="E190" s="147"/>
      <c r="F190" s="147"/>
      <c r="G190" s="147"/>
      <c r="H190" s="147"/>
      <c r="I190" s="147"/>
      <c r="J190" s="147"/>
      <c r="K190" s="147"/>
      <c r="L190" s="147"/>
      <c r="M190" s="147"/>
      <c r="N190" s="17"/>
      <c r="O190" s="17"/>
      <c r="P190" s="17"/>
      <c r="Q190" s="17">
        <v>2</v>
      </c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  <c r="AE190" s="17"/>
      <c r="AF190" s="18"/>
      <c r="AG190" s="4">
        <f t="shared" si="34"/>
        <v>2</v>
      </c>
    </row>
    <row r="191" spans="1:34" ht="18.75" x14ac:dyDescent="0.25">
      <c r="A191" s="110" t="s">
        <v>168</v>
      </c>
      <c r="B191" s="147"/>
      <c r="C191" s="147"/>
      <c r="D191" s="147"/>
      <c r="E191" s="147"/>
      <c r="F191" s="147"/>
      <c r="G191" s="147"/>
      <c r="H191" s="147"/>
      <c r="I191" s="147"/>
      <c r="J191" s="147"/>
      <c r="K191" s="147"/>
      <c r="L191" s="147"/>
      <c r="M191" s="147"/>
      <c r="N191" s="17"/>
      <c r="O191" s="17"/>
      <c r="P191" s="17"/>
      <c r="Q191" s="17"/>
      <c r="R191" s="17"/>
      <c r="S191" s="17"/>
      <c r="T191" s="17"/>
      <c r="U191" s="17"/>
      <c r="V191" s="17">
        <v>1</v>
      </c>
      <c r="W191" s="17"/>
      <c r="X191" s="17"/>
      <c r="Y191" s="17"/>
      <c r="Z191" s="17"/>
      <c r="AA191" s="17"/>
      <c r="AB191" s="17"/>
      <c r="AC191" s="17"/>
      <c r="AD191" s="17"/>
      <c r="AE191" s="17"/>
      <c r="AF191" s="18"/>
      <c r="AG191" s="4">
        <f t="shared" si="34"/>
        <v>1</v>
      </c>
    </row>
    <row r="192" spans="1:34" ht="18.75" x14ac:dyDescent="0.25">
      <c r="A192" s="110" t="s">
        <v>169</v>
      </c>
      <c r="B192" s="147"/>
      <c r="C192" s="147"/>
      <c r="D192" s="147"/>
      <c r="E192" s="147"/>
      <c r="F192" s="147"/>
      <c r="G192" s="147"/>
      <c r="H192" s="147"/>
      <c r="I192" s="147"/>
      <c r="J192" s="147"/>
      <c r="K192" s="147"/>
      <c r="L192" s="147"/>
      <c r="M192" s="14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  <c r="AE192" s="17"/>
      <c r="AF192" s="18"/>
      <c r="AG192" s="4">
        <f t="shared" si="34"/>
        <v>0</v>
      </c>
    </row>
    <row r="193" spans="1:34" ht="18.75" x14ac:dyDescent="0.25">
      <c r="A193" s="236" t="s">
        <v>5</v>
      </c>
      <c r="B193" s="237">
        <v>2</v>
      </c>
      <c r="C193" s="237"/>
      <c r="D193" s="237"/>
      <c r="E193" s="237">
        <v>1</v>
      </c>
      <c r="F193" s="237"/>
      <c r="G193" s="237">
        <v>1</v>
      </c>
      <c r="H193" s="237">
        <v>1</v>
      </c>
      <c r="I193" s="237">
        <v>1</v>
      </c>
      <c r="J193" s="237"/>
      <c r="K193" s="237"/>
      <c r="L193" s="237"/>
      <c r="M193" s="237"/>
      <c r="N193" s="238"/>
      <c r="O193" s="238"/>
      <c r="P193" s="238">
        <v>1</v>
      </c>
      <c r="Q193" s="238">
        <v>1</v>
      </c>
      <c r="R193" s="238"/>
      <c r="S193" s="238"/>
      <c r="T193" s="238"/>
      <c r="U193" s="238"/>
      <c r="V193" s="238">
        <v>1</v>
      </c>
      <c r="W193" s="238">
        <v>2</v>
      </c>
      <c r="X193" s="238">
        <v>4</v>
      </c>
      <c r="Y193" s="238">
        <v>1</v>
      </c>
      <c r="Z193" s="238">
        <v>1</v>
      </c>
      <c r="AA193" s="238"/>
      <c r="AB193" s="238"/>
      <c r="AC193" s="238"/>
      <c r="AD193" s="238"/>
      <c r="AE193" s="238">
        <v>1</v>
      </c>
      <c r="AF193" s="239"/>
      <c r="AG193" s="240">
        <f t="shared" si="34"/>
        <v>18</v>
      </c>
    </row>
    <row r="194" spans="1:34" ht="18.75" x14ac:dyDescent="0.25">
      <c r="A194" s="111" t="s">
        <v>174</v>
      </c>
      <c r="B194" s="147"/>
      <c r="C194" s="147"/>
      <c r="D194" s="147"/>
      <c r="E194" s="147"/>
      <c r="F194" s="147"/>
      <c r="G194" s="147"/>
      <c r="H194" s="147"/>
      <c r="I194" s="147"/>
      <c r="J194" s="147"/>
      <c r="K194" s="147"/>
      <c r="L194" s="147"/>
      <c r="M194" s="14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  <c r="AE194" s="17"/>
      <c r="AF194" s="18"/>
      <c r="AG194" s="4">
        <f t="shared" si="34"/>
        <v>0</v>
      </c>
    </row>
    <row r="195" spans="1:34" ht="18.75" x14ac:dyDescent="0.25">
      <c r="A195" s="111" t="s">
        <v>171</v>
      </c>
      <c r="B195" s="147"/>
      <c r="C195" s="147"/>
      <c r="D195" s="147"/>
      <c r="E195" s="147"/>
      <c r="F195" s="147"/>
      <c r="G195" s="147"/>
      <c r="H195" s="147"/>
      <c r="I195" s="147"/>
      <c r="J195" s="147"/>
      <c r="K195" s="147"/>
      <c r="L195" s="147"/>
      <c r="M195" s="14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>
        <v>1</v>
      </c>
      <c r="AD195" s="17"/>
      <c r="AE195" s="17"/>
      <c r="AF195" s="18"/>
      <c r="AG195" s="4">
        <f t="shared" si="34"/>
        <v>1</v>
      </c>
    </row>
    <row r="196" spans="1:34" ht="18.75" x14ac:dyDescent="0.25">
      <c r="A196" s="111" t="s">
        <v>173</v>
      </c>
      <c r="B196" s="147"/>
      <c r="C196" s="147"/>
      <c r="D196" s="147"/>
      <c r="E196" s="147"/>
      <c r="F196" s="147"/>
      <c r="G196" s="147"/>
      <c r="H196" s="147"/>
      <c r="I196" s="147"/>
      <c r="J196" s="147"/>
      <c r="K196" s="147"/>
      <c r="L196" s="147"/>
      <c r="M196" s="14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  <c r="AE196" s="17"/>
      <c r="AF196" s="18"/>
      <c r="AG196" s="4">
        <f t="shared" si="34"/>
        <v>0</v>
      </c>
    </row>
    <row r="197" spans="1:34" ht="18.75" x14ac:dyDescent="0.25">
      <c r="A197" s="111" t="s">
        <v>88</v>
      </c>
      <c r="B197" s="147"/>
      <c r="C197" s="147"/>
      <c r="D197" s="147"/>
      <c r="E197" s="147">
        <v>2</v>
      </c>
      <c r="F197" s="147">
        <v>1</v>
      </c>
      <c r="G197" s="147"/>
      <c r="H197" s="147"/>
      <c r="I197" s="147"/>
      <c r="J197" s="147"/>
      <c r="K197" s="147"/>
      <c r="L197" s="147"/>
      <c r="M197" s="147"/>
      <c r="N197" s="17"/>
      <c r="O197" s="17"/>
      <c r="P197" s="17"/>
      <c r="Q197" s="17"/>
      <c r="R197" s="17">
        <v>1</v>
      </c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  <c r="AE197" s="17"/>
      <c r="AF197" s="18"/>
      <c r="AG197" s="4">
        <f t="shared" si="34"/>
        <v>4</v>
      </c>
    </row>
    <row r="198" spans="1:34" ht="18.75" x14ac:dyDescent="0.25">
      <c r="A198" s="111" t="s">
        <v>617</v>
      </c>
      <c r="B198" s="147"/>
      <c r="C198" s="147"/>
      <c r="D198" s="147"/>
      <c r="E198" s="147"/>
      <c r="F198" s="147"/>
      <c r="G198" s="147"/>
      <c r="H198" s="147"/>
      <c r="I198" s="147"/>
      <c r="J198" s="147"/>
      <c r="K198" s="147"/>
      <c r="L198" s="147"/>
      <c r="M198" s="14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  <c r="AE198" s="17"/>
      <c r="AF198" s="18"/>
      <c r="AG198" s="4">
        <f t="shared" si="34"/>
        <v>0</v>
      </c>
    </row>
    <row r="199" spans="1:34" ht="18.75" x14ac:dyDescent="0.25">
      <c r="A199" s="111" t="s">
        <v>143</v>
      </c>
      <c r="B199" s="147">
        <v>1</v>
      </c>
      <c r="C199" s="147"/>
      <c r="D199" s="147"/>
      <c r="E199" s="147"/>
      <c r="F199" s="147"/>
      <c r="G199" s="147">
        <v>1</v>
      </c>
      <c r="H199" s="147"/>
      <c r="I199" s="147"/>
      <c r="J199" s="147"/>
      <c r="K199" s="147"/>
      <c r="L199" s="147"/>
      <c r="M199" s="147"/>
      <c r="N199" s="17"/>
      <c r="O199" s="17">
        <v>1</v>
      </c>
      <c r="P199" s="17"/>
      <c r="Q199" s="17"/>
      <c r="R199" s="17"/>
      <c r="S199" s="17"/>
      <c r="T199" s="17">
        <v>1</v>
      </c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  <c r="AE199" s="17"/>
      <c r="AF199" s="18"/>
      <c r="AG199" s="4">
        <f t="shared" si="34"/>
        <v>4</v>
      </c>
    </row>
    <row r="200" spans="1:34" ht="18.75" x14ac:dyDescent="0.25">
      <c r="A200" s="110" t="s">
        <v>124</v>
      </c>
      <c r="B200" s="147">
        <v>6</v>
      </c>
      <c r="C200" s="147">
        <v>5</v>
      </c>
      <c r="D200" s="147"/>
      <c r="E200" s="147"/>
      <c r="F200" s="147"/>
      <c r="G200" s="147">
        <v>1</v>
      </c>
      <c r="H200" s="147"/>
      <c r="I200" s="147">
        <v>5</v>
      </c>
      <c r="J200" s="147"/>
      <c r="K200" s="147"/>
      <c r="L200" s="147"/>
      <c r="M200" s="147"/>
      <c r="N200" s="17"/>
      <c r="O200" s="17">
        <v>1</v>
      </c>
      <c r="P200" s="17">
        <v>1</v>
      </c>
      <c r="Q200" s="17">
        <v>1</v>
      </c>
      <c r="R200" s="17"/>
      <c r="S200" s="17"/>
      <c r="T200" s="17">
        <v>4</v>
      </c>
      <c r="U200" s="17"/>
      <c r="V200" s="17"/>
      <c r="W200" s="17">
        <v>3</v>
      </c>
      <c r="X200" s="17"/>
      <c r="Y200" s="17"/>
      <c r="Z200" s="17"/>
      <c r="AA200" s="17"/>
      <c r="AB200" s="17">
        <v>1</v>
      </c>
      <c r="AC200" s="17">
        <v>1</v>
      </c>
      <c r="AD200" s="17">
        <v>5</v>
      </c>
      <c r="AE200" s="17">
        <v>1</v>
      </c>
      <c r="AF200" s="18"/>
      <c r="AG200" s="4">
        <f t="shared" si="34"/>
        <v>35</v>
      </c>
    </row>
    <row r="201" spans="1:34" ht="18.75" x14ac:dyDescent="0.25">
      <c r="A201" s="110" t="s">
        <v>167</v>
      </c>
      <c r="B201" s="147"/>
      <c r="C201" s="147"/>
      <c r="D201" s="147"/>
      <c r="E201" s="147"/>
      <c r="F201" s="147"/>
      <c r="G201" s="147"/>
      <c r="H201" s="147"/>
      <c r="I201" s="147"/>
      <c r="J201" s="147"/>
      <c r="K201" s="147"/>
      <c r="L201" s="147"/>
      <c r="M201" s="147"/>
      <c r="N201" s="17"/>
      <c r="O201" s="17">
        <v>1</v>
      </c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  <c r="AD201" s="17"/>
      <c r="AE201" s="17"/>
      <c r="AF201" s="18"/>
      <c r="AG201" s="4">
        <f t="shared" si="34"/>
        <v>1</v>
      </c>
    </row>
    <row r="202" spans="1:34" ht="18.75" x14ac:dyDescent="0.25">
      <c r="A202" s="110" t="s">
        <v>125</v>
      </c>
      <c r="B202" s="147"/>
      <c r="C202" s="147">
        <v>1</v>
      </c>
      <c r="D202" s="147"/>
      <c r="E202" s="147"/>
      <c r="F202" s="147"/>
      <c r="G202" s="147"/>
      <c r="H202" s="147"/>
      <c r="I202" s="147"/>
      <c r="J202" s="147"/>
      <c r="K202" s="147"/>
      <c r="L202" s="147"/>
      <c r="M202" s="147"/>
      <c r="N202" s="17"/>
      <c r="O202" s="17"/>
      <c r="P202" s="17"/>
      <c r="Q202" s="17"/>
      <c r="R202" s="17"/>
      <c r="S202" s="17">
        <v>1</v>
      </c>
      <c r="T202" s="17"/>
      <c r="U202" s="17"/>
      <c r="V202" s="17"/>
      <c r="W202" s="17"/>
      <c r="X202" s="17">
        <v>1</v>
      </c>
      <c r="Y202" s="17"/>
      <c r="Z202" s="17"/>
      <c r="AA202" s="17"/>
      <c r="AB202" s="17"/>
      <c r="AC202" s="17"/>
      <c r="AD202" s="17"/>
      <c r="AE202" s="17"/>
      <c r="AF202" s="18"/>
      <c r="AG202" s="4">
        <f t="shared" si="34"/>
        <v>3</v>
      </c>
    </row>
    <row r="203" spans="1:34" ht="18.75" x14ac:dyDescent="0.25">
      <c r="A203" s="110" t="s">
        <v>126</v>
      </c>
      <c r="B203" s="202">
        <v>1</v>
      </c>
      <c r="C203" s="202">
        <v>3</v>
      </c>
      <c r="D203" s="202">
        <v>2</v>
      </c>
      <c r="E203" s="202"/>
      <c r="F203" s="202">
        <v>4</v>
      </c>
      <c r="G203" s="202"/>
      <c r="H203" s="202">
        <v>2</v>
      </c>
      <c r="I203" s="202">
        <v>1</v>
      </c>
      <c r="J203" s="202"/>
      <c r="K203" s="202"/>
      <c r="L203" s="202">
        <v>1</v>
      </c>
      <c r="M203" s="202">
        <v>1</v>
      </c>
      <c r="N203" s="203">
        <v>2</v>
      </c>
      <c r="O203" s="203"/>
      <c r="P203" s="203"/>
      <c r="Q203" s="203"/>
      <c r="R203" s="203"/>
      <c r="S203" s="203"/>
      <c r="T203" s="203"/>
      <c r="U203" s="203">
        <v>3</v>
      </c>
      <c r="V203" s="203">
        <v>1</v>
      </c>
      <c r="W203" s="203">
        <v>2</v>
      </c>
      <c r="X203" s="203">
        <v>1</v>
      </c>
      <c r="Y203" s="203">
        <v>1</v>
      </c>
      <c r="Z203" s="203">
        <v>1</v>
      </c>
      <c r="AA203" s="203">
        <v>2</v>
      </c>
      <c r="AB203" s="203">
        <v>2</v>
      </c>
      <c r="AC203" s="203"/>
      <c r="AD203" s="203">
        <v>1</v>
      </c>
      <c r="AE203" s="203">
        <v>2</v>
      </c>
      <c r="AF203" s="204"/>
      <c r="AG203" s="4">
        <f t="shared" si="34"/>
        <v>33</v>
      </c>
    </row>
    <row r="204" spans="1:34" ht="18.75" x14ac:dyDescent="0.25">
      <c r="A204" s="112" t="s">
        <v>170</v>
      </c>
      <c r="B204" s="202">
        <v>1</v>
      </c>
      <c r="C204" s="202"/>
      <c r="D204" s="202"/>
      <c r="E204" s="202">
        <v>1</v>
      </c>
      <c r="F204" s="202">
        <v>1</v>
      </c>
      <c r="G204" s="202"/>
      <c r="H204" s="202"/>
      <c r="I204" s="202"/>
      <c r="J204" s="202"/>
      <c r="K204" s="202"/>
      <c r="L204" s="202">
        <v>1</v>
      </c>
      <c r="M204" s="202"/>
      <c r="N204" s="203">
        <v>1</v>
      </c>
      <c r="O204" s="203"/>
      <c r="P204" s="203"/>
      <c r="Q204" s="203"/>
      <c r="R204" s="203"/>
      <c r="S204" s="203"/>
      <c r="T204" s="203"/>
      <c r="U204" s="203"/>
      <c r="V204" s="203">
        <v>1</v>
      </c>
      <c r="W204" s="203"/>
      <c r="X204" s="203"/>
      <c r="Y204" s="203"/>
      <c r="Z204" s="203">
        <v>1</v>
      </c>
      <c r="AA204" s="203">
        <v>5</v>
      </c>
      <c r="AB204" s="203"/>
      <c r="AC204" s="203"/>
      <c r="AD204" s="203"/>
      <c r="AE204" s="203"/>
      <c r="AF204" s="204"/>
      <c r="AG204" s="4">
        <f t="shared" si="34"/>
        <v>12</v>
      </c>
    </row>
    <row r="205" spans="1:34" ht="19.5" thickBot="1" x14ac:dyDescent="0.3">
      <c r="A205" s="231" t="s">
        <v>166</v>
      </c>
      <c r="B205" s="202"/>
      <c r="C205" s="202"/>
      <c r="D205" s="202"/>
      <c r="E205" s="202"/>
      <c r="F205" s="202"/>
      <c r="G205" s="202"/>
      <c r="H205" s="202"/>
      <c r="I205" s="202"/>
      <c r="J205" s="202"/>
      <c r="K205" s="202"/>
      <c r="L205" s="202"/>
      <c r="M205" s="202"/>
      <c r="N205" s="203"/>
      <c r="O205" s="203"/>
      <c r="P205" s="203"/>
      <c r="Q205" s="203"/>
      <c r="R205" s="203"/>
      <c r="S205" s="203"/>
      <c r="T205" s="203"/>
      <c r="U205" s="203"/>
      <c r="V205" s="203"/>
      <c r="W205" s="203"/>
      <c r="X205" s="203"/>
      <c r="Y205" s="203"/>
      <c r="Z205" s="203"/>
      <c r="AA205" s="203"/>
      <c r="AB205" s="203"/>
      <c r="AC205" s="203"/>
      <c r="AD205" s="203"/>
      <c r="AE205" s="203"/>
      <c r="AF205" s="204"/>
      <c r="AG205" s="28">
        <f t="shared" si="34"/>
        <v>0</v>
      </c>
    </row>
    <row r="206" spans="1:34" ht="19.5" thickBot="1" x14ac:dyDescent="0.3">
      <c r="A206" s="215" t="s">
        <v>83</v>
      </c>
      <c r="B206" s="209">
        <f>SUM(B207:B211)</f>
        <v>156</v>
      </c>
      <c r="C206" s="210">
        <f t="shared" ref="C206:AF206" si="43">SUM(C207:C211)</f>
        <v>152</v>
      </c>
      <c r="D206" s="210">
        <f t="shared" si="43"/>
        <v>145</v>
      </c>
      <c r="E206" s="210">
        <f t="shared" si="43"/>
        <v>191</v>
      </c>
      <c r="F206" s="210">
        <f t="shared" si="43"/>
        <v>218</v>
      </c>
      <c r="G206" s="210">
        <f t="shared" si="43"/>
        <v>150</v>
      </c>
      <c r="H206" s="210">
        <f t="shared" si="43"/>
        <v>136</v>
      </c>
      <c r="I206" s="210">
        <f t="shared" si="43"/>
        <v>132</v>
      </c>
      <c r="J206" s="210">
        <f t="shared" si="43"/>
        <v>129</v>
      </c>
      <c r="K206" s="210">
        <f t="shared" si="43"/>
        <v>119</v>
      </c>
      <c r="L206" s="210">
        <f t="shared" si="43"/>
        <v>192</v>
      </c>
      <c r="M206" s="210">
        <f t="shared" si="43"/>
        <v>198</v>
      </c>
      <c r="N206" s="211">
        <f t="shared" si="43"/>
        <v>159</v>
      </c>
      <c r="O206" s="211">
        <f t="shared" si="43"/>
        <v>142</v>
      </c>
      <c r="P206" s="211">
        <f t="shared" si="43"/>
        <v>144</v>
      </c>
      <c r="Q206" s="211">
        <f t="shared" si="43"/>
        <v>138</v>
      </c>
      <c r="R206" s="211">
        <f t="shared" si="43"/>
        <v>129</v>
      </c>
      <c r="S206" s="211">
        <f t="shared" si="43"/>
        <v>191</v>
      </c>
      <c r="T206" s="211">
        <f t="shared" si="43"/>
        <v>219</v>
      </c>
      <c r="U206" s="211">
        <f t="shared" si="43"/>
        <v>149</v>
      </c>
      <c r="V206" s="211">
        <f t="shared" si="43"/>
        <v>151</v>
      </c>
      <c r="W206" s="211">
        <f t="shared" si="43"/>
        <v>138</v>
      </c>
      <c r="X206" s="211">
        <f t="shared" si="43"/>
        <v>148</v>
      </c>
      <c r="Y206" s="211">
        <f t="shared" si="43"/>
        <v>130</v>
      </c>
      <c r="Z206" s="211">
        <f t="shared" si="43"/>
        <v>201</v>
      </c>
      <c r="AA206" s="211">
        <f t="shared" si="43"/>
        <v>225</v>
      </c>
      <c r="AB206" s="211">
        <f t="shared" si="43"/>
        <v>143</v>
      </c>
      <c r="AC206" s="211">
        <f t="shared" si="43"/>
        <v>134</v>
      </c>
      <c r="AD206" s="211">
        <f t="shared" si="43"/>
        <v>146</v>
      </c>
      <c r="AE206" s="211">
        <f t="shared" si="43"/>
        <v>142</v>
      </c>
      <c r="AF206" s="212">
        <f t="shared" si="43"/>
        <v>147</v>
      </c>
      <c r="AG206" s="213">
        <f t="shared" si="34"/>
        <v>4894</v>
      </c>
      <c r="AH206" s="180" t="str">
        <f>IF(AG206&lt;&gt;AG93,"X","")</f>
        <v/>
      </c>
    </row>
    <row r="207" spans="1:34" ht="18.75" x14ac:dyDescent="0.25">
      <c r="A207" s="214" t="s">
        <v>72</v>
      </c>
      <c r="B207" s="205"/>
      <c r="C207" s="205"/>
      <c r="D207" s="205"/>
      <c r="E207" s="205"/>
      <c r="F207" s="205"/>
      <c r="G207" s="205"/>
      <c r="H207" s="205"/>
      <c r="I207" s="205"/>
      <c r="J207" s="205"/>
      <c r="K207" s="205"/>
      <c r="L207" s="205"/>
      <c r="M207" s="205"/>
      <c r="N207" s="206"/>
      <c r="O207" s="206"/>
      <c r="P207" s="206"/>
      <c r="Q207" s="206"/>
      <c r="R207" s="206"/>
      <c r="S207" s="206"/>
      <c r="T207" s="206">
        <v>1</v>
      </c>
      <c r="U207" s="206"/>
      <c r="V207" s="206"/>
      <c r="W207" s="206"/>
      <c r="X207" s="206"/>
      <c r="Y207" s="206"/>
      <c r="Z207" s="206"/>
      <c r="AA207" s="206"/>
      <c r="AB207" s="206"/>
      <c r="AC207" s="206"/>
      <c r="AD207" s="206"/>
      <c r="AE207" s="206"/>
      <c r="AF207" s="207"/>
      <c r="AG207" s="208">
        <f t="shared" si="34"/>
        <v>1</v>
      </c>
    </row>
    <row r="208" spans="1:34" ht="18.75" x14ac:dyDescent="0.25">
      <c r="A208" s="52" t="s">
        <v>73</v>
      </c>
      <c r="B208" s="148">
        <v>2</v>
      </c>
      <c r="C208" s="148">
        <v>1</v>
      </c>
      <c r="D208" s="148"/>
      <c r="E208" s="148">
        <v>2</v>
      </c>
      <c r="F208" s="148"/>
      <c r="G208" s="148"/>
      <c r="H208" s="148">
        <v>2</v>
      </c>
      <c r="I208" s="148">
        <v>3</v>
      </c>
      <c r="J208" s="148"/>
      <c r="K208" s="148"/>
      <c r="L208" s="148">
        <v>1</v>
      </c>
      <c r="M208" s="148"/>
      <c r="N208" s="33">
        <v>1</v>
      </c>
      <c r="O208" s="33"/>
      <c r="P208" s="33"/>
      <c r="Q208" s="33">
        <v>2</v>
      </c>
      <c r="R208" s="33">
        <v>2</v>
      </c>
      <c r="S208" s="33"/>
      <c r="T208" s="33">
        <v>1</v>
      </c>
      <c r="U208" s="33">
        <v>1</v>
      </c>
      <c r="V208" s="33">
        <v>2</v>
      </c>
      <c r="W208" s="33"/>
      <c r="X208" s="33">
        <v>4</v>
      </c>
      <c r="Y208" s="33">
        <v>2</v>
      </c>
      <c r="Z208" s="33">
        <v>2</v>
      </c>
      <c r="AA208" s="33">
        <v>1</v>
      </c>
      <c r="AB208" s="33"/>
      <c r="AC208" s="33">
        <v>1</v>
      </c>
      <c r="AD208" s="33">
        <v>2</v>
      </c>
      <c r="AE208" s="33"/>
      <c r="AF208" s="88">
        <v>1</v>
      </c>
      <c r="AG208" s="97">
        <f t="shared" si="34"/>
        <v>33</v>
      </c>
    </row>
    <row r="209" spans="1:34" ht="18.75" x14ac:dyDescent="0.25">
      <c r="A209" s="52" t="s">
        <v>74</v>
      </c>
      <c r="B209" s="148">
        <v>12</v>
      </c>
      <c r="C209" s="148">
        <v>9</v>
      </c>
      <c r="D209" s="148">
        <v>7</v>
      </c>
      <c r="E209" s="148">
        <v>37</v>
      </c>
      <c r="F209" s="148">
        <v>19</v>
      </c>
      <c r="G209" s="148">
        <v>14</v>
      </c>
      <c r="H209" s="148">
        <v>6</v>
      </c>
      <c r="I209" s="148">
        <v>10</v>
      </c>
      <c r="J209" s="148">
        <v>18</v>
      </c>
      <c r="K209" s="148">
        <v>10</v>
      </c>
      <c r="L209" s="148">
        <v>16</v>
      </c>
      <c r="M209" s="148">
        <v>11</v>
      </c>
      <c r="N209" s="33">
        <v>17</v>
      </c>
      <c r="O209" s="33">
        <v>10</v>
      </c>
      <c r="P209" s="33">
        <v>4</v>
      </c>
      <c r="Q209" s="33">
        <v>19</v>
      </c>
      <c r="R209" s="33">
        <v>29</v>
      </c>
      <c r="S209" s="33">
        <v>13</v>
      </c>
      <c r="T209" s="33">
        <v>23</v>
      </c>
      <c r="U209" s="33">
        <v>7</v>
      </c>
      <c r="V209" s="33">
        <v>18</v>
      </c>
      <c r="W209" s="33">
        <v>16</v>
      </c>
      <c r="X209" s="33">
        <v>39</v>
      </c>
      <c r="Y209" s="33">
        <v>25</v>
      </c>
      <c r="Z209" s="33">
        <v>29</v>
      </c>
      <c r="AA209" s="33">
        <v>16</v>
      </c>
      <c r="AB209" s="33">
        <v>15</v>
      </c>
      <c r="AC209" s="33">
        <v>22</v>
      </c>
      <c r="AD209" s="33">
        <v>10</v>
      </c>
      <c r="AE209" s="33">
        <v>16</v>
      </c>
      <c r="AF209" s="88">
        <v>13</v>
      </c>
      <c r="AG209" s="97">
        <f t="shared" si="34"/>
        <v>510</v>
      </c>
    </row>
    <row r="210" spans="1:34" ht="18.75" x14ac:dyDescent="0.25">
      <c r="A210" s="52" t="s">
        <v>75</v>
      </c>
      <c r="B210" s="148">
        <v>95</v>
      </c>
      <c r="C210" s="148">
        <v>115</v>
      </c>
      <c r="D210" s="148">
        <v>119</v>
      </c>
      <c r="E210" s="148">
        <v>126</v>
      </c>
      <c r="F210" s="148">
        <v>140</v>
      </c>
      <c r="G210" s="148">
        <v>127</v>
      </c>
      <c r="H210" s="148">
        <v>106</v>
      </c>
      <c r="I210" s="148">
        <v>78</v>
      </c>
      <c r="J210" s="148">
        <v>94</v>
      </c>
      <c r="K210" s="148">
        <v>82</v>
      </c>
      <c r="L210" s="148">
        <v>133</v>
      </c>
      <c r="M210" s="148">
        <v>161</v>
      </c>
      <c r="N210" s="33">
        <v>122</v>
      </c>
      <c r="O210" s="33">
        <v>117</v>
      </c>
      <c r="P210" s="33">
        <v>58</v>
      </c>
      <c r="Q210" s="33">
        <v>88</v>
      </c>
      <c r="R210" s="33">
        <v>80</v>
      </c>
      <c r="S210" s="33">
        <v>132</v>
      </c>
      <c r="T210" s="33">
        <v>162</v>
      </c>
      <c r="U210" s="33">
        <v>113</v>
      </c>
      <c r="V210" s="33">
        <v>106</v>
      </c>
      <c r="W210" s="33">
        <v>101</v>
      </c>
      <c r="X210" s="33">
        <v>99</v>
      </c>
      <c r="Y210" s="33">
        <v>79</v>
      </c>
      <c r="Z210" s="33">
        <v>131</v>
      </c>
      <c r="AA210" s="33">
        <v>172</v>
      </c>
      <c r="AB210" s="33">
        <v>89</v>
      </c>
      <c r="AC210" s="33">
        <v>100</v>
      </c>
      <c r="AD210" s="33">
        <v>101</v>
      </c>
      <c r="AE210" s="33">
        <v>123</v>
      </c>
      <c r="AF210" s="88">
        <v>91</v>
      </c>
      <c r="AG210" s="97">
        <f t="shared" si="34"/>
        <v>3440</v>
      </c>
    </row>
    <row r="211" spans="1:34" ht="19.5" thickBot="1" x14ac:dyDescent="0.3">
      <c r="A211" s="63" t="s">
        <v>76</v>
      </c>
      <c r="B211" s="149">
        <v>47</v>
      </c>
      <c r="C211" s="149">
        <v>27</v>
      </c>
      <c r="D211" s="149">
        <v>19</v>
      </c>
      <c r="E211" s="149">
        <v>26</v>
      </c>
      <c r="F211" s="149">
        <v>59</v>
      </c>
      <c r="G211" s="149">
        <v>9</v>
      </c>
      <c r="H211" s="149">
        <v>22</v>
      </c>
      <c r="I211" s="149">
        <v>41</v>
      </c>
      <c r="J211" s="149">
        <v>17</v>
      </c>
      <c r="K211" s="149">
        <v>27</v>
      </c>
      <c r="L211" s="149">
        <v>42</v>
      </c>
      <c r="M211" s="149">
        <v>26</v>
      </c>
      <c r="N211" s="34">
        <v>19</v>
      </c>
      <c r="O211" s="34">
        <v>15</v>
      </c>
      <c r="P211" s="34">
        <v>82</v>
      </c>
      <c r="Q211" s="34">
        <v>29</v>
      </c>
      <c r="R211" s="34">
        <v>18</v>
      </c>
      <c r="S211" s="34">
        <v>46</v>
      </c>
      <c r="T211" s="34">
        <v>32</v>
      </c>
      <c r="U211" s="34">
        <v>28</v>
      </c>
      <c r="V211" s="34">
        <v>25</v>
      </c>
      <c r="W211" s="34">
        <v>21</v>
      </c>
      <c r="X211" s="34">
        <v>6</v>
      </c>
      <c r="Y211" s="34">
        <v>24</v>
      </c>
      <c r="Z211" s="34">
        <v>39</v>
      </c>
      <c r="AA211" s="34">
        <v>36</v>
      </c>
      <c r="AB211" s="34">
        <v>39</v>
      </c>
      <c r="AC211" s="34">
        <v>11</v>
      </c>
      <c r="AD211" s="34">
        <v>33</v>
      </c>
      <c r="AE211" s="34">
        <v>3</v>
      </c>
      <c r="AF211" s="89">
        <v>42</v>
      </c>
      <c r="AG211" s="35">
        <f t="shared" si="34"/>
        <v>910</v>
      </c>
    </row>
    <row r="212" spans="1:34" ht="19.5" thickBot="1" x14ac:dyDescent="0.3">
      <c r="A212" s="121" t="s">
        <v>622</v>
      </c>
      <c r="B212" s="404"/>
      <c r="C212" s="404"/>
      <c r="D212" s="404"/>
      <c r="E212" s="404"/>
      <c r="F212" s="404"/>
      <c r="G212" s="404"/>
      <c r="H212" s="404"/>
      <c r="I212" s="404"/>
      <c r="J212" s="404"/>
      <c r="K212" s="404"/>
      <c r="L212" s="404"/>
      <c r="M212" s="404"/>
      <c r="N212" s="122"/>
      <c r="O212" s="122"/>
      <c r="P212" s="122"/>
      <c r="Q212" s="122"/>
      <c r="R212" s="122"/>
      <c r="S212" s="122"/>
      <c r="T212" s="122"/>
      <c r="U212" s="122"/>
      <c r="V212" s="122"/>
      <c r="W212" s="122"/>
      <c r="X212" s="122"/>
      <c r="Y212" s="122"/>
      <c r="Z212" s="122"/>
      <c r="AA212" s="122"/>
      <c r="AB212" s="122"/>
      <c r="AC212" s="122"/>
      <c r="AD212" s="122"/>
      <c r="AE212" s="122"/>
      <c r="AF212" s="123"/>
      <c r="AG212" s="124">
        <f t="shared" si="34"/>
        <v>0</v>
      </c>
    </row>
    <row r="213" spans="1:34" ht="18.75" x14ac:dyDescent="0.25">
      <c r="A213" s="414" t="s">
        <v>624</v>
      </c>
      <c r="B213" s="415"/>
      <c r="C213" s="415"/>
      <c r="D213" s="415"/>
      <c r="E213" s="415"/>
      <c r="F213" s="415"/>
      <c r="G213" s="415"/>
      <c r="H213" s="415"/>
      <c r="I213" s="415"/>
      <c r="J213" s="415"/>
      <c r="K213" s="415"/>
      <c r="L213" s="415"/>
      <c r="M213" s="415"/>
      <c r="N213" s="416"/>
      <c r="O213" s="416"/>
      <c r="P213" s="416"/>
      <c r="Q213" s="416"/>
      <c r="R213" s="416"/>
      <c r="S213" s="416"/>
      <c r="T213" s="416"/>
      <c r="U213" s="416"/>
      <c r="V213" s="416"/>
      <c r="W213" s="416"/>
      <c r="X213" s="416"/>
      <c r="Y213" s="416"/>
      <c r="Z213" s="416"/>
      <c r="AA213" s="416"/>
      <c r="AB213" s="416"/>
      <c r="AC213" s="416"/>
      <c r="AD213" s="416"/>
      <c r="AE213" s="416"/>
      <c r="AF213" s="417"/>
      <c r="AG213" s="418">
        <f t="shared" si="34"/>
        <v>0</v>
      </c>
    </row>
    <row r="214" spans="1:34" ht="18.75" x14ac:dyDescent="0.25">
      <c r="A214" s="419" t="s">
        <v>626</v>
      </c>
      <c r="B214" s="420"/>
      <c r="C214" s="420"/>
      <c r="D214" s="420"/>
      <c r="E214" s="420"/>
      <c r="F214" s="420"/>
      <c r="G214" s="420"/>
      <c r="H214" s="420"/>
      <c r="I214" s="420"/>
      <c r="J214" s="420"/>
      <c r="K214" s="420"/>
      <c r="L214" s="420"/>
      <c r="M214" s="420"/>
      <c r="N214" s="421"/>
      <c r="O214" s="421"/>
      <c r="P214" s="421"/>
      <c r="Q214" s="421"/>
      <c r="R214" s="421"/>
      <c r="S214" s="421"/>
      <c r="T214" s="421"/>
      <c r="U214" s="421"/>
      <c r="V214" s="421"/>
      <c r="W214" s="421"/>
      <c r="X214" s="421"/>
      <c r="Y214" s="421"/>
      <c r="Z214" s="421"/>
      <c r="AA214" s="421"/>
      <c r="AB214" s="421"/>
      <c r="AC214" s="421"/>
      <c r="AD214" s="421"/>
      <c r="AE214" s="421"/>
      <c r="AF214" s="422"/>
      <c r="AG214" s="397">
        <f t="shared" si="34"/>
        <v>0</v>
      </c>
    </row>
    <row r="215" spans="1:34" ht="18.75" x14ac:dyDescent="0.25">
      <c r="A215" s="423" t="s">
        <v>627</v>
      </c>
      <c r="B215" s="420"/>
      <c r="C215" s="420"/>
      <c r="D215" s="420"/>
      <c r="E215" s="420"/>
      <c r="F215" s="420"/>
      <c r="G215" s="420"/>
      <c r="H215" s="420"/>
      <c r="I215" s="420"/>
      <c r="J215" s="420"/>
      <c r="K215" s="420"/>
      <c r="L215" s="420"/>
      <c r="M215" s="420"/>
      <c r="N215" s="421"/>
      <c r="O215" s="421"/>
      <c r="P215" s="421"/>
      <c r="Q215" s="421"/>
      <c r="R215" s="421"/>
      <c r="S215" s="421"/>
      <c r="T215" s="421"/>
      <c r="U215" s="421"/>
      <c r="V215" s="421"/>
      <c r="W215" s="421"/>
      <c r="X215" s="421"/>
      <c r="Y215" s="421"/>
      <c r="Z215" s="421"/>
      <c r="AA215" s="421"/>
      <c r="AB215" s="421"/>
      <c r="AC215" s="421"/>
      <c r="AD215" s="421"/>
      <c r="AE215" s="421"/>
      <c r="AF215" s="422"/>
      <c r="AG215" s="397">
        <f t="shared" si="34"/>
        <v>0</v>
      </c>
    </row>
    <row r="216" spans="1:34" ht="19.5" thickBot="1" x14ac:dyDescent="0.3">
      <c r="A216" s="424" t="s">
        <v>623</v>
      </c>
      <c r="B216" s="412"/>
      <c r="C216" s="412"/>
      <c r="D216" s="412"/>
      <c r="E216" s="412"/>
      <c r="F216" s="412"/>
      <c r="G216" s="412"/>
      <c r="H216" s="412"/>
      <c r="I216" s="412"/>
      <c r="J216" s="412"/>
      <c r="K216" s="412"/>
      <c r="L216" s="412"/>
      <c r="M216" s="412"/>
      <c r="N216" s="425"/>
      <c r="O216" s="425"/>
      <c r="P216" s="425"/>
      <c r="Q216" s="425"/>
      <c r="R216" s="425"/>
      <c r="S216" s="425"/>
      <c r="T216" s="425"/>
      <c r="U216" s="425"/>
      <c r="V216" s="425"/>
      <c r="W216" s="425"/>
      <c r="X216" s="425"/>
      <c r="Y216" s="425"/>
      <c r="Z216" s="425"/>
      <c r="AA216" s="425"/>
      <c r="AB216" s="425"/>
      <c r="AC216" s="425"/>
      <c r="AD216" s="425"/>
      <c r="AE216" s="425"/>
      <c r="AF216" s="426"/>
      <c r="AG216" s="397">
        <f>SUM(B216:AF216)</f>
        <v>0</v>
      </c>
    </row>
    <row r="217" spans="1:34" ht="18.75" x14ac:dyDescent="0.25">
      <c r="A217" s="69" t="s">
        <v>628</v>
      </c>
      <c r="B217" s="407"/>
      <c r="C217" s="407"/>
      <c r="D217" s="407"/>
      <c r="E217" s="407"/>
      <c r="F217" s="407"/>
      <c r="G217" s="407"/>
      <c r="H217" s="407"/>
      <c r="I217" s="407"/>
      <c r="J217" s="407"/>
      <c r="K217" s="407"/>
      <c r="L217" s="407"/>
      <c r="M217" s="407"/>
      <c r="N217" s="56"/>
      <c r="O217" s="56"/>
      <c r="P217" s="56"/>
      <c r="Q217" s="56"/>
      <c r="R217" s="56"/>
      <c r="S217" s="56"/>
      <c r="T217" s="56"/>
      <c r="U217" s="56"/>
      <c r="V217" s="56"/>
      <c r="W217" s="56"/>
      <c r="X217" s="56"/>
      <c r="Y217" s="56"/>
      <c r="Z217" s="56"/>
      <c r="AA217" s="56"/>
      <c r="AB217" s="56"/>
      <c r="AC217" s="56"/>
      <c r="AD217" s="56"/>
      <c r="AE217" s="56"/>
      <c r="AF217" s="85"/>
      <c r="AG217" s="95">
        <f>SUM(B217:AF217)</f>
        <v>0</v>
      </c>
    </row>
    <row r="218" spans="1:34" ht="19.5" thickBot="1" x14ac:dyDescent="0.3">
      <c r="A218" s="424" t="s">
        <v>629</v>
      </c>
      <c r="B218" s="412">
        <f>+B212-B217</f>
        <v>0</v>
      </c>
      <c r="C218" s="412">
        <f t="shared" ref="C218:AF218" si="44">+C212-C217</f>
        <v>0</v>
      </c>
      <c r="D218" s="412">
        <f t="shared" si="44"/>
        <v>0</v>
      </c>
      <c r="E218" s="412">
        <f t="shared" si="44"/>
        <v>0</v>
      </c>
      <c r="F218" s="412">
        <f t="shared" si="44"/>
        <v>0</v>
      </c>
      <c r="G218" s="412">
        <f t="shared" si="44"/>
        <v>0</v>
      </c>
      <c r="H218" s="412">
        <f t="shared" si="44"/>
        <v>0</v>
      </c>
      <c r="I218" s="412">
        <f t="shared" si="44"/>
        <v>0</v>
      </c>
      <c r="J218" s="412">
        <f t="shared" si="44"/>
        <v>0</v>
      </c>
      <c r="K218" s="412">
        <f t="shared" si="44"/>
        <v>0</v>
      </c>
      <c r="L218" s="412">
        <f t="shared" si="44"/>
        <v>0</v>
      </c>
      <c r="M218" s="412">
        <f t="shared" si="44"/>
        <v>0</v>
      </c>
      <c r="N218" s="425">
        <f t="shared" si="44"/>
        <v>0</v>
      </c>
      <c r="O218" s="425">
        <f t="shared" si="44"/>
        <v>0</v>
      </c>
      <c r="P218" s="425">
        <f t="shared" si="44"/>
        <v>0</v>
      </c>
      <c r="Q218" s="425">
        <f t="shared" si="44"/>
        <v>0</v>
      </c>
      <c r="R218" s="425">
        <f t="shared" si="44"/>
        <v>0</v>
      </c>
      <c r="S218" s="425">
        <f t="shared" si="44"/>
        <v>0</v>
      </c>
      <c r="T218" s="425">
        <f t="shared" si="44"/>
        <v>0</v>
      </c>
      <c r="U218" s="425">
        <f t="shared" si="44"/>
        <v>0</v>
      </c>
      <c r="V218" s="425">
        <f t="shared" si="44"/>
        <v>0</v>
      </c>
      <c r="W218" s="425">
        <f t="shared" si="44"/>
        <v>0</v>
      </c>
      <c r="X218" s="425">
        <f t="shared" si="44"/>
        <v>0</v>
      </c>
      <c r="Y218" s="425">
        <f t="shared" si="44"/>
        <v>0</v>
      </c>
      <c r="Z218" s="425">
        <f t="shared" si="44"/>
        <v>0</v>
      </c>
      <c r="AA218" s="425">
        <f t="shared" si="44"/>
        <v>0</v>
      </c>
      <c r="AB218" s="425">
        <f t="shared" si="44"/>
        <v>0</v>
      </c>
      <c r="AC218" s="425">
        <f t="shared" si="44"/>
        <v>0</v>
      </c>
      <c r="AD218" s="425">
        <f t="shared" si="44"/>
        <v>0</v>
      </c>
      <c r="AE218" s="425">
        <f t="shared" si="44"/>
        <v>0</v>
      </c>
      <c r="AF218" s="428">
        <f t="shared" si="44"/>
        <v>0</v>
      </c>
      <c r="AG218" s="413">
        <f>SUM(B218:AF218)</f>
        <v>0</v>
      </c>
    </row>
    <row r="219" spans="1:34" ht="19.5" thickBot="1" x14ac:dyDescent="0.3">
      <c r="A219" s="60" t="s">
        <v>64</v>
      </c>
      <c r="B219" s="61"/>
      <c r="C219" s="61"/>
      <c r="D219" s="61"/>
      <c r="E219" s="61"/>
      <c r="F219" s="61"/>
      <c r="G219" s="61"/>
      <c r="H219" s="61"/>
      <c r="I219" s="61"/>
      <c r="J219" s="61"/>
      <c r="K219" s="61"/>
      <c r="L219" s="61"/>
      <c r="M219" s="61"/>
      <c r="N219" s="61"/>
      <c r="O219" s="61"/>
      <c r="P219" s="61"/>
      <c r="Q219" s="61"/>
      <c r="R219" s="61"/>
      <c r="S219" s="61"/>
      <c r="T219" s="61"/>
      <c r="U219" s="61"/>
      <c r="V219" s="61"/>
      <c r="W219" s="61"/>
      <c r="X219" s="61"/>
      <c r="Y219" s="61"/>
      <c r="Z219" s="61"/>
      <c r="AA219" s="61"/>
      <c r="AB219" s="61"/>
      <c r="AC219" s="61"/>
      <c r="AD219" s="61"/>
      <c r="AE219" s="61"/>
      <c r="AF219" s="90"/>
      <c r="AG219" s="98"/>
    </row>
    <row r="220" spans="1:34" ht="18.75" x14ac:dyDescent="0.25">
      <c r="A220" s="43" t="s">
        <v>77</v>
      </c>
      <c r="B220" s="19">
        <v>5.5555555555555558E-3</v>
      </c>
      <c r="C220" s="19">
        <v>3.125E-2</v>
      </c>
      <c r="D220" s="19">
        <v>2.013888888888889E-2</v>
      </c>
      <c r="E220" s="19">
        <v>1.0416666666666666E-2</v>
      </c>
      <c r="F220" s="19">
        <v>1.0416666666666666E-2</v>
      </c>
      <c r="G220" s="19">
        <v>4.7916666666666663E-2</v>
      </c>
      <c r="H220" s="19">
        <v>1.4583333333333332E-2</v>
      </c>
      <c r="I220" s="19">
        <v>3.3333333333333333E-2</v>
      </c>
      <c r="J220" s="19">
        <v>2.7777777777777776E-2</v>
      </c>
      <c r="K220" s="19">
        <v>2.9166666666666664E-2</v>
      </c>
      <c r="L220" s="19">
        <v>6.2499999999999995E-3</v>
      </c>
      <c r="M220" s="19">
        <v>4.8611111111111112E-3</v>
      </c>
      <c r="N220" s="19">
        <v>3.2638888888888891E-2</v>
      </c>
      <c r="O220" s="19">
        <v>2.8472222222222222E-2</v>
      </c>
      <c r="P220" s="19">
        <v>3.0555555555555555E-2</v>
      </c>
      <c r="Q220" s="19">
        <v>3.8194444444444441E-2</v>
      </c>
      <c r="R220" s="19">
        <v>2.2916666666666669E-2</v>
      </c>
      <c r="S220" s="19">
        <v>7.6388888888888886E-3</v>
      </c>
      <c r="T220" s="19">
        <v>5.5555555555555558E-3</v>
      </c>
      <c r="U220" s="19">
        <v>2.4305555555555556E-2</v>
      </c>
      <c r="V220" s="19">
        <v>1.1805555555555555E-2</v>
      </c>
      <c r="W220" s="19">
        <v>1.9444444444444445E-2</v>
      </c>
      <c r="X220" s="19">
        <v>1.9444444444444445E-2</v>
      </c>
      <c r="Y220" s="19">
        <v>2.7777777777777776E-2</v>
      </c>
      <c r="Z220" s="19">
        <v>6.9444444444444441E-3</v>
      </c>
      <c r="AA220" s="19">
        <v>5.5555555555555558E-3</v>
      </c>
      <c r="AB220" s="19">
        <v>2.9861111111111113E-2</v>
      </c>
      <c r="AC220" s="19">
        <v>1.5972222222222224E-2</v>
      </c>
      <c r="AD220" s="19">
        <v>1.7361111111111112E-2</v>
      </c>
      <c r="AE220" s="19">
        <v>1.4583333333333332E-2</v>
      </c>
      <c r="AF220" s="25">
        <v>1.3888888888888888E-2</v>
      </c>
      <c r="AG220" s="99">
        <f t="shared" si="34"/>
        <v>0.61458333333333326</v>
      </c>
      <c r="AH220" s="437" t="s">
        <v>85</v>
      </c>
    </row>
    <row r="221" spans="1:34" ht="18.75" x14ac:dyDescent="0.25">
      <c r="A221" s="53" t="s">
        <v>110</v>
      </c>
      <c r="B221" s="39">
        <v>4.8611111111111112E-3</v>
      </c>
      <c r="C221" s="39">
        <v>3.888888888888889E-2</v>
      </c>
      <c r="D221" s="39">
        <v>3.125E-2</v>
      </c>
      <c r="E221" s="39">
        <v>1.6666666666666666E-2</v>
      </c>
      <c r="F221" s="39">
        <v>1.7361111111111112E-2</v>
      </c>
      <c r="G221" s="39">
        <v>4.3750000000000004E-2</v>
      </c>
      <c r="H221" s="39">
        <v>2.6388888888888889E-2</v>
      </c>
      <c r="I221" s="39">
        <v>4.1666666666666664E-2</v>
      </c>
      <c r="J221" s="39">
        <v>3.3333333333333333E-2</v>
      </c>
      <c r="K221" s="39">
        <v>3.7499999999999999E-2</v>
      </c>
      <c r="L221" s="39">
        <v>9.0277777777777787E-3</v>
      </c>
      <c r="M221" s="39">
        <v>2.0833333333333333E-3</v>
      </c>
      <c r="N221" s="39">
        <v>4.3055555555555562E-2</v>
      </c>
      <c r="O221" s="39">
        <v>4.6527777777777779E-2</v>
      </c>
      <c r="P221" s="39">
        <v>4.5138888888888888E-2</v>
      </c>
      <c r="Q221" s="39">
        <v>4.7916666666666663E-2</v>
      </c>
      <c r="R221" s="39">
        <v>3.125E-2</v>
      </c>
      <c r="S221" s="39">
        <v>6.9444444444444441E-3</v>
      </c>
      <c r="T221" s="39">
        <v>9.7222222222222224E-3</v>
      </c>
      <c r="U221" s="39">
        <v>3.7499999999999999E-2</v>
      </c>
      <c r="V221" s="39">
        <v>2.0833333333333332E-2</v>
      </c>
      <c r="W221" s="39">
        <v>3.4722222222222224E-2</v>
      </c>
      <c r="X221" s="39">
        <v>3.6111111111111115E-2</v>
      </c>
      <c r="Y221" s="39">
        <v>3.5416666666666666E-2</v>
      </c>
      <c r="Z221" s="39">
        <v>1.3194444444444444E-2</v>
      </c>
      <c r="AA221" s="39">
        <v>4.8611111111111112E-3</v>
      </c>
      <c r="AB221" s="39">
        <v>3.6111111111111115E-2</v>
      </c>
      <c r="AC221" s="39">
        <v>2.9166666666666664E-2</v>
      </c>
      <c r="AD221" s="39">
        <v>3.125E-2</v>
      </c>
      <c r="AE221" s="39">
        <v>2.0833333333333332E-2</v>
      </c>
      <c r="AF221" s="91">
        <v>2.1527777777777781E-2</v>
      </c>
      <c r="AG221" s="100">
        <f t="shared" si="34"/>
        <v>0.85486111111111096</v>
      </c>
      <c r="AH221" s="438"/>
    </row>
    <row r="222" spans="1:34" ht="18.75" x14ac:dyDescent="0.25">
      <c r="A222" s="53" t="s">
        <v>111</v>
      </c>
      <c r="B222" s="39">
        <v>7.6388888888888886E-3</v>
      </c>
      <c r="C222" s="39">
        <v>5.6944444444444443E-2</v>
      </c>
      <c r="D222" s="39">
        <v>3.6805555555555557E-2</v>
      </c>
      <c r="E222" s="39">
        <v>1.3194444444444444E-2</v>
      </c>
      <c r="F222" s="39">
        <v>1.3888888888888888E-2</v>
      </c>
      <c r="G222" s="39">
        <v>7.1527777777777787E-2</v>
      </c>
      <c r="H222" s="39">
        <v>2.361111111111111E-2</v>
      </c>
      <c r="I222" s="39">
        <v>5.4166666666666669E-2</v>
      </c>
      <c r="J222" s="39">
        <v>4.6527777777777779E-2</v>
      </c>
      <c r="K222" s="39">
        <v>4.5138888888888888E-2</v>
      </c>
      <c r="L222" s="39">
        <v>7.6388888888888886E-3</v>
      </c>
      <c r="M222" s="39" t="s">
        <v>618</v>
      </c>
      <c r="N222" s="39">
        <v>4.5138888888888888E-2</v>
      </c>
      <c r="O222" s="39">
        <v>4.7916666666666663E-2</v>
      </c>
      <c r="P222" s="39">
        <v>6.3888888888888884E-2</v>
      </c>
      <c r="Q222" s="39">
        <v>4.5833333333333337E-2</v>
      </c>
      <c r="R222" s="39">
        <v>4.4444444444444446E-2</v>
      </c>
      <c r="S222" s="39">
        <v>9.0277777777777787E-3</v>
      </c>
      <c r="T222" s="39">
        <v>2.0833333333333333E-3</v>
      </c>
      <c r="U222" s="39">
        <v>4.0972222222222222E-2</v>
      </c>
      <c r="V222" s="39">
        <v>1.5972222222222224E-2</v>
      </c>
      <c r="W222" s="39">
        <v>3.2638888888888891E-2</v>
      </c>
      <c r="X222" s="39">
        <v>3.3333333333333333E-2</v>
      </c>
      <c r="Y222" s="39">
        <v>4.9999999999999996E-2</v>
      </c>
      <c r="Z222" s="39">
        <v>6.2499999999999995E-3</v>
      </c>
      <c r="AA222" s="39">
        <v>5.5555555555555558E-3</v>
      </c>
      <c r="AB222" s="39">
        <v>4.6527777777777779E-2</v>
      </c>
      <c r="AC222" s="39">
        <v>2.6388888888888889E-2</v>
      </c>
      <c r="AD222" s="39">
        <v>2.361111111111111E-2</v>
      </c>
      <c r="AE222" s="39">
        <v>2.013888888888889E-2</v>
      </c>
      <c r="AF222" s="91">
        <v>1.6666666666666666E-2</v>
      </c>
      <c r="AG222" s="100">
        <f t="shared" si="34"/>
        <v>0.95347222222222239</v>
      </c>
      <c r="AH222" s="438"/>
    </row>
    <row r="223" spans="1:34" ht="18.75" x14ac:dyDescent="0.25">
      <c r="A223" s="53" t="s">
        <v>112</v>
      </c>
      <c r="B223" s="39">
        <v>2.0833333333333333E-3</v>
      </c>
      <c r="C223" s="39">
        <v>4.1666666666666664E-2</v>
      </c>
      <c r="D223" s="39">
        <v>2.361111111111111E-2</v>
      </c>
      <c r="E223" s="39">
        <v>2.2916666666666669E-2</v>
      </c>
      <c r="F223" s="39">
        <v>4.1666666666666666E-3</v>
      </c>
      <c r="G223" s="39">
        <v>6.5972222222222224E-2</v>
      </c>
      <c r="H223" s="39">
        <v>6.2499999999999995E-3</v>
      </c>
      <c r="I223" s="39">
        <v>3.0555555555555555E-2</v>
      </c>
      <c r="J223" s="39">
        <v>4.3055555555555562E-2</v>
      </c>
      <c r="K223" s="39">
        <v>3.5416666666666666E-2</v>
      </c>
      <c r="L223" s="39">
        <v>5.5555555555555558E-3</v>
      </c>
      <c r="M223" s="39">
        <v>4.1666666666666666E-3</v>
      </c>
      <c r="N223" s="39">
        <v>4.4444444444444446E-2</v>
      </c>
      <c r="O223" s="39">
        <v>3.3333333333333333E-2</v>
      </c>
      <c r="P223" s="39">
        <v>3.4722222222222224E-2</v>
      </c>
      <c r="Q223" s="39">
        <v>4.5833333333333337E-2</v>
      </c>
      <c r="R223" s="39">
        <v>4.027777777777778E-2</v>
      </c>
      <c r="S223" s="39">
        <v>1.2499999999999999E-2</v>
      </c>
      <c r="T223" s="39">
        <v>4.1666666666666666E-3</v>
      </c>
      <c r="U223" s="39">
        <v>2.4305555555555556E-2</v>
      </c>
      <c r="V223" s="39">
        <v>1.1805555555555555E-2</v>
      </c>
      <c r="W223" s="39">
        <v>1.1805555555555555E-2</v>
      </c>
      <c r="X223" s="39">
        <v>1.5277777777777777E-2</v>
      </c>
      <c r="Y223" s="39">
        <v>3.4027777777777775E-2</v>
      </c>
      <c r="Z223" s="39">
        <v>7.6388888888888886E-3</v>
      </c>
      <c r="AA223" s="39">
        <v>6.9444444444444441E-3</v>
      </c>
      <c r="AB223" s="39">
        <v>2.8472222222222222E-2</v>
      </c>
      <c r="AC223" s="39">
        <v>4.1666666666666666E-3</v>
      </c>
      <c r="AD223" s="39">
        <v>6.9444444444444441E-3</v>
      </c>
      <c r="AE223" s="39">
        <v>1.6666666666666666E-2</v>
      </c>
      <c r="AF223" s="91">
        <v>1.8055555555555557E-2</v>
      </c>
      <c r="AG223" s="100">
        <f t="shared" si="34"/>
        <v>0.68680555555555545</v>
      </c>
      <c r="AH223" s="438"/>
    </row>
    <row r="224" spans="1:34" ht="18.75" x14ac:dyDescent="0.25">
      <c r="A224" s="53" t="s">
        <v>113</v>
      </c>
      <c r="B224" s="39">
        <v>4.1666666666666666E-3</v>
      </c>
      <c r="C224" s="39">
        <v>2.9861111111111113E-2</v>
      </c>
      <c r="D224" s="39">
        <v>9.0277777777777787E-3</v>
      </c>
      <c r="E224" s="39">
        <v>6.9444444444444441E-3</v>
      </c>
      <c r="F224" s="39">
        <v>6.2499999999999995E-3</v>
      </c>
      <c r="G224" s="39">
        <v>6.0416666666666667E-2</v>
      </c>
      <c r="H224" s="39">
        <v>4.1666666666666666E-3</v>
      </c>
      <c r="I224" s="39">
        <v>2.4999999999999998E-2</v>
      </c>
      <c r="J224" s="39">
        <v>3.5416666666666666E-2</v>
      </c>
      <c r="K224" s="39">
        <v>3.2638888888888891E-2</v>
      </c>
      <c r="L224" s="39">
        <v>4.8611111111111112E-3</v>
      </c>
      <c r="M224" s="39">
        <v>3.472222222222222E-3</v>
      </c>
      <c r="N224" s="39">
        <v>3.5416666666666666E-2</v>
      </c>
      <c r="O224" s="39">
        <v>9.7222222222222224E-3</v>
      </c>
      <c r="P224" s="39">
        <v>1.8055555555555557E-2</v>
      </c>
      <c r="Q224" s="39">
        <v>3.4722222222222224E-2</v>
      </c>
      <c r="R224" s="39">
        <v>2.4999999999999998E-2</v>
      </c>
      <c r="S224" s="39">
        <v>7.6388888888888886E-3</v>
      </c>
      <c r="T224" s="39">
        <v>2.7777777777777779E-3</v>
      </c>
      <c r="U224" s="39">
        <v>1.1805555555555555E-2</v>
      </c>
      <c r="V224" s="39">
        <v>8.3333333333333332E-3</v>
      </c>
      <c r="W224" s="39">
        <v>5.5555555555555558E-3</v>
      </c>
      <c r="X224" s="39">
        <v>3.472222222222222E-3</v>
      </c>
      <c r="Y224" s="39">
        <v>3.125E-2</v>
      </c>
      <c r="Z224" s="39">
        <v>8.3333333333333332E-3</v>
      </c>
      <c r="AA224" s="39">
        <v>6.2499999999999995E-3</v>
      </c>
      <c r="AB224" s="39">
        <v>1.9444444444444445E-2</v>
      </c>
      <c r="AC224" s="39">
        <v>4.8611111111111112E-3</v>
      </c>
      <c r="AD224" s="39">
        <v>8.3333333333333332E-3</v>
      </c>
      <c r="AE224" s="39">
        <v>1.0416666666666666E-2</v>
      </c>
      <c r="AF224" s="91">
        <v>7.6388888888888886E-3</v>
      </c>
      <c r="AG224" s="100">
        <f t="shared" si="34"/>
        <v>0.48125000000000001</v>
      </c>
      <c r="AH224" s="438"/>
    </row>
    <row r="225" spans="1:34" ht="18.75" x14ac:dyDescent="0.25">
      <c r="A225" s="53" t="s">
        <v>114</v>
      </c>
      <c r="B225" s="39">
        <v>9.7222222222222224E-3</v>
      </c>
      <c r="C225" s="39">
        <v>2.8472222222222222E-2</v>
      </c>
      <c r="D225" s="39">
        <v>4.8611111111111112E-3</v>
      </c>
      <c r="E225" s="39">
        <v>7.6388888888888886E-3</v>
      </c>
      <c r="F225" s="39">
        <v>5.5555555555555558E-3</v>
      </c>
      <c r="G225" s="39">
        <v>4.5138888888888888E-2</v>
      </c>
      <c r="H225" s="39">
        <v>4.8611111111111112E-3</v>
      </c>
      <c r="I225" s="39">
        <v>2.361111111111111E-2</v>
      </c>
      <c r="J225" s="39">
        <v>1.1805555555555555E-2</v>
      </c>
      <c r="K225" s="39">
        <v>1.5277777777777777E-2</v>
      </c>
      <c r="L225" s="39">
        <v>6.2499999999999995E-3</v>
      </c>
      <c r="M225" s="39">
        <v>2.7777777777777779E-3</v>
      </c>
      <c r="N225" s="39">
        <v>2.2222222222222223E-2</v>
      </c>
      <c r="O225" s="39">
        <v>6.2499999999999995E-3</v>
      </c>
      <c r="P225" s="39">
        <v>6.9444444444444441E-3</v>
      </c>
      <c r="Q225" s="39">
        <v>4.3750000000000004E-2</v>
      </c>
      <c r="R225" s="39">
        <v>6.2499999999999995E-3</v>
      </c>
      <c r="S225" s="39">
        <v>6.2499999999999995E-3</v>
      </c>
      <c r="T225" s="39">
        <v>2.0833333333333333E-3</v>
      </c>
      <c r="U225" s="39">
        <v>6.2499999999999995E-3</v>
      </c>
      <c r="V225" s="39">
        <v>9.0277777777777787E-3</v>
      </c>
      <c r="W225" s="39">
        <v>8.3333333333333332E-3</v>
      </c>
      <c r="X225" s="39">
        <v>1.4583333333333332E-2</v>
      </c>
      <c r="Y225" s="39">
        <v>2.013888888888889E-2</v>
      </c>
      <c r="Z225" s="39">
        <v>1.0416666666666666E-2</v>
      </c>
      <c r="AA225" s="39">
        <v>7.6388888888888886E-3</v>
      </c>
      <c r="AB225" s="39">
        <v>3.1944444444444449E-2</v>
      </c>
      <c r="AC225" s="39">
        <v>2.7777777777777779E-3</v>
      </c>
      <c r="AD225" s="39">
        <v>8.3333333333333332E-3</v>
      </c>
      <c r="AE225" s="39">
        <v>9.7222222222222224E-3</v>
      </c>
      <c r="AF225" s="91">
        <v>4.1666666666666666E-3</v>
      </c>
      <c r="AG225" s="100">
        <f t="shared" ref="AG225:AG227" si="45">SUM(B225:AF225)</f>
        <v>0.39305555555555555</v>
      </c>
      <c r="AH225" s="438"/>
    </row>
    <row r="226" spans="1:34" ht="18.75" x14ac:dyDescent="0.25">
      <c r="A226" s="53" t="s">
        <v>115</v>
      </c>
      <c r="B226" s="39">
        <v>2.7777777777777779E-3</v>
      </c>
      <c r="C226" s="39">
        <v>9.7222222222222224E-3</v>
      </c>
      <c r="D226" s="39">
        <v>6.9444444444444441E-3</v>
      </c>
      <c r="E226" s="39">
        <v>6.2499999999999995E-3</v>
      </c>
      <c r="F226" s="39">
        <v>9.0277777777777787E-3</v>
      </c>
      <c r="G226" s="39">
        <v>3.4722222222222224E-2</v>
      </c>
      <c r="H226" s="39">
        <v>5.5555555555555558E-3</v>
      </c>
      <c r="I226" s="39">
        <v>3.6805555555555557E-2</v>
      </c>
      <c r="J226" s="39">
        <v>1.1111111111111112E-2</v>
      </c>
      <c r="K226" s="39">
        <v>1.0416666666666666E-2</v>
      </c>
      <c r="L226" s="39">
        <v>1.1805555555555555E-2</v>
      </c>
      <c r="M226" s="39">
        <v>3.472222222222222E-3</v>
      </c>
      <c r="N226" s="39">
        <v>1.5277777777777777E-2</v>
      </c>
      <c r="O226" s="39">
        <v>4.8611111111111112E-3</v>
      </c>
      <c r="P226" s="39">
        <v>4.8611111111111112E-3</v>
      </c>
      <c r="Q226" s="39">
        <v>2.0833333333333332E-2</v>
      </c>
      <c r="R226" s="39">
        <v>9.0277777777777787E-3</v>
      </c>
      <c r="S226" s="39">
        <v>1.1805555555555555E-2</v>
      </c>
      <c r="T226" s="39">
        <v>6.2499999999999995E-3</v>
      </c>
      <c r="U226" s="39">
        <v>2.7777777777777779E-3</v>
      </c>
      <c r="V226" s="39">
        <v>5.5555555555555558E-3</v>
      </c>
      <c r="W226" s="39">
        <v>1.1111111111111112E-2</v>
      </c>
      <c r="X226" s="39">
        <v>5.5555555555555558E-3</v>
      </c>
      <c r="Y226" s="39">
        <v>2.013888888888889E-2</v>
      </c>
      <c r="Z226" s="39">
        <v>7.6388888888888886E-3</v>
      </c>
      <c r="AA226" s="39">
        <v>9.7222222222222224E-3</v>
      </c>
      <c r="AB226" s="39">
        <v>2.7083333333333334E-2</v>
      </c>
      <c r="AC226" s="39">
        <v>4.8611111111111112E-3</v>
      </c>
      <c r="AD226" s="39">
        <v>2.7777777777777779E-3</v>
      </c>
      <c r="AE226" s="39">
        <v>5.5555555555555558E-3</v>
      </c>
      <c r="AF226" s="91">
        <v>1.5277777777777777E-2</v>
      </c>
      <c r="AG226" s="100">
        <f t="shared" si="45"/>
        <v>0.33958333333333329</v>
      </c>
      <c r="AH226" s="438"/>
    </row>
    <row r="227" spans="1:34" ht="18.75" x14ac:dyDescent="0.25">
      <c r="A227" s="53" t="s">
        <v>116</v>
      </c>
      <c r="B227" s="39">
        <v>2.0833333333333333E-3</v>
      </c>
      <c r="C227" s="39">
        <v>3.472222222222222E-3</v>
      </c>
      <c r="D227" s="39">
        <v>6.2499999999999995E-3</v>
      </c>
      <c r="E227" s="39">
        <v>1.4583333333333332E-2</v>
      </c>
      <c r="F227" s="39">
        <v>7.6388888888888886E-3</v>
      </c>
      <c r="G227" s="39">
        <v>1.3194444444444444E-2</v>
      </c>
      <c r="H227" s="39">
        <v>4.1666666666666666E-3</v>
      </c>
      <c r="I227" s="39">
        <v>1.1805555555555555E-2</v>
      </c>
      <c r="J227" s="39">
        <v>3.472222222222222E-3</v>
      </c>
      <c r="K227" s="39">
        <v>3.472222222222222E-3</v>
      </c>
      <c r="L227" s="39">
        <v>7.6388888888888886E-3</v>
      </c>
      <c r="M227" s="39">
        <v>3.472222222222222E-3</v>
      </c>
      <c r="N227" s="39">
        <v>1.1111111111111112E-2</v>
      </c>
      <c r="O227" s="39">
        <v>6.2499999999999995E-3</v>
      </c>
      <c r="P227" s="39">
        <v>6.2499999999999995E-3</v>
      </c>
      <c r="Q227" s="39">
        <v>7.6388888888888886E-3</v>
      </c>
      <c r="R227" s="39">
        <v>7.6388888888888886E-3</v>
      </c>
      <c r="S227" s="39">
        <v>7.6388888888888886E-3</v>
      </c>
      <c r="T227" s="39">
        <v>3.472222222222222E-3</v>
      </c>
      <c r="U227" s="39">
        <v>3.472222222222222E-3</v>
      </c>
      <c r="V227" s="39">
        <v>4.1666666666666666E-3</v>
      </c>
      <c r="W227" s="39">
        <v>8.3333333333333332E-3</v>
      </c>
      <c r="X227" s="39">
        <v>4.8611111111111112E-3</v>
      </c>
      <c r="Y227" s="39">
        <v>9.7222222222222224E-3</v>
      </c>
      <c r="Z227" s="39">
        <v>9.0277777777777787E-3</v>
      </c>
      <c r="AA227" s="39">
        <v>4.8611111111111112E-3</v>
      </c>
      <c r="AB227" s="39">
        <v>4.8611111111111112E-3</v>
      </c>
      <c r="AC227" s="39">
        <v>1.0416666666666666E-2</v>
      </c>
      <c r="AD227" s="39">
        <v>6.9444444444444441E-3</v>
      </c>
      <c r="AE227" s="39">
        <v>6.9444444444444441E-3</v>
      </c>
      <c r="AF227" s="91">
        <v>8.3333333333333332E-3</v>
      </c>
      <c r="AG227" s="100">
        <f t="shared" si="45"/>
        <v>0.21319444444444446</v>
      </c>
      <c r="AH227" s="438"/>
    </row>
    <row r="228" spans="1:34" ht="18.75" x14ac:dyDescent="0.25">
      <c r="A228" s="53" t="s">
        <v>117</v>
      </c>
      <c r="B228" s="39">
        <v>6.9444444444444447E-4</v>
      </c>
      <c r="C228" s="39">
        <v>2.0833333333333333E-3</v>
      </c>
      <c r="D228" s="39">
        <v>6.9444444444444447E-4</v>
      </c>
      <c r="E228" s="39">
        <v>6.2499999999999995E-3</v>
      </c>
      <c r="F228" s="39">
        <v>2.0833333333333333E-3</v>
      </c>
      <c r="G228" s="39">
        <v>2.7777777777777779E-3</v>
      </c>
      <c r="H228" s="39">
        <v>1.3888888888888889E-3</v>
      </c>
      <c r="I228" s="39">
        <v>6.9444444444444447E-4</v>
      </c>
      <c r="J228" s="39">
        <v>6.9444444444444447E-4</v>
      </c>
      <c r="K228" s="39">
        <v>2.7777777777777779E-3</v>
      </c>
      <c r="L228" s="39">
        <v>2.7777777777777779E-3</v>
      </c>
      <c r="M228" s="39">
        <v>5.5555555555555558E-3</v>
      </c>
      <c r="N228" s="39" t="s">
        <v>619</v>
      </c>
      <c r="O228" s="39">
        <v>1.3888888888888889E-3</v>
      </c>
      <c r="P228" s="39">
        <v>2.0833333333333333E-3</v>
      </c>
      <c r="Q228" s="39">
        <v>6.9444444444444447E-4</v>
      </c>
      <c r="R228" s="39">
        <v>6.9444444444444447E-4</v>
      </c>
      <c r="S228" s="39">
        <v>5.5555555555555558E-3</v>
      </c>
      <c r="T228" s="39">
        <v>1.3888888888888889E-3</v>
      </c>
      <c r="U228" s="39">
        <v>1.3194444444444444E-2</v>
      </c>
      <c r="V228" s="39">
        <v>1.3888888888888889E-3</v>
      </c>
      <c r="W228" s="39">
        <v>2.7777777777777779E-3</v>
      </c>
      <c r="X228" s="39">
        <v>1.3888888888888889E-3</v>
      </c>
      <c r="Y228" s="39">
        <v>5.5555555555555558E-3</v>
      </c>
      <c r="Z228" s="39">
        <v>2.0833333333333333E-3</v>
      </c>
      <c r="AA228" s="39">
        <v>1.3888888888888889E-3</v>
      </c>
      <c r="AB228" s="39">
        <v>1.3888888888888889E-3</v>
      </c>
      <c r="AC228" s="39">
        <v>4.8611111111111112E-3</v>
      </c>
      <c r="AD228" s="39">
        <v>6.9444444444444447E-4</v>
      </c>
      <c r="AE228" s="39">
        <v>2.7777777777777779E-3</v>
      </c>
      <c r="AF228" s="91">
        <v>6.9444444444444441E-3</v>
      </c>
      <c r="AG228" s="100">
        <f t="shared" si="34"/>
        <v>8.4722222222222227E-2</v>
      </c>
      <c r="AH228" s="438"/>
    </row>
    <row r="229" spans="1:34" ht="18.75" x14ac:dyDescent="0.25">
      <c r="A229" s="43" t="s">
        <v>150</v>
      </c>
      <c r="B229" s="19">
        <v>4.8611111111111112E-3</v>
      </c>
      <c r="C229" s="19">
        <v>2.4999999999999998E-2</v>
      </c>
      <c r="D229" s="19">
        <v>6.5972222222222224E-2</v>
      </c>
      <c r="E229" s="19">
        <v>5.8333333333333327E-2</v>
      </c>
      <c r="F229" s="19">
        <v>1.8055555555555557E-2</v>
      </c>
      <c r="G229" s="19">
        <v>3.125E-2</v>
      </c>
      <c r="H229" s="19">
        <v>7.013888888888889E-2</v>
      </c>
      <c r="I229" s="19">
        <v>2.0833333333333332E-2</v>
      </c>
      <c r="J229" s="19">
        <v>1.3888888888888888E-2</v>
      </c>
      <c r="K229" s="19">
        <v>2.9166666666666664E-2</v>
      </c>
      <c r="L229" s="19">
        <v>3.0555555555555555E-2</v>
      </c>
      <c r="M229" s="19">
        <v>5.5555555555555558E-3</v>
      </c>
      <c r="N229" s="19">
        <v>2.7777777777777776E-2</v>
      </c>
      <c r="O229" s="19">
        <v>1.8055555555555557E-2</v>
      </c>
      <c r="P229" s="19">
        <v>1.0416666666666666E-2</v>
      </c>
      <c r="Q229" s="19">
        <v>2.5694444444444447E-2</v>
      </c>
      <c r="R229" s="19">
        <v>3.8194444444444441E-2</v>
      </c>
      <c r="S229" s="19">
        <v>1.7361111111111112E-2</v>
      </c>
      <c r="T229" s="19">
        <v>1.1111111111111112E-2</v>
      </c>
      <c r="U229" s="19">
        <v>1.1111111111111112E-2</v>
      </c>
      <c r="V229" s="19">
        <v>3.0555555555555555E-2</v>
      </c>
      <c r="W229" s="19">
        <v>3.1944444444444449E-2</v>
      </c>
      <c r="X229" s="19">
        <v>3.4722222222222224E-2</v>
      </c>
      <c r="Y229" s="19">
        <v>6.1111111111111116E-2</v>
      </c>
      <c r="Z229" s="19">
        <v>3.4722222222222224E-2</v>
      </c>
      <c r="AA229" s="19">
        <v>1.8749999999999999E-2</v>
      </c>
      <c r="AB229" s="19">
        <v>2.9166666666666664E-2</v>
      </c>
      <c r="AC229" s="19">
        <v>2.4305555555555556E-2</v>
      </c>
      <c r="AD229" s="19">
        <v>1.9444444444444445E-2</v>
      </c>
      <c r="AE229" s="19">
        <v>1.8749999999999999E-2</v>
      </c>
      <c r="AF229" s="25">
        <v>5.486111111111111E-2</v>
      </c>
      <c r="AG229" s="99">
        <f t="shared" si="34"/>
        <v>0.89166666666666672</v>
      </c>
      <c r="AH229" s="438"/>
    </row>
    <row r="230" spans="1:34" ht="18.75" x14ac:dyDescent="0.25">
      <c r="A230" s="43" t="s">
        <v>78</v>
      </c>
      <c r="B230" s="19">
        <v>1.1111111111111112E-2</v>
      </c>
      <c r="C230" s="19">
        <v>3.6805555555555557E-2</v>
      </c>
      <c r="D230" s="19">
        <v>7.7777777777777779E-2</v>
      </c>
      <c r="E230" s="19">
        <v>7.2916666666666671E-2</v>
      </c>
      <c r="F230" s="19">
        <v>2.9166666666666664E-2</v>
      </c>
      <c r="G230" s="19">
        <v>4.5833333333333337E-2</v>
      </c>
      <c r="H230" s="19">
        <v>8.4722222222222213E-2</v>
      </c>
      <c r="I230" s="19">
        <v>3.125E-2</v>
      </c>
      <c r="J230" s="19">
        <v>2.1527777777777781E-2</v>
      </c>
      <c r="K230" s="19">
        <v>3.6805555555555557E-2</v>
      </c>
      <c r="L230" s="19">
        <v>4.3750000000000004E-2</v>
      </c>
      <c r="M230" s="19">
        <v>9.7222222222222224E-3</v>
      </c>
      <c r="N230" s="19">
        <v>3.8194444444444441E-2</v>
      </c>
      <c r="O230" s="19">
        <v>2.9166666666666664E-2</v>
      </c>
      <c r="P230" s="19">
        <v>2.2916666666666669E-2</v>
      </c>
      <c r="Q230" s="19">
        <v>4.027777777777778E-2</v>
      </c>
      <c r="R230" s="19">
        <v>4.8611111111111112E-2</v>
      </c>
      <c r="S230" s="19">
        <v>2.9166666666666664E-2</v>
      </c>
      <c r="T230" s="19">
        <v>2.1527777777777781E-2</v>
      </c>
      <c r="U230" s="19">
        <v>2.0833333333333332E-2</v>
      </c>
      <c r="V230" s="19">
        <v>4.2361111111111106E-2</v>
      </c>
      <c r="W230" s="19">
        <v>4.6527777777777779E-2</v>
      </c>
      <c r="X230" s="19">
        <v>4.7222222222222221E-2</v>
      </c>
      <c r="Y230" s="19">
        <v>7.6388888888888895E-2</v>
      </c>
      <c r="Z230" s="19">
        <v>4.7916666666666663E-2</v>
      </c>
      <c r="AA230" s="19">
        <v>2.9861111111111113E-2</v>
      </c>
      <c r="AB230" s="19">
        <v>3.9583333333333331E-2</v>
      </c>
      <c r="AC230" s="19">
        <v>3.5416666666666666E-2</v>
      </c>
      <c r="AD230" s="19">
        <v>3.125E-2</v>
      </c>
      <c r="AE230" s="19">
        <v>2.8472222222222222E-2</v>
      </c>
      <c r="AF230" s="25">
        <v>6.7361111111111108E-2</v>
      </c>
      <c r="AG230" s="99">
        <f t="shared" si="34"/>
        <v>1.2444444444444445</v>
      </c>
      <c r="AH230" s="438"/>
    </row>
    <row r="231" spans="1:34" ht="19.5" thickBot="1" x14ac:dyDescent="0.3">
      <c r="A231" s="43" t="s">
        <v>79</v>
      </c>
      <c r="B231" s="19">
        <v>2.2222222222222223E-2</v>
      </c>
      <c r="C231" s="19">
        <v>3.9583333333333331E-2</v>
      </c>
      <c r="D231" s="19">
        <v>2.9861111111111113E-2</v>
      </c>
      <c r="E231" s="19">
        <v>4.1666666666666664E-2</v>
      </c>
      <c r="F231" s="19">
        <v>3.125E-2</v>
      </c>
      <c r="G231" s="19">
        <v>3.6805555555555557E-2</v>
      </c>
      <c r="H231" s="19">
        <v>4.2361111111111106E-2</v>
      </c>
      <c r="I231" s="19">
        <v>3.4722222222222224E-2</v>
      </c>
      <c r="J231" s="19">
        <v>3.1944444444444449E-2</v>
      </c>
      <c r="K231" s="19">
        <v>2.5694444444444447E-2</v>
      </c>
      <c r="L231" s="19">
        <v>4.2361111111111106E-2</v>
      </c>
      <c r="M231" s="19">
        <v>2.2916666666666669E-2</v>
      </c>
      <c r="N231" s="19">
        <v>4.5833333333333337E-2</v>
      </c>
      <c r="O231" s="19">
        <v>3.8194444444444441E-2</v>
      </c>
      <c r="P231" s="19">
        <v>3.4027777777777775E-2</v>
      </c>
      <c r="Q231" s="19">
        <v>3.7499999999999999E-2</v>
      </c>
      <c r="R231" s="19">
        <v>3.7499999999999999E-2</v>
      </c>
      <c r="S231" s="19">
        <v>4.3055555555555562E-2</v>
      </c>
      <c r="T231" s="19">
        <v>2.8472222222222222E-2</v>
      </c>
      <c r="U231" s="19">
        <v>4.1666666666666664E-2</v>
      </c>
      <c r="V231" s="19">
        <v>2.9166666666666664E-2</v>
      </c>
      <c r="W231" s="19">
        <v>4.6527777777777779E-2</v>
      </c>
      <c r="X231" s="19">
        <v>3.6805555555555557E-2</v>
      </c>
      <c r="Y231" s="19">
        <v>4.3055555555555562E-2</v>
      </c>
      <c r="Z231" s="19">
        <v>3.4027777777777775E-2</v>
      </c>
      <c r="AA231" s="19">
        <v>3.6111111111111115E-2</v>
      </c>
      <c r="AB231" s="19">
        <v>3.4027777777777775E-2</v>
      </c>
      <c r="AC231" s="19">
        <v>3.7499999999999999E-2</v>
      </c>
      <c r="AD231" s="19">
        <v>3.4722222222222224E-2</v>
      </c>
      <c r="AE231" s="19">
        <v>3.3333333333333333E-2</v>
      </c>
      <c r="AF231" s="25">
        <v>3.888888888888889E-2</v>
      </c>
      <c r="AG231" s="99">
        <f t="shared" si="34"/>
        <v>1.1118055555555557</v>
      </c>
      <c r="AH231" s="439"/>
    </row>
    <row r="232" spans="1:34" ht="24" thickBot="1" x14ac:dyDescent="0.3">
      <c r="A232" s="62" t="s">
        <v>118</v>
      </c>
      <c r="B232" s="20">
        <f>+B231+B230+B220+B229</f>
        <v>4.3749999999999997E-2</v>
      </c>
      <c r="C232" s="20">
        <f t="shared" ref="C232:AF232" si="46">+C231+C230+C220+C229</f>
        <v>0.13263888888888889</v>
      </c>
      <c r="D232" s="20">
        <f t="shared" si="46"/>
        <v>0.19375000000000003</v>
      </c>
      <c r="E232" s="20">
        <f t="shared" si="46"/>
        <v>0.18333333333333332</v>
      </c>
      <c r="F232" s="20">
        <f t="shared" si="46"/>
        <v>8.8888888888888892E-2</v>
      </c>
      <c r="G232" s="20">
        <f t="shared" si="46"/>
        <v>0.16180555555555556</v>
      </c>
      <c r="H232" s="20">
        <f t="shared" si="46"/>
        <v>0.21180555555555555</v>
      </c>
      <c r="I232" s="20">
        <f t="shared" si="46"/>
        <v>0.12013888888888889</v>
      </c>
      <c r="J232" s="20">
        <f t="shared" si="46"/>
        <v>9.5138888888888884E-2</v>
      </c>
      <c r="K232" s="20">
        <f t="shared" si="46"/>
        <v>0.12083333333333332</v>
      </c>
      <c r="L232" s="20">
        <f t="shared" si="46"/>
        <v>0.12291666666666667</v>
      </c>
      <c r="M232" s="20">
        <f t="shared" si="46"/>
        <v>4.3055555555555562E-2</v>
      </c>
      <c r="N232" s="20">
        <f t="shared" si="46"/>
        <v>0.14444444444444443</v>
      </c>
      <c r="O232" s="20">
        <f t="shared" si="46"/>
        <v>0.11388888888888889</v>
      </c>
      <c r="P232" s="20">
        <f t="shared" si="46"/>
        <v>9.7916666666666666E-2</v>
      </c>
      <c r="Q232" s="20">
        <f t="shared" si="46"/>
        <v>0.14166666666666666</v>
      </c>
      <c r="R232" s="20">
        <f t="shared" si="46"/>
        <v>0.14722222222222223</v>
      </c>
      <c r="S232" s="20">
        <f t="shared" si="46"/>
        <v>9.7222222222222238E-2</v>
      </c>
      <c r="T232" s="20">
        <f t="shared" si="46"/>
        <v>6.6666666666666666E-2</v>
      </c>
      <c r="U232" s="20">
        <f t="shared" si="46"/>
        <v>9.7916666666666666E-2</v>
      </c>
      <c r="V232" s="20">
        <f t="shared" si="46"/>
        <v>0.11388888888888889</v>
      </c>
      <c r="W232" s="20">
        <f t="shared" si="46"/>
        <v>0.14444444444444446</v>
      </c>
      <c r="X232" s="20">
        <f t="shared" si="46"/>
        <v>0.13819444444444445</v>
      </c>
      <c r="Y232" s="20">
        <f t="shared" si="46"/>
        <v>0.20833333333333337</v>
      </c>
      <c r="Z232" s="20">
        <f t="shared" si="46"/>
        <v>0.1236111111111111</v>
      </c>
      <c r="AA232" s="20">
        <f t="shared" si="46"/>
        <v>9.0277777777777776E-2</v>
      </c>
      <c r="AB232" s="20">
        <f t="shared" si="46"/>
        <v>0.13263888888888889</v>
      </c>
      <c r="AC232" s="20">
        <f t="shared" si="46"/>
        <v>0.11319444444444443</v>
      </c>
      <c r="AD232" s="20">
        <f t="shared" si="46"/>
        <v>0.10277777777777779</v>
      </c>
      <c r="AE232" s="20">
        <f t="shared" si="46"/>
        <v>9.5138888888888898E-2</v>
      </c>
      <c r="AF232" s="26">
        <f t="shared" si="46"/>
        <v>0.17499999999999999</v>
      </c>
      <c r="AG232" s="99">
        <f t="shared" si="34"/>
        <v>3.8625000000000003</v>
      </c>
      <c r="AH232" s="36"/>
    </row>
    <row r="233" spans="1:34" ht="18.75" x14ac:dyDescent="0.25">
      <c r="A233" s="57" t="s">
        <v>90</v>
      </c>
      <c r="B233" s="27">
        <v>11</v>
      </c>
      <c r="C233" s="27">
        <v>38</v>
      </c>
      <c r="D233" s="27">
        <v>27</v>
      </c>
      <c r="E233" s="27">
        <v>23</v>
      </c>
      <c r="F233" s="27">
        <v>9</v>
      </c>
      <c r="G233" s="27">
        <v>26</v>
      </c>
      <c r="H233" s="27">
        <v>34</v>
      </c>
      <c r="I233" s="27">
        <v>27</v>
      </c>
      <c r="J233" s="27">
        <v>35</v>
      </c>
      <c r="K233" s="27">
        <v>18</v>
      </c>
      <c r="L233" s="27">
        <v>7</v>
      </c>
      <c r="M233" s="27">
        <v>9</v>
      </c>
      <c r="N233" s="27">
        <v>26</v>
      </c>
      <c r="O233" s="27">
        <v>38</v>
      </c>
      <c r="P233" s="27">
        <v>30</v>
      </c>
      <c r="Q233" s="27">
        <v>37</v>
      </c>
      <c r="R233" s="27">
        <v>23</v>
      </c>
      <c r="S233" s="27">
        <v>13</v>
      </c>
      <c r="T233" s="27">
        <v>17</v>
      </c>
      <c r="U233" s="27">
        <v>36</v>
      </c>
      <c r="V233" s="27">
        <v>31</v>
      </c>
      <c r="W233" s="27">
        <v>33</v>
      </c>
      <c r="X233" s="27">
        <v>39</v>
      </c>
      <c r="Y233" s="27">
        <v>28</v>
      </c>
      <c r="Z233" s="27">
        <v>16</v>
      </c>
      <c r="AA233" s="27">
        <v>12</v>
      </c>
      <c r="AB233" s="27">
        <v>28</v>
      </c>
      <c r="AC233" s="27">
        <v>29</v>
      </c>
      <c r="AD233" s="27">
        <v>20</v>
      </c>
      <c r="AE233" s="27">
        <v>32</v>
      </c>
      <c r="AF233" s="92">
        <v>28</v>
      </c>
      <c r="AG233" s="31">
        <f t="shared" ref="AG233:AG248" si="47">SUM(B233:AF233)</f>
        <v>780</v>
      </c>
      <c r="AH233" s="440" t="s">
        <v>96</v>
      </c>
    </row>
    <row r="234" spans="1:34" ht="18.75" x14ac:dyDescent="0.25">
      <c r="A234" s="54" t="s">
        <v>91</v>
      </c>
      <c r="B234" s="40">
        <v>0.33333333333333331</v>
      </c>
      <c r="C234" s="40">
        <v>0.33333333333333331</v>
      </c>
      <c r="D234" s="40"/>
      <c r="E234" s="40"/>
      <c r="F234" s="40">
        <v>0.33333333333333331</v>
      </c>
      <c r="G234" s="40">
        <v>0.33333333333333331</v>
      </c>
      <c r="H234" s="40">
        <v>0.33333333333333331</v>
      </c>
      <c r="I234" s="40">
        <v>0.33333333333333331</v>
      </c>
      <c r="J234" s="40">
        <v>0.33333333333333331</v>
      </c>
      <c r="K234" s="40"/>
      <c r="L234" s="40"/>
      <c r="M234" s="40">
        <v>0.33333333333333331</v>
      </c>
      <c r="N234" s="40">
        <v>0.33333333333333331</v>
      </c>
      <c r="O234" s="40">
        <v>0.33333333333333331</v>
      </c>
      <c r="P234" s="40">
        <v>0.33333333333333331</v>
      </c>
      <c r="Q234" s="40">
        <v>0.33333333333333331</v>
      </c>
      <c r="R234" s="40"/>
      <c r="S234" s="40"/>
      <c r="T234" s="40">
        <v>0.33333333333333331</v>
      </c>
      <c r="U234" s="40">
        <v>0.33333333333333331</v>
      </c>
      <c r="V234" s="40">
        <v>0.33333333333333331</v>
      </c>
      <c r="W234" s="40">
        <v>0.33333333333333331</v>
      </c>
      <c r="X234" s="40">
        <v>0.33333333333333331</v>
      </c>
      <c r="Y234" s="40"/>
      <c r="Z234" s="40"/>
      <c r="AA234" s="40">
        <v>0.33333333333333331</v>
      </c>
      <c r="AB234" s="40">
        <v>0.33333333333333331</v>
      </c>
      <c r="AC234" s="40">
        <v>0.33333333333333331</v>
      </c>
      <c r="AD234" s="40">
        <v>0.33333333333333331</v>
      </c>
      <c r="AE234" s="40">
        <v>0.33333333333333331</v>
      </c>
      <c r="AF234" s="93"/>
      <c r="AG234" s="99">
        <f t="shared" si="47"/>
        <v>7.3333333333333304</v>
      </c>
      <c r="AH234" s="441"/>
    </row>
    <row r="235" spans="1:34" ht="19.5" thickBot="1" x14ac:dyDescent="0.3">
      <c r="A235" s="58" t="s">
        <v>97</v>
      </c>
      <c r="B235" s="59">
        <v>0</v>
      </c>
      <c r="C235" s="59">
        <v>0</v>
      </c>
      <c r="D235" s="59">
        <v>0</v>
      </c>
      <c r="E235" s="59">
        <v>0</v>
      </c>
      <c r="F235" s="59">
        <v>0</v>
      </c>
      <c r="G235" s="59">
        <v>0</v>
      </c>
      <c r="H235" s="59">
        <v>0</v>
      </c>
      <c r="I235" s="59">
        <v>0</v>
      </c>
      <c r="J235" s="59">
        <v>0</v>
      </c>
      <c r="K235" s="59">
        <v>0</v>
      </c>
      <c r="L235" s="59">
        <v>0</v>
      </c>
      <c r="M235" s="59">
        <v>0</v>
      </c>
      <c r="N235" s="59">
        <v>0</v>
      </c>
      <c r="O235" s="59">
        <v>0</v>
      </c>
      <c r="P235" s="59">
        <v>0</v>
      </c>
      <c r="Q235" s="59">
        <v>0</v>
      </c>
      <c r="R235" s="59">
        <v>0</v>
      </c>
      <c r="S235" s="59">
        <v>0</v>
      </c>
      <c r="T235" s="59">
        <v>0</v>
      </c>
      <c r="U235" s="59">
        <v>0</v>
      </c>
      <c r="V235" s="59">
        <v>0</v>
      </c>
      <c r="W235" s="59">
        <v>0</v>
      </c>
      <c r="X235" s="59">
        <v>0</v>
      </c>
      <c r="Y235" s="59">
        <v>0</v>
      </c>
      <c r="Z235" s="59">
        <v>0</v>
      </c>
      <c r="AA235" s="59">
        <v>0</v>
      </c>
      <c r="AB235" s="59">
        <v>0</v>
      </c>
      <c r="AC235" s="59">
        <v>0</v>
      </c>
      <c r="AD235" s="59">
        <v>0</v>
      </c>
      <c r="AE235" s="59">
        <v>0</v>
      </c>
      <c r="AF235" s="94">
        <v>0</v>
      </c>
      <c r="AG235" s="28">
        <f t="shared" si="47"/>
        <v>0</v>
      </c>
      <c r="AH235" s="442"/>
    </row>
    <row r="236" spans="1:34" ht="18.75" x14ac:dyDescent="0.25">
      <c r="A236" s="55" t="s">
        <v>92</v>
      </c>
      <c r="B236" s="118">
        <v>5</v>
      </c>
      <c r="C236" s="118">
        <v>2</v>
      </c>
      <c r="D236" s="118">
        <v>4</v>
      </c>
      <c r="E236" s="118">
        <v>3</v>
      </c>
      <c r="F236" s="118">
        <v>3</v>
      </c>
      <c r="G236" s="118">
        <v>3</v>
      </c>
      <c r="H236" s="118">
        <v>3</v>
      </c>
      <c r="I236" s="118">
        <v>5</v>
      </c>
      <c r="J236" s="118">
        <v>3</v>
      </c>
      <c r="K236" s="118">
        <v>3</v>
      </c>
      <c r="L236" s="118">
        <v>5</v>
      </c>
      <c r="M236" s="118">
        <v>2</v>
      </c>
      <c r="N236" s="118">
        <v>5</v>
      </c>
      <c r="O236" s="118">
        <v>3</v>
      </c>
      <c r="P236" s="118">
        <v>3</v>
      </c>
      <c r="Q236" s="118">
        <v>2</v>
      </c>
      <c r="R236" s="118">
        <v>1</v>
      </c>
      <c r="S236" s="118">
        <v>3</v>
      </c>
      <c r="T236" s="118">
        <v>2</v>
      </c>
      <c r="U236" s="118">
        <v>6</v>
      </c>
      <c r="V236" s="118">
        <v>2</v>
      </c>
      <c r="W236" s="118">
        <v>3</v>
      </c>
      <c r="X236" s="118">
        <v>3</v>
      </c>
      <c r="Y236" s="118">
        <v>5</v>
      </c>
      <c r="Z236" s="118">
        <v>5</v>
      </c>
      <c r="AA236" s="118">
        <v>1</v>
      </c>
      <c r="AB236" s="118">
        <v>4</v>
      </c>
      <c r="AC236" s="118">
        <v>3</v>
      </c>
      <c r="AD236" s="118">
        <v>6</v>
      </c>
      <c r="AE236" s="118">
        <v>6</v>
      </c>
      <c r="AF236" s="118">
        <v>6</v>
      </c>
      <c r="AG236" s="95">
        <f t="shared" si="47"/>
        <v>110</v>
      </c>
      <c r="AH236" s="440" t="s">
        <v>93</v>
      </c>
    </row>
    <row r="237" spans="1:34" ht="18.75" x14ac:dyDescent="0.25">
      <c r="A237" s="139" t="s">
        <v>94</v>
      </c>
      <c r="B237" s="140">
        <v>3</v>
      </c>
      <c r="C237" s="140">
        <v>0</v>
      </c>
      <c r="D237" s="140">
        <v>1</v>
      </c>
      <c r="E237" s="140">
        <v>2</v>
      </c>
      <c r="F237" s="140">
        <v>3</v>
      </c>
      <c r="G237" s="140">
        <v>0</v>
      </c>
      <c r="H237" s="140">
        <v>1</v>
      </c>
      <c r="I237" s="140">
        <v>2</v>
      </c>
      <c r="J237" s="140">
        <v>1</v>
      </c>
      <c r="K237" s="140">
        <v>1</v>
      </c>
      <c r="L237" s="140">
        <v>1</v>
      </c>
      <c r="M237" s="140">
        <v>0</v>
      </c>
      <c r="N237" s="145">
        <v>3</v>
      </c>
      <c r="O237" s="140">
        <v>2</v>
      </c>
      <c r="P237" s="140">
        <v>2</v>
      </c>
      <c r="Q237" s="140">
        <v>0</v>
      </c>
      <c r="R237" s="140">
        <v>0</v>
      </c>
      <c r="S237" s="140">
        <v>1</v>
      </c>
      <c r="T237" s="140">
        <v>0</v>
      </c>
      <c r="U237" s="140">
        <v>1</v>
      </c>
      <c r="V237" s="140">
        <v>1</v>
      </c>
      <c r="W237" s="140">
        <v>1</v>
      </c>
      <c r="X237" s="140">
        <v>1</v>
      </c>
      <c r="Y237" s="140">
        <v>1</v>
      </c>
      <c r="Z237" s="142">
        <v>1</v>
      </c>
      <c r="AA237" s="140">
        <v>1</v>
      </c>
      <c r="AB237" s="140">
        <v>3</v>
      </c>
      <c r="AC237" s="140">
        <v>2</v>
      </c>
      <c r="AD237" s="140">
        <v>3</v>
      </c>
      <c r="AE237" s="140">
        <v>0</v>
      </c>
      <c r="AF237" s="144">
        <v>3</v>
      </c>
      <c r="AG237" s="143">
        <f t="shared" si="47"/>
        <v>41</v>
      </c>
      <c r="AH237" s="441"/>
    </row>
    <row r="238" spans="1:34" ht="18.75" x14ac:dyDescent="0.25">
      <c r="A238" s="139" t="s">
        <v>95</v>
      </c>
      <c r="B238" s="140">
        <v>2</v>
      </c>
      <c r="C238" s="140">
        <v>2</v>
      </c>
      <c r="D238" s="140">
        <v>3</v>
      </c>
      <c r="E238" s="140">
        <v>1</v>
      </c>
      <c r="F238" s="140">
        <v>0</v>
      </c>
      <c r="G238" s="140">
        <v>3</v>
      </c>
      <c r="H238" s="140">
        <v>2</v>
      </c>
      <c r="I238" s="140">
        <v>3</v>
      </c>
      <c r="J238" s="140">
        <v>2</v>
      </c>
      <c r="K238" s="140">
        <v>2</v>
      </c>
      <c r="L238" s="140">
        <v>4</v>
      </c>
      <c r="M238" s="140">
        <v>2</v>
      </c>
      <c r="N238" s="145">
        <v>2</v>
      </c>
      <c r="O238" s="140">
        <v>1</v>
      </c>
      <c r="P238" s="140">
        <v>1</v>
      </c>
      <c r="Q238" s="140">
        <v>2</v>
      </c>
      <c r="R238" s="140">
        <v>1</v>
      </c>
      <c r="S238" s="140">
        <v>2</v>
      </c>
      <c r="T238" s="140">
        <v>2</v>
      </c>
      <c r="U238" s="140">
        <v>5</v>
      </c>
      <c r="V238" s="140">
        <v>1</v>
      </c>
      <c r="W238" s="140">
        <v>2</v>
      </c>
      <c r="X238" s="140">
        <v>2</v>
      </c>
      <c r="Y238" s="140">
        <v>4</v>
      </c>
      <c r="Z238" s="142">
        <v>4</v>
      </c>
      <c r="AA238" s="140">
        <v>0</v>
      </c>
      <c r="AB238" s="140">
        <v>1</v>
      </c>
      <c r="AC238" s="140">
        <v>1</v>
      </c>
      <c r="AD238" s="140">
        <v>3</v>
      </c>
      <c r="AE238" s="140">
        <v>6</v>
      </c>
      <c r="AF238" s="144">
        <v>3</v>
      </c>
      <c r="AG238" s="143">
        <f t="shared" si="47"/>
        <v>69</v>
      </c>
      <c r="AH238" s="441"/>
    </row>
    <row r="239" spans="1:34" ht="19.5" thickBot="1" x14ac:dyDescent="0.3">
      <c r="A239" s="190" t="s">
        <v>106</v>
      </c>
      <c r="B239" s="191"/>
      <c r="C239" s="191"/>
      <c r="D239" s="191"/>
      <c r="E239" s="191"/>
      <c r="F239" s="191"/>
      <c r="G239" s="191"/>
      <c r="H239" s="191"/>
      <c r="I239" s="191"/>
      <c r="J239" s="191"/>
      <c r="K239" s="192"/>
      <c r="L239" s="192"/>
      <c r="M239" s="192"/>
      <c r="N239" s="193"/>
      <c r="O239" s="194"/>
      <c r="P239" s="194"/>
      <c r="Q239" s="194"/>
      <c r="R239" s="194"/>
      <c r="S239" s="194"/>
      <c r="T239" s="194"/>
      <c r="U239" s="194"/>
      <c r="V239" s="194"/>
      <c r="W239" s="194"/>
      <c r="X239" s="194"/>
      <c r="Y239" s="194"/>
      <c r="Z239" s="194"/>
      <c r="AA239" s="194"/>
      <c r="AB239" s="194"/>
      <c r="AC239" s="194"/>
      <c r="AD239" s="194"/>
      <c r="AE239" s="194"/>
      <c r="AF239" s="195"/>
      <c r="AG239" s="108">
        <f t="shared" si="47"/>
        <v>0</v>
      </c>
      <c r="AH239" s="442"/>
    </row>
    <row r="240" spans="1:34" ht="24" hidden="1" thickBot="1" x14ac:dyDescent="0.3">
      <c r="A240" s="198" t="s">
        <v>148</v>
      </c>
      <c r="B240" s="199">
        <f>SUM(B241:B246)</f>
        <v>0</v>
      </c>
      <c r="C240" s="199">
        <f t="shared" ref="C240:AF240" si="48">SUM(C241:C246)</f>
        <v>0</v>
      </c>
      <c r="D240" s="199">
        <f t="shared" si="48"/>
        <v>0</v>
      </c>
      <c r="E240" s="199">
        <f t="shared" si="48"/>
        <v>0</v>
      </c>
      <c r="F240" s="199">
        <f t="shared" si="48"/>
        <v>0</v>
      </c>
      <c r="G240" s="199">
        <f t="shared" si="48"/>
        <v>0</v>
      </c>
      <c r="H240" s="199">
        <f t="shared" si="48"/>
        <v>0</v>
      </c>
      <c r="I240" s="199">
        <f t="shared" si="48"/>
        <v>0</v>
      </c>
      <c r="J240" s="199">
        <f t="shared" si="48"/>
        <v>0</v>
      </c>
      <c r="K240" s="199">
        <f t="shared" si="48"/>
        <v>0</v>
      </c>
      <c r="L240" s="199">
        <f t="shared" si="48"/>
        <v>0</v>
      </c>
      <c r="M240" s="199">
        <f t="shared" si="48"/>
        <v>0</v>
      </c>
      <c r="N240" s="199">
        <f t="shared" si="48"/>
        <v>0</v>
      </c>
      <c r="O240" s="199">
        <f t="shared" si="48"/>
        <v>0</v>
      </c>
      <c r="P240" s="199">
        <f t="shared" si="48"/>
        <v>0</v>
      </c>
      <c r="Q240" s="199">
        <f t="shared" si="48"/>
        <v>0</v>
      </c>
      <c r="R240" s="199">
        <f t="shared" si="48"/>
        <v>0</v>
      </c>
      <c r="S240" s="199">
        <f t="shared" si="48"/>
        <v>0</v>
      </c>
      <c r="T240" s="199">
        <f t="shared" si="48"/>
        <v>0</v>
      </c>
      <c r="U240" s="199">
        <f t="shared" si="48"/>
        <v>0</v>
      </c>
      <c r="V240" s="199">
        <f t="shared" si="48"/>
        <v>0</v>
      </c>
      <c r="W240" s="199">
        <f t="shared" si="48"/>
        <v>0</v>
      </c>
      <c r="X240" s="199">
        <f t="shared" si="48"/>
        <v>0</v>
      </c>
      <c r="Y240" s="199">
        <f t="shared" si="48"/>
        <v>0</v>
      </c>
      <c r="Z240" s="199">
        <f t="shared" si="48"/>
        <v>0</v>
      </c>
      <c r="AA240" s="199">
        <f t="shared" si="48"/>
        <v>0</v>
      </c>
      <c r="AB240" s="199">
        <f t="shared" si="48"/>
        <v>0</v>
      </c>
      <c r="AC240" s="199">
        <f t="shared" si="48"/>
        <v>0</v>
      </c>
      <c r="AD240" s="199">
        <f t="shared" si="48"/>
        <v>0</v>
      </c>
      <c r="AE240" s="199">
        <f t="shared" si="48"/>
        <v>0</v>
      </c>
      <c r="AF240" s="200">
        <f t="shared" si="48"/>
        <v>0</v>
      </c>
      <c r="AG240" s="201">
        <f t="shared" si="47"/>
        <v>0</v>
      </c>
    </row>
    <row r="241" spans="1:33" ht="38.25" hidden="1" customHeight="1" x14ac:dyDescent="0.25">
      <c r="A241" s="227" t="s">
        <v>159</v>
      </c>
      <c r="B241" s="189"/>
      <c r="C241" s="189"/>
      <c r="D241" s="189"/>
      <c r="E241" s="189"/>
      <c r="F241" s="189"/>
      <c r="G241" s="189"/>
      <c r="H241" s="189"/>
      <c r="I241" s="189"/>
      <c r="J241" s="189"/>
      <c r="K241" s="189"/>
      <c r="L241" s="189"/>
      <c r="M241" s="189"/>
      <c r="N241" s="189"/>
      <c r="O241" s="189"/>
      <c r="P241" s="189"/>
      <c r="Q241" s="189"/>
      <c r="R241" s="189"/>
      <c r="S241" s="189"/>
      <c r="T241" s="189"/>
      <c r="U241" s="189"/>
      <c r="V241" s="189"/>
      <c r="W241" s="189"/>
      <c r="X241" s="189"/>
      <c r="Y241" s="189"/>
      <c r="Z241" s="189"/>
      <c r="AA241" s="189"/>
      <c r="AB241" s="189"/>
      <c r="AC241" s="189"/>
      <c r="AD241" s="189"/>
      <c r="AE241" s="189"/>
      <c r="AF241" s="196"/>
      <c r="AG241" s="197">
        <f t="shared" si="47"/>
        <v>0</v>
      </c>
    </row>
    <row r="242" spans="1:33" ht="40.5" hidden="1" customHeight="1" x14ac:dyDescent="0.25">
      <c r="A242" s="227" t="s">
        <v>160</v>
      </c>
      <c r="B242" s="189"/>
      <c r="C242" s="189"/>
      <c r="D242" s="189"/>
      <c r="E242" s="189"/>
      <c r="F242" s="189"/>
      <c r="G242" s="189"/>
      <c r="H242" s="189"/>
      <c r="I242" s="189"/>
      <c r="J242" s="189"/>
      <c r="K242" s="189"/>
      <c r="L242" s="189"/>
      <c r="M242" s="189"/>
      <c r="N242" s="189"/>
      <c r="O242" s="189"/>
      <c r="P242" s="189"/>
      <c r="Q242" s="189"/>
      <c r="R242" s="189"/>
      <c r="S242" s="189"/>
      <c r="T242" s="189"/>
      <c r="U242" s="189"/>
      <c r="V242" s="189"/>
      <c r="W242" s="189"/>
      <c r="X242" s="189"/>
      <c r="Y242" s="189"/>
      <c r="Z242" s="189"/>
      <c r="AA242" s="189"/>
      <c r="AB242" s="189"/>
      <c r="AC242" s="189"/>
      <c r="AD242" s="189"/>
      <c r="AE242" s="189"/>
      <c r="AF242" s="196"/>
      <c r="AG242" s="197"/>
    </row>
    <row r="243" spans="1:33" ht="40.5" hidden="1" customHeight="1" x14ac:dyDescent="0.25">
      <c r="A243" s="227" t="s">
        <v>161</v>
      </c>
      <c r="B243" s="189"/>
      <c r="C243" s="189"/>
      <c r="D243" s="189"/>
      <c r="E243" s="189"/>
      <c r="F243" s="189"/>
      <c r="G243" s="189"/>
      <c r="H243" s="189"/>
      <c r="I243" s="189"/>
      <c r="J243" s="189"/>
      <c r="K243" s="189"/>
      <c r="L243" s="189"/>
      <c r="M243" s="189"/>
      <c r="N243" s="189"/>
      <c r="O243" s="189"/>
      <c r="P243" s="189"/>
      <c r="Q243" s="189"/>
      <c r="R243" s="189"/>
      <c r="S243" s="189"/>
      <c r="T243" s="189"/>
      <c r="U243" s="189"/>
      <c r="V243" s="189"/>
      <c r="W243" s="189"/>
      <c r="X243" s="189"/>
      <c r="Y243" s="189"/>
      <c r="Z243" s="189"/>
      <c r="AA243" s="189"/>
      <c r="AB243" s="189"/>
      <c r="AC243" s="189"/>
      <c r="AD243" s="189"/>
      <c r="AE243" s="189"/>
      <c r="AF243" s="196"/>
      <c r="AG243" s="197"/>
    </row>
    <row r="244" spans="1:33" ht="40.5" hidden="1" customHeight="1" x14ac:dyDescent="0.25">
      <c r="A244" s="227" t="s">
        <v>162</v>
      </c>
      <c r="B244" s="189"/>
      <c r="C244" s="189"/>
      <c r="D244" s="189"/>
      <c r="E244" s="189"/>
      <c r="F244" s="189"/>
      <c r="G244" s="189"/>
      <c r="H244" s="189"/>
      <c r="I244" s="189"/>
      <c r="J244" s="189"/>
      <c r="K244" s="189"/>
      <c r="L244" s="189"/>
      <c r="M244" s="189"/>
      <c r="N244" s="189"/>
      <c r="O244" s="189"/>
      <c r="P244" s="189"/>
      <c r="Q244" s="189"/>
      <c r="R244" s="189"/>
      <c r="S244" s="189"/>
      <c r="T244" s="189"/>
      <c r="U244" s="189"/>
      <c r="V244" s="189"/>
      <c r="W244" s="189"/>
      <c r="X244" s="189"/>
      <c r="Y244" s="189"/>
      <c r="Z244" s="189"/>
      <c r="AA244" s="189"/>
      <c r="AB244" s="189"/>
      <c r="AC244" s="189"/>
      <c r="AD244" s="189"/>
      <c r="AE244" s="189"/>
      <c r="AF244" s="196"/>
      <c r="AG244" s="197"/>
    </row>
    <row r="245" spans="1:33" ht="40.5" hidden="1" customHeight="1" x14ac:dyDescent="0.25">
      <c r="A245" s="228" t="s">
        <v>163</v>
      </c>
      <c r="B245" s="137"/>
      <c r="C245" s="137"/>
      <c r="D245" s="137"/>
      <c r="E245" s="137"/>
      <c r="F245" s="137"/>
      <c r="G245" s="137"/>
      <c r="H245" s="137"/>
      <c r="I245" s="137"/>
      <c r="J245" s="137"/>
      <c r="K245" s="137"/>
      <c r="L245" s="137"/>
      <c r="M245" s="137"/>
      <c r="N245" s="137"/>
      <c r="O245" s="137"/>
      <c r="P245" s="137"/>
      <c r="Q245" s="137"/>
      <c r="R245" s="137"/>
      <c r="S245" s="137"/>
      <c r="T245" s="137"/>
      <c r="U245" s="137"/>
      <c r="V245" s="137"/>
      <c r="W245" s="137"/>
      <c r="X245" s="137"/>
      <c r="Y245" s="137"/>
      <c r="Z245" s="137"/>
      <c r="AA245" s="137"/>
      <c r="AB245" s="137"/>
      <c r="AC245" s="137"/>
      <c r="AD245" s="137"/>
      <c r="AE245" s="137"/>
      <c r="AF245" s="188"/>
      <c r="AG245" s="138">
        <f t="shared" si="47"/>
        <v>0</v>
      </c>
    </row>
    <row r="246" spans="1:33" ht="39.75" hidden="1" customHeight="1" thickBot="1" x14ac:dyDescent="0.3">
      <c r="A246" s="229" t="s">
        <v>164</v>
      </c>
      <c r="B246" s="222"/>
      <c r="C246" s="222"/>
      <c r="D246" s="222"/>
      <c r="E246" s="222"/>
      <c r="F246" s="222"/>
      <c r="G246" s="222"/>
      <c r="H246" s="222"/>
      <c r="I246" s="222"/>
      <c r="J246" s="222"/>
      <c r="K246" s="222"/>
      <c r="L246" s="222"/>
      <c r="M246" s="222"/>
      <c r="N246" s="222"/>
      <c r="O246" s="222"/>
      <c r="P246" s="222"/>
      <c r="Q246" s="222"/>
      <c r="R246" s="222"/>
      <c r="S246" s="222"/>
      <c r="T246" s="222"/>
      <c r="U246" s="222"/>
      <c r="V246" s="222"/>
      <c r="W246" s="222"/>
      <c r="X246" s="222"/>
      <c r="Y246" s="222"/>
      <c r="Z246" s="222"/>
      <c r="AA246" s="222"/>
      <c r="AB246" s="222"/>
      <c r="AC246" s="222"/>
      <c r="AD246" s="222"/>
      <c r="AE246" s="222"/>
      <c r="AF246" s="223"/>
      <c r="AG246" s="224">
        <f t="shared" si="47"/>
        <v>0</v>
      </c>
    </row>
    <row r="247" spans="1:33" ht="21.75" x14ac:dyDescent="0.25">
      <c r="A247" s="225" t="s">
        <v>151</v>
      </c>
      <c r="B247" s="363">
        <v>2.9861111111111113E-2</v>
      </c>
      <c r="C247" s="363">
        <v>6.5972222222222224E-2</v>
      </c>
      <c r="D247" s="363">
        <v>9.7222222222222224E-2</v>
      </c>
      <c r="E247" s="363">
        <v>0.1013888888888889</v>
      </c>
      <c r="F247" s="363">
        <v>5.0694444444444452E-2</v>
      </c>
      <c r="G247" s="363">
        <v>7.9861111111111105E-2</v>
      </c>
      <c r="H247" s="363">
        <v>0.12152777777777778</v>
      </c>
      <c r="I247" s="363">
        <v>6.3194444444444442E-2</v>
      </c>
      <c r="J247" s="363">
        <v>5.2777777777777778E-2</v>
      </c>
      <c r="K247" s="363">
        <v>6.1805555555555558E-2</v>
      </c>
      <c r="L247" s="363">
        <v>7.8472222222222221E-2</v>
      </c>
      <c r="M247" s="363">
        <v>3.2638888888888891E-2</v>
      </c>
      <c r="N247" s="363">
        <v>8.2638888888888887E-2</v>
      </c>
      <c r="O247" s="363">
        <v>6.5277777777777782E-2</v>
      </c>
      <c r="P247" s="363">
        <v>5.6250000000000001E-2</v>
      </c>
      <c r="Q247" s="363">
        <v>7.6388888888888895E-2</v>
      </c>
      <c r="R247" s="363">
        <v>8.5416666666666655E-2</v>
      </c>
      <c r="S247" s="363">
        <v>7.013888888888889E-2</v>
      </c>
      <c r="T247" s="363">
        <v>4.5833333333333337E-2</v>
      </c>
      <c r="U247" s="363">
        <v>6.25E-2</v>
      </c>
      <c r="V247" s="363">
        <v>6.25E-2</v>
      </c>
      <c r="W247" s="363">
        <v>9.3055555555555558E-2</v>
      </c>
      <c r="X247" s="363">
        <v>8.2638888888888887E-2</v>
      </c>
      <c r="Y247" s="363">
        <v>0.11805555555555557</v>
      </c>
      <c r="Z247" s="363">
        <v>8.1250000000000003E-2</v>
      </c>
      <c r="AA247" s="363">
        <v>6.458333333333334E-2</v>
      </c>
      <c r="AB247" s="363">
        <v>7.3611111111111113E-2</v>
      </c>
      <c r="AC247" s="363">
        <v>7.2916666666666671E-2</v>
      </c>
      <c r="AD247" s="363">
        <v>6.5277777777777782E-2</v>
      </c>
      <c r="AE247" s="363">
        <v>5.9027777777777783E-2</v>
      </c>
      <c r="AF247" s="367">
        <v>0.10555555555555556</v>
      </c>
      <c r="AG247" s="369">
        <f t="shared" si="47"/>
        <v>2.2583333333333337</v>
      </c>
    </row>
    <row r="248" spans="1:33" ht="22.5" thickBot="1" x14ac:dyDescent="0.3">
      <c r="A248" s="226" t="s">
        <v>152</v>
      </c>
      <c r="B248" s="364">
        <v>1.5277777777777777E-2</v>
      </c>
      <c r="C248" s="364">
        <v>6.1111111111111116E-2</v>
      </c>
      <c r="D248" s="364">
        <v>0.14305555555555557</v>
      </c>
      <c r="E248" s="364">
        <v>0.12986111111111112</v>
      </c>
      <c r="F248" s="364">
        <v>4.7222222222222221E-2</v>
      </c>
      <c r="G248" s="364">
        <v>7.7083333333333337E-2</v>
      </c>
      <c r="H248" s="364">
        <v>0.15277777777777776</v>
      </c>
      <c r="I248" s="364">
        <v>5.0694444444444452E-2</v>
      </c>
      <c r="J248" s="364">
        <v>3.4722222222222224E-2</v>
      </c>
      <c r="K248" s="364">
        <v>6.5277777777777782E-2</v>
      </c>
      <c r="L248" s="364">
        <v>7.4305555555555555E-2</v>
      </c>
      <c r="M248" s="364">
        <v>1.5277777777777777E-2</v>
      </c>
      <c r="N248" s="364">
        <v>6.5277777777777782E-2</v>
      </c>
      <c r="O248" s="364">
        <v>4.6527777777777779E-2</v>
      </c>
      <c r="P248" s="364">
        <v>3.2638888888888891E-2</v>
      </c>
      <c r="Q248" s="364">
        <v>6.5972222222222224E-2</v>
      </c>
      <c r="R248" s="364">
        <v>8.5416666666666655E-2</v>
      </c>
      <c r="S248" s="364">
        <v>4.6527777777777779E-2</v>
      </c>
      <c r="T248" s="364">
        <v>3.1944444444444449E-2</v>
      </c>
      <c r="U248" s="364">
        <v>3.125E-2</v>
      </c>
      <c r="V248" s="364">
        <v>7.2222222222222229E-2</v>
      </c>
      <c r="W248" s="364">
        <v>7.8472222222222221E-2</v>
      </c>
      <c r="X248" s="364">
        <v>8.0555555555555561E-2</v>
      </c>
      <c r="Y248" s="364">
        <v>0.1361111111111111</v>
      </c>
      <c r="Z248" s="364">
        <v>8.2638888888888887E-2</v>
      </c>
      <c r="AA248" s="364">
        <v>4.8611111111111112E-2</v>
      </c>
      <c r="AB248" s="364">
        <v>6.8749999999999992E-2</v>
      </c>
      <c r="AC248" s="364">
        <v>5.9722222222222225E-2</v>
      </c>
      <c r="AD248" s="364">
        <v>5.0694444444444452E-2</v>
      </c>
      <c r="AE248" s="364">
        <v>4.5833333333333337E-2</v>
      </c>
      <c r="AF248" s="368">
        <v>0.12083333333333333</v>
      </c>
      <c r="AG248" s="370">
        <f t="shared" si="47"/>
        <v>2.1166666666666667</v>
      </c>
    </row>
    <row r="268" ht="18.75" customHeight="1" x14ac:dyDescent="0.25"/>
    <row r="269" ht="18.75" customHeight="1" x14ac:dyDescent="0.25"/>
    <row r="270" ht="18.75" customHeight="1" x14ac:dyDescent="0.25"/>
    <row r="271" ht="18.75" customHeight="1" x14ac:dyDescent="0.25"/>
    <row r="272" ht="18.75" customHeight="1" x14ac:dyDescent="0.25"/>
    <row r="273" ht="18.75" customHeight="1" x14ac:dyDescent="0.25"/>
    <row r="274" ht="18.75" customHeight="1" x14ac:dyDescent="0.25"/>
    <row r="275" ht="18.75" customHeight="1" x14ac:dyDescent="0.25"/>
    <row r="276" ht="18.75" customHeight="1" x14ac:dyDescent="0.25"/>
    <row r="277" ht="18.75" customHeight="1" x14ac:dyDescent="0.25"/>
    <row r="278" ht="18.75" customHeight="1" x14ac:dyDescent="0.25"/>
    <row r="279" ht="19.5" customHeight="1" x14ac:dyDescent="0.25"/>
    <row r="281" ht="18.75" customHeight="1" x14ac:dyDescent="0.25"/>
    <row r="284" ht="18.75" customHeight="1" x14ac:dyDescent="0.25"/>
  </sheetData>
  <dataConsolidate/>
  <mergeCells count="5">
    <mergeCell ref="A1:AG1"/>
    <mergeCell ref="AI84:AI86"/>
    <mergeCell ref="AH220:AH231"/>
    <mergeCell ref="AH233:AH235"/>
    <mergeCell ref="AH236:AH239"/>
  </mergeCells>
  <conditionalFormatting sqref="B29:AF52">
    <cfRule type="cellIs" dxfId="123" priority="1" operator="lessThan">
      <formula>0</formula>
    </cfRule>
  </conditionalFormatting>
  <conditionalFormatting sqref="D54:D77">
    <cfRule type="cellIs" dxfId="122" priority="4" operator="lessThan">
      <formula>0</formula>
    </cfRule>
  </conditionalFormatting>
  <conditionalFormatting sqref="G54:G77">
    <cfRule type="cellIs" dxfId="121" priority="3" operator="lessThan">
      <formula>0</formula>
    </cfRule>
  </conditionalFormatting>
  <conditionalFormatting sqref="U54:U77">
    <cfRule type="cellIs" dxfId="120" priority="2" operator="lessThan">
      <formula>0</formula>
    </cfRule>
  </conditionalFormatting>
  <conditionalFormatting sqref="AH81">
    <cfRule type="cellIs" dxfId="119" priority="6" operator="equal">
      <formula>"*"</formula>
    </cfRule>
  </conditionalFormatting>
  <conditionalFormatting sqref="AH84 AH87">
    <cfRule type="cellIs" dxfId="118" priority="7" operator="equal">
      <formula>"*"</formula>
    </cfRule>
  </conditionalFormatting>
  <conditionalFormatting sqref="AH93">
    <cfRule type="cellIs" dxfId="117" priority="12" operator="equal">
      <formula>"*"</formula>
    </cfRule>
  </conditionalFormatting>
  <conditionalFormatting sqref="AH130">
    <cfRule type="cellIs" dxfId="116" priority="10" operator="equal">
      <formula>"*"</formula>
    </cfRule>
  </conditionalFormatting>
  <conditionalFormatting sqref="AH144:AH145">
    <cfRule type="cellIs" dxfId="115" priority="11" operator="equal">
      <formula>"*"</formula>
    </cfRule>
  </conditionalFormatting>
  <conditionalFormatting sqref="AH179">
    <cfRule type="cellIs" dxfId="114" priority="9" operator="equal">
      <formula>"*"</formula>
    </cfRule>
  </conditionalFormatting>
  <conditionalFormatting sqref="AH206">
    <cfRule type="cellIs" dxfId="113" priority="5" operator="equal">
      <formula>"X"</formula>
    </cfRule>
  </conditionalFormatting>
  <dataValidations disablePrompts="1" count="1">
    <dataValidation type="whole" allowBlank="1" showInputMessage="1" showErrorMessage="1" errorTitle="ERROR" error="Por favor ingrese solo Números" sqref="A98:A99 A101:A115" xr:uid="{00000000-0002-0000-0300-000000000000}">
      <formula1>0</formula1>
      <formula2>1000000000</formula2>
    </dataValidation>
  </dataValidations>
  <pageMargins left="0.7" right="0.7" top="0.75" bottom="0.75" header="0.3" footer="0.3"/>
  <pageSetup orientation="portrait" horizontalDpi="0" verticalDpi="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5"/>
  <dimension ref="A1:AI284"/>
  <sheetViews>
    <sheetView zoomScale="80" zoomScaleNormal="80" workbookViewId="0">
      <pane xSplit="1" ySplit="3" topLeftCell="B201" activePane="bottomRight" state="frozen"/>
      <selection activeCell="AG3" sqref="AG3"/>
      <selection pane="topRight" activeCell="AG3" sqref="AG3"/>
      <selection pane="bottomLeft" activeCell="AG3" sqref="AG3"/>
      <selection pane="bottomRight" activeCell="A217" sqref="A217"/>
    </sheetView>
  </sheetViews>
  <sheetFormatPr baseColWidth="10" defaultRowHeight="15" x14ac:dyDescent="0.25"/>
  <cols>
    <col min="1" max="1" width="34.7109375" customWidth="1"/>
    <col min="2" max="13" width="8.28515625" customWidth="1"/>
    <col min="14" max="14" width="10.140625" customWidth="1"/>
    <col min="15" max="27" width="8.28515625" customWidth="1"/>
    <col min="28" max="28" width="9.7109375" customWidth="1"/>
    <col min="29" max="32" width="8.28515625" customWidth="1"/>
    <col min="33" max="33" width="11.140625" customWidth="1"/>
    <col min="34" max="34" width="12.42578125" customWidth="1"/>
  </cols>
  <sheetData>
    <row r="1" spans="1:33" ht="21.75" thickBot="1" x14ac:dyDescent="0.3">
      <c r="A1" s="431"/>
      <c r="B1" s="432"/>
      <c r="C1" s="432"/>
      <c r="D1" s="432"/>
      <c r="E1" s="432"/>
      <c r="F1" s="432"/>
      <c r="G1" s="432"/>
      <c r="H1" s="432"/>
      <c r="I1" s="432"/>
      <c r="J1" s="432"/>
      <c r="K1" s="432"/>
      <c r="L1" s="432"/>
      <c r="M1" s="432"/>
      <c r="N1" s="432"/>
      <c r="O1" s="432"/>
      <c r="P1" s="432"/>
      <c r="Q1" s="432"/>
      <c r="R1" s="432"/>
      <c r="S1" s="432"/>
      <c r="T1" s="432"/>
      <c r="U1" s="432"/>
      <c r="V1" s="432"/>
      <c r="W1" s="432"/>
      <c r="X1" s="432"/>
      <c r="Y1" s="432"/>
      <c r="Z1" s="432"/>
      <c r="AA1" s="432"/>
      <c r="AB1" s="432"/>
      <c r="AC1" s="432"/>
      <c r="AD1" s="432"/>
      <c r="AE1" s="432"/>
      <c r="AF1" s="432"/>
      <c r="AG1" s="433"/>
    </row>
    <row r="2" spans="1:33" ht="21.75" thickBot="1" x14ac:dyDescent="0.3">
      <c r="A2" s="82" t="s">
        <v>154</v>
      </c>
      <c r="B2" s="106">
        <v>1</v>
      </c>
      <c r="C2" s="106">
        <f t="shared" ref="C2:AA2" si="0">+B2+1</f>
        <v>2</v>
      </c>
      <c r="D2" s="230">
        <f t="shared" si="0"/>
        <v>3</v>
      </c>
      <c r="E2" s="230">
        <f t="shared" si="0"/>
        <v>4</v>
      </c>
      <c r="F2" s="230">
        <f t="shared" si="0"/>
        <v>5</v>
      </c>
      <c r="G2" s="230">
        <f t="shared" si="0"/>
        <v>6</v>
      </c>
      <c r="H2" s="230">
        <f t="shared" si="0"/>
        <v>7</v>
      </c>
      <c r="I2" s="106">
        <f t="shared" si="0"/>
        <v>8</v>
      </c>
      <c r="J2" s="106">
        <f t="shared" si="0"/>
        <v>9</v>
      </c>
      <c r="K2" s="230">
        <f t="shared" si="0"/>
        <v>10</v>
      </c>
      <c r="L2" s="230">
        <f t="shared" si="0"/>
        <v>11</v>
      </c>
      <c r="M2" s="230">
        <f t="shared" si="0"/>
        <v>12</v>
      </c>
      <c r="N2" s="230">
        <f t="shared" si="0"/>
        <v>13</v>
      </c>
      <c r="O2" s="230">
        <f t="shared" si="0"/>
        <v>14</v>
      </c>
      <c r="P2" s="106">
        <f t="shared" si="0"/>
        <v>15</v>
      </c>
      <c r="Q2" s="106">
        <f t="shared" si="0"/>
        <v>16</v>
      </c>
      <c r="R2" s="230">
        <f t="shared" si="0"/>
        <v>17</v>
      </c>
      <c r="S2" s="230">
        <f t="shared" si="0"/>
        <v>18</v>
      </c>
      <c r="T2" s="230">
        <f t="shared" si="0"/>
        <v>19</v>
      </c>
      <c r="U2" s="230">
        <f t="shared" si="0"/>
        <v>20</v>
      </c>
      <c r="V2" s="230">
        <f t="shared" si="0"/>
        <v>21</v>
      </c>
      <c r="W2" s="106">
        <f t="shared" si="0"/>
        <v>22</v>
      </c>
      <c r="X2" s="106">
        <f t="shared" si="0"/>
        <v>23</v>
      </c>
      <c r="Y2" s="230">
        <f t="shared" si="0"/>
        <v>24</v>
      </c>
      <c r="Z2" s="230">
        <f t="shared" si="0"/>
        <v>25</v>
      </c>
      <c r="AA2" s="230">
        <f t="shared" si="0"/>
        <v>26</v>
      </c>
      <c r="AB2" s="230">
        <v>27</v>
      </c>
      <c r="AC2" s="230">
        <f>+AB2+1</f>
        <v>28</v>
      </c>
      <c r="AD2" s="106">
        <v>29</v>
      </c>
      <c r="AE2" s="230">
        <v>30</v>
      </c>
      <c r="AF2" s="230">
        <v>31</v>
      </c>
      <c r="AG2" s="3" t="s">
        <v>80</v>
      </c>
    </row>
    <row r="3" spans="1:33" ht="19.5" thickBot="1" x14ac:dyDescent="0.3">
      <c r="A3" s="136" t="s">
        <v>0</v>
      </c>
      <c r="B3" s="135">
        <f t="shared" ref="B3:AF3" si="1">SUM(B4:B27)</f>
        <v>227</v>
      </c>
      <c r="C3" s="135">
        <f t="shared" si="1"/>
        <v>199</v>
      </c>
      <c r="D3" s="135">
        <f t="shared" si="1"/>
        <v>175</v>
      </c>
      <c r="E3" s="135">
        <f t="shared" si="1"/>
        <v>145</v>
      </c>
      <c r="F3" s="135">
        <f t="shared" si="1"/>
        <v>149</v>
      </c>
      <c r="G3" s="135">
        <f t="shared" si="1"/>
        <v>142</v>
      </c>
      <c r="H3" s="135">
        <f t="shared" si="1"/>
        <v>177</v>
      </c>
      <c r="I3" s="135">
        <f t="shared" si="1"/>
        <v>197</v>
      </c>
      <c r="J3" s="135">
        <f t="shared" si="1"/>
        <v>210</v>
      </c>
      <c r="K3" s="135">
        <f t="shared" si="1"/>
        <v>178</v>
      </c>
      <c r="L3" s="135">
        <f t="shared" si="1"/>
        <v>161</v>
      </c>
      <c r="M3" s="135">
        <f t="shared" si="1"/>
        <v>141</v>
      </c>
      <c r="N3" s="135">
        <f t="shared" si="1"/>
        <v>154</v>
      </c>
      <c r="O3" s="135">
        <f t="shared" si="1"/>
        <v>128</v>
      </c>
      <c r="P3" s="135">
        <f t="shared" si="1"/>
        <v>231</v>
      </c>
      <c r="Q3" s="135">
        <f t="shared" si="1"/>
        <v>239</v>
      </c>
      <c r="R3" s="135">
        <f t="shared" si="1"/>
        <v>182</v>
      </c>
      <c r="S3" s="135">
        <f t="shared" si="1"/>
        <v>185</v>
      </c>
      <c r="T3" s="135">
        <f t="shared" si="1"/>
        <v>180</v>
      </c>
      <c r="U3" s="135">
        <f t="shared" si="1"/>
        <v>160</v>
      </c>
      <c r="V3" s="135">
        <f t="shared" si="1"/>
        <v>167</v>
      </c>
      <c r="W3" s="135">
        <f t="shared" si="1"/>
        <v>224</v>
      </c>
      <c r="X3" s="135">
        <f t="shared" si="1"/>
        <v>215</v>
      </c>
      <c r="Y3" s="135">
        <f t="shared" si="1"/>
        <v>165</v>
      </c>
      <c r="Z3" s="135">
        <f t="shared" si="1"/>
        <v>159</v>
      </c>
      <c r="AA3" s="135">
        <f t="shared" si="1"/>
        <v>166</v>
      </c>
      <c r="AB3" s="135">
        <f t="shared" si="1"/>
        <v>183</v>
      </c>
      <c r="AC3" s="135">
        <f t="shared" si="1"/>
        <v>138</v>
      </c>
      <c r="AD3" s="135">
        <f t="shared" si="1"/>
        <v>236</v>
      </c>
      <c r="AE3" s="135">
        <f t="shared" si="1"/>
        <v>0</v>
      </c>
      <c r="AF3" s="135">
        <f t="shared" si="1"/>
        <v>0</v>
      </c>
      <c r="AG3" s="187">
        <f>SUM(B3:AF3)</f>
        <v>5213</v>
      </c>
    </row>
    <row r="4" spans="1:33" ht="18.75" x14ac:dyDescent="0.25">
      <c r="A4" s="113" t="s">
        <v>54</v>
      </c>
      <c r="B4" s="114">
        <v>8</v>
      </c>
      <c r="C4" s="114">
        <v>14</v>
      </c>
      <c r="D4" s="114"/>
      <c r="E4" s="114"/>
      <c r="F4" s="114"/>
      <c r="G4" s="114"/>
      <c r="H4" s="114"/>
      <c r="I4" s="114">
        <v>8</v>
      </c>
      <c r="J4" s="114">
        <v>6</v>
      </c>
      <c r="K4" s="114"/>
      <c r="L4" s="114"/>
      <c r="M4" s="114"/>
      <c r="N4" s="114"/>
      <c r="O4" s="114"/>
      <c r="P4" s="114">
        <v>10</v>
      </c>
      <c r="Q4" s="114">
        <v>9</v>
      </c>
      <c r="R4" s="114"/>
      <c r="S4" s="114"/>
      <c r="T4" s="114"/>
      <c r="U4" s="114"/>
      <c r="V4" s="114"/>
      <c r="W4" s="114">
        <v>5</v>
      </c>
      <c r="X4" s="114">
        <v>4</v>
      </c>
      <c r="Y4" s="114"/>
      <c r="Z4" s="114"/>
      <c r="AA4" s="114"/>
      <c r="AB4" s="114"/>
      <c r="AC4" s="114"/>
      <c r="AD4" s="114">
        <v>3</v>
      </c>
      <c r="AE4" s="114"/>
      <c r="AF4" s="115"/>
      <c r="AG4" s="132">
        <f t="shared" ref="AG4:AG83" si="2">SUM(B4:AF4)</f>
        <v>67</v>
      </c>
    </row>
    <row r="5" spans="1:33" ht="18.75" x14ac:dyDescent="0.25">
      <c r="A5" s="41" t="s">
        <v>55</v>
      </c>
      <c r="B5" s="7">
        <v>18</v>
      </c>
      <c r="C5" s="7">
        <v>7</v>
      </c>
      <c r="D5" s="7"/>
      <c r="E5" s="7"/>
      <c r="F5" s="7"/>
      <c r="G5" s="7"/>
      <c r="H5" s="7"/>
      <c r="I5" s="7">
        <v>6</v>
      </c>
      <c r="J5" s="7">
        <v>9</v>
      </c>
      <c r="K5" s="7"/>
      <c r="L5" s="7"/>
      <c r="M5" s="7"/>
      <c r="N5" s="7"/>
      <c r="O5" s="7"/>
      <c r="P5" s="7">
        <v>18</v>
      </c>
      <c r="Q5" s="7">
        <v>11</v>
      </c>
      <c r="R5" s="7"/>
      <c r="S5" s="7"/>
      <c r="T5" s="7"/>
      <c r="U5" s="7"/>
      <c r="V5" s="7"/>
      <c r="W5" s="7">
        <v>15</v>
      </c>
      <c r="X5" s="7">
        <v>9</v>
      </c>
      <c r="Y5" s="7"/>
      <c r="Z5" s="7"/>
      <c r="AA5" s="7"/>
      <c r="AB5" s="7"/>
      <c r="AC5" s="7"/>
      <c r="AD5" s="7">
        <v>18</v>
      </c>
      <c r="AE5" s="7"/>
      <c r="AF5" s="8"/>
      <c r="AG5" s="4">
        <f t="shared" si="2"/>
        <v>111</v>
      </c>
    </row>
    <row r="6" spans="1:33" ht="18.75" x14ac:dyDescent="0.25">
      <c r="A6" s="41" t="s">
        <v>56</v>
      </c>
      <c r="B6" s="7">
        <v>11</v>
      </c>
      <c r="C6" s="7">
        <v>12</v>
      </c>
      <c r="D6" s="7"/>
      <c r="E6" s="7"/>
      <c r="F6" s="7"/>
      <c r="G6" s="7"/>
      <c r="H6" s="7"/>
      <c r="I6" s="7">
        <v>11</v>
      </c>
      <c r="J6" s="7">
        <v>16</v>
      </c>
      <c r="K6" s="7"/>
      <c r="L6" s="7"/>
      <c r="M6" s="7"/>
      <c r="N6" s="7"/>
      <c r="O6" s="7"/>
      <c r="P6" s="7">
        <v>12</v>
      </c>
      <c r="Q6" s="7">
        <v>15</v>
      </c>
      <c r="R6" s="7"/>
      <c r="S6" s="7"/>
      <c r="T6" s="7"/>
      <c r="U6" s="7"/>
      <c r="V6" s="7"/>
      <c r="W6" s="7">
        <v>10</v>
      </c>
      <c r="X6" s="7">
        <v>16</v>
      </c>
      <c r="Y6" s="7"/>
      <c r="Z6" s="7"/>
      <c r="AA6" s="7"/>
      <c r="AB6" s="7"/>
      <c r="AC6" s="7"/>
      <c r="AD6" s="7">
        <v>9</v>
      </c>
      <c r="AE6" s="7"/>
      <c r="AF6" s="8"/>
      <c r="AG6" s="4">
        <f t="shared" si="2"/>
        <v>112</v>
      </c>
    </row>
    <row r="7" spans="1:33" ht="18.75" x14ac:dyDescent="0.25">
      <c r="A7" s="41" t="s">
        <v>38</v>
      </c>
      <c r="B7" s="7">
        <v>21</v>
      </c>
      <c r="C7" s="7">
        <v>11</v>
      </c>
      <c r="D7" s="7"/>
      <c r="E7" s="7"/>
      <c r="F7" s="7"/>
      <c r="G7" s="7"/>
      <c r="H7" s="7"/>
      <c r="I7" s="7">
        <v>15</v>
      </c>
      <c r="J7" s="7">
        <v>14</v>
      </c>
      <c r="K7" s="7"/>
      <c r="L7" s="7"/>
      <c r="M7" s="7"/>
      <c r="N7" s="7"/>
      <c r="O7" s="7"/>
      <c r="P7" s="7">
        <v>13</v>
      </c>
      <c r="Q7" s="7">
        <v>17</v>
      </c>
      <c r="R7" s="7"/>
      <c r="S7" s="7"/>
      <c r="T7" s="7"/>
      <c r="U7" s="7"/>
      <c r="V7" s="7"/>
      <c r="W7" s="7">
        <v>12</v>
      </c>
      <c r="X7" s="7">
        <v>14</v>
      </c>
      <c r="Y7" s="7"/>
      <c r="Z7" s="7"/>
      <c r="AA7" s="7"/>
      <c r="AB7" s="7"/>
      <c r="AC7" s="7"/>
      <c r="AD7" s="7">
        <v>11</v>
      </c>
      <c r="AE7" s="7"/>
      <c r="AF7" s="8"/>
      <c r="AG7" s="4">
        <f t="shared" si="2"/>
        <v>128</v>
      </c>
    </row>
    <row r="8" spans="1:33" ht="18.75" x14ac:dyDescent="0.25">
      <c r="A8" s="41" t="s">
        <v>39</v>
      </c>
      <c r="B8" s="7">
        <v>14</v>
      </c>
      <c r="C8" s="7">
        <v>10</v>
      </c>
      <c r="D8" s="7"/>
      <c r="E8" s="7"/>
      <c r="F8" s="7"/>
      <c r="G8" s="7"/>
      <c r="H8" s="7"/>
      <c r="I8" s="7">
        <v>10</v>
      </c>
      <c r="J8" s="7">
        <v>13</v>
      </c>
      <c r="K8" s="7"/>
      <c r="L8" s="7"/>
      <c r="M8" s="7"/>
      <c r="N8" s="7"/>
      <c r="O8" s="7"/>
      <c r="P8" s="7">
        <v>14</v>
      </c>
      <c r="Q8" s="7">
        <v>12</v>
      </c>
      <c r="R8" s="7"/>
      <c r="S8" s="7"/>
      <c r="T8" s="7"/>
      <c r="U8" s="7"/>
      <c r="V8" s="7"/>
      <c r="W8" s="7">
        <v>6</v>
      </c>
      <c r="X8" s="7">
        <v>16</v>
      </c>
      <c r="Y8" s="7"/>
      <c r="Z8" s="7"/>
      <c r="AA8" s="7"/>
      <c r="AB8" s="7"/>
      <c r="AC8" s="7"/>
      <c r="AD8" s="7">
        <v>16</v>
      </c>
      <c r="AE8" s="7"/>
      <c r="AF8" s="8"/>
      <c r="AG8" s="4">
        <f t="shared" si="2"/>
        <v>111</v>
      </c>
    </row>
    <row r="9" spans="1:33" ht="18.75" x14ac:dyDescent="0.25">
      <c r="A9" s="41" t="s">
        <v>40</v>
      </c>
      <c r="B9" s="7">
        <v>13</v>
      </c>
      <c r="C9" s="7">
        <v>13</v>
      </c>
      <c r="D9" s="7"/>
      <c r="E9" s="7"/>
      <c r="F9" s="7"/>
      <c r="G9" s="7"/>
      <c r="H9" s="7"/>
      <c r="I9" s="7">
        <v>9</v>
      </c>
      <c r="J9" s="7">
        <v>11</v>
      </c>
      <c r="K9" s="7"/>
      <c r="L9" s="7"/>
      <c r="M9" s="7"/>
      <c r="N9" s="7"/>
      <c r="O9" s="7"/>
      <c r="P9" s="7">
        <v>7</v>
      </c>
      <c r="Q9" s="7">
        <v>9</v>
      </c>
      <c r="R9" s="7"/>
      <c r="S9" s="7"/>
      <c r="T9" s="7"/>
      <c r="U9" s="7"/>
      <c r="V9" s="7"/>
      <c r="W9" s="7">
        <v>9</v>
      </c>
      <c r="X9" s="7">
        <v>9</v>
      </c>
      <c r="Y9" s="7"/>
      <c r="Z9" s="7"/>
      <c r="AA9" s="7"/>
      <c r="AB9" s="7"/>
      <c r="AC9" s="7"/>
      <c r="AD9" s="7">
        <v>10</v>
      </c>
      <c r="AE9" s="7"/>
      <c r="AF9" s="8"/>
      <c r="AG9" s="4">
        <f t="shared" si="2"/>
        <v>90</v>
      </c>
    </row>
    <row r="10" spans="1:33" ht="18.75" x14ac:dyDescent="0.25">
      <c r="A10" s="41" t="s">
        <v>41</v>
      </c>
      <c r="B10" s="7">
        <v>9</v>
      </c>
      <c r="C10" s="7">
        <v>6</v>
      </c>
      <c r="D10" s="7"/>
      <c r="E10" s="7"/>
      <c r="F10" s="7"/>
      <c r="G10" s="7"/>
      <c r="H10" s="7"/>
      <c r="I10" s="7">
        <v>13</v>
      </c>
      <c r="J10" s="7">
        <v>14</v>
      </c>
      <c r="K10" s="7"/>
      <c r="L10" s="7"/>
      <c r="M10" s="7"/>
      <c r="N10" s="7"/>
      <c r="O10" s="7"/>
      <c r="P10" s="7">
        <v>11</v>
      </c>
      <c r="Q10" s="7">
        <v>9</v>
      </c>
      <c r="R10" s="7"/>
      <c r="S10" s="7"/>
      <c r="T10" s="7"/>
      <c r="U10" s="7"/>
      <c r="V10" s="7"/>
      <c r="W10" s="7">
        <v>9</v>
      </c>
      <c r="X10" s="7">
        <v>14</v>
      </c>
      <c r="Y10" s="7"/>
      <c r="Z10" s="7"/>
      <c r="AA10" s="7"/>
      <c r="AB10" s="7"/>
      <c r="AC10" s="7"/>
      <c r="AD10" s="7">
        <v>11</v>
      </c>
      <c r="AE10" s="7"/>
      <c r="AF10" s="8"/>
      <c r="AG10" s="4">
        <f t="shared" si="2"/>
        <v>96</v>
      </c>
    </row>
    <row r="11" spans="1:33" ht="18.75" x14ac:dyDescent="0.25">
      <c r="A11" s="41" t="s">
        <v>42</v>
      </c>
      <c r="B11" s="7">
        <v>10</v>
      </c>
      <c r="C11" s="7">
        <v>15</v>
      </c>
      <c r="D11" s="7"/>
      <c r="E11" s="7"/>
      <c r="F11" s="7"/>
      <c r="G11" s="7"/>
      <c r="H11" s="7"/>
      <c r="I11" s="7">
        <v>6</v>
      </c>
      <c r="J11" s="7">
        <v>10</v>
      </c>
      <c r="K11" s="7"/>
      <c r="L11" s="7"/>
      <c r="M11" s="7"/>
      <c r="N11" s="7"/>
      <c r="O11" s="7"/>
      <c r="P11" s="7">
        <v>14</v>
      </c>
      <c r="Q11" s="7">
        <v>11</v>
      </c>
      <c r="R11" s="7"/>
      <c r="S11" s="7"/>
      <c r="T11" s="7"/>
      <c r="U11" s="7"/>
      <c r="V11" s="7"/>
      <c r="W11" s="7">
        <v>16</v>
      </c>
      <c r="X11" s="7">
        <v>16</v>
      </c>
      <c r="Y11" s="7"/>
      <c r="Z11" s="7"/>
      <c r="AA11" s="7"/>
      <c r="AB11" s="7"/>
      <c r="AC11" s="7"/>
      <c r="AD11" s="7">
        <v>13</v>
      </c>
      <c r="AE11" s="7"/>
      <c r="AF11" s="8"/>
      <c r="AG11" s="4">
        <f t="shared" si="2"/>
        <v>111</v>
      </c>
    </row>
    <row r="12" spans="1:33" ht="18.75" x14ac:dyDescent="0.25">
      <c r="A12" s="41" t="s">
        <v>43</v>
      </c>
      <c r="B12" s="7">
        <v>17</v>
      </c>
      <c r="C12" s="7">
        <v>7</v>
      </c>
      <c r="D12" s="7"/>
      <c r="E12" s="7"/>
      <c r="F12" s="7"/>
      <c r="G12" s="7"/>
      <c r="H12" s="7"/>
      <c r="I12" s="7">
        <v>11</v>
      </c>
      <c r="J12" s="7">
        <v>7</v>
      </c>
      <c r="K12" s="7">
        <v>1</v>
      </c>
      <c r="L12" s="7"/>
      <c r="M12" s="7"/>
      <c r="N12" s="7"/>
      <c r="O12" s="7"/>
      <c r="P12" s="7">
        <v>16</v>
      </c>
      <c r="Q12" s="7">
        <v>17</v>
      </c>
      <c r="R12" s="7"/>
      <c r="S12" s="7"/>
      <c r="T12" s="7"/>
      <c r="U12" s="7">
        <v>2</v>
      </c>
      <c r="V12" s="7"/>
      <c r="W12" s="7">
        <v>19</v>
      </c>
      <c r="X12" s="7">
        <v>16</v>
      </c>
      <c r="Y12" s="7">
        <v>1</v>
      </c>
      <c r="Z12" s="7"/>
      <c r="AA12" s="7"/>
      <c r="AB12" s="7"/>
      <c r="AC12" s="7"/>
      <c r="AD12" s="7">
        <v>25</v>
      </c>
      <c r="AE12" s="7"/>
      <c r="AF12" s="8"/>
      <c r="AG12" s="4">
        <f t="shared" si="2"/>
        <v>139</v>
      </c>
    </row>
    <row r="13" spans="1:33" ht="18.75" x14ac:dyDescent="0.25">
      <c r="A13" s="41" t="s">
        <v>44</v>
      </c>
      <c r="B13" s="7">
        <v>14</v>
      </c>
      <c r="C13" s="7">
        <v>11</v>
      </c>
      <c r="D13" s="7">
        <v>56</v>
      </c>
      <c r="E13" s="7">
        <v>55</v>
      </c>
      <c r="F13" s="7">
        <v>45</v>
      </c>
      <c r="G13" s="7">
        <v>45</v>
      </c>
      <c r="H13" s="7">
        <v>57</v>
      </c>
      <c r="I13" s="7">
        <v>12</v>
      </c>
      <c r="J13" s="7">
        <v>15</v>
      </c>
      <c r="K13" s="7">
        <v>47</v>
      </c>
      <c r="L13" s="7">
        <v>52</v>
      </c>
      <c r="M13" s="7">
        <v>27</v>
      </c>
      <c r="N13" s="7">
        <v>47</v>
      </c>
      <c r="O13" s="7">
        <v>38</v>
      </c>
      <c r="P13" s="7">
        <v>13</v>
      </c>
      <c r="Q13" s="7">
        <v>14</v>
      </c>
      <c r="R13" s="7">
        <v>56</v>
      </c>
      <c r="S13" s="7">
        <v>51</v>
      </c>
      <c r="T13" s="7">
        <v>54</v>
      </c>
      <c r="U13" s="7">
        <v>60</v>
      </c>
      <c r="V13" s="7">
        <v>61</v>
      </c>
      <c r="W13" s="7">
        <v>15</v>
      </c>
      <c r="X13" s="7">
        <v>25</v>
      </c>
      <c r="Y13" s="7">
        <v>59</v>
      </c>
      <c r="Z13" s="7">
        <v>68</v>
      </c>
      <c r="AA13" s="7">
        <v>46</v>
      </c>
      <c r="AB13" s="7">
        <v>58</v>
      </c>
      <c r="AC13" s="7">
        <v>46</v>
      </c>
      <c r="AD13" s="7">
        <v>23</v>
      </c>
      <c r="AE13" s="7"/>
      <c r="AF13" s="8"/>
      <c r="AG13" s="4">
        <f t="shared" si="2"/>
        <v>1170</v>
      </c>
    </row>
    <row r="14" spans="1:33" ht="18.75" x14ac:dyDescent="0.25">
      <c r="A14" s="41" t="s">
        <v>45</v>
      </c>
      <c r="B14" s="7">
        <v>11</v>
      </c>
      <c r="C14" s="7">
        <v>15</v>
      </c>
      <c r="D14" s="7">
        <v>19</v>
      </c>
      <c r="E14" s="7">
        <v>20</v>
      </c>
      <c r="F14" s="7">
        <v>13</v>
      </c>
      <c r="G14" s="7">
        <v>20</v>
      </c>
      <c r="H14" s="7">
        <v>19</v>
      </c>
      <c r="I14" s="7">
        <v>16</v>
      </c>
      <c r="J14" s="7">
        <v>18</v>
      </c>
      <c r="K14" s="7">
        <v>21</v>
      </c>
      <c r="L14" s="7">
        <v>12</v>
      </c>
      <c r="M14" s="7">
        <v>22</v>
      </c>
      <c r="N14" s="7">
        <v>18</v>
      </c>
      <c r="O14" s="7">
        <v>17</v>
      </c>
      <c r="P14" s="7">
        <v>19</v>
      </c>
      <c r="Q14" s="7">
        <v>21</v>
      </c>
      <c r="R14" s="7">
        <v>19</v>
      </c>
      <c r="S14" s="7">
        <v>28</v>
      </c>
      <c r="T14" s="7">
        <v>20</v>
      </c>
      <c r="U14" s="7">
        <v>11</v>
      </c>
      <c r="V14" s="7">
        <v>14</v>
      </c>
      <c r="W14" s="7">
        <v>16</v>
      </c>
      <c r="X14" s="7">
        <v>12</v>
      </c>
      <c r="Y14" s="7">
        <v>22</v>
      </c>
      <c r="Z14" s="7">
        <v>15</v>
      </c>
      <c r="AA14" s="7">
        <v>22</v>
      </c>
      <c r="AB14" s="7">
        <v>17</v>
      </c>
      <c r="AC14" s="7">
        <v>11</v>
      </c>
      <c r="AD14" s="7">
        <v>13</v>
      </c>
      <c r="AE14" s="7"/>
      <c r="AF14" s="8"/>
      <c r="AG14" s="4">
        <f t="shared" si="2"/>
        <v>501</v>
      </c>
    </row>
    <row r="15" spans="1:33" ht="18.75" x14ac:dyDescent="0.25">
      <c r="A15" s="41" t="s">
        <v>46</v>
      </c>
      <c r="B15" s="7">
        <v>13</v>
      </c>
      <c r="C15" s="7">
        <v>10</v>
      </c>
      <c r="D15" s="7">
        <v>18</v>
      </c>
      <c r="E15" s="7">
        <v>17</v>
      </c>
      <c r="F15" s="7">
        <v>21</v>
      </c>
      <c r="G15" s="7">
        <v>21</v>
      </c>
      <c r="H15" s="7">
        <v>16</v>
      </c>
      <c r="I15" s="7">
        <v>14</v>
      </c>
      <c r="J15" s="7">
        <v>8</v>
      </c>
      <c r="K15" s="7">
        <v>16</v>
      </c>
      <c r="L15" s="7">
        <v>17</v>
      </c>
      <c r="M15" s="7">
        <v>24</v>
      </c>
      <c r="N15" s="7">
        <v>15</v>
      </c>
      <c r="O15" s="7">
        <v>12</v>
      </c>
      <c r="P15" s="7">
        <v>18</v>
      </c>
      <c r="Q15" s="7">
        <v>21</v>
      </c>
      <c r="R15" s="7">
        <v>23</v>
      </c>
      <c r="S15" s="7">
        <v>21</v>
      </c>
      <c r="T15" s="7">
        <v>19</v>
      </c>
      <c r="U15" s="7">
        <v>16</v>
      </c>
      <c r="V15" s="7">
        <v>18</v>
      </c>
      <c r="W15" s="7">
        <v>16</v>
      </c>
      <c r="X15" s="7">
        <v>11</v>
      </c>
      <c r="Y15" s="7">
        <v>12</v>
      </c>
      <c r="Z15" s="7">
        <v>15</v>
      </c>
      <c r="AA15" s="7">
        <v>13</v>
      </c>
      <c r="AB15" s="7">
        <v>25</v>
      </c>
      <c r="AC15" s="7">
        <v>14</v>
      </c>
      <c r="AD15" s="7">
        <v>15</v>
      </c>
      <c r="AE15" s="7"/>
      <c r="AF15" s="8"/>
      <c r="AG15" s="4">
        <f t="shared" si="2"/>
        <v>479</v>
      </c>
    </row>
    <row r="16" spans="1:33" ht="18.75" x14ac:dyDescent="0.25">
      <c r="A16" s="41" t="s">
        <v>47</v>
      </c>
      <c r="B16" s="7">
        <v>12</v>
      </c>
      <c r="C16" s="7">
        <v>9</v>
      </c>
      <c r="D16" s="7">
        <v>14</v>
      </c>
      <c r="E16" s="7">
        <v>11</v>
      </c>
      <c r="F16" s="7">
        <v>17</v>
      </c>
      <c r="G16" s="7">
        <v>17</v>
      </c>
      <c r="H16" s="7">
        <v>14</v>
      </c>
      <c r="I16" s="7">
        <v>9</v>
      </c>
      <c r="J16" s="7">
        <v>15</v>
      </c>
      <c r="K16" s="7">
        <v>19</v>
      </c>
      <c r="L16" s="7">
        <v>20</v>
      </c>
      <c r="M16" s="7">
        <v>13</v>
      </c>
      <c r="N16" s="7">
        <v>14</v>
      </c>
      <c r="O16" s="7">
        <v>13</v>
      </c>
      <c r="P16" s="7">
        <v>14</v>
      </c>
      <c r="Q16" s="7">
        <v>14</v>
      </c>
      <c r="R16" s="7">
        <v>26</v>
      </c>
      <c r="S16" s="7">
        <v>27</v>
      </c>
      <c r="T16" s="7">
        <v>21</v>
      </c>
      <c r="U16" s="7">
        <v>15</v>
      </c>
      <c r="V16" s="7">
        <v>16</v>
      </c>
      <c r="W16" s="7">
        <v>20</v>
      </c>
      <c r="X16" s="7">
        <v>16</v>
      </c>
      <c r="Y16" s="7">
        <v>20</v>
      </c>
      <c r="Z16" s="7">
        <v>9</v>
      </c>
      <c r="AA16" s="7">
        <v>15</v>
      </c>
      <c r="AB16" s="7">
        <v>17</v>
      </c>
      <c r="AC16" s="7">
        <v>21</v>
      </c>
      <c r="AD16" s="7">
        <v>13</v>
      </c>
      <c r="AE16" s="7"/>
      <c r="AF16" s="8"/>
      <c r="AG16" s="4">
        <f t="shared" si="2"/>
        <v>461</v>
      </c>
    </row>
    <row r="17" spans="1:33" ht="18.75" x14ac:dyDescent="0.25">
      <c r="A17" s="41" t="s">
        <v>48</v>
      </c>
      <c r="B17" s="7">
        <v>18</v>
      </c>
      <c r="C17" s="7">
        <v>10</v>
      </c>
      <c r="D17" s="7">
        <v>20</v>
      </c>
      <c r="E17" s="7">
        <v>10</v>
      </c>
      <c r="F17" s="7">
        <v>12</v>
      </c>
      <c r="G17" s="7">
        <v>16</v>
      </c>
      <c r="H17" s="7">
        <v>24</v>
      </c>
      <c r="I17" s="7">
        <v>18</v>
      </c>
      <c r="J17" s="7">
        <v>11</v>
      </c>
      <c r="K17" s="7">
        <v>23</v>
      </c>
      <c r="L17" s="7">
        <v>18</v>
      </c>
      <c r="M17" s="7">
        <v>17</v>
      </c>
      <c r="N17" s="7">
        <v>18</v>
      </c>
      <c r="O17" s="7">
        <v>18</v>
      </c>
      <c r="P17" s="7">
        <v>9</v>
      </c>
      <c r="Q17" s="7">
        <v>16</v>
      </c>
      <c r="R17" s="7">
        <v>18</v>
      </c>
      <c r="S17" s="7">
        <v>19</v>
      </c>
      <c r="T17" s="7">
        <v>23</v>
      </c>
      <c r="U17" s="7">
        <v>10</v>
      </c>
      <c r="V17" s="7">
        <v>12</v>
      </c>
      <c r="W17" s="7">
        <v>8</v>
      </c>
      <c r="X17" s="7">
        <v>9</v>
      </c>
      <c r="Y17" s="7">
        <v>16</v>
      </c>
      <c r="Z17" s="7">
        <v>16</v>
      </c>
      <c r="AA17" s="7">
        <v>25</v>
      </c>
      <c r="AB17" s="7">
        <v>20</v>
      </c>
      <c r="AC17" s="7">
        <v>13</v>
      </c>
      <c r="AD17" s="7">
        <v>17</v>
      </c>
      <c r="AE17" s="7"/>
      <c r="AF17" s="8"/>
      <c r="AG17" s="4">
        <f t="shared" si="2"/>
        <v>464</v>
      </c>
    </row>
    <row r="18" spans="1:33" ht="18.75" x14ac:dyDescent="0.25">
      <c r="A18" s="41" t="s">
        <v>49</v>
      </c>
      <c r="B18" s="7">
        <v>9</v>
      </c>
      <c r="C18" s="7">
        <v>21</v>
      </c>
      <c r="D18" s="7">
        <v>14</v>
      </c>
      <c r="E18" s="7">
        <v>12</v>
      </c>
      <c r="F18" s="7">
        <v>11</v>
      </c>
      <c r="G18" s="7">
        <v>10</v>
      </c>
      <c r="H18" s="7">
        <v>18</v>
      </c>
      <c r="I18" s="7">
        <v>9</v>
      </c>
      <c r="J18" s="7">
        <v>21</v>
      </c>
      <c r="K18" s="7">
        <v>19</v>
      </c>
      <c r="L18" s="7">
        <v>14</v>
      </c>
      <c r="M18" s="7">
        <v>15</v>
      </c>
      <c r="N18" s="7">
        <v>22</v>
      </c>
      <c r="O18" s="7">
        <v>13</v>
      </c>
      <c r="P18" s="7">
        <v>13</v>
      </c>
      <c r="Q18" s="7">
        <v>9</v>
      </c>
      <c r="R18" s="7">
        <v>23</v>
      </c>
      <c r="S18" s="7">
        <v>17</v>
      </c>
      <c r="T18" s="7">
        <v>18</v>
      </c>
      <c r="U18" s="7">
        <v>14</v>
      </c>
      <c r="V18" s="7">
        <v>11</v>
      </c>
      <c r="W18" s="7">
        <v>21</v>
      </c>
      <c r="X18" s="7">
        <v>10</v>
      </c>
      <c r="Y18" s="7">
        <v>9</v>
      </c>
      <c r="Z18" s="7">
        <v>12</v>
      </c>
      <c r="AA18" s="7">
        <v>11</v>
      </c>
      <c r="AB18" s="7">
        <v>13</v>
      </c>
      <c r="AC18" s="7">
        <v>8</v>
      </c>
      <c r="AD18" s="7">
        <v>15</v>
      </c>
      <c r="AE18" s="7"/>
      <c r="AF18" s="8"/>
      <c r="AG18" s="4">
        <f t="shared" si="2"/>
        <v>412</v>
      </c>
    </row>
    <row r="19" spans="1:33" ht="18.75" x14ac:dyDescent="0.25">
      <c r="A19" s="41" t="s">
        <v>50</v>
      </c>
      <c r="B19" s="7">
        <v>11</v>
      </c>
      <c r="C19" s="7">
        <v>11</v>
      </c>
      <c r="D19" s="7">
        <v>10</v>
      </c>
      <c r="E19" s="7">
        <v>9</v>
      </c>
      <c r="F19" s="7">
        <v>9</v>
      </c>
      <c r="G19" s="7">
        <v>5</v>
      </c>
      <c r="H19" s="7">
        <v>10</v>
      </c>
      <c r="I19" s="7">
        <v>13</v>
      </c>
      <c r="J19" s="7">
        <v>9</v>
      </c>
      <c r="K19" s="7">
        <v>19</v>
      </c>
      <c r="L19" s="7">
        <v>8</v>
      </c>
      <c r="M19" s="7">
        <v>14</v>
      </c>
      <c r="N19" s="7">
        <v>11</v>
      </c>
      <c r="O19" s="7">
        <v>4</v>
      </c>
      <c r="P19" s="7">
        <v>7</v>
      </c>
      <c r="Q19" s="7">
        <v>14</v>
      </c>
      <c r="R19" s="7">
        <v>6</v>
      </c>
      <c r="S19" s="7">
        <v>9</v>
      </c>
      <c r="T19" s="7">
        <v>10</v>
      </c>
      <c r="U19" s="7">
        <v>15</v>
      </c>
      <c r="V19" s="7">
        <v>11</v>
      </c>
      <c r="W19" s="7">
        <v>11</v>
      </c>
      <c r="X19" s="7">
        <v>11</v>
      </c>
      <c r="Y19" s="7">
        <v>13</v>
      </c>
      <c r="Z19" s="7">
        <v>10</v>
      </c>
      <c r="AA19" s="7">
        <v>15</v>
      </c>
      <c r="AB19" s="7">
        <v>13</v>
      </c>
      <c r="AC19" s="7">
        <v>9</v>
      </c>
      <c r="AD19" s="7">
        <v>10</v>
      </c>
      <c r="AE19" s="7"/>
      <c r="AF19" s="8"/>
      <c r="AG19" s="4">
        <f t="shared" si="2"/>
        <v>307</v>
      </c>
    </row>
    <row r="20" spans="1:33" ht="18.75" x14ac:dyDescent="0.25">
      <c r="A20" s="41" t="s">
        <v>33</v>
      </c>
      <c r="B20" s="7">
        <v>6</v>
      </c>
      <c r="C20" s="7">
        <v>7</v>
      </c>
      <c r="D20" s="7">
        <v>10</v>
      </c>
      <c r="E20" s="7">
        <v>4</v>
      </c>
      <c r="F20" s="7">
        <v>9</v>
      </c>
      <c r="G20" s="7">
        <v>1</v>
      </c>
      <c r="H20" s="7">
        <v>3</v>
      </c>
      <c r="I20" s="7">
        <v>4</v>
      </c>
      <c r="J20" s="7">
        <v>2</v>
      </c>
      <c r="K20" s="7">
        <v>5</v>
      </c>
      <c r="L20" s="7">
        <v>8</v>
      </c>
      <c r="M20" s="7">
        <v>1</v>
      </c>
      <c r="N20" s="7">
        <v>2</v>
      </c>
      <c r="O20" s="7">
        <v>4</v>
      </c>
      <c r="P20" s="7">
        <v>6</v>
      </c>
      <c r="Q20" s="7">
        <v>7</v>
      </c>
      <c r="R20" s="7">
        <v>1</v>
      </c>
      <c r="S20" s="7">
        <v>8</v>
      </c>
      <c r="T20" s="7">
        <v>7</v>
      </c>
      <c r="U20" s="7">
        <v>2</v>
      </c>
      <c r="V20" s="7">
        <v>9</v>
      </c>
      <c r="W20" s="7">
        <v>4</v>
      </c>
      <c r="X20" s="7">
        <v>2</v>
      </c>
      <c r="Y20" s="7">
        <v>2</v>
      </c>
      <c r="Z20" s="7">
        <v>3</v>
      </c>
      <c r="AA20" s="7">
        <v>6</v>
      </c>
      <c r="AB20" s="7">
        <v>8</v>
      </c>
      <c r="AC20" s="7">
        <v>5</v>
      </c>
      <c r="AD20" s="7">
        <v>3</v>
      </c>
      <c r="AE20" s="7"/>
      <c r="AF20" s="8"/>
      <c r="AG20" s="4">
        <f t="shared" si="2"/>
        <v>139</v>
      </c>
    </row>
    <row r="21" spans="1:33" ht="18.75" x14ac:dyDescent="0.25">
      <c r="A21" s="41" t="s">
        <v>34</v>
      </c>
      <c r="B21" s="7">
        <v>4</v>
      </c>
      <c r="C21" s="7">
        <v>4</v>
      </c>
      <c r="D21" s="7">
        <v>3</v>
      </c>
      <c r="E21" s="7">
        <v>5</v>
      </c>
      <c r="F21" s="7">
        <v>6</v>
      </c>
      <c r="G21" s="7">
        <v>1</v>
      </c>
      <c r="H21" s="7">
        <v>6</v>
      </c>
      <c r="I21" s="7">
        <v>5</v>
      </c>
      <c r="J21" s="7">
        <v>2</v>
      </c>
      <c r="K21" s="7">
        <v>4</v>
      </c>
      <c r="L21" s="7">
        <v>5</v>
      </c>
      <c r="M21" s="7">
        <v>4</v>
      </c>
      <c r="N21" s="7">
        <v>2</v>
      </c>
      <c r="O21" s="7">
        <v>3</v>
      </c>
      <c r="P21" s="7">
        <v>6</v>
      </c>
      <c r="Q21" s="7">
        <v>2</v>
      </c>
      <c r="R21" s="7">
        <v>2</v>
      </c>
      <c r="S21" s="7"/>
      <c r="T21" s="7">
        <v>5</v>
      </c>
      <c r="U21" s="7">
        <v>9</v>
      </c>
      <c r="V21" s="7">
        <v>6</v>
      </c>
      <c r="W21" s="7">
        <v>4</v>
      </c>
      <c r="X21" s="7">
        <v>3</v>
      </c>
      <c r="Y21" s="7">
        <v>3</v>
      </c>
      <c r="Z21" s="7">
        <v>5</v>
      </c>
      <c r="AA21" s="7">
        <v>2</v>
      </c>
      <c r="AB21" s="7">
        <v>4</v>
      </c>
      <c r="AC21" s="7">
        <v>4</v>
      </c>
      <c r="AD21" s="7">
        <v>4</v>
      </c>
      <c r="AE21" s="7"/>
      <c r="AF21" s="8"/>
      <c r="AG21" s="4">
        <f t="shared" si="2"/>
        <v>113</v>
      </c>
    </row>
    <row r="22" spans="1:33" ht="18.75" x14ac:dyDescent="0.25">
      <c r="A22" s="41" t="s">
        <v>35</v>
      </c>
      <c r="B22" s="7">
        <v>6</v>
      </c>
      <c r="C22" s="7">
        <v>2</v>
      </c>
      <c r="D22" s="7">
        <v>4</v>
      </c>
      <c r="E22" s="7">
        <v>2</v>
      </c>
      <c r="F22" s="7">
        <v>1</v>
      </c>
      <c r="G22" s="7">
        <v>1</v>
      </c>
      <c r="H22" s="7">
        <v>2</v>
      </c>
      <c r="I22" s="7">
        <v>2</v>
      </c>
      <c r="J22" s="7">
        <v>3</v>
      </c>
      <c r="K22" s="7">
        <v>1</v>
      </c>
      <c r="L22" s="7">
        <v>2</v>
      </c>
      <c r="M22" s="7"/>
      <c r="N22" s="7">
        <v>1</v>
      </c>
      <c r="O22" s="7">
        <v>1</v>
      </c>
      <c r="P22" s="7">
        <v>1</v>
      </c>
      <c r="Q22" s="7">
        <v>2</v>
      </c>
      <c r="R22" s="7"/>
      <c r="S22" s="7"/>
      <c r="T22" s="7">
        <v>3</v>
      </c>
      <c r="U22" s="7">
        <v>2</v>
      </c>
      <c r="V22" s="7">
        <v>1</v>
      </c>
      <c r="W22" s="7"/>
      <c r="X22" s="7">
        <v>1</v>
      </c>
      <c r="Y22" s="7">
        <v>3</v>
      </c>
      <c r="Z22" s="7"/>
      <c r="AA22" s="7">
        <v>7</v>
      </c>
      <c r="AB22" s="7">
        <v>2</v>
      </c>
      <c r="AC22" s="7">
        <v>4</v>
      </c>
      <c r="AD22" s="7"/>
      <c r="AE22" s="7"/>
      <c r="AF22" s="8"/>
      <c r="AG22" s="4">
        <f t="shared" si="2"/>
        <v>54</v>
      </c>
    </row>
    <row r="23" spans="1:33" ht="18.75" x14ac:dyDescent="0.25">
      <c r="A23" s="41" t="s">
        <v>36</v>
      </c>
      <c r="B23" s="7">
        <v>1</v>
      </c>
      <c r="C23" s="7">
        <v>2</v>
      </c>
      <c r="D23" s="7">
        <v>2</v>
      </c>
      <c r="E23" s="7"/>
      <c r="F23" s="7">
        <v>1</v>
      </c>
      <c r="G23" s="7"/>
      <c r="H23" s="7">
        <v>1</v>
      </c>
      <c r="I23" s="7">
        <v>1</v>
      </c>
      <c r="J23" s="7">
        <v>1</v>
      </c>
      <c r="K23" s="7">
        <v>2</v>
      </c>
      <c r="L23" s="7">
        <v>2</v>
      </c>
      <c r="M23" s="7">
        <v>2</v>
      </c>
      <c r="N23" s="7"/>
      <c r="O23" s="7">
        <v>1</v>
      </c>
      <c r="P23" s="7"/>
      <c r="Q23" s="7">
        <v>4</v>
      </c>
      <c r="R23" s="7">
        <v>2</v>
      </c>
      <c r="S23" s="7">
        <v>1</v>
      </c>
      <c r="T23" s="7"/>
      <c r="U23" s="7">
        <v>1</v>
      </c>
      <c r="V23" s="7">
        <v>2</v>
      </c>
      <c r="W23" s="7">
        <v>3</v>
      </c>
      <c r="X23" s="7">
        <v>1</v>
      </c>
      <c r="Y23" s="7">
        <v>2</v>
      </c>
      <c r="Z23" s="7">
        <v>2</v>
      </c>
      <c r="AA23" s="7">
        <v>1</v>
      </c>
      <c r="AB23" s="7">
        <v>2</v>
      </c>
      <c r="AC23" s="7">
        <v>1</v>
      </c>
      <c r="AD23" s="7">
        <v>3</v>
      </c>
      <c r="AE23" s="7"/>
      <c r="AF23" s="8"/>
      <c r="AG23" s="4">
        <f t="shared" si="2"/>
        <v>41</v>
      </c>
    </row>
    <row r="24" spans="1:33" ht="18.75" x14ac:dyDescent="0.25">
      <c r="A24" s="41" t="s">
        <v>51</v>
      </c>
      <c r="B24" s="7">
        <v>1</v>
      </c>
      <c r="C24" s="7">
        <v>1</v>
      </c>
      <c r="D24" s="7">
        <v>1</v>
      </c>
      <c r="E24" s="7"/>
      <c r="F24" s="7">
        <v>1</v>
      </c>
      <c r="G24" s="7"/>
      <c r="H24" s="7">
        <v>3</v>
      </c>
      <c r="I24" s="7">
        <v>1</v>
      </c>
      <c r="J24" s="7">
        <v>5</v>
      </c>
      <c r="K24" s="7">
        <v>1</v>
      </c>
      <c r="L24" s="7">
        <v>1</v>
      </c>
      <c r="M24" s="7">
        <v>1</v>
      </c>
      <c r="N24" s="7">
        <v>2</v>
      </c>
      <c r="O24" s="7">
        <v>2</v>
      </c>
      <c r="P24" s="7">
        <v>1</v>
      </c>
      <c r="Q24" s="7">
        <v>1</v>
      </c>
      <c r="R24" s="7">
        <v>1</v>
      </c>
      <c r="S24" s="7">
        <v>2</v>
      </c>
      <c r="T24" s="7"/>
      <c r="U24" s="7">
        <v>2</v>
      </c>
      <c r="V24" s="7">
        <v>2</v>
      </c>
      <c r="W24" s="7">
        <v>2</v>
      </c>
      <c r="X24" s="7"/>
      <c r="Y24" s="7">
        <v>2</v>
      </c>
      <c r="Z24" s="7">
        <v>1</v>
      </c>
      <c r="AA24" s="7"/>
      <c r="AB24" s="7">
        <v>1</v>
      </c>
      <c r="AC24" s="7">
        <v>1</v>
      </c>
      <c r="AD24" s="7"/>
      <c r="AE24" s="7"/>
      <c r="AF24" s="8"/>
      <c r="AG24" s="4">
        <f t="shared" si="2"/>
        <v>36</v>
      </c>
    </row>
    <row r="25" spans="1:33" ht="18.75" x14ac:dyDescent="0.25">
      <c r="A25" s="41" t="s">
        <v>52</v>
      </c>
      <c r="B25" s="7"/>
      <c r="C25" s="7"/>
      <c r="D25" s="7">
        <v>1</v>
      </c>
      <c r="E25" s="7"/>
      <c r="F25" s="7">
        <v>1</v>
      </c>
      <c r="G25" s="7">
        <v>3</v>
      </c>
      <c r="H25" s="7">
        <v>3</v>
      </c>
      <c r="I25" s="7">
        <v>1</v>
      </c>
      <c r="J25" s="7"/>
      <c r="K25" s="7"/>
      <c r="L25" s="7">
        <v>1</v>
      </c>
      <c r="M25" s="7">
        <v>1</v>
      </c>
      <c r="N25" s="7"/>
      <c r="O25" s="7">
        <v>1</v>
      </c>
      <c r="P25" s="7">
        <v>5</v>
      </c>
      <c r="Q25" s="7">
        <v>3</v>
      </c>
      <c r="R25" s="7">
        <v>4</v>
      </c>
      <c r="S25" s="7">
        <v>1</v>
      </c>
      <c r="T25" s="7"/>
      <c r="U25" s="7">
        <v>1</v>
      </c>
      <c r="V25" s="7">
        <v>1</v>
      </c>
      <c r="W25" s="7"/>
      <c r="X25" s="7"/>
      <c r="Y25" s="7">
        <v>1</v>
      </c>
      <c r="Z25" s="7">
        <v>1</v>
      </c>
      <c r="AA25" s="7">
        <v>2</v>
      </c>
      <c r="AB25" s="7">
        <v>1</v>
      </c>
      <c r="AC25" s="7">
        <v>1</v>
      </c>
      <c r="AD25" s="7">
        <v>1</v>
      </c>
      <c r="AE25" s="7"/>
      <c r="AF25" s="8"/>
      <c r="AG25" s="4">
        <f t="shared" si="2"/>
        <v>34</v>
      </c>
    </row>
    <row r="26" spans="1:33" ht="18.75" x14ac:dyDescent="0.25">
      <c r="A26" s="41" t="s">
        <v>37</v>
      </c>
      <c r="B26" s="7"/>
      <c r="C26" s="7">
        <v>1</v>
      </c>
      <c r="D26" s="7">
        <v>2</v>
      </c>
      <c r="E26" s="7"/>
      <c r="F26" s="7">
        <v>2</v>
      </c>
      <c r="G26" s="7">
        <v>1</v>
      </c>
      <c r="H26" s="7">
        <v>1</v>
      </c>
      <c r="I26" s="7"/>
      <c r="J26" s="7"/>
      <c r="K26" s="7"/>
      <c r="L26" s="7">
        <v>1</v>
      </c>
      <c r="M26" s="7"/>
      <c r="N26" s="7">
        <v>2</v>
      </c>
      <c r="O26" s="7">
        <v>1</v>
      </c>
      <c r="P26" s="7">
        <v>2</v>
      </c>
      <c r="Q26" s="7">
        <v>1</v>
      </c>
      <c r="R26" s="7">
        <v>1</v>
      </c>
      <c r="S26" s="7">
        <v>1</v>
      </c>
      <c r="T26" s="7"/>
      <c r="U26" s="7"/>
      <c r="V26" s="7">
        <v>1</v>
      </c>
      <c r="W26" s="7">
        <v>1</v>
      </c>
      <c r="X26" s="7"/>
      <c r="Y26" s="7"/>
      <c r="Z26" s="7">
        <v>2</v>
      </c>
      <c r="AA26" s="7">
        <v>1</v>
      </c>
      <c r="AB26" s="7">
        <v>2</v>
      </c>
      <c r="AC26" s="7"/>
      <c r="AD26" s="7">
        <v>2</v>
      </c>
      <c r="AE26" s="7"/>
      <c r="AF26" s="8"/>
      <c r="AG26" s="4">
        <f t="shared" si="2"/>
        <v>25</v>
      </c>
    </row>
    <row r="27" spans="1:33" ht="19.5" thickBot="1" x14ac:dyDescent="0.3">
      <c r="A27" s="81" t="s">
        <v>53</v>
      </c>
      <c r="B27" s="78"/>
      <c r="C27" s="78"/>
      <c r="D27" s="78">
        <v>1</v>
      </c>
      <c r="E27" s="78"/>
      <c r="F27" s="78"/>
      <c r="G27" s="78">
        <v>1</v>
      </c>
      <c r="H27" s="78"/>
      <c r="I27" s="78">
        <v>3</v>
      </c>
      <c r="J27" s="78"/>
      <c r="K27" s="78"/>
      <c r="L27" s="78"/>
      <c r="M27" s="78"/>
      <c r="N27" s="78"/>
      <c r="O27" s="78"/>
      <c r="P27" s="78">
        <v>2</v>
      </c>
      <c r="Q27" s="78"/>
      <c r="R27" s="78"/>
      <c r="S27" s="78"/>
      <c r="T27" s="78"/>
      <c r="U27" s="78"/>
      <c r="V27" s="78">
        <v>2</v>
      </c>
      <c r="W27" s="78">
        <v>2</v>
      </c>
      <c r="X27" s="78"/>
      <c r="Y27" s="78"/>
      <c r="Z27" s="78"/>
      <c r="AA27" s="78"/>
      <c r="AB27" s="78"/>
      <c r="AC27" s="78"/>
      <c r="AD27" s="78">
        <v>1</v>
      </c>
      <c r="AE27" s="78"/>
      <c r="AF27" s="83"/>
      <c r="AG27" s="4">
        <f t="shared" si="2"/>
        <v>12</v>
      </c>
    </row>
    <row r="28" spans="1:33" ht="18.75" x14ac:dyDescent="0.25">
      <c r="A28" s="79" t="s">
        <v>107</v>
      </c>
      <c r="B28" s="80">
        <f>SUM(B29:B52)</f>
        <v>215</v>
      </c>
      <c r="C28" s="80">
        <f t="shared" ref="C28:AF28" si="3">SUM(C29:C52)</f>
        <v>199</v>
      </c>
      <c r="D28" s="80">
        <f t="shared" si="3"/>
        <v>169</v>
      </c>
      <c r="E28" s="80">
        <f t="shared" si="3"/>
        <v>136</v>
      </c>
      <c r="F28" s="80">
        <f t="shared" si="3"/>
        <v>143</v>
      </c>
      <c r="G28" s="80">
        <f t="shared" si="3"/>
        <v>116</v>
      </c>
      <c r="H28" s="80">
        <f t="shared" si="3"/>
        <v>157</v>
      </c>
      <c r="I28" s="80">
        <f t="shared" si="3"/>
        <v>172</v>
      </c>
      <c r="J28" s="80">
        <f t="shared" si="3"/>
        <v>205</v>
      </c>
      <c r="K28" s="80">
        <f t="shared" si="3"/>
        <v>146</v>
      </c>
      <c r="L28" s="80">
        <f t="shared" si="3"/>
        <v>148</v>
      </c>
      <c r="M28" s="80">
        <f t="shared" si="3"/>
        <v>138</v>
      </c>
      <c r="N28" s="80">
        <f t="shared" si="3"/>
        <v>140</v>
      </c>
      <c r="O28" s="80">
        <f t="shared" si="3"/>
        <v>118</v>
      </c>
      <c r="P28" s="80">
        <f t="shared" si="3"/>
        <v>182</v>
      </c>
      <c r="Q28" s="80">
        <f t="shared" si="3"/>
        <v>237</v>
      </c>
      <c r="R28" s="80">
        <f t="shared" si="3"/>
        <v>156</v>
      </c>
      <c r="S28" s="80">
        <f t="shared" si="3"/>
        <v>164</v>
      </c>
      <c r="T28" s="80">
        <f t="shared" si="3"/>
        <v>163</v>
      </c>
      <c r="U28" s="80">
        <f t="shared" si="3"/>
        <v>150</v>
      </c>
      <c r="V28" s="80">
        <f t="shared" si="3"/>
        <v>137</v>
      </c>
      <c r="W28" s="80">
        <f t="shared" si="3"/>
        <v>208</v>
      </c>
      <c r="X28" s="80">
        <f t="shared" si="3"/>
        <v>213</v>
      </c>
      <c r="Y28" s="80">
        <f t="shared" si="3"/>
        <v>142</v>
      </c>
      <c r="Z28" s="80">
        <f t="shared" si="3"/>
        <v>135</v>
      </c>
      <c r="AA28" s="80">
        <f t="shared" si="3"/>
        <v>159</v>
      </c>
      <c r="AB28" s="80">
        <f t="shared" si="3"/>
        <v>156</v>
      </c>
      <c r="AC28" s="80">
        <f t="shared" si="3"/>
        <v>126</v>
      </c>
      <c r="AD28" s="80">
        <f t="shared" si="3"/>
        <v>229</v>
      </c>
      <c r="AE28" s="80">
        <f>SUM(AE29:AE52)</f>
        <v>0</v>
      </c>
      <c r="AF28" s="80">
        <f t="shared" si="3"/>
        <v>0</v>
      </c>
      <c r="AG28" s="150">
        <f t="shared" si="2"/>
        <v>4759</v>
      </c>
    </row>
    <row r="29" spans="1:33" ht="18.75" x14ac:dyDescent="0.25">
      <c r="A29" s="41" t="s">
        <v>54</v>
      </c>
      <c r="B29" s="7">
        <v>3</v>
      </c>
      <c r="C29" s="7">
        <v>6</v>
      </c>
      <c r="D29" s="7"/>
      <c r="E29" s="7"/>
      <c r="F29" s="7"/>
      <c r="G29" s="7"/>
      <c r="H29" s="7"/>
      <c r="I29" s="7">
        <v>8</v>
      </c>
      <c r="J29" s="7">
        <v>4</v>
      </c>
      <c r="K29" s="7"/>
      <c r="L29" s="7"/>
      <c r="M29" s="7"/>
      <c r="N29" s="7"/>
      <c r="O29" s="7"/>
      <c r="P29" s="7">
        <v>4</v>
      </c>
      <c r="Q29" s="7">
        <v>5</v>
      </c>
      <c r="R29" s="7"/>
      <c r="S29" s="7"/>
      <c r="T29" s="7"/>
      <c r="U29" s="7"/>
      <c r="V29" s="7">
        <v>2</v>
      </c>
      <c r="W29" s="7">
        <v>1</v>
      </c>
      <c r="X29" s="7">
        <v>3</v>
      </c>
      <c r="Y29" s="7"/>
      <c r="Z29" s="7"/>
      <c r="AA29" s="7"/>
      <c r="AB29" s="7"/>
      <c r="AC29" s="7"/>
      <c r="AD29" s="7">
        <v>3</v>
      </c>
      <c r="AE29" s="7"/>
      <c r="AF29" s="8"/>
      <c r="AG29" s="4">
        <f t="shared" si="2"/>
        <v>39</v>
      </c>
    </row>
    <row r="30" spans="1:33" ht="18.75" x14ac:dyDescent="0.25">
      <c r="A30" s="41" t="s">
        <v>55</v>
      </c>
      <c r="B30" s="7">
        <v>3</v>
      </c>
      <c r="C30" s="7">
        <v>12</v>
      </c>
      <c r="D30" s="7"/>
      <c r="E30" s="7"/>
      <c r="F30" s="7"/>
      <c r="G30" s="7"/>
      <c r="H30" s="7"/>
      <c r="I30" s="7">
        <v>5</v>
      </c>
      <c r="J30" s="7">
        <v>5</v>
      </c>
      <c r="K30" s="7"/>
      <c r="L30" s="7"/>
      <c r="M30" s="7"/>
      <c r="N30" s="7"/>
      <c r="O30" s="7"/>
      <c r="P30" s="7">
        <v>6</v>
      </c>
      <c r="Q30" s="7">
        <v>9</v>
      </c>
      <c r="R30" s="7"/>
      <c r="S30" s="7"/>
      <c r="T30" s="7"/>
      <c r="U30" s="7"/>
      <c r="V30" s="7">
        <v>2</v>
      </c>
      <c r="W30" s="7">
        <v>5</v>
      </c>
      <c r="X30" s="7">
        <v>7</v>
      </c>
      <c r="Y30" s="7"/>
      <c r="Z30" s="7"/>
      <c r="AA30" s="7"/>
      <c r="AB30" s="7"/>
      <c r="AC30" s="7"/>
      <c r="AD30" s="7">
        <v>7</v>
      </c>
      <c r="AE30" s="7"/>
      <c r="AF30" s="8"/>
      <c r="AG30" s="4">
        <f t="shared" si="2"/>
        <v>61</v>
      </c>
    </row>
    <row r="31" spans="1:33" ht="18.75" x14ac:dyDescent="0.25">
      <c r="A31" s="41" t="s">
        <v>56</v>
      </c>
      <c r="B31" s="7">
        <v>10</v>
      </c>
      <c r="C31" s="7">
        <v>8</v>
      </c>
      <c r="D31" s="7"/>
      <c r="E31" s="7"/>
      <c r="F31" s="7"/>
      <c r="G31" s="7"/>
      <c r="H31" s="7"/>
      <c r="I31" s="7">
        <v>6</v>
      </c>
      <c r="J31" s="7">
        <v>8</v>
      </c>
      <c r="K31" s="7"/>
      <c r="L31" s="7"/>
      <c r="M31" s="7"/>
      <c r="N31" s="7"/>
      <c r="O31" s="7"/>
      <c r="P31" s="7">
        <v>12</v>
      </c>
      <c r="Q31" s="7">
        <v>11</v>
      </c>
      <c r="R31" s="7"/>
      <c r="S31" s="7"/>
      <c r="T31" s="7"/>
      <c r="U31" s="7"/>
      <c r="V31" s="7"/>
      <c r="W31" s="7">
        <v>15</v>
      </c>
      <c r="X31" s="7">
        <v>12</v>
      </c>
      <c r="Y31" s="7"/>
      <c r="Z31" s="7"/>
      <c r="AA31" s="7"/>
      <c r="AB31" s="7"/>
      <c r="AC31" s="7"/>
      <c r="AD31" s="7">
        <v>16</v>
      </c>
      <c r="AE31" s="7"/>
      <c r="AF31" s="8"/>
      <c r="AG31" s="4">
        <f t="shared" si="2"/>
        <v>98</v>
      </c>
    </row>
    <row r="32" spans="1:33" ht="18.75" x14ac:dyDescent="0.25">
      <c r="A32" s="41" t="s">
        <v>38</v>
      </c>
      <c r="B32" s="7">
        <v>14</v>
      </c>
      <c r="C32" s="7">
        <v>12</v>
      </c>
      <c r="D32" s="7"/>
      <c r="E32" s="7"/>
      <c r="F32" s="7"/>
      <c r="G32" s="7"/>
      <c r="H32" s="7"/>
      <c r="I32" s="7">
        <v>14</v>
      </c>
      <c r="J32" s="7">
        <v>14</v>
      </c>
      <c r="K32" s="7"/>
      <c r="L32" s="7"/>
      <c r="M32" s="7"/>
      <c r="N32" s="7"/>
      <c r="O32" s="7"/>
      <c r="P32" s="7">
        <v>12</v>
      </c>
      <c r="Q32" s="7">
        <v>15</v>
      </c>
      <c r="R32" s="7"/>
      <c r="S32" s="7"/>
      <c r="T32" s="7"/>
      <c r="U32" s="7"/>
      <c r="V32" s="7"/>
      <c r="W32" s="7">
        <v>14</v>
      </c>
      <c r="X32" s="7">
        <v>16</v>
      </c>
      <c r="Y32" s="7"/>
      <c r="Z32" s="7"/>
      <c r="AA32" s="7"/>
      <c r="AB32" s="7"/>
      <c r="AC32" s="7"/>
      <c r="AD32" s="7">
        <v>11</v>
      </c>
      <c r="AE32" s="7"/>
      <c r="AF32" s="8"/>
      <c r="AG32" s="4">
        <f t="shared" si="2"/>
        <v>122</v>
      </c>
    </row>
    <row r="33" spans="1:33" ht="18.75" x14ac:dyDescent="0.25">
      <c r="A33" s="41" t="s">
        <v>39</v>
      </c>
      <c r="B33" s="7">
        <v>10</v>
      </c>
      <c r="C33" s="7">
        <v>10</v>
      </c>
      <c r="D33" s="7"/>
      <c r="E33" s="7"/>
      <c r="F33" s="7"/>
      <c r="G33" s="7"/>
      <c r="H33" s="7"/>
      <c r="I33" s="7">
        <v>9</v>
      </c>
      <c r="J33" s="7">
        <v>11</v>
      </c>
      <c r="K33" s="7"/>
      <c r="L33" s="7"/>
      <c r="M33" s="7"/>
      <c r="N33" s="7"/>
      <c r="O33" s="7"/>
      <c r="P33" s="7">
        <v>8</v>
      </c>
      <c r="Q33" s="7">
        <v>13</v>
      </c>
      <c r="R33" s="7"/>
      <c r="S33" s="7"/>
      <c r="T33" s="7"/>
      <c r="U33" s="7"/>
      <c r="V33" s="7"/>
      <c r="W33" s="7">
        <v>9</v>
      </c>
      <c r="X33" s="7">
        <v>13</v>
      </c>
      <c r="Y33" s="7"/>
      <c r="Z33" s="7"/>
      <c r="AA33" s="7"/>
      <c r="AB33" s="7"/>
      <c r="AC33" s="7"/>
      <c r="AD33" s="7">
        <v>11</v>
      </c>
      <c r="AE33" s="7"/>
      <c r="AF33" s="8"/>
      <c r="AG33" s="4">
        <f t="shared" si="2"/>
        <v>94</v>
      </c>
    </row>
    <row r="34" spans="1:33" ht="18.75" x14ac:dyDescent="0.25">
      <c r="A34" s="41" t="s">
        <v>40</v>
      </c>
      <c r="B34" s="7">
        <v>10</v>
      </c>
      <c r="C34" s="7">
        <v>7</v>
      </c>
      <c r="D34" s="7"/>
      <c r="E34" s="7"/>
      <c r="F34" s="7"/>
      <c r="G34" s="7"/>
      <c r="H34" s="7"/>
      <c r="I34" s="7">
        <v>5</v>
      </c>
      <c r="J34" s="7">
        <v>6</v>
      </c>
      <c r="K34" s="7"/>
      <c r="L34" s="7"/>
      <c r="M34" s="7"/>
      <c r="N34" s="7"/>
      <c r="O34" s="7"/>
      <c r="P34" s="7">
        <v>10</v>
      </c>
      <c r="Q34" s="7">
        <v>14</v>
      </c>
      <c r="R34" s="7"/>
      <c r="S34" s="7"/>
      <c r="T34" s="7"/>
      <c r="U34" s="7"/>
      <c r="V34" s="7"/>
      <c r="W34" s="7">
        <v>9</v>
      </c>
      <c r="X34" s="7">
        <v>13</v>
      </c>
      <c r="Y34" s="7"/>
      <c r="Z34" s="7"/>
      <c r="AA34" s="7"/>
      <c r="AB34" s="7"/>
      <c r="AC34" s="7"/>
      <c r="AD34" s="7">
        <v>13</v>
      </c>
      <c r="AE34" s="7"/>
      <c r="AF34" s="8"/>
      <c r="AG34" s="4">
        <f t="shared" si="2"/>
        <v>87</v>
      </c>
    </row>
    <row r="35" spans="1:33" ht="18.75" x14ac:dyDescent="0.25">
      <c r="A35" s="41" t="s">
        <v>41</v>
      </c>
      <c r="B35" s="7">
        <v>20</v>
      </c>
      <c r="C35" s="7">
        <v>16</v>
      </c>
      <c r="D35" s="7"/>
      <c r="E35" s="7"/>
      <c r="F35" s="7"/>
      <c r="G35" s="7"/>
      <c r="H35" s="7"/>
      <c r="I35" s="7">
        <v>6</v>
      </c>
      <c r="J35" s="7">
        <v>11</v>
      </c>
      <c r="K35" s="7"/>
      <c r="L35" s="7"/>
      <c r="M35" s="7"/>
      <c r="N35" s="7"/>
      <c r="O35" s="7"/>
      <c r="P35" s="7">
        <v>8</v>
      </c>
      <c r="Q35" s="7">
        <v>10</v>
      </c>
      <c r="R35" s="7"/>
      <c r="S35" s="7"/>
      <c r="T35" s="7"/>
      <c r="U35" s="7"/>
      <c r="V35" s="7"/>
      <c r="W35" s="7">
        <v>10</v>
      </c>
      <c r="X35" s="7">
        <v>14</v>
      </c>
      <c r="Y35" s="7"/>
      <c r="Z35" s="7"/>
      <c r="AA35" s="7"/>
      <c r="AB35" s="7"/>
      <c r="AC35" s="7"/>
      <c r="AD35" s="7">
        <v>8</v>
      </c>
      <c r="AE35" s="7"/>
      <c r="AF35" s="8"/>
      <c r="AG35" s="4">
        <f t="shared" si="2"/>
        <v>103</v>
      </c>
    </row>
    <row r="36" spans="1:33" ht="18.75" x14ac:dyDescent="0.25">
      <c r="A36" s="41" t="s">
        <v>42</v>
      </c>
      <c r="B36" s="7">
        <v>16</v>
      </c>
      <c r="C36" s="7">
        <v>8</v>
      </c>
      <c r="D36" s="7"/>
      <c r="E36" s="7"/>
      <c r="F36" s="7"/>
      <c r="G36" s="7"/>
      <c r="H36" s="7"/>
      <c r="I36" s="7">
        <v>9</v>
      </c>
      <c r="J36" s="7">
        <v>12</v>
      </c>
      <c r="K36" s="7"/>
      <c r="L36" s="7"/>
      <c r="M36" s="7"/>
      <c r="N36" s="7"/>
      <c r="O36" s="7"/>
      <c r="P36" s="7">
        <v>10</v>
      </c>
      <c r="Q36" s="7">
        <v>12</v>
      </c>
      <c r="R36" s="7"/>
      <c r="S36" s="7"/>
      <c r="T36" s="7"/>
      <c r="U36" s="7"/>
      <c r="V36" s="7"/>
      <c r="W36" s="7">
        <v>9</v>
      </c>
      <c r="X36" s="7">
        <v>8</v>
      </c>
      <c r="Y36" s="7"/>
      <c r="Z36" s="7"/>
      <c r="AA36" s="7"/>
      <c r="AB36" s="7"/>
      <c r="AC36" s="7"/>
      <c r="AD36" s="7">
        <v>11</v>
      </c>
      <c r="AE36" s="7"/>
      <c r="AF36" s="8"/>
      <c r="AG36" s="4">
        <f t="shared" si="2"/>
        <v>95</v>
      </c>
    </row>
    <row r="37" spans="1:33" ht="18.75" x14ac:dyDescent="0.25">
      <c r="A37" s="41" t="s">
        <v>43</v>
      </c>
      <c r="B37" s="7">
        <v>7</v>
      </c>
      <c r="C37" s="7">
        <v>12</v>
      </c>
      <c r="D37" s="7"/>
      <c r="E37" s="7"/>
      <c r="F37" s="7"/>
      <c r="G37" s="7"/>
      <c r="H37" s="7"/>
      <c r="I37" s="7">
        <v>9</v>
      </c>
      <c r="J37" s="7">
        <v>18</v>
      </c>
      <c r="K37" s="7"/>
      <c r="L37" s="7"/>
      <c r="M37" s="7"/>
      <c r="N37" s="7"/>
      <c r="O37" s="7"/>
      <c r="P37" s="7">
        <v>11</v>
      </c>
      <c r="Q37" s="7">
        <v>13</v>
      </c>
      <c r="R37" s="7"/>
      <c r="S37" s="7"/>
      <c r="T37" s="7"/>
      <c r="U37" s="7"/>
      <c r="V37" s="7"/>
      <c r="W37" s="7">
        <v>17</v>
      </c>
      <c r="X37" s="7">
        <v>14</v>
      </c>
      <c r="Y37" s="7"/>
      <c r="Z37" s="7"/>
      <c r="AA37" s="7"/>
      <c r="AB37" s="7"/>
      <c r="AC37" s="7"/>
      <c r="AD37" s="7">
        <v>19</v>
      </c>
      <c r="AE37" s="7"/>
      <c r="AF37" s="8"/>
      <c r="AG37" s="4">
        <f t="shared" si="2"/>
        <v>120</v>
      </c>
    </row>
    <row r="38" spans="1:33" ht="18.75" x14ac:dyDescent="0.25">
      <c r="A38" s="41" t="s">
        <v>44</v>
      </c>
      <c r="B38" s="7">
        <v>14</v>
      </c>
      <c r="C38" s="7">
        <v>10</v>
      </c>
      <c r="D38" s="7">
        <v>6</v>
      </c>
      <c r="E38" s="7">
        <v>1</v>
      </c>
      <c r="F38" s="7">
        <v>3</v>
      </c>
      <c r="G38" s="7">
        <v>5</v>
      </c>
      <c r="H38" s="7">
        <v>9</v>
      </c>
      <c r="I38" s="7">
        <v>10</v>
      </c>
      <c r="J38" s="7">
        <v>15</v>
      </c>
      <c r="K38" s="7">
        <v>6</v>
      </c>
      <c r="L38" s="7">
        <v>4</v>
      </c>
      <c r="M38" s="7">
        <v>8</v>
      </c>
      <c r="N38" s="7">
        <v>5</v>
      </c>
      <c r="O38" s="7">
        <v>7</v>
      </c>
      <c r="P38" s="7">
        <v>15</v>
      </c>
      <c r="Q38" s="7">
        <v>19</v>
      </c>
      <c r="R38" s="7">
        <v>8</v>
      </c>
      <c r="S38" s="7">
        <v>12</v>
      </c>
      <c r="T38" s="7">
        <v>6</v>
      </c>
      <c r="U38" s="7">
        <v>6</v>
      </c>
      <c r="V38" s="7">
        <v>5</v>
      </c>
      <c r="W38" s="7">
        <v>19</v>
      </c>
      <c r="X38" s="7">
        <v>21</v>
      </c>
      <c r="Y38" s="7">
        <v>6</v>
      </c>
      <c r="Z38" s="7">
        <v>6</v>
      </c>
      <c r="AA38" s="7">
        <v>3</v>
      </c>
      <c r="AB38" s="7">
        <v>8</v>
      </c>
      <c r="AC38" s="7">
        <v>3</v>
      </c>
      <c r="AD38" s="7">
        <v>18</v>
      </c>
      <c r="AE38" s="7"/>
      <c r="AF38" s="8"/>
      <c r="AG38" s="4">
        <f t="shared" si="2"/>
        <v>258</v>
      </c>
    </row>
    <row r="39" spans="1:33" ht="18.75" x14ac:dyDescent="0.25">
      <c r="A39" s="41" t="s">
        <v>45</v>
      </c>
      <c r="B39" s="7">
        <v>11</v>
      </c>
      <c r="C39" s="7">
        <v>14</v>
      </c>
      <c r="D39" s="7">
        <v>19</v>
      </c>
      <c r="E39" s="7">
        <v>15</v>
      </c>
      <c r="F39" s="7">
        <v>19</v>
      </c>
      <c r="G39" s="7">
        <v>16</v>
      </c>
      <c r="H39" s="7">
        <v>18</v>
      </c>
      <c r="I39" s="7">
        <v>12</v>
      </c>
      <c r="J39" s="7">
        <v>13</v>
      </c>
      <c r="K39" s="7">
        <v>22</v>
      </c>
      <c r="L39" s="7">
        <v>10</v>
      </c>
      <c r="M39" s="7">
        <v>20</v>
      </c>
      <c r="N39" s="7">
        <v>19</v>
      </c>
      <c r="O39" s="7">
        <v>17</v>
      </c>
      <c r="P39" s="7">
        <v>6</v>
      </c>
      <c r="Q39" s="7">
        <v>10</v>
      </c>
      <c r="R39" s="7">
        <v>27</v>
      </c>
      <c r="S39" s="7">
        <v>23</v>
      </c>
      <c r="T39" s="7">
        <v>20</v>
      </c>
      <c r="U39" s="7">
        <v>19</v>
      </c>
      <c r="V39" s="7">
        <v>15</v>
      </c>
      <c r="W39" s="7">
        <v>11</v>
      </c>
      <c r="X39" s="7">
        <v>19</v>
      </c>
      <c r="Y39" s="7">
        <v>22</v>
      </c>
      <c r="Z39" s="7">
        <v>22</v>
      </c>
      <c r="AA39" s="7">
        <v>28</v>
      </c>
      <c r="AB39" s="7">
        <v>18</v>
      </c>
      <c r="AC39" s="7">
        <v>19</v>
      </c>
      <c r="AD39" s="7">
        <v>19</v>
      </c>
      <c r="AE39" s="7"/>
      <c r="AF39" s="8"/>
      <c r="AG39" s="4">
        <f t="shared" si="2"/>
        <v>503</v>
      </c>
    </row>
    <row r="40" spans="1:33" ht="18.75" x14ac:dyDescent="0.25">
      <c r="A40" s="41" t="s">
        <v>46</v>
      </c>
      <c r="B40" s="7">
        <v>14</v>
      </c>
      <c r="C40" s="7">
        <v>12</v>
      </c>
      <c r="D40" s="7">
        <v>24</v>
      </c>
      <c r="E40" s="7">
        <v>22</v>
      </c>
      <c r="F40" s="7">
        <v>21</v>
      </c>
      <c r="G40" s="7">
        <v>21</v>
      </c>
      <c r="H40" s="7">
        <v>20</v>
      </c>
      <c r="I40" s="7">
        <v>7</v>
      </c>
      <c r="J40" s="7">
        <v>14</v>
      </c>
      <c r="K40" s="7">
        <v>26</v>
      </c>
      <c r="L40" s="7">
        <v>22</v>
      </c>
      <c r="M40" s="7">
        <v>26</v>
      </c>
      <c r="N40" s="7">
        <v>25</v>
      </c>
      <c r="O40" s="7">
        <v>22</v>
      </c>
      <c r="P40" s="7">
        <v>10</v>
      </c>
      <c r="Q40" s="7">
        <v>20</v>
      </c>
      <c r="R40" s="7">
        <v>22</v>
      </c>
      <c r="S40" s="7">
        <v>22</v>
      </c>
      <c r="T40" s="7">
        <v>23</v>
      </c>
      <c r="U40" s="7">
        <v>19</v>
      </c>
      <c r="V40" s="7">
        <v>20</v>
      </c>
      <c r="W40" s="7">
        <v>15</v>
      </c>
      <c r="X40" s="7">
        <v>16</v>
      </c>
      <c r="Y40" s="7">
        <v>29</v>
      </c>
      <c r="Z40" s="7">
        <v>11</v>
      </c>
      <c r="AA40" s="7">
        <v>27</v>
      </c>
      <c r="AB40" s="7">
        <v>24</v>
      </c>
      <c r="AC40" s="7">
        <v>25</v>
      </c>
      <c r="AD40" s="7">
        <v>14</v>
      </c>
      <c r="AE40" s="7"/>
      <c r="AF40" s="8"/>
      <c r="AG40" s="4">
        <f t="shared" si="2"/>
        <v>573</v>
      </c>
    </row>
    <row r="41" spans="1:33" ht="18.75" x14ac:dyDescent="0.25">
      <c r="A41" s="41" t="s">
        <v>47</v>
      </c>
      <c r="B41" s="7">
        <v>19</v>
      </c>
      <c r="C41" s="7">
        <v>9</v>
      </c>
      <c r="D41" s="7">
        <v>29</v>
      </c>
      <c r="E41" s="7">
        <v>23</v>
      </c>
      <c r="F41" s="7">
        <v>16</v>
      </c>
      <c r="G41" s="7">
        <v>16</v>
      </c>
      <c r="H41" s="7">
        <v>19</v>
      </c>
      <c r="I41" s="7">
        <v>7</v>
      </c>
      <c r="J41" s="7">
        <v>15</v>
      </c>
      <c r="K41" s="7">
        <v>25</v>
      </c>
      <c r="L41" s="7">
        <v>23</v>
      </c>
      <c r="M41" s="7">
        <v>22</v>
      </c>
      <c r="N41" s="7">
        <v>16</v>
      </c>
      <c r="O41" s="7">
        <v>16</v>
      </c>
      <c r="P41" s="7">
        <v>11</v>
      </c>
      <c r="Q41" s="7">
        <v>19</v>
      </c>
      <c r="R41" s="7">
        <v>21</v>
      </c>
      <c r="S41" s="7">
        <v>20</v>
      </c>
      <c r="T41" s="7">
        <v>23</v>
      </c>
      <c r="U41" s="7">
        <v>19</v>
      </c>
      <c r="V41" s="7">
        <v>14</v>
      </c>
      <c r="W41" s="7">
        <v>14</v>
      </c>
      <c r="X41" s="7">
        <v>13</v>
      </c>
      <c r="Y41" s="7">
        <v>21</v>
      </c>
      <c r="Z41" s="7">
        <v>25</v>
      </c>
      <c r="AA41" s="7">
        <v>25</v>
      </c>
      <c r="AB41" s="7">
        <v>19</v>
      </c>
      <c r="AC41" s="7">
        <v>13</v>
      </c>
      <c r="AD41" s="7">
        <v>17</v>
      </c>
      <c r="AE41" s="7"/>
      <c r="AF41" s="8"/>
      <c r="AG41" s="4">
        <f t="shared" si="2"/>
        <v>529</v>
      </c>
    </row>
    <row r="42" spans="1:33" ht="18.75" x14ac:dyDescent="0.25">
      <c r="A42" s="41" t="s">
        <v>48</v>
      </c>
      <c r="B42" s="7">
        <v>19</v>
      </c>
      <c r="C42" s="7">
        <v>12</v>
      </c>
      <c r="D42" s="7">
        <v>19</v>
      </c>
      <c r="E42" s="7">
        <v>15</v>
      </c>
      <c r="F42" s="7">
        <v>17</v>
      </c>
      <c r="G42" s="7">
        <v>13</v>
      </c>
      <c r="H42" s="7">
        <v>16</v>
      </c>
      <c r="I42" s="7">
        <v>15</v>
      </c>
      <c r="J42" s="7">
        <v>15</v>
      </c>
      <c r="K42" s="7">
        <v>11</v>
      </c>
      <c r="L42" s="7">
        <v>21</v>
      </c>
      <c r="M42" s="7">
        <v>16</v>
      </c>
      <c r="N42" s="7">
        <v>21</v>
      </c>
      <c r="O42" s="7">
        <v>12</v>
      </c>
      <c r="P42" s="7">
        <v>12</v>
      </c>
      <c r="Q42" s="7">
        <v>17</v>
      </c>
      <c r="R42" s="7">
        <v>23</v>
      </c>
      <c r="S42" s="7">
        <v>16</v>
      </c>
      <c r="T42" s="7">
        <v>22</v>
      </c>
      <c r="U42" s="7">
        <v>15</v>
      </c>
      <c r="V42" s="7">
        <v>21</v>
      </c>
      <c r="W42" s="7">
        <v>10</v>
      </c>
      <c r="X42" s="7">
        <v>11</v>
      </c>
      <c r="Y42" s="7">
        <v>15</v>
      </c>
      <c r="Z42" s="7">
        <v>22</v>
      </c>
      <c r="AA42" s="7">
        <v>17</v>
      </c>
      <c r="AB42" s="7">
        <v>23</v>
      </c>
      <c r="AC42" s="7">
        <v>23</v>
      </c>
      <c r="AD42" s="7">
        <v>15</v>
      </c>
      <c r="AE42" s="7"/>
      <c r="AF42" s="8"/>
      <c r="AG42" s="4">
        <f t="shared" si="2"/>
        <v>484</v>
      </c>
    </row>
    <row r="43" spans="1:33" ht="18.75" x14ac:dyDescent="0.25">
      <c r="A43" s="41" t="s">
        <v>49</v>
      </c>
      <c r="B43" s="7">
        <v>8</v>
      </c>
      <c r="C43" s="7">
        <v>12</v>
      </c>
      <c r="D43" s="7">
        <v>30</v>
      </c>
      <c r="E43" s="7">
        <v>32</v>
      </c>
      <c r="F43" s="7">
        <v>27</v>
      </c>
      <c r="G43" s="7">
        <v>11</v>
      </c>
      <c r="H43" s="7">
        <v>14</v>
      </c>
      <c r="I43" s="7">
        <v>8</v>
      </c>
      <c r="J43" s="7">
        <v>12</v>
      </c>
      <c r="K43" s="7">
        <v>13</v>
      </c>
      <c r="L43" s="7">
        <v>24</v>
      </c>
      <c r="M43" s="7">
        <v>17</v>
      </c>
      <c r="N43" s="7">
        <v>13</v>
      </c>
      <c r="O43" s="7">
        <v>15</v>
      </c>
      <c r="P43" s="7">
        <v>4</v>
      </c>
      <c r="Q43" s="7">
        <v>13</v>
      </c>
      <c r="R43" s="7">
        <v>9</v>
      </c>
      <c r="S43" s="7">
        <v>18</v>
      </c>
      <c r="T43" s="7">
        <v>19</v>
      </c>
      <c r="U43" s="7">
        <v>21</v>
      </c>
      <c r="V43" s="7">
        <v>14</v>
      </c>
      <c r="W43" s="7">
        <v>9</v>
      </c>
      <c r="X43" s="7">
        <v>5</v>
      </c>
      <c r="Y43" s="7">
        <v>14</v>
      </c>
      <c r="Z43" s="7">
        <v>18</v>
      </c>
      <c r="AA43" s="7">
        <v>19</v>
      </c>
      <c r="AB43" s="7">
        <v>16</v>
      </c>
      <c r="AC43" s="7">
        <v>16</v>
      </c>
      <c r="AD43" s="7">
        <v>9</v>
      </c>
      <c r="AE43" s="7"/>
      <c r="AF43" s="8"/>
      <c r="AG43" s="4">
        <f t="shared" si="2"/>
        <v>440</v>
      </c>
    </row>
    <row r="44" spans="1:33" ht="18.75" x14ac:dyDescent="0.25">
      <c r="A44" s="41" t="s">
        <v>50</v>
      </c>
      <c r="B44" s="7">
        <v>11</v>
      </c>
      <c r="C44" s="7">
        <v>12</v>
      </c>
      <c r="D44" s="7">
        <v>13</v>
      </c>
      <c r="E44" s="7">
        <v>8</v>
      </c>
      <c r="F44" s="7">
        <v>15</v>
      </c>
      <c r="G44" s="7">
        <v>10</v>
      </c>
      <c r="H44" s="7">
        <v>18</v>
      </c>
      <c r="I44" s="7">
        <v>14</v>
      </c>
      <c r="J44" s="7">
        <v>13</v>
      </c>
      <c r="K44" s="7">
        <v>12</v>
      </c>
      <c r="L44" s="7">
        <v>22</v>
      </c>
      <c r="M44" s="7">
        <v>13</v>
      </c>
      <c r="N44" s="7">
        <v>19</v>
      </c>
      <c r="O44" s="7">
        <v>8</v>
      </c>
      <c r="P44" s="7">
        <v>6</v>
      </c>
      <c r="Q44" s="7">
        <v>12</v>
      </c>
      <c r="R44" s="7">
        <v>10</v>
      </c>
      <c r="S44" s="7">
        <v>9</v>
      </c>
      <c r="T44" s="7">
        <v>21</v>
      </c>
      <c r="U44" s="7">
        <v>18</v>
      </c>
      <c r="V44" s="7">
        <v>12</v>
      </c>
      <c r="W44" s="7">
        <v>6</v>
      </c>
      <c r="X44" s="7">
        <v>16</v>
      </c>
      <c r="Y44" s="7">
        <v>10</v>
      </c>
      <c r="Z44" s="7">
        <v>7</v>
      </c>
      <c r="AA44" s="7">
        <v>15</v>
      </c>
      <c r="AB44" s="7">
        <v>18</v>
      </c>
      <c r="AC44" s="7">
        <v>6</v>
      </c>
      <c r="AD44" s="7">
        <v>10</v>
      </c>
      <c r="AE44" s="7"/>
      <c r="AF44" s="8"/>
      <c r="AG44" s="4">
        <f t="shared" si="2"/>
        <v>364</v>
      </c>
    </row>
    <row r="45" spans="1:33" ht="18.75" x14ac:dyDescent="0.25">
      <c r="A45" s="41" t="s">
        <v>33</v>
      </c>
      <c r="B45" s="7">
        <v>11</v>
      </c>
      <c r="C45" s="7">
        <v>14</v>
      </c>
      <c r="D45" s="7">
        <v>5</v>
      </c>
      <c r="E45" s="7">
        <v>9</v>
      </c>
      <c r="F45" s="7">
        <v>11</v>
      </c>
      <c r="G45" s="7">
        <v>4</v>
      </c>
      <c r="H45" s="7">
        <v>9</v>
      </c>
      <c r="I45" s="7">
        <v>7</v>
      </c>
      <c r="J45" s="7">
        <v>8</v>
      </c>
      <c r="K45" s="7">
        <v>4</v>
      </c>
      <c r="L45" s="7">
        <v>6</v>
      </c>
      <c r="M45" s="7">
        <v>7</v>
      </c>
      <c r="N45" s="7">
        <v>11</v>
      </c>
      <c r="O45" s="7">
        <v>3</v>
      </c>
      <c r="P45" s="7">
        <v>8</v>
      </c>
      <c r="Q45" s="7">
        <v>12</v>
      </c>
      <c r="R45" s="7">
        <v>8</v>
      </c>
      <c r="S45" s="7">
        <v>8</v>
      </c>
      <c r="T45" s="7">
        <v>12</v>
      </c>
      <c r="U45" s="7">
        <v>10</v>
      </c>
      <c r="V45" s="7">
        <v>8</v>
      </c>
      <c r="W45" s="7">
        <v>7</v>
      </c>
      <c r="X45" s="7">
        <v>7</v>
      </c>
      <c r="Y45" s="7">
        <v>4</v>
      </c>
      <c r="Z45" s="7">
        <v>2</v>
      </c>
      <c r="AA45" s="7">
        <v>11</v>
      </c>
      <c r="AB45" s="7">
        <v>8</v>
      </c>
      <c r="AC45" s="7">
        <v>5</v>
      </c>
      <c r="AD45" s="7">
        <v>12</v>
      </c>
      <c r="AE45" s="7"/>
      <c r="AF45" s="8"/>
      <c r="AG45" s="4">
        <f t="shared" si="2"/>
        <v>231</v>
      </c>
    </row>
    <row r="46" spans="1:33" ht="18.75" x14ac:dyDescent="0.25">
      <c r="A46" s="41" t="s">
        <v>34</v>
      </c>
      <c r="B46" s="7">
        <v>4</v>
      </c>
      <c r="C46" s="7">
        <v>7</v>
      </c>
      <c r="D46" s="7">
        <v>6</v>
      </c>
      <c r="E46" s="7">
        <v>9</v>
      </c>
      <c r="F46" s="7">
        <v>6</v>
      </c>
      <c r="G46" s="7">
        <v>8</v>
      </c>
      <c r="H46" s="7">
        <v>12</v>
      </c>
      <c r="I46" s="7">
        <v>10</v>
      </c>
      <c r="J46" s="7">
        <v>2</v>
      </c>
      <c r="K46" s="7">
        <v>4</v>
      </c>
      <c r="L46" s="7">
        <v>8</v>
      </c>
      <c r="M46" s="7">
        <v>5</v>
      </c>
      <c r="N46" s="7">
        <v>5</v>
      </c>
      <c r="O46" s="7">
        <v>4</v>
      </c>
      <c r="P46" s="7">
        <v>6</v>
      </c>
      <c r="Q46" s="7">
        <v>2</v>
      </c>
      <c r="R46" s="7">
        <v>5</v>
      </c>
      <c r="S46" s="7">
        <v>11</v>
      </c>
      <c r="T46" s="7">
        <v>13</v>
      </c>
      <c r="U46" s="7">
        <v>12</v>
      </c>
      <c r="V46" s="7">
        <v>3</v>
      </c>
      <c r="W46" s="7">
        <v>7</v>
      </c>
      <c r="X46" s="7">
        <v>2</v>
      </c>
      <c r="Y46" s="7">
        <v>2</v>
      </c>
      <c r="Z46" s="7">
        <v>5</v>
      </c>
      <c r="AA46" s="7">
        <v>4</v>
      </c>
      <c r="AB46" s="7">
        <v>10</v>
      </c>
      <c r="AC46" s="7">
        <v>6</v>
      </c>
      <c r="AD46" s="7">
        <v>3</v>
      </c>
      <c r="AE46" s="7"/>
      <c r="AF46" s="8"/>
      <c r="AG46" s="4">
        <f t="shared" si="2"/>
        <v>181</v>
      </c>
    </row>
    <row r="47" spans="1:33" ht="18.75" x14ac:dyDescent="0.25">
      <c r="A47" s="41" t="s">
        <v>35</v>
      </c>
      <c r="B47" s="7">
        <v>5</v>
      </c>
      <c r="C47" s="7">
        <v>2</v>
      </c>
      <c r="D47" s="7">
        <v>4</v>
      </c>
      <c r="E47" s="7">
        <v>1</v>
      </c>
      <c r="F47" s="7">
        <v>3</v>
      </c>
      <c r="G47" s="7">
        <v>7</v>
      </c>
      <c r="H47" s="7">
        <v>14</v>
      </c>
      <c r="I47" s="7">
        <v>5</v>
      </c>
      <c r="J47" s="7">
        <v>3</v>
      </c>
      <c r="K47" s="7">
        <v>2</v>
      </c>
      <c r="L47" s="7">
        <v>3</v>
      </c>
      <c r="M47" s="7"/>
      <c r="N47" s="7">
        <v>2</v>
      </c>
      <c r="O47" s="7">
        <v>3</v>
      </c>
      <c r="P47" s="7">
        <v>7</v>
      </c>
      <c r="Q47" s="7">
        <v>1</v>
      </c>
      <c r="R47" s="7">
        <v>7</v>
      </c>
      <c r="S47" s="7">
        <v>12</v>
      </c>
      <c r="T47" s="7">
        <v>4</v>
      </c>
      <c r="U47" s="7">
        <v>7</v>
      </c>
      <c r="V47" s="7">
        <v>4</v>
      </c>
      <c r="W47" s="7">
        <v>5</v>
      </c>
      <c r="X47" s="7">
        <v>2</v>
      </c>
      <c r="Y47" s="7">
        <v>7</v>
      </c>
      <c r="Z47" s="7">
        <v>6</v>
      </c>
      <c r="AA47" s="7">
        <v>5</v>
      </c>
      <c r="AB47" s="7">
        <v>6</v>
      </c>
      <c r="AC47" s="7">
        <v>4</v>
      </c>
      <c r="AD47" s="7">
        <v>5</v>
      </c>
      <c r="AE47" s="7"/>
      <c r="AF47" s="8"/>
      <c r="AG47" s="4">
        <f t="shared" si="2"/>
        <v>136</v>
      </c>
    </row>
    <row r="48" spans="1:33" ht="18.75" x14ac:dyDescent="0.25">
      <c r="A48" s="41" t="s">
        <v>36</v>
      </c>
      <c r="B48" s="7">
        <v>5</v>
      </c>
      <c r="C48" s="7">
        <v>2</v>
      </c>
      <c r="D48" s="7">
        <v>9</v>
      </c>
      <c r="E48" s="7">
        <v>1</v>
      </c>
      <c r="F48" s="7">
        <v>1</v>
      </c>
      <c r="G48" s="7"/>
      <c r="H48" s="7">
        <v>1</v>
      </c>
      <c r="I48" s="7">
        <v>3</v>
      </c>
      <c r="J48" s="7">
        <v>1</v>
      </c>
      <c r="K48" s="7">
        <v>8</v>
      </c>
      <c r="L48" s="7">
        <v>1</v>
      </c>
      <c r="M48" s="7">
        <v>2</v>
      </c>
      <c r="N48" s="7"/>
      <c r="O48" s="7">
        <v>5</v>
      </c>
      <c r="P48" s="7">
        <v>4</v>
      </c>
      <c r="Q48" s="7">
        <v>5</v>
      </c>
      <c r="R48" s="7">
        <v>7</v>
      </c>
      <c r="S48" s="7">
        <v>9</v>
      </c>
      <c r="T48" s="7"/>
      <c r="U48" s="7">
        <v>1</v>
      </c>
      <c r="V48" s="7">
        <v>6</v>
      </c>
      <c r="W48" s="7">
        <v>5</v>
      </c>
      <c r="X48" s="7">
        <v>1</v>
      </c>
      <c r="Y48" s="7">
        <v>5</v>
      </c>
      <c r="Z48" s="7">
        <v>7</v>
      </c>
      <c r="AA48" s="7">
        <v>2</v>
      </c>
      <c r="AB48" s="7">
        <v>2</v>
      </c>
      <c r="AC48" s="7">
        <v>4</v>
      </c>
      <c r="AD48" s="7">
        <v>4</v>
      </c>
      <c r="AE48" s="7"/>
      <c r="AF48" s="8"/>
      <c r="AG48" s="4">
        <f t="shared" si="2"/>
        <v>101</v>
      </c>
    </row>
    <row r="49" spans="1:33" ht="18.75" x14ac:dyDescent="0.25">
      <c r="A49" s="41" t="s">
        <v>51</v>
      </c>
      <c r="B49" s="7">
        <v>1</v>
      </c>
      <c r="C49" s="7">
        <v>1</v>
      </c>
      <c r="D49" s="7">
        <v>1</v>
      </c>
      <c r="E49" s="7"/>
      <c r="F49" s="7"/>
      <c r="G49" s="7"/>
      <c r="H49" s="7">
        <v>3</v>
      </c>
      <c r="I49" s="7">
        <v>1</v>
      </c>
      <c r="J49" s="7">
        <v>3</v>
      </c>
      <c r="K49" s="7">
        <v>6</v>
      </c>
      <c r="L49" s="7">
        <v>2</v>
      </c>
      <c r="M49" s="7"/>
      <c r="N49" s="7">
        <v>2</v>
      </c>
      <c r="O49" s="7">
        <v>3</v>
      </c>
      <c r="P49" s="7">
        <v>3</v>
      </c>
      <c r="Q49" s="7">
        <v>1</v>
      </c>
      <c r="R49" s="7">
        <v>3</v>
      </c>
      <c r="S49" s="7"/>
      <c r="T49" s="7"/>
      <c r="U49" s="7">
        <v>1</v>
      </c>
      <c r="V49" s="7">
        <v>2</v>
      </c>
      <c r="W49" s="7">
        <v>3</v>
      </c>
      <c r="X49" s="7"/>
      <c r="Y49" s="7">
        <v>6</v>
      </c>
      <c r="Z49" s="7">
        <v>1</v>
      </c>
      <c r="AA49" s="7"/>
      <c r="AB49" s="7">
        <v>1</v>
      </c>
      <c r="AC49" s="7">
        <v>1</v>
      </c>
      <c r="AD49" s="7"/>
      <c r="AE49" s="7"/>
      <c r="AF49" s="8"/>
      <c r="AG49" s="4">
        <f t="shared" si="2"/>
        <v>45</v>
      </c>
    </row>
    <row r="50" spans="1:33" ht="18.75" x14ac:dyDescent="0.25">
      <c r="A50" s="41" t="s">
        <v>52</v>
      </c>
      <c r="B50" s="7"/>
      <c r="C50" s="7"/>
      <c r="D50" s="7">
        <v>1</v>
      </c>
      <c r="E50" s="7"/>
      <c r="F50" s="7">
        <v>1</v>
      </c>
      <c r="G50" s="7">
        <v>2</v>
      </c>
      <c r="H50" s="7"/>
      <c r="I50" s="7">
        <v>1</v>
      </c>
      <c r="J50" s="7">
        <v>2</v>
      </c>
      <c r="K50" s="7">
        <v>5</v>
      </c>
      <c r="L50" s="7">
        <v>1</v>
      </c>
      <c r="M50" s="7">
        <v>2</v>
      </c>
      <c r="N50" s="7"/>
      <c r="O50" s="7">
        <v>2</v>
      </c>
      <c r="P50" s="7">
        <v>5</v>
      </c>
      <c r="Q50" s="7">
        <v>2</v>
      </c>
      <c r="R50" s="7">
        <v>3</v>
      </c>
      <c r="S50" s="7">
        <v>2</v>
      </c>
      <c r="T50" s="7"/>
      <c r="U50" s="7">
        <v>2</v>
      </c>
      <c r="V50" s="7">
        <v>1</v>
      </c>
      <c r="W50" s="7">
        <v>4</v>
      </c>
      <c r="X50" s="7"/>
      <c r="Y50" s="7">
        <v>1</v>
      </c>
      <c r="Z50" s="7">
        <v>1</v>
      </c>
      <c r="AA50" s="7">
        <v>2</v>
      </c>
      <c r="AB50" s="7">
        <v>1</v>
      </c>
      <c r="AC50" s="7">
        <v>1</v>
      </c>
      <c r="AD50" s="7"/>
      <c r="AE50" s="7"/>
      <c r="AF50" s="8"/>
      <c r="AG50" s="4">
        <f t="shared" si="2"/>
        <v>42</v>
      </c>
    </row>
    <row r="51" spans="1:33" ht="18.75" x14ac:dyDescent="0.25">
      <c r="A51" s="41" t="s">
        <v>37</v>
      </c>
      <c r="B51" s="7"/>
      <c r="C51" s="7">
        <v>1</v>
      </c>
      <c r="D51" s="7">
        <v>1</v>
      </c>
      <c r="E51" s="7"/>
      <c r="F51" s="7">
        <v>3</v>
      </c>
      <c r="G51" s="7">
        <v>2</v>
      </c>
      <c r="H51" s="7">
        <v>4</v>
      </c>
      <c r="I51" s="7"/>
      <c r="J51" s="7"/>
      <c r="K51" s="7">
        <v>2</v>
      </c>
      <c r="L51" s="7">
        <v>1</v>
      </c>
      <c r="M51" s="7"/>
      <c r="N51" s="7">
        <v>2</v>
      </c>
      <c r="O51" s="7">
        <v>1</v>
      </c>
      <c r="P51" s="7">
        <v>1</v>
      </c>
      <c r="Q51" s="7">
        <v>2</v>
      </c>
      <c r="R51" s="7">
        <v>3</v>
      </c>
      <c r="S51" s="7">
        <v>2</v>
      </c>
      <c r="T51" s="7"/>
      <c r="U51" s="7"/>
      <c r="V51" s="7">
        <v>4</v>
      </c>
      <c r="W51" s="7">
        <v>2</v>
      </c>
      <c r="X51" s="7"/>
      <c r="Y51" s="7"/>
      <c r="Z51" s="7">
        <v>2</v>
      </c>
      <c r="AA51" s="7">
        <v>1</v>
      </c>
      <c r="AB51" s="7">
        <v>2</v>
      </c>
      <c r="AC51" s="7"/>
      <c r="AD51" s="7">
        <v>3</v>
      </c>
      <c r="AE51" s="7"/>
      <c r="AF51" s="8"/>
      <c r="AG51" s="4">
        <f t="shared" si="2"/>
        <v>39</v>
      </c>
    </row>
    <row r="52" spans="1:33" ht="19.5" thickBot="1" x14ac:dyDescent="0.3">
      <c r="A52" s="77" t="s">
        <v>53</v>
      </c>
      <c r="B52" s="9"/>
      <c r="C52" s="9"/>
      <c r="D52" s="9">
        <v>2</v>
      </c>
      <c r="E52" s="9"/>
      <c r="F52" s="9"/>
      <c r="G52" s="9">
        <v>1</v>
      </c>
      <c r="H52" s="9"/>
      <c r="I52" s="9">
        <v>1</v>
      </c>
      <c r="J52" s="9"/>
      <c r="K52" s="9"/>
      <c r="L52" s="9"/>
      <c r="M52" s="9"/>
      <c r="N52" s="9"/>
      <c r="O52" s="9"/>
      <c r="P52" s="9">
        <v>3</v>
      </c>
      <c r="Q52" s="9"/>
      <c r="R52" s="9"/>
      <c r="S52" s="9"/>
      <c r="T52" s="9"/>
      <c r="U52" s="9"/>
      <c r="V52" s="9">
        <v>4</v>
      </c>
      <c r="W52" s="9">
        <v>2</v>
      </c>
      <c r="X52" s="9"/>
      <c r="Y52" s="9"/>
      <c r="Z52" s="9"/>
      <c r="AA52" s="9"/>
      <c r="AB52" s="9"/>
      <c r="AC52" s="9"/>
      <c r="AD52" s="9">
        <v>1</v>
      </c>
      <c r="AE52" s="9"/>
      <c r="AF52" s="10"/>
      <c r="AG52" s="108">
        <f t="shared" si="2"/>
        <v>14</v>
      </c>
    </row>
    <row r="53" spans="1:33" ht="19.5" thickBot="1" x14ac:dyDescent="0.3">
      <c r="A53" s="136" t="s">
        <v>108</v>
      </c>
      <c r="B53" s="135">
        <f t="shared" ref="B53:AF53" si="4">SUM(B54:B77)</f>
        <v>12</v>
      </c>
      <c r="C53" s="135">
        <f t="shared" si="4"/>
        <v>0</v>
      </c>
      <c r="D53" s="135">
        <f t="shared" si="4"/>
        <v>6</v>
      </c>
      <c r="E53" s="135">
        <f t="shared" si="4"/>
        <v>9</v>
      </c>
      <c r="F53" s="135">
        <f t="shared" si="4"/>
        <v>6</v>
      </c>
      <c r="G53" s="135">
        <f t="shared" si="4"/>
        <v>26</v>
      </c>
      <c r="H53" s="135">
        <f t="shared" si="4"/>
        <v>20</v>
      </c>
      <c r="I53" s="135">
        <f t="shared" si="4"/>
        <v>25</v>
      </c>
      <c r="J53" s="135">
        <f t="shared" si="4"/>
        <v>5</v>
      </c>
      <c r="K53" s="135">
        <f t="shared" si="4"/>
        <v>32</v>
      </c>
      <c r="L53" s="135">
        <f t="shared" si="4"/>
        <v>13</v>
      </c>
      <c r="M53" s="135">
        <f t="shared" si="4"/>
        <v>3</v>
      </c>
      <c r="N53" s="135">
        <f t="shared" si="4"/>
        <v>14</v>
      </c>
      <c r="O53" s="135">
        <f t="shared" si="4"/>
        <v>10</v>
      </c>
      <c r="P53" s="135">
        <f t="shared" si="4"/>
        <v>49</v>
      </c>
      <c r="Q53" s="135">
        <f t="shared" si="4"/>
        <v>2</v>
      </c>
      <c r="R53" s="135">
        <f t="shared" si="4"/>
        <v>26</v>
      </c>
      <c r="S53" s="135">
        <f t="shared" si="4"/>
        <v>21</v>
      </c>
      <c r="T53" s="135">
        <f t="shared" si="4"/>
        <v>17</v>
      </c>
      <c r="U53" s="135">
        <f t="shared" si="4"/>
        <v>10</v>
      </c>
      <c r="V53" s="135">
        <f t="shared" si="4"/>
        <v>30</v>
      </c>
      <c r="W53" s="135">
        <f t="shared" si="4"/>
        <v>16</v>
      </c>
      <c r="X53" s="135">
        <f t="shared" si="4"/>
        <v>2</v>
      </c>
      <c r="Y53" s="135">
        <f t="shared" si="4"/>
        <v>23</v>
      </c>
      <c r="Z53" s="135">
        <f t="shared" si="4"/>
        <v>24</v>
      </c>
      <c r="AA53" s="135">
        <f t="shared" si="4"/>
        <v>7</v>
      </c>
      <c r="AB53" s="135">
        <f t="shared" si="4"/>
        <v>27</v>
      </c>
      <c r="AC53" s="135">
        <f t="shared" si="4"/>
        <v>12</v>
      </c>
      <c r="AD53" s="135">
        <f t="shared" si="4"/>
        <v>7</v>
      </c>
      <c r="AE53" s="135">
        <f t="shared" si="4"/>
        <v>0</v>
      </c>
      <c r="AF53" s="135">
        <f t="shared" si="4"/>
        <v>0</v>
      </c>
      <c r="AG53" s="116">
        <f t="shared" si="2"/>
        <v>454</v>
      </c>
    </row>
    <row r="54" spans="1:33" ht="18.75" x14ac:dyDescent="0.25">
      <c r="A54" s="113" t="s">
        <v>54</v>
      </c>
      <c r="B54" s="114"/>
      <c r="C54" s="114"/>
      <c r="D54" s="7"/>
      <c r="E54" s="114"/>
      <c r="F54" s="114"/>
      <c r="G54" s="7"/>
      <c r="H54" s="114"/>
      <c r="I54" s="114"/>
      <c r="J54" s="114"/>
      <c r="K54" s="114"/>
      <c r="L54" s="114"/>
      <c r="M54" s="114"/>
      <c r="N54" s="114"/>
      <c r="O54" s="114"/>
      <c r="P54" s="114"/>
      <c r="Q54" s="114"/>
      <c r="R54" s="114"/>
      <c r="S54" s="114"/>
      <c r="T54" s="114"/>
      <c r="U54" s="114"/>
      <c r="V54" s="114">
        <v>2</v>
      </c>
      <c r="W54" s="114"/>
      <c r="X54" s="114"/>
      <c r="Y54" s="114"/>
      <c r="Z54" s="114"/>
      <c r="AA54" s="114"/>
      <c r="AB54" s="114"/>
      <c r="AC54" s="114"/>
      <c r="AD54" s="114"/>
      <c r="AE54" s="114"/>
      <c r="AF54" s="115"/>
      <c r="AG54" s="132">
        <f t="shared" si="2"/>
        <v>2</v>
      </c>
    </row>
    <row r="55" spans="1:33" ht="18.75" x14ac:dyDescent="0.25">
      <c r="A55" s="41" t="s">
        <v>55</v>
      </c>
      <c r="B55" s="7"/>
      <c r="C55" s="7"/>
      <c r="D55" s="7"/>
      <c r="E55" s="7"/>
      <c r="F55" s="7"/>
      <c r="G55" s="7"/>
      <c r="H55" s="7"/>
      <c r="I55" s="7"/>
      <c r="J55" s="7">
        <v>1</v>
      </c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>
        <v>1</v>
      </c>
      <c r="Y55" s="7"/>
      <c r="Z55" s="7"/>
      <c r="AA55" s="7"/>
      <c r="AB55" s="7"/>
      <c r="AC55" s="7"/>
      <c r="AD55" s="7"/>
      <c r="AE55" s="7"/>
      <c r="AF55" s="8"/>
      <c r="AG55" s="4">
        <f t="shared" si="2"/>
        <v>2</v>
      </c>
    </row>
    <row r="56" spans="1:33" ht="18.75" x14ac:dyDescent="0.25">
      <c r="A56" s="41" t="s">
        <v>56</v>
      </c>
      <c r="B56" s="7">
        <v>2</v>
      </c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8"/>
      <c r="AG56" s="4">
        <f t="shared" si="2"/>
        <v>2</v>
      </c>
    </row>
    <row r="57" spans="1:33" ht="18.75" x14ac:dyDescent="0.25">
      <c r="A57" s="41" t="s">
        <v>38</v>
      </c>
      <c r="B57" s="7"/>
      <c r="C57" s="7"/>
      <c r="D57" s="7"/>
      <c r="E57" s="7"/>
      <c r="F57" s="7"/>
      <c r="G57" s="7"/>
      <c r="H57" s="7"/>
      <c r="I57" s="7">
        <v>1</v>
      </c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8"/>
      <c r="AG57" s="4">
        <f t="shared" si="2"/>
        <v>1</v>
      </c>
    </row>
    <row r="58" spans="1:33" ht="18.75" x14ac:dyDescent="0.25">
      <c r="A58" s="41" t="s">
        <v>39</v>
      </c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8"/>
      <c r="AG58" s="4">
        <f t="shared" si="2"/>
        <v>0</v>
      </c>
    </row>
    <row r="59" spans="1:33" ht="18.75" x14ac:dyDescent="0.25">
      <c r="A59" s="41" t="s">
        <v>40</v>
      </c>
      <c r="B59" s="7"/>
      <c r="C59" s="7"/>
      <c r="D59" s="7"/>
      <c r="E59" s="7"/>
      <c r="F59" s="7"/>
      <c r="G59" s="7"/>
      <c r="H59" s="7"/>
      <c r="I59" s="7"/>
      <c r="J59" s="7">
        <v>1</v>
      </c>
      <c r="K59" s="7"/>
      <c r="L59" s="7"/>
      <c r="M59" s="7"/>
      <c r="N59" s="7"/>
      <c r="O59" s="7"/>
      <c r="P59" s="7">
        <v>1</v>
      </c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>
        <v>1</v>
      </c>
      <c r="AE59" s="7"/>
      <c r="AF59" s="8"/>
      <c r="AG59" s="4">
        <f t="shared" si="2"/>
        <v>3</v>
      </c>
    </row>
    <row r="60" spans="1:33" ht="18.75" x14ac:dyDescent="0.25">
      <c r="A60" s="41" t="s">
        <v>41</v>
      </c>
      <c r="B60" s="7">
        <v>5</v>
      </c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>
        <v>1</v>
      </c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8"/>
      <c r="AG60" s="4">
        <f t="shared" si="2"/>
        <v>6</v>
      </c>
    </row>
    <row r="61" spans="1:33" ht="18.75" x14ac:dyDescent="0.25">
      <c r="A61" s="41" t="s">
        <v>42</v>
      </c>
      <c r="B61" s="7">
        <v>4</v>
      </c>
      <c r="C61" s="7"/>
      <c r="D61" s="7"/>
      <c r="E61" s="7"/>
      <c r="F61" s="7"/>
      <c r="G61" s="7"/>
      <c r="H61" s="7"/>
      <c r="I61" s="7">
        <v>2</v>
      </c>
      <c r="J61" s="7"/>
      <c r="K61" s="7"/>
      <c r="L61" s="7"/>
      <c r="M61" s="7"/>
      <c r="N61" s="7"/>
      <c r="O61" s="7"/>
      <c r="P61" s="7">
        <v>1</v>
      </c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>
        <v>1</v>
      </c>
      <c r="AE61" s="7"/>
      <c r="AF61" s="8"/>
      <c r="AG61" s="4">
        <f t="shared" si="2"/>
        <v>8</v>
      </c>
    </row>
    <row r="62" spans="1:33" ht="18.75" x14ac:dyDescent="0.25">
      <c r="A62" s="41" t="s">
        <v>43</v>
      </c>
      <c r="B62" s="7"/>
      <c r="C62" s="7"/>
      <c r="D62" s="7"/>
      <c r="E62" s="7"/>
      <c r="F62" s="7"/>
      <c r="G62" s="7"/>
      <c r="H62" s="7"/>
      <c r="I62" s="7">
        <v>3</v>
      </c>
      <c r="J62" s="7"/>
      <c r="K62" s="7"/>
      <c r="L62" s="7"/>
      <c r="M62" s="7"/>
      <c r="N62" s="7"/>
      <c r="O62" s="7"/>
      <c r="P62" s="7">
        <v>1</v>
      </c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>
        <v>1</v>
      </c>
      <c r="AE62" s="7"/>
      <c r="AF62" s="8"/>
      <c r="AG62" s="4">
        <f t="shared" si="2"/>
        <v>5</v>
      </c>
    </row>
    <row r="63" spans="1:33" ht="18.75" x14ac:dyDescent="0.25">
      <c r="A63" s="41" t="s">
        <v>44</v>
      </c>
      <c r="B63" s="7"/>
      <c r="C63" s="7"/>
      <c r="D63" s="7"/>
      <c r="E63" s="7"/>
      <c r="F63" s="7"/>
      <c r="G63" s="7"/>
      <c r="H63" s="7"/>
      <c r="I63" s="7">
        <v>1</v>
      </c>
      <c r="J63" s="7"/>
      <c r="K63" s="7"/>
      <c r="L63" s="7"/>
      <c r="M63" s="7"/>
      <c r="N63" s="7"/>
      <c r="O63" s="7"/>
      <c r="P63" s="7">
        <v>3</v>
      </c>
      <c r="Q63" s="7">
        <v>1</v>
      </c>
      <c r="R63" s="7"/>
      <c r="S63" s="7"/>
      <c r="T63" s="7"/>
      <c r="U63" s="7"/>
      <c r="V63" s="7"/>
      <c r="W63" s="7"/>
      <c r="X63" s="7"/>
      <c r="Y63" s="7">
        <v>3</v>
      </c>
      <c r="Z63" s="7"/>
      <c r="AA63" s="7"/>
      <c r="AB63" s="7">
        <v>1</v>
      </c>
      <c r="AC63" s="7"/>
      <c r="AD63" s="7"/>
      <c r="AE63" s="7"/>
      <c r="AF63" s="8"/>
      <c r="AG63" s="4">
        <f t="shared" si="2"/>
        <v>9</v>
      </c>
    </row>
    <row r="64" spans="1:33" ht="18.75" x14ac:dyDescent="0.25">
      <c r="A64" s="41" t="s">
        <v>45</v>
      </c>
      <c r="B64" s="7"/>
      <c r="C64" s="7"/>
      <c r="D64" s="7"/>
      <c r="E64" s="7"/>
      <c r="F64" s="7">
        <v>1</v>
      </c>
      <c r="G64" s="7"/>
      <c r="H64" s="7">
        <v>2</v>
      </c>
      <c r="I64" s="7"/>
      <c r="J64" s="7">
        <v>1</v>
      </c>
      <c r="K64" s="7">
        <v>1</v>
      </c>
      <c r="L64" s="7">
        <v>2</v>
      </c>
      <c r="M64" s="7">
        <v>1</v>
      </c>
      <c r="N64" s="7">
        <v>5</v>
      </c>
      <c r="O64" s="7">
        <v>2</v>
      </c>
      <c r="P64" s="7"/>
      <c r="Q64" s="7"/>
      <c r="R64" s="7"/>
      <c r="S64" s="7">
        <v>1</v>
      </c>
      <c r="T64" s="7">
        <v>4</v>
      </c>
      <c r="U64" s="7">
        <v>1</v>
      </c>
      <c r="V64" s="7">
        <v>2</v>
      </c>
      <c r="W64" s="7"/>
      <c r="X64" s="7"/>
      <c r="Y64" s="7">
        <v>5</v>
      </c>
      <c r="Z64" s="7"/>
      <c r="AA64" s="7">
        <v>3</v>
      </c>
      <c r="AB64" s="7">
        <v>1</v>
      </c>
      <c r="AC64" s="7">
        <v>4</v>
      </c>
      <c r="AD64" s="7"/>
      <c r="AE64" s="7"/>
      <c r="AF64" s="8"/>
      <c r="AG64" s="4">
        <f t="shared" si="2"/>
        <v>36</v>
      </c>
    </row>
    <row r="65" spans="1:33" ht="18.75" x14ac:dyDescent="0.25">
      <c r="A65" s="41" t="s">
        <v>46</v>
      </c>
      <c r="B65" s="7"/>
      <c r="C65" s="7"/>
      <c r="D65" s="7"/>
      <c r="E65" s="7"/>
      <c r="F65" s="7"/>
      <c r="G65" s="7">
        <v>4</v>
      </c>
      <c r="H65" s="7"/>
      <c r="I65" s="7">
        <v>1</v>
      </c>
      <c r="J65" s="7">
        <v>1</v>
      </c>
      <c r="K65" s="7">
        <v>5</v>
      </c>
      <c r="L65" s="7">
        <v>1</v>
      </c>
      <c r="M65" s="7">
        <v>1</v>
      </c>
      <c r="N65" s="7">
        <v>3</v>
      </c>
      <c r="O65" s="7">
        <v>2</v>
      </c>
      <c r="P65" s="7">
        <v>1</v>
      </c>
      <c r="Q65" s="7"/>
      <c r="R65" s="7">
        <v>3</v>
      </c>
      <c r="S65" s="7"/>
      <c r="T65" s="7">
        <v>5</v>
      </c>
      <c r="U65" s="7">
        <v>1</v>
      </c>
      <c r="V65" s="7">
        <v>1</v>
      </c>
      <c r="W65" s="7"/>
      <c r="X65" s="7"/>
      <c r="Y65" s="7">
        <v>4</v>
      </c>
      <c r="Z65" s="7">
        <v>4</v>
      </c>
      <c r="AA65" s="7">
        <v>1</v>
      </c>
      <c r="AB65" s="7">
        <v>5</v>
      </c>
      <c r="AC65" s="7">
        <v>5</v>
      </c>
      <c r="AD65" s="7"/>
      <c r="AE65" s="7"/>
      <c r="AF65" s="8"/>
      <c r="AG65" s="4">
        <f t="shared" si="2"/>
        <v>48</v>
      </c>
    </row>
    <row r="66" spans="1:33" ht="18.75" x14ac:dyDescent="0.25">
      <c r="A66" s="41" t="s">
        <v>47</v>
      </c>
      <c r="B66" s="7"/>
      <c r="C66" s="7"/>
      <c r="D66" s="7">
        <v>4</v>
      </c>
      <c r="E66" s="7">
        <v>4</v>
      </c>
      <c r="F66" s="7">
        <v>1</v>
      </c>
      <c r="G66" s="7">
        <v>1</v>
      </c>
      <c r="H66" s="7">
        <v>3</v>
      </c>
      <c r="I66" s="7">
        <v>4</v>
      </c>
      <c r="J66" s="7"/>
      <c r="K66" s="7">
        <v>1</v>
      </c>
      <c r="L66" s="7">
        <v>1</v>
      </c>
      <c r="M66" s="7">
        <v>1</v>
      </c>
      <c r="N66" s="7">
        <v>1</v>
      </c>
      <c r="O66" s="7"/>
      <c r="P66" s="7">
        <v>1</v>
      </c>
      <c r="Q66" s="7"/>
      <c r="R66" s="7">
        <v>2</v>
      </c>
      <c r="S66" s="7">
        <v>2</v>
      </c>
      <c r="T66" s="7">
        <v>2</v>
      </c>
      <c r="U66" s="7"/>
      <c r="V66" s="7">
        <v>5</v>
      </c>
      <c r="W66" s="7"/>
      <c r="X66" s="7">
        <v>1</v>
      </c>
      <c r="Y66" s="7">
        <v>1</v>
      </c>
      <c r="Z66" s="7">
        <v>7</v>
      </c>
      <c r="AA66" s="7">
        <v>1</v>
      </c>
      <c r="AB66" s="7">
        <v>3</v>
      </c>
      <c r="AC66" s="7"/>
      <c r="AD66" s="7"/>
      <c r="AE66" s="7"/>
      <c r="AF66" s="8"/>
      <c r="AG66" s="4">
        <f t="shared" si="2"/>
        <v>46</v>
      </c>
    </row>
    <row r="67" spans="1:33" ht="18.75" x14ac:dyDescent="0.25">
      <c r="A67" s="41" t="s">
        <v>48</v>
      </c>
      <c r="B67" s="7"/>
      <c r="C67" s="7"/>
      <c r="D67" s="7"/>
      <c r="E67" s="7">
        <v>2</v>
      </c>
      <c r="F67" s="7">
        <v>1</v>
      </c>
      <c r="G67" s="7">
        <v>3</v>
      </c>
      <c r="H67" s="7">
        <v>5</v>
      </c>
      <c r="I67" s="7"/>
      <c r="J67" s="7"/>
      <c r="K67" s="7"/>
      <c r="L67" s="7">
        <v>2</v>
      </c>
      <c r="M67" s="7"/>
      <c r="N67" s="7"/>
      <c r="O67" s="7">
        <v>2</v>
      </c>
      <c r="P67" s="7">
        <v>1</v>
      </c>
      <c r="Q67" s="7"/>
      <c r="R67" s="7">
        <v>2</v>
      </c>
      <c r="S67" s="7"/>
      <c r="T67" s="7">
        <v>4</v>
      </c>
      <c r="U67" s="7">
        <v>1</v>
      </c>
      <c r="V67" s="7">
        <v>5</v>
      </c>
      <c r="W67" s="7"/>
      <c r="X67" s="7"/>
      <c r="Y67" s="7"/>
      <c r="Z67" s="7"/>
      <c r="AA67" s="7">
        <v>1</v>
      </c>
      <c r="AB67" s="7">
        <v>7</v>
      </c>
      <c r="AC67" s="7"/>
      <c r="AD67" s="7"/>
      <c r="AE67" s="7"/>
      <c r="AF67" s="8"/>
      <c r="AG67" s="4">
        <f t="shared" si="2"/>
        <v>36</v>
      </c>
    </row>
    <row r="68" spans="1:33" ht="18.75" x14ac:dyDescent="0.25">
      <c r="A68" s="41" t="s">
        <v>49</v>
      </c>
      <c r="B68" s="7"/>
      <c r="C68" s="7"/>
      <c r="D68" s="7">
        <v>1</v>
      </c>
      <c r="E68" s="7">
        <v>3</v>
      </c>
      <c r="F68" s="7">
        <v>3</v>
      </c>
      <c r="G68" s="7">
        <v>1</v>
      </c>
      <c r="H68" s="7">
        <v>3</v>
      </c>
      <c r="I68" s="7"/>
      <c r="J68" s="7"/>
      <c r="K68" s="7">
        <v>1</v>
      </c>
      <c r="L68" s="7">
        <v>4</v>
      </c>
      <c r="M68" s="7"/>
      <c r="N68" s="7">
        <v>1</v>
      </c>
      <c r="O68" s="7"/>
      <c r="P68" s="7"/>
      <c r="Q68" s="7"/>
      <c r="R68" s="7"/>
      <c r="S68" s="7">
        <v>1</v>
      </c>
      <c r="T68" s="7">
        <v>1</v>
      </c>
      <c r="U68" s="7">
        <v>5</v>
      </c>
      <c r="V68" s="7">
        <v>3</v>
      </c>
      <c r="W68" s="7"/>
      <c r="X68" s="7"/>
      <c r="Y68" s="7"/>
      <c r="Z68" s="7"/>
      <c r="AA68" s="7"/>
      <c r="AB68" s="7">
        <v>4</v>
      </c>
      <c r="AC68" s="7"/>
      <c r="AD68" s="7"/>
      <c r="AE68" s="7"/>
      <c r="AF68" s="8"/>
      <c r="AG68" s="4">
        <f t="shared" si="2"/>
        <v>31</v>
      </c>
    </row>
    <row r="69" spans="1:33" ht="18.75" x14ac:dyDescent="0.25">
      <c r="A69" s="41" t="s">
        <v>50</v>
      </c>
      <c r="B69" s="7"/>
      <c r="C69" s="7"/>
      <c r="D69" s="7"/>
      <c r="E69" s="7"/>
      <c r="F69" s="7"/>
      <c r="G69" s="7"/>
      <c r="H69" s="7"/>
      <c r="I69" s="7">
        <v>12</v>
      </c>
      <c r="J69" s="7"/>
      <c r="K69" s="7">
        <v>1</v>
      </c>
      <c r="L69" s="7">
        <v>2</v>
      </c>
      <c r="M69" s="7"/>
      <c r="N69" s="7">
        <v>3</v>
      </c>
      <c r="O69" s="7"/>
      <c r="P69" s="7">
        <v>4</v>
      </c>
      <c r="Q69" s="7"/>
      <c r="R69" s="7">
        <v>1</v>
      </c>
      <c r="S69" s="7">
        <v>4</v>
      </c>
      <c r="T69" s="7"/>
      <c r="U69" s="7"/>
      <c r="V69" s="7"/>
      <c r="W69" s="7"/>
      <c r="X69" s="7"/>
      <c r="Y69" s="7"/>
      <c r="Z69" s="7"/>
      <c r="AA69" s="7"/>
      <c r="AB69" s="7">
        <v>1</v>
      </c>
      <c r="AC69" s="7">
        <v>2</v>
      </c>
      <c r="AD69" s="7"/>
      <c r="AE69" s="7"/>
      <c r="AF69" s="8"/>
      <c r="AG69" s="4">
        <f t="shared" si="2"/>
        <v>30</v>
      </c>
    </row>
    <row r="70" spans="1:33" ht="18.75" x14ac:dyDescent="0.25">
      <c r="A70" s="41" t="s">
        <v>33</v>
      </c>
      <c r="B70" s="114">
        <v>1</v>
      </c>
      <c r="C70" s="114"/>
      <c r="D70" s="7"/>
      <c r="E70" s="114"/>
      <c r="F70" s="114"/>
      <c r="G70" s="7">
        <v>9</v>
      </c>
      <c r="H70" s="114">
        <v>1</v>
      </c>
      <c r="I70" s="7"/>
      <c r="J70" s="114">
        <v>1</v>
      </c>
      <c r="K70" s="114">
        <v>2</v>
      </c>
      <c r="L70" s="114"/>
      <c r="M70" s="114"/>
      <c r="N70" s="114"/>
      <c r="O70" s="114"/>
      <c r="P70" s="114">
        <v>6</v>
      </c>
      <c r="Q70" s="114">
        <v>1</v>
      </c>
      <c r="R70" s="114">
        <v>4</v>
      </c>
      <c r="S70" s="114">
        <v>3</v>
      </c>
      <c r="T70" s="114"/>
      <c r="U70" s="114"/>
      <c r="V70" s="114"/>
      <c r="W70" s="114"/>
      <c r="X70" s="114"/>
      <c r="Y70" s="114">
        <v>1</v>
      </c>
      <c r="Z70" s="114"/>
      <c r="AA70" s="114"/>
      <c r="AB70" s="114">
        <v>2</v>
      </c>
      <c r="AC70" s="114">
        <v>1</v>
      </c>
      <c r="AD70" s="114"/>
      <c r="AE70" s="114"/>
      <c r="AF70" s="115"/>
      <c r="AG70" s="4">
        <f t="shared" si="2"/>
        <v>32</v>
      </c>
    </row>
    <row r="71" spans="1:33" ht="18.75" x14ac:dyDescent="0.25">
      <c r="A71" s="41" t="s">
        <v>34</v>
      </c>
      <c r="B71" s="114"/>
      <c r="C71" s="114"/>
      <c r="D71" s="7"/>
      <c r="E71" s="114"/>
      <c r="F71" s="114"/>
      <c r="G71" s="7">
        <v>5</v>
      </c>
      <c r="H71" s="114">
        <v>3</v>
      </c>
      <c r="I71" s="7">
        <v>1</v>
      </c>
      <c r="J71" s="114"/>
      <c r="K71" s="114"/>
      <c r="L71" s="114"/>
      <c r="M71" s="114"/>
      <c r="N71" s="114">
        <v>1</v>
      </c>
      <c r="O71" s="114">
        <v>1</v>
      </c>
      <c r="P71" s="114">
        <v>15</v>
      </c>
      <c r="Q71" s="114"/>
      <c r="R71" s="114"/>
      <c r="S71" s="114">
        <v>2</v>
      </c>
      <c r="T71" s="114">
        <v>1</v>
      </c>
      <c r="U71" s="114">
        <v>1</v>
      </c>
      <c r="V71" s="114"/>
      <c r="W71" s="114">
        <v>4</v>
      </c>
      <c r="X71" s="114"/>
      <c r="Y71" s="114"/>
      <c r="Z71" s="114">
        <v>7</v>
      </c>
      <c r="AA71" s="114"/>
      <c r="AB71" s="114">
        <v>3</v>
      </c>
      <c r="AC71" s="114"/>
      <c r="AD71" s="114"/>
      <c r="AE71" s="114"/>
      <c r="AF71" s="115"/>
      <c r="AG71" s="4">
        <f t="shared" si="2"/>
        <v>44</v>
      </c>
    </row>
    <row r="72" spans="1:33" ht="18.75" x14ac:dyDescent="0.25">
      <c r="A72" s="41" t="s">
        <v>35</v>
      </c>
      <c r="B72" s="114"/>
      <c r="C72" s="114"/>
      <c r="D72" s="7"/>
      <c r="E72" s="114"/>
      <c r="F72" s="114"/>
      <c r="G72" s="7">
        <v>3</v>
      </c>
      <c r="H72" s="114">
        <v>3</v>
      </c>
      <c r="I72" s="7"/>
      <c r="J72" s="114"/>
      <c r="K72" s="114"/>
      <c r="L72" s="114"/>
      <c r="M72" s="114"/>
      <c r="N72" s="114"/>
      <c r="O72" s="114">
        <v>2</v>
      </c>
      <c r="P72" s="114">
        <v>8</v>
      </c>
      <c r="Q72" s="114"/>
      <c r="R72" s="114"/>
      <c r="S72" s="114">
        <v>6</v>
      </c>
      <c r="T72" s="114"/>
      <c r="U72" s="114"/>
      <c r="V72" s="114"/>
      <c r="W72" s="114">
        <v>2</v>
      </c>
      <c r="X72" s="114"/>
      <c r="Y72" s="114">
        <v>5</v>
      </c>
      <c r="Z72" s="114">
        <v>6</v>
      </c>
      <c r="AA72" s="114"/>
      <c r="AB72" s="114"/>
      <c r="AC72" s="114"/>
      <c r="AD72" s="114">
        <v>1</v>
      </c>
      <c r="AE72" s="114"/>
      <c r="AF72" s="115"/>
      <c r="AG72" s="4">
        <f t="shared" si="2"/>
        <v>36</v>
      </c>
    </row>
    <row r="73" spans="1:33" ht="18.75" x14ac:dyDescent="0.25">
      <c r="A73" s="41" t="s">
        <v>36</v>
      </c>
      <c r="B73" s="114"/>
      <c r="C73" s="114"/>
      <c r="D73" s="7">
        <v>1</v>
      </c>
      <c r="E73" s="114"/>
      <c r="F73" s="114"/>
      <c r="G73" s="7"/>
      <c r="H73" s="114"/>
      <c r="I73" s="7"/>
      <c r="J73" s="114"/>
      <c r="K73" s="114">
        <v>5</v>
      </c>
      <c r="L73" s="114">
        <v>1</v>
      </c>
      <c r="M73" s="114"/>
      <c r="N73" s="114"/>
      <c r="O73" s="114">
        <v>1</v>
      </c>
      <c r="P73" s="114">
        <v>2</v>
      </c>
      <c r="Q73" s="114"/>
      <c r="R73" s="114">
        <v>14</v>
      </c>
      <c r="S73" s="114">
        <v>2</v>
      </c>
      <c r="T73" s="114"/>
      <c r="U73" s="114">
        <v>1</v>
      </c>
      <c r="V73" s="114"/>
      <c r="W73" s="114"/>
      <c r="X73" s="114"/>
      <c r="Y73" s="114">
        <v>3</v>
      </c>
      <c r="Z73" s="114"/>
      <c r="AA73" s="114">
        <v>1</v>
      </c>
      <c r="AB73" s="114"/>
      <c r="AC73" s="114"/>
      <c r="AD73" s="114">
        <v>3</v>
      </c>
      <c r="AE73" s="114"/>
      <c r="AF73" s="115"/>
      <c r="AG73" s="4">
        <f t="shared" si="2"/>
        <v>34</v>
      </c>
    </row>
    <row r="74" spans="1:33" ht="18.75" x14ac:dyDescent="0.25">
      <c r="A74" s="41" t="s">
        <v>51</v>
      </c>
      <c r="B74" s="114"/>
      <c r="C74" s="114"/>
      <c r="D74" s="7"/>
      <c r="E74" s="114"/>
      <c r="F74" s="114"/>
      <c r="G74" s="7"/>
      <c r="H74" s="114"/>
      <c r="I74" s="7"/>
      <c r="J74" s="114"/>
      <c r="K74" s="114">
        <v>16</v>
      </c>
      <c r="L74" s="114"/>
      <c r="M74" s="114"/>
      <c r="N74" s="114"/>
      <c r="O74" s="114"/>
      <c r="P74" s="114">
        <v>4</v>
      </c>
      <c r="Q74" s="114"/>
      <c r="R74" s="114"/>
      <c r="S74" s="114"/>
      <c r="T74" s="114"/>
      <c r="U74" s="114"/>
      <c r="V74" s="114">
        <v>12</v>
      </c>
      <c r="W74" s="114">
        <v>3</v>
      </c>
      <c r="X74" s="114"/>
      <c r="Y74" s="114">
        <v>1</v>
      </c>
      <c r="Z74" s="114"/>
      <c r="AA74" s="114"/>
      <c r="AB74" s="114"/>
      <c r="AC74" s="114"/>
      <c r="AD74" s="114"/>
      <c r="AE74" s="114"/>
      <c r="AF74" s="115"/>
      <c r="AG74" s="4">
        <f t="shared" si="2"/>
        <v>36</v>
      </c>
    </row>
    <row r="75" spans="1:33" ht="18.75" x14ac:dyDescent="0.25">
      <c r="A75" s="41" t="s">
        <v>52</v>
      </c>
      <c r="B75" s="114"/>
      <c r="C75" s="114"/>
      <c r="D75" s="7"/>
      <c r="E75" s="114"/>
      <c r="F75" s="114"/>
      <c r="G75" s="7"/>
      <c r="H75" s="114"/>
      <c r="I75" s="7"/>
      <c r="J75" s="114"/>
      <c r="K75" s="114"/>
      <c r="L75" s="114"/>
      <c r="M75" s="114"/>
      <c r="N75" s="114"/>
      <c r="O75" s="114"/>
      <c r="P75" s="114"/>
      <c r="Q75" s="114"/>
      <c r="R75" s="114"/>
      <c r="S75" s="114"/>
      <c r="T75" s="114"/>
      <c r="U75" s="114"/>
      <c r="V75" s="114"/>
      <c r="W75" s="114">
        <v>6</v>
      </c>
      <c r="X75" s="114"/>
      <c r="Y75" s="114"/>
      <c r="Z75" s="114"/>
      <c r="AA75" s="114"/>
      <c r="AB75" s="114"/>
      <c r="AC75" s="114"/>
      <c r="AD75" s="114"/>
      <c r="AE75" s="114"/>
      <c r="AF75" s="115"/>
      <c r="AG75" s="4">
        <f t="shared" si="2"/>
        <v>6</v>
      </c>
    </row>
    <row r="76" spans="1:33" ht="18.75" x14ac:dyDescent="0.25">
      <c r="A76" s="41" t="s">
        <v>37</v>
      </c>
      <c r="B76" s="114"/>
      <c r="C76" s="114"/>
      <c r="D76" s="7"/>
      <c r="E76" s="114"/>
      <c r="F76" s="114"/>
      <c r="G76" s="7"/>
      <c r="H76" s="114"/>
      <c r="I76" s="7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>
        <v>1</v>
      </c>
      <c r="X76" s="114"/>
      <c r="Y76" s="114"/>
      <c r="Z76" s="114"/>
      <c r="AA76" s="114"/>
      <c r="AB76" s="114"/>
      <c r="AC76" s="114"/>
      <c r="AD76" s="114"/>
      <c r="AE76" s="114"/>
      <c r="AF76" s="115"/>
      <c r="AG76" s="4">
        <f t="shared" si="2"/>
        <v>1</v>
      </c>
    </row>
    <row r="77" spans="1:33" ht="19.5" thickBot="1" x14ac:dyDescent="0.3">
      <c r="A77" s="134" t="s">
        <v>53</v>
      </c>
      <c r="B77" s="166"/>
      <c r="C77" s="166"/>
      <c r="D77" s="9"/>
      <c r="E77" s="166"/>
      <c r="F77" s="166"/>
      <c r="G77" s="9"/>
      <c r="H77" s="166"/>
      <c r="I77" s="9"/>
      <c r="J77" s="166"/>
      <c r="K77" s="166"/>
      <c r="L77" s="166"/>
      <c r="M77" s="166"/>
      <c r="N77" s="166"/>
      <c r="O77" s="166"/>
      <c r="P77" s="166"/>
      <c r="Q77" s="166"/>
      <c r="R77" s="166"/>
      <c r="S77" s="166"/>
      <c r="T77" s="166"/>
      <c r="U77" s="166"/>
      <c r="V77" s="166"/>
      <c r="W77" s="166"/>
      <c r="X77" s="166"/>
      <c r="Y77" s="166"/>
      <c r="Z77" s="166"/>
      <c r="AA77" s="166"/>
      <c r="AB77" s="166"/>
      <c r="AC77" s="166"/>
      <c r="AD77" s="166"/>
      <c r="AE77" s="166"/>
      <c r="AF77" s="167"/>
      <c r="AG77" s="108">
        <f t="shared" si="2"/>
        <v>0</v>
      </c>
    </row>
    <row r="78" spans="1:33" ht="19.5" hidden="1" customHeight="1" thickBot="1" x14ac:dyDescent="0.3">
      <c r="A78" s="183" t="s">
        <v>99</v>
      </c>
      <c r="B78" s="185">
        <f t="shared" ref="B78:AF78" si="5">SUM(B79:B80)</f>
        <v>227</v>
      </c>
      <c r="C78" s="185">
        <f t="shared" si="5"/>
        <v>199</v>
      </c>
      <c r="D78" s="185">
        <f t="shared" si="5"/>
        <v>175</v>
      </c>
      <c r="E78" s="184">
        <f t="shared" si="5"/>
        <v>145</v>
      </c>
      <c r="F78" s="184">
        <f t="shared" si="5"/>
        <v>149</v>
      </c>
      <c r="G78" s="184">
        <f t="shared" si="5"/>
        <v>142</v>
      </c>
      <c r="H78" s="184">
        <f t="shared" si="5"/>
        <v>177</v>
      </c>
      <c r="I78" s="184">
        <f t="shared" si="5"/>
        <v>197</v>
      </c>
      <c r="J78" s="184">
        <f t="shared" si="5"/>
        <v>210</v>
      </c>
      <c r="K78" s="184">
        <f t="shared" si="5"/>
        <v>178</v>
      </c>
      <c r="L78" s="184">
        <f t="shared" si="5"/>
        <v>161</v>
      </c>
      <c r="M78" s="184">
        <f t="shared" si="5"/>
        <v>141</v>
      </c>
      <c r="N78" s="184">
        <f t="shared" si="5"/>
        <v>154</v>
      </c>
      <c r="O78" s="184">
        <f>SUM(O79:O80)</f>
        <v>128</v>
      </c>
      <c r="P78" s="184">
        <f t="shared" si="5"/>
        <v>231</v>
      </c>
      <c r="Q78" s="184">
        <f t="shared" si="5"/>
        <v>239</v>
      </c>
      <c r="R78" s="184">
        <f t="shared" si="5"/>
        <v>182</v>
      </c>
      <c r="S78" s="184">
        <f t="shared" si="5"/>
        <v>185</v>
      </c>
      <c r="T78" s="184">
        <f t="shared" si="5"/>
        <v>180</v>
      </c>
      <c r="U78" s="184">
        <f t="shared" si="5"/>
        <v>160</v>
      </c>
      <c r="V78" s="184">
        <f t="shared" si="5"/>
        <v>167</v>
      </c>
      <c r="W78" s="184">
        <f t="shared" si="5"/>
        <v>224</v>
      </c>
      <c r="X78" s="184">
        <f t="shared" si="5"/>
        <v>215</v>
      </c>
      <c r="Y78" s="184">
        <f t="shared" si="5"/>
        <v>165</v>
      </c>
      <c r="Z78" s="184">
        <f t="shared" si="5"/>
        <v>159</v>
      </c>
      <c r="AA78" s="184">
        <f t="shared" si="5"/>
        <v>166</v>
      </c>
      <c r="AB78" s="184">
        <f t="shared" si="5"/>
        <v>183</v>
      </c>
      <c r="AC78" s="184">
        <f t="shared" si="5"/>
        <v>138</v>
      </c>
      <c r="AD78" s="184">
        <f t="shared" si="5"/>
        <v>236</v>
      </c>
      <c r="AE78" s="184">
        <f t="shared" si="5"/>
        <v>0</v>
      </c>
      <c r="AF78" s="186">
        <f t="shared" si="5"/>
        <v>0</v>
      </c>
      <c r="AG78" s="116">
        <f t="shared" si="2"/>
        <v>5213</v>
      </c>
    </row>
    <row r="79" spans="1:33" ht="19.5" hidden="1" customHeight="1" thickBot="1" x14ac:dyDescent="0.3">
      <c r="A79" s="181" t="s">
        <v>58</v>
      </c>
      <c r="B79" s="114">
        <f t="shared" ref="B79:AF79" si="6">SUM(B4:B27)-B80</f>
        <v>227</v>
      </c>
      <c r="C79" s="114">
        <f t="shared" si="6"/>
        <v>199</v>
      </c>
      <c r="D79" s="114">
        <f t="shared" si="6"/>
        <v>175</v>
      </c>
      <c r="E79" s="114">
        <f t="shared" si="6"/>
        <v>145</v>
      </c>
      <c r="F79" s="114">
        <f t="shared" si="6"/>
        <v>149</v>
      </c>
      <c r="G79" s="114">
        <f t="shared" si="6"/>
        <v>142</v>
      </c>
      <c r="H79" s="114">
        <f t="shared" si="6"/>
        <v>177</v>
      </c>
      <c r="I79" s="114">
        <f t="shared" si="6"/>
        <v>197</v>
      </c>
      <c r="J79" s="114">
        <f t="shared" si="6"/>
        <v>210</v>
      </c>
      <c r="K79" s="114">
        <f t="shared" si="6"/>
        <v>178</v>
      </c>
      <c r="L79" s="114">
        <f t="shared" si="6"/>
        <v>161</v>
      </c>
      <c r="M79" s="114">
        <f t="shared" si="6"/>
        <v>141</v>
      </c>
      <c r="N79" s="114">
        <f t="shared" si="6"/>
        <v>154</v>
      </c>
      <c r="O79" s="114">
        <f t="shared" si="6"/>
        <v>128</v>
      </c>
      <c r="P79" s="114">
        <f t="shared" si="6"/>
        <v>231</v>
      </c>
      <c r="Q79" s="114">
        <f t="shared" si="6"/>
        <v>239</v>
      </c>
      <c r="R79" s="114">
        <f t="shared" si="6"/>
        <v>182</v>
      </c>
      <c r="S79" s="114">
        <f t="shared" si="6"/>
        <v>185</v>
      </c>
      <c r="T79" s="114">
        <f t="shared" si="6"/>
        <v>180</v>
      </c>
      <c r="U79" s="114">
        <f t="shared" si="6"/>
        <v>158</v>
      </c>
      <c r="V79" s="114">
        <f t="shared" si="6"/>
        <v>167</v>
      </c>
      <c r="W79" s="114">
        <f t="shared" si="6"/>
        <v>224</v>
      </c>
      <c r="X79" s="114">
        <f t="shared" si="6"/>
        <v>215</v>
      </c>
      <c r="Y79" s="114">
        <f t="shared" si="6"/>
        <v>164</v>
      </c>
      <c r="Z79" s="114">
        <f t="shared" si="6"/>
        <v>159</v>
      </c>
      <c r="AA79" s="114">
        <f t="shared" si="6"/>
        <v>166</v>
      </c>
      <c r="AB79" s="114">
        <f t="shared" si="6"/>
        <v>183</v>
      </c>
      <c r="AC79" s="114">
        <f t="shared" si="6"/>
        <v>138</v>
      </c>
      <c r="AD79" s="114">
        <f t="shared" si="6"/>
        <v>236</v>
      </c>
      <c r="AE79" s="114">
        <f t="shared" si="6"/>
        <v>0</v>
      </c>
      <c r="AF79" s="114">
        <f t="shared" si="6"/>
        <v>0</v>
      </c>
      <c r="AG79" s="132">
        <f t="shared" si="2"/>
        <v>5210</v>
      </c>
    </row>
    <row r="80" spans="1:33" ht="19.5" hidden="1" customHeight="1" thickBot="1" x14ac:dyDescent="0.3">
      <c r="A80" s="107" t="s">
        <v>57</v>
      </c>
      <c r="B80" s="11"/>
      <c r="C80" s="11"/>
      <c r="D80" s="9">
        <v>0</v>
      </c>
      <c r="E80" s="9">
        <v>0</v>
      </c>
      <c r="F80" s="9">
        <f>SUM(F4:F12)</f>
        <v>0</v>
      </c>
      <c r="G80" s="9">
        <f>SUM(G4:G12)</f>
        <v>0</v>
      </c>
      <c r="H80" s="9">
        <f>SUM(H4:H12)</f>
        <v>0</v>
      </c>
      <c r="I80" s="11"/>
      <c r="J80" s="11"/>
      <c r="K80" s="9">
        <v>0</v>
      </c>
      <c r="L80" s="9">
        <v>0</v>
      </c>
      <c r="M80" s="9">
        <f>SUM(M4:M12)</f>
        <v>0</v>
      </c>
      <c r="N80" s="9">
        <f>SUM(N4:N12)</f>
        <v>0</v>
      </c>
      <c r="O80" s="9">
        <f>SUM(O4:O12)</f>
        <v>0</v>
      </c>
      <c r="P80" s="11"/>
      <c r="Q80" s="11"/>
      <c r="R80" s="9">
        <f>SUM(R4:R12)</f>
        <v>0</v>
      </c>
      <c r="S80" s="9">
        <f>SUM(S4:S12)</f>
        <v>0</v>
      </c>
      <c r="T80" s="9">
        <f>SUM(T4:T12)</f>
        <v>0</v>
      </c>
      <c r="U80" s="9">
        <f>SUM(U4:U12)</f>
        <v>2</v>
      </c>
      <c r="V80" s="9">
        <f>SUM(V4:V12)</f>
        <v>0</v>
      </c>
      <c r="W80" s="11"/>
      <c r="X80" s="11"/>
      <c r="Y80" s="9">
        <f>SUM(Y4:Y12)</f>
        <v>1</v>
      </c>
      <c r="Z80" s="11"/>
      <c r="AA80" s="9">
        <f>SUM(AA4:AA12)</f>
        <v>0</v>
      </c>
      <c r="AB80" s="9">
        <f>SUM(AB4:AB12)</f>
        <v>0</v>
      </c>
      <c r="AC80" s="9">
        <f>SUM(AC4:AC12)</f>
        <v>0</v>
      </c>
      <c r="AD80" s="11"/>
      <c r="AE80" s="11"/>
      <c r="AF80" s="9">
        <f>SUM(AF4:AF12)</f>
        <v>0</v>
      </c>
      <c r="AG80" s="108">
        <f t="shared" si="2"/>
        <v>3</v>
      </c>
    </row>
    <row r="81" spans="1:35" ht="19.5" thickBot="1" x14ac:dyDescent="0.3">
      <c r="A81" s="183" t="s">
        <v>98</v>
      </c>
      <c r="B81" s="184">
        <f t="shared" ref="B81:AF81" si="7">SUM(B82:B83)</f>
        <v>12</v>
      </c>
      <c r="C81" s="184">
        <f t="shared" si="7"/>
        <v>0</v>
      </c>
      <c r="D81" s="184">
        <f t="shared" si="7"/>
        <v>6</v>
      </c>
      <c r="E81" s="184">
        <f t="shared" si="7"/>
        <v>9</v>
      </c>
      <c r="F81" s="184">
        <f t="shared" si="7"/>
        <v>6</v>
      </c>
      <c r="G81" s="184">
        <f t="shared" si="7"/>
        <v>26</v>
      </c>
      <c r="H81" s="184">
        <f t="shared" si="7"/>
        <v>20</v>
      </c>
      <c r="I81" s="184">
        <f t="shared" si="7"/>
        <v>25</v>
      </c>
      <c r="J81" s="184">
        <f t="shared" si="7"/>
        <v>5</v>
      </c>
      <c r="K81" s="184">
        <f t="shared" si="7"/>
        <v>32</v>
      </c>
      <c r="L81" s="184">
        <f t="shared" si="7"/>
        <v>13</v>
      </c>
      <c r="M81" s="184">
        <f t="shared" si="7"/>
        <v>3</v>
      </c>
      <c r="N81" s="184">
        <f t="shared" si="7"/>
        <v>14</v>
      </c>
      <c r="O81" s="184">
        <f t="shared" si="7"/>
        <v>10</v>
      </c>
      <c r="P81" s="184">
        <f t="shared" si="7"/>
        <v>49</v>
      </c>
      <c r="Q81" s="184">
        <f t="shared" si="7"/>
        <v>2</v>
      </c>
      <c r="R81" s="184">
        <f t="shared" si="7"/>
        <v>26</v>
      </c>
      <c r="S81" s="184">
        <f t="shared" si="7"/>
        <v>21</v>
      </c>
      <c r="T81" s="184">
        <f t="shared" si="7"/>
        <v>17</v>
      </c>
      <c r="U81" s="184">
        <f t="shared" si="7"/>
        <v>10</v>
      </c>
      <c r="V81" s="184">
        <f t="shared" si="7"/>
        <v>30</v>
      </c>
      <c r="W81" s="184">
        <f t="shared" si="7"/>
        <v>16</v>
      </c>
      <c r="X81" s="184">
        <f t="shared" si="7"/>
        <v>2</v>
      </c>
      <c r="Y81" s="184">
        <f t="shared" si="7"/>
        <v>23</v>
      </c>
      <c r="Z81" s="184">
        <f>SUM(Z82:Z83)</f>
        <v>24</v>
      </c>
      <c r="AA81" s="184">
        <f t="shared" si="7"/>
        <v>7</v>
      </c>
      <c r="AB81" s="184">
        <f t="shared" si="7"/>
        <v>27</v>
      </c>
      <c r="AC81" s="184">
        <f t="shared" si="7"/>
        <v>12</v>
      </c>
      <c r="AD81" s="184">
        <f t="shared" si="7"/>
        <v>7</v>
      </c>
      <c r="AE81" s="184">
        <f t="shared" si="7"/>
        <v>0</v>
      </c>
      <c r="AF81" s="184">
        <f t="shared" si="7"/>
        <v>0</v>
      </c>
      <c r="AG81" s="116">
        <f t="shared" si="2"/>
        <v>454</v>
      </c>
      <c r="AH81" s="180" t="str">
        <f>IF(AG81&lt;&gt;AG53,"*","")</f>
        <v/>
      </c>
    </row>
    <row r="82" spans="1:35" ht="18.75" x14ac:dyDescent="0.25">
      <c r="A82" s="181" t="s">
        <v>57</v>
      </c>
      <c r="B82" s="182"/>
      <c r="C82" s="182"/>
      <c r="D82" s="114">
        <f t="shared" ref="D82:AF82" si="8">SUM(D54:D62)</f>
        <v>0</v>
      </c>
      <c r="E82" s="114">
        <f t="shared" si="8"/>
        <v>0</v>
      </c>
      <c r="F82" s="114">
        <f t="shared" si="8"/>
        <v>0</v>
      </c>
      <c r="G82" s="114">
        <f t="shared" si="8"/>
        <v>0</v>
      </c>
      <c r="H82" s="114">
        <f t="shared" si="8"/>
        <v>0</v>
      </c>
      <c r="I82" s="182"/>
      <c r="J82" s="182"/>
      <c r="K82" s="114">
        <f t="shared" si="8"/>
        <v>0</v>
      </c>
      <c r="L82" s="114">
        <f t="shared" si="8"/>
        <v>0</v>
      </c>
      <c r="M82" s="114">
        <f t="shared" si="8"/>
        <v>0</v>
      </c>
      <c r="N82" s="114">
        <f t="shared" si="8"/>
        <v>0</v>
      </c>
      <c r="O82" s="114">
        <f t="shared" si="8"/>
        <v>0</v>
      </c>
      <c r="P82" s="182"/>
      <c r="Q82" s="182"/>
      <c r="R82" s="114">
        <f t="shared" si="8"/>
        <v>0</v>
      </c>
      <c r="S82" s="114">
        <f t="shared" si="8"/>
        <v>0</v>
      </c>
      <c r="T82" s="114">
        <f t="shared" si="8"/>
        <v>0</v>
      </c>
      <c r="U82" s="114">
        <f t="shared" si="8"/>
        <v>0</v>
      </c>
      <c r="V82" s="114">
        <f t="shared" si="8"/>
        <v>2</v>
      </c>
      <c r="W82" s="182"/>
      <c r="X82" s="182"/>
      <c r="Y82" s="114">
        <f t="shared" si="8"/>
        <v>0</v>
      </c>
      <c r="Z82" s="114">
        <f t="shared" si="8"/>
        <v>0</v>
      </c>
      <c r="AA82" s="114">
        <f t="shared" si="8"/>
        <v>0</v>
      </c>
      <c r="AB82" s="114">
        <f t="shared" si="8"/>
        <v>0</v>
      </c>
      <c r="AC82" s="114">
        <f t="shared" si="8"/>
        <v>0</v>
      </c>
      <c r="AD82" s="182"/>
      <c r="AE82" s="114">
        <f t="shared" si="8"/>
        <v>0</v>
      </c>
      <c r="AF82" s="114">
        <f t="shared" si="8"/>
        <v>0</v>
      </c>
      <c r="AG82" s="132">
        <f t="shared" si="2"/>
        <v>2</v>
      </c>
    </row>
    <row r="83" spans="1:35" ht="19.5" thickBot="1" x14ac:dyDescent="0.3">
      <c r="A83" s="107" t="s">
        <v>58</v>
      </c>
      <c r="B83" s="9">
        <f t="shared" ref="B83" si="9">SUM(B54:B77)-B82</f>
        <v>12</v>
      </c>
      <c r="C83" s="9">
        <f t="shared" ref="C83" si="10">SUM(C54:C77)-C82</f>
        <v>0</v>
      </c>
      <c r="D83" s="9">
        <f t="shared" ref="D83:AF83" si="11">SUM(D54:D77)-D82</f>
        <v>6</v>
      </c>
      <c r="E83" s="9">
        <f t="shared" si="11"/>
        <v>9</v>
      </c>
      <c r="F83" s="9">
        <f t="shared" si="11"/>
        <v>6</v>
      </c>
      <c r="G83" s="9">
        <f t="shared" si="11"/>
        <v>26</v>
      </c>
      <c r="H83" s="9">
        <f t="shared" si="11"/>
        <v>20</v>
      </c>
      <c r="I83" s="9">
        <f t="shared" si="11"/>
        <v>25</v>
      </c>
      <c r="J83" s="9">
        <f t="shared" si="11"/>
        <v>5</v>
      </c>
      <c r="K83" s="9">
        <f t="shared" si="11"/>
        <v>32</v>
      </c>
      <c r="L83" s="9">
        <f t="shared" si="11"/>
        <v>13</v>
      </c>
      <c r="M83" s="9">
        <f t="shared" si="11"/>
        <v>3</v>
      </c>
      <c r="N83" s="9">
        <f t="shared" si="11"/>
        <v>14</v>
      </c>
      <c r="O83" s="9">
        <f t="shared" si="11"/>
        <v>10</v>
      </c>
      <c r="P83" s="9">
        <f t="shared" si="11"/>
        <v>49</v>
      </c>
      <c r="Q83" s="9">
        <f t="shared" si="11"/>
        <v>2</v>
      </c>
      <c r="R83" s="9">
        <f t="shared" si="11"/>
        <v>26</v>
      </c>
      <c r="S83" s="9">
        <f t="shared" si="11"/>
        <v>21</v>
      </c>
      <c r="T83" s="9">
        <f t="shared" si="11"/>
        <v>17</v>
      </c>
      <c r="U83" s="9">
        <f t="shared" si="11"/>
        <v>10</v>
      </c>
      <c r="V83" s="9">
        <f t="shared" si="11"/>
        <v>28</v>
      </c>
      <c r="W83" s="9">
        <f t="shared" si="11"/>
        <v>16</v>
      </c>
      <c r="X83" s="9">
        <f t="shared" si="11"/>
        <v>2</v>
      </c>
      <c r="Y83" s="9">
        <f t="shared" si="11"/>
        <v>23</v>
      </c>
      <c r="Z83" s="9">
        <f t="shared" si="11"/>
        <v>24</v>
      </c>
      <c r="AA83" s="9">
        <f t="shared" si="11"/>
        <v>7</v>
      </c>
      <c r="AB83" s="9">
        <f t="shared" si="11"/>
        <v>27</v>
      </c>
      <c r="AC83" s="9">
        <f t="shared" si="11"/>
        <v>12</v>
      </c>
      <c r="AD83" s="9">
        <f t="shared" si="11"/>
        <v>7</v>
      </c>
      <c r="AE83" s="9">
        <f t="shared" si="11"/>
        <v>0</v>
      </c>
      <c r="AF83" s="9">
        <f t="shared" si="11"/>
        <v>0</v>
      </c>
      <c r="AG83" s="4">
        <f t="shared" si="2"/>
        <v>452</v>
      </c>
    </row>
    <row r="84" spans="1:35" ht="19.5" thickBot="1" x14ac:dyDescent="0.3">
      <c r="A84" s="164" t="s">
        <v>146</v>
      </c>
      <c r="B84" s="165">
        <f>SUM(B85:B86)</f>
        <v>12</v>
      </c>
      <c r="C84" s="165">
        <f t="shared" ref="C84:AF84" si="12">SUM(C85:C86)</f>
        <v>0</v>
      </c>
      <c r="D84" s="165">
        <f t="shared" si="12"/>
        <v>6</v>
      </c>
      <c r="E84" s="165">
        <f t="shared" si="12"/>
        <v>9</v>
      </c>
      <c r="F84" s="165">
        <f t="shared" si="12"/>
        <v>6</v>
      </c>
      <c r="G84" s="165">
        <f t="shared" si="12"/>
        <v>26</v>
      </c>
      <c r="H84" s="165">
        <f t="shared" si="12"/>
        <v>20</v>
      </c>
      <c r="I84" s="165">
        <f t="shared" si="12"/>
        <v>25</v>
      </c>
      <c r="J84" s="165">
        <f t="shared" si="12"/>
        <v>5</v>
      </c>
      <c r="K84" s="165">
        <f t="shared" si="12"/>
        <v>32</v>
      </c>
      <c r="L84" s="165">
        <f t="shared" si="12"/>
        <v>13</v>
      </c>
      <c r="M84" s="165">
        <f t="shared" si="12"/>
        <v>3</v>
      </c>
      <c r="N84" s="165">
        <f t="shared" si="12"/>
        <v>14</v>
      </c>
      <c r="O84" s="165">
        <f t="shared" si="12"/>
        <v>10</v>
      </c>
      <c r="P84" s="165">
        <f t="shared" si="12"/>
        <v>49</v>
      </c>
      <c r="Q84" s="165">
        <f t="shared" si="12"/>
        <v>2</v>
      </c>
      <c r="R84" s="165">
        <f t="shared" si="12"/>
        <v>26</v>
      </c>
      <c r="S84" s="165">
        <f t="shared" si="12"/>
        <v>21</v>
      </c>
      <c r="T84" s="165">
        <f t="shared" si="12"/>
        <v>17</v>
      </c>
      <c r="U84" s="165">
        <f t="shared" si="12"/>
        <v>10</v>
      </c>
      <c r="V84" s="165">
        <f t="shared" si="12"/>
        <v>30</v>
      </c>
      <c r="W84" s="165">
        <f t="shared" si="12"/>
        <v>16</v>
      </c>
      <c r="X84" s="165">
        <f t="shared" si="12"/>
        <v>2</v>
      </c>
      <c r="Y84" s="165">
        <f t="shared" si="12"/>
        <v>23</v>
      </c>
      <c r="Z84" s="165">
        <f t="shared" si="12"/>
        <v>24</v>
      </c>
      <c r="AA84" s="165">
        <f t="shared" si="12"/>
        <v>7</v>
      </c>
      <c r="AB84" s="165">
        <f t="shared" si="12"/>
        <v>27</v>
      </c>
      <c r="AC84" s="165">
        <f t="shared" si="12"/>
        <v>12</v>
      </c>
      <c r="AD84" s="165">
        <f t="shared" si="12"/>
        <v>7</v>
      </c>
      <c r="AE84" s="165">
        <f t="shared" si="12"/>
        <v>0</v>
      </c>
      <c r="AF84" s="165">
        <f t="shared" si="12"/>
        <v>0</v>
      </c>
      <c r="AG84" s="171">
        <f t="shared" ref="AG84:AG126" si="13">SUM(B84:AF84)</f>
        <v>454</v>
      </c>
      <c r="AH84" s="180" t="str">
        <f>IF(AG84&lt;&gt;AG82+AG83,"*","")</f>
        <v/>
      </c>
      <c r="AI84" s="434" t="s">
        <v>1</v>
      </c>
    </row>
    <row r="85" spans="1:35" ht="18.75" x14ac:dyDescent="0.25">
      <c r="A85" s="72" t="s">
        <v>144</v>
      </c>
      <c r="B85" s="169">
        <v>1</v>
      </c>
      <c r="C85" s="169">
        <v>0</v>
      </c>
      <c r="D85" s="169">
        <v>2</v>
      </c>
      <c r="E85" s="169">
        <v>3</v>
      </c>
      <c r="F85" s="169">
        <v>2</v>
      </c>
      <c r="G85" s="169">
        <v>2</v>
      </c>
      <c r="H85" s="169">
        <v>4</v>
      </c>
      <c r="I85" s="169">
        <v>3</v>
      </c>
      <c r="J85" s="169">
        <v>1</v>
      </c>
      <c r="K85" s="169">
        <v>4</v>
      </c>
      <c r="L85" s="169">
        <v>2</v>
      </c>
      <c r="M85" s="169">
        <v>0</v>
      </c>
      <c r="N85" s="169">
        <v>2</v>
      </c>
      <c r="O85" s="169">
        <v>2</v>
      </c>
      <c r="P85" s="169">
        <v>10</v>
      </c>
      <c r="Q85" s="169">
        <v>1</v>
      </c>
      <c r="R85" s="169">
        <v>1</v>
      </c>
      <c r="S85" s="169">
        <v>3</v>
      </c>
      <c r="T85" s="169">
        <v>4</v>
      </c>
      <c r="U85" s="169">
        <v>1</v>
      </c>
      <c r="V85" s="169">
        <v>7</v>
      </c>
      <c r="W85" s="169">
        <v>1</v>
      </c>
      <c r="X85" s="169">
        <v>0</v>
      </c>
      <c r="Y85" s="169">
        <v>2</v>
      </c>
      <c r="Z85" s="169">
        <v>2</v>
      </c>
      <c r="AA85" s="169">
        <v>1</v>
      </c>
      <c r="AB85" s="169">
        <v>9</v>
      </c>
      <c r="AC85" s="169">
        <v>2</v>
      </c>
      <c r="AD85" s="169">
        <v>1</v>
      </c>
      <c r="AE85" s="169"/>
      <c r="AF85" s="170"/>
      <c r="AG85" s="168">
        <f t="shared" si="13"/>
        <v>73</v>
      </c>
      <c r="AI85" s="435"/>
    </row>
    <row r="86" spans="1:35" ht="19.5" thickBot="1" x14ac:dyDescent="0.3">
      <c r="A86" s="172" t="s">
        <v>145</v>
      </c>
      <c r="B86" s="173">
        <v>11</v>
      </c>
      <c r="C86" s="173">
        <v>0</v>
      </c>
      <c r="D86" s="173">
        <v>4</v>
      </c>
      <c r="E86" s="173">
        <v>6</v>
      </c>
      <c r="F86" s="173">
        <v>4</v>
      </c>
      <c r="G86" s="173">
        <v>24</v>
      </c>
      <c r="H86" s="173">
        <v>16</v>
      </c>
      <c r="I86" s="173">
        <v>22</v>
      </c>
      <c r="J86" s="173">
        <v>4</v>
      </c>
      <c r="K86" s="173">
        <v>28</v>
      </c>
      <c r="L86" s="173">
        <v>11</v>
      </c>
      <c r="M86" s="173">
        <v>3</v>
      </c>
      <c r="N86" s="173">
        <v>12</v>
      </c>
      <c r="O86" s="173">
        <v>8</v>
      </c>
      <c r="P86" s="173">
        <v>39</v>
      </c>
      <c r="Q86" s="173">
        <v>1</v>
      </c>
      <c r="R86" s="173">
        <v>25</v>
      </c>
      <c r="S86" s="173">
        <v>18</v>
      </c>
      <c r="T86" s="173">
        <v>13</v>
      </c>
      <c r="U86" s="173">
        <v>9</v>
      </c>
      <c r="V86" s="173">
        <v>23</v>
      </c>
      <c r="W86" s="173">
        <v>15</v>
      </c>
      <c r="X86" s="173">
        <v>2</v>
      </c>
      <c r="Y86" s="173">
        <v>21</v>
      </c>
      <c r="Z86" s="173">
        <v>22</v>
      </c>
      <c r="AA86" s="173">
        <v>6</v>
      </c>
      <c r="AB86" s="173">
        <v>18</v>
      </c>
      <c r="AC86" s="173">
        <v>10</v>
      </c>
      <c r="AD86" s="173">
        <v>6</v>
      </c>
      <c r="AE86" s="173"/>
      <c r="AF86" s="174"/>
      <c r="AG86" s="176">
        <f t="shared" si="13"/>
        <v>381</v>
      </c>
      <c r="AI86" s="436"/>
    </row>
    <row r="87" spans="1:35" ht="19.5" thickBot="1" x14ac:dyDescent="0.3">
      <c r="A87" s="177" t="s">
        <v>147</v>
      </c>
      <c r="B87" s="178">
        <f>SUM(B88:B92)</f>
        <v>12</v>
      </c>
      <c r="C87" s="178">
        <f t="shared" ref="C87:AF87" si="14">SUM(C88:C92)</f>
        <v>0</v>
      </c>
      <c r="D87" s="178">
        <f t="shared" si="14"/>
        <v>6</v>
      </c>
      <c r="E87" s="178">
        <f t="shared" si="14"/>
        <v>9</v>
      </c>
      <c r="F87" s="178">
        <f t="shared" si="14"/>
        <v>6</v>
      </c>
      <c r="G87" s="178">
        <f t="shared" si="14"/>
        <v>26</v>
      </c>
      <c r="H87" s="178">
        <f t="shared" si="14"/>
        <v>20</v>
      </c>
      <c r="I87" s="178">
        <f t="shared" si="14"/>
        <v>25</v>
      </c>
      <c r="J87" s="178">
        <f t="shared" si="14"/>
        <v>5</v>
      </c>
      <c r="K87" s="178">
        <f t="shared" si="14"/>
        <v>32</v>
      </c>
      <c r="L87" s="178">
        <f t="shared" si="14"/>
        <v>13</v>
      </c>
      <c r="M87" s="178">
        <f t="shared" si="14"/>
        <v>3</v>
      </c>
      <c r="N87" s="178">
        <f t="shared" si="14"/>
        <v>14</v>
      </c>
      <c r="O87" s="178">
        <f t="shared" si="14"/>
        <v>10</v>
      </c>
      <c r="P87" s="178">
        <f t="shared" si="14"/>
        <v>49</v>
      </c>
      <c r="Q87" s="178">
        <f t="shared" si="14"/>
        <v>2</v>
      </c>
      <c r="R87" s="178">
        <f t="shared" si="14"/>
        <v>26</v>
      </c>
      <c r="S87" s="178">
        <f t="shared" si="14"/>
        <v>21</v>
      </c>
      <c r="T87" s="178">
        <f t="shared" si="14"/>
        <v>17</v>
      </c>
      <c r="U87" s="178">
        <f t="shared" si="14"/>
        <v>10</v>
      </c>
      <c r="V87" s="178">
        <f t="shared" si="14"/>
        <v>30</v>
      </c>
      <c r="W87" s="178">
        <f t="shared" si="14"/>
        <v>16</v>
      </c>
      <c r="X87" s="178">
        <f t="shared" si="14"/>
        <v>2</v>
      </c>
      <c r="Y87" s="178">
        <f t="shared" si="14"/>
        <v>23</v>
      </c>
      <c r="Z87" s="178">
        <f t="shared" si="14"/>
        <v>24</v>
      </c>
      <c r="AA87" s="178">
        <f t="shared" si="14"/>
        <v>7</v>
      </c>
      <c r="AB87" s="178">
        <f t="shared" si="14"/>
        <v>27</v>
      </c>
      <c r="AC87" s="178">
        <f t="shared" si="14"/>
        <v>12</v>
      </c>
      <c r="AD87" s="178">
        <f t="shared" si="14"/>
        <v>7</v>
      </c>
      <c r="AE87" s="178">
        <f t="shared" si="14"/>
        <v>0</v>
      </c>
      <c r="AF87" s="178">
        <f t="shared" si="14"/>
        <v>0</v>
      </c>
      <c r="AG87" s="179">
        <f t="shared" si="13"/>
        <v>454</v>
      </c>
      <c r="AH87" s="175" t="str">
        <f>IF(AG87&lt;&gt;AG84,"*","")</f>
        <v/>
      </c>
    </row>
    <row r="88" spans="1:35" ht="18.75" x14ac:dyDescent="0.25">
      <c r="A88" s="104" t="s">
        <v>127</v>
      </c>
      <c r="B88" s="166">
        <v>3</v>
      </c>
      <c r="C88" s="166"/>
      <c r="D88" s="166"/>
      <c r="E88" s="166"/>
      <c r="F88" s="166">
        <v>3</v>
      </c>
      <c r="G88" s="166">
        <v>7</v>
      </c>
      <c r="H88" s="166">
        <v>4</v>
      </c>
      <c r="I88" s="166">
        <v>4</v>
      </c>
      <c r="J88" s="166">
        <v>1</v>
      </c>
      <c r="K88" s="166">
        <v>7</v>
      </c>
      <c r="L88" s="166">
        <v>5</v>
      </c>
      <c r="M88" s="166">
        <v>1</v>
      </c>
      <c r="N88" s="166">
        <v>9</v>
      </c>
      <c r="O88" s="166">
        <v>5</v>
      </c>
      <c r="P88" s="166">
        <v>7</v>
      </c>
      <c r="Q88" s="166">
        <v>2</v>
      </c>
      <c r="R88" s="166">
        <v>2</v>
      </c>
      <c r="S88" s="166">
        <v>5</v>
      </c>
      <c r="T88" s="166">
        <v>13</v>
      </c>
      <c r="U88" s="166">
        <v>4</v>
      </c>
      <c r="V88" s="166">
        <v>7</v>
      </c>
      <c r="W88" s="166"/>
      <c r="X88" s="166">
        <v>2</v>
      </c>
      <c r="Y88" s="166">
        <v>7</v>
      </c>
      <c r="Z88" s="166">
        <v>10</v>
      </c>
      <c r="AA88" s="166">
        <v>6</v>
      </c>
      <c r="AB88" s="166">
        <v>14</v>
      </c>
      <c r="AC88" s="166">
        <v>7</v>
      </c>
      <c r="AD88" s="166">
        <v>2</v>
      </c>
      <c r="AE88" s="166"/>
      <c r="AF88" s="167"/>
      <c r="AG88" s="132">
        <f t="shared" si="13"/>
        <v>137</v>
      </c>
    </row>
    <row r="89" spans="1:35" ht="18.75" x14ac:dyDescent="0.25">
      <c r="A89" s="105" t="s">
        <v>73</v>
      </c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10"/>
      <c r="AG89" s="4">
        <f t="shared" si="13"/>
        <v>0</v>
      </c>
    </row>
    <row r="90" spans="1:35" ht="18.75" x14ac:dyDescent="0.25">
      <c r="A90" s="105" t="s">
        <v>74</v>
      </c>
      <c r="B90" s="9"/>
      <c r="C90" s="9"/>
      <c r="D90" s="9"/>
      <c r="E90" s="9"/>
      <c r="F90" s="9"/>
      <c r="G90" s="9"/>
      <c r="H90" s="9"/>
      <c r="I90" s="9">
        <v>1</v>
      </c>
      <c r="J90" s="9">
        <v>1</v>
      </c>
      <c r="K90" s="9"/>
      <c r="L90" s="9"/>
      <c r="M90" s="9"/>
      <c r="N90" s="9"/>
      <c r="O90" s="9"/>
      <c r="P90" s="9">
        <v>1</v>
      </c>
      <c r="Q90" s="9"/>
      <c r="R90" s="9"/>
      <c r="S90" s="9"/>
      <c r="T90" s="9"/>
      <c r="U90" s="9"/>
      <c r="V90" s="9"/>
      <c r="W90" s="9"/>
      <c r="X90" s="9"/>
      <c r="Y90" s="9">
        <v>1</v>
      </c>
      <c r="Z90" s="9"/>
      <c r="AA90" s="9"/>
      <c r="AB90" s="9">
        <v>1</v>
      </c>
      <c r="AC90" s="9"/>
      <c r="AD90" s="9"/>
      <c r="AE90" s="9"/>
      <c r="AF90" s="10"/>
      <c r="AG90" s="4">
        <f t="shared" si="13"/>
        <v>5</v>
      </c>
    </row>
    <row r="91" spans="1:35" ht="18.75" x14ac:dyDescent="0.25">
      <c r="A91" s="105" t="s">
        <v>75</v>
      </c>
      <c r="B91" s="9"/>
      <c r="C91" s="9"/>
      <c r="D91" s="9">
        <v>2</v>
      </c>
      <c r="E91" s="9">
        <v>4</v>
      </c>
      <c r="F91" s="9">
        <v>3</v>
      </c>
      <c r="G91" s="9">
        <v>10</v>
      </c>
      <c r="H91" s="9">
        <v>5</v>
      </c>
      <c r="I91" s="9">
        <v>6</v>
      </c>
      <c r="J91" s="9">
        <v>1</v>
      </c>
      <c r="K91" s="9">
        <v>19</v>
      </c>
      <c r="L91" s="9">
        <v>6</v>
      </c>
      <c r="M91" s="9">
        <v>2</v>
      </c>
      <c r="N91" s="9">
        <v>4</v>
      </c>
      <c r="O91" s="9">
        <v>4</v>
      </c>
      <c r="P91" s="9">
        <v>34</v>
      </c>
      <c r="Q91" s="9"/>
      <c r="R91" s="9">
        <v>14</v>
      </c>
      <c r="S91" s="9">
        <v>13</v>
      </c>
      <c r="T91" s="9">
        <v>2</v>
      </c>
      <c r="U91" s="9">
        <v>2</v>
      </c>
      <c r="V91" s="9">
        <v>20</v>
      </c>
      <c r="W91" s="9">
        <v>13</v>
      </c>
      <c r="X91" s="9"/>
      <c r="Y91" s="9">
        <v>6</v>
      </c>
      <c r="Z91" s="9">
        <v>7</v>
      </c>
      <c r="AA91" s="9"/>
      <c r="AB91" s="9">
        <v>2</v>
      </c>
      <c r="AC91" s="9">
        <v>1</v>
      </c>
      <c r="AD91" s="9">
        <v>3</v>
      </c>
      <c r="AE91" s="9"/>
      <c r="AF91" s="10"/>
      <c r="AG91" s="4">
        <f t="shared" si="13"/>
        <v>183</v>
      </c>
    </row>
    <row r="92" spans="1:35" ht="19.5" thickBot="1" x14ac:dyDescent="0.3">
      <c r="A92" s="105" t="s">
        <v>76</v>
      </c>
      <c r="B92" s="9">
        <v>9</v>
      </c>
      <c r="C92" s="9"/>
      <c r="D92" s="9">
        <v>4</v>
      </c>
      <c r="E92" s="9">
        <v>5</v>
      </c>
      <c r="F92" s="9"/>
      <c r="G92" s="9">
        <v>9</v>
      </c>
      <c r="H92" s="9">
        <v>11</v>
      </c>
      <c r="I92" s="9">
        <v>14</v>
      </c>
      <c r="J92" s="9">
        <v>2</v>
      </c>
      <c r="K92" s="9">
        <v>6</v>
      </c>
      <c r="L92" s="9">
        <v>2</v>
      </c>
      <c r="M92" s="9"/>
      <c r="N92" s="9">
        <v>1</v>
      </c>
      <c r="O92" s="9">
        <v>1</v>
      </c>
      <c r="P92" s="9">
        <v>7</v>
      </c>
      <c r="Q92" s="9"/>
      <c r="R92" s="9">
        <v>10</v>
      </c>
      <c r="S92" s="9">
        <v>3</v>
      </c>
      <c r="T92" s="9">
        <v>2</v>
      </c>
      <c r="U92" s="9">
        <v>4</v>
      </c>
      <c r="V92" s="9">
        <v>3</v>
      </c>
      <c r="W92" s="9">
        <v>3</v>
      </c>
      <c r="X92" s="9"/>
      <c r="Y92" s="9">
        <v>9</v>
      </c>
      <c r="Z92" s="9">
        <v>7</v>
      </c>
      <c r="AA92" s="9">
        <v>1</v>
      </c>
      <c r="AB92" s="9">
        <v>10</v>
      </c>
      <c r="AC92" s="9">
        <v>4</v>
      </c>
      <c r="AD92" s="9">
        <v>2</v>
      </c>
      <c r="AE92" s="9"/>
      <c r="AF92" s="10"/>
      <c r="AG92" s="4">
        <f t="shared" si="13"/>
        <v>129</v>
      </c>
    </row>
    <row r="93" spans="1:35" ht="18.75" x14ac:dyDescent="0.25">
      <c r="A93" s="73" t="s">
        <v>615</v>
      </c>
      <c r="B93" s="74">
        <f t="shared" ref="B93:AF93" si="15">+B94+B100</f>
        <v>215</v>
      </c>
      <c r="C93" s="74">
        <f t="shared" si="15"/>
        <v>199</v>
      </c>
      <c r="D93" s="74">
        <f t="shared" si="15"/>
        <v>169</v>
      </c>
      <c r="E93" s="74">
        <f t="shared" si="15"/>
        <v>136</v>
      </c>
      <c r="F93" s="74">
        <f t="shared" si="15"/>
        <v>143</v>
      </c>
      <c r="G93" s="74">
        <f t="shared" si="15"/>
        <v>116</v>
      </c>
      <c r="H93" s="74">
        <f t="shared" si="15"/>
        <v>157</v>
      </c>
      <c r="I93" s="74">
        <f t="shared" si="15"/>
        <v>172</v>
      </c>
      <c r="J93" s="74">
        <f t="shared" si="15"/>
        <v>205</v>
      </c>
      <c r="K93" s="74">
        <f t="shared" si="15"/>
        <v>146</v>
      </c>
      <c r="L93" s="74">
        <f t="shared" si="15"/>
        <v>148</v>
      </c>
      <c r="M93" s="74">
        <f t="shared" si="15"/>
        <v>138</v>
      </c>
      <c r="N93" s="74">
        <f t="shared" si="15"/>
        <v>140</v>
      </c>
      <c r="O93" s="74">
        <f t="shared" si="15"/>
        <v>118</v>
      </c>
      <c r="P93" s="74">
        <f t="shared" si="15"/>
        <v>182</v>
      </c>
      <c r="Q93" s="74">
        <f t="shared" si="15"/>
        <v>237</v>
      </c>
      <c r="R93" s="74">
        <f t="shared" si="15"/>
        <v>156</v>
      </c>
      <c r="S93" s="74">
        <f t="shared" si="15"/>
        <v>164</v>
      </c>
      <c r="T93" s="74">
        <f t="shared" si="15"/>
        <v>163</v>
      </c>
      <c r="U93" s="74">
        <f t="shared" si="15"/>
        <v>150</v>
      </c>
      <c r="V93" s="74">
        <f t="shared" si="15"/>
        <v>137</v>
      </c>
      <c r="W93" s="74">
        <f t="shared" si="15"/>
        <v>208</v>
      </c>
      <c r="X93" s="74">
        <f t="shared" si="15"/>
        <v>213</v>
      </c>
      <c r="Y93" s="74">
        <f t="shared" si="15"/>
        <v>142</v>
      </c>
      <c r="Z93" s="74">
        <f t="shared" si="15"/>
        <v>135</v>
      </c>
      <c r="AA93" s="74">
        <f t="shared" si="15"/>
        <v>159</v>
      </c>
      <c r="AB93" s="74">
        <f t="shared" si="15"/>
        <v>156</v>
      </c>
      <c r="AC93" s="74">
        <f t="shared" si="15"/>
        <v>126</v>
      </c>
      <c r="AD93" s="74">
        <f t="shared" si="15"/>
        <v>229</v>
      </c>
      <c r="AE93" s="74">
        <f t="shared" si="15"/>
        <v>0</v>
      </c>
      <c r="AF93" s="84">
        <f t="shared" si="15"/>
        <v>0</v>
      </c>
      <c r="AG93" s="150">
        <f t="shared" si="13"/>
        <v>4759</v>
      </c>
      <c r="AH93" s="37" t="str">
        <f>IF(AG93&lt;&gt;AG28,"*","")</f>
        <v/>
      </c>
    </row>
    <row r="94" spans="1:35" ht="18.75" x14ac:dyDescent="0.25">
      <c r="A94" s="42" t="s">
        <v>65</v>
      </c>
      <c r="B94" s="17">
        <f t="shared" ref="B94:AF94" si="16">SUM(B95:B99)</f>
        <v>27</v>
      </c>
      <c r="C94" s="17">
        <f t="shared" si="16"/>
        <v>27</v>
      </c>
      <c r="D94" s="17">
        <f t="shared" si="16"/>
        <v>23</v>
      </c>
      <c r="E94" s="17">
        <f t="shared" si="16"/>
        <v>17</v>
      </c>
      <c r="F94" s="17">
        <f t="shared" si="16"/>
        <v>26</v>
      </c>
      <c r="G94" s="17">
        <f t="shared" si="16"/>
        <v>6</v>
      </c>
      <c r="H94" s="17">
        <f t="shared" si="16"/>
        <v>23</v>
      </c>
      <c r="I94" s="17">
        <f t="shared" si="16"/>
        <v>19</v>
      </c>
      <c r="J94" s="17">
        <f t="shared" si="16"/>
        <v>30</v>
      </c>
      <c r="K94" s="17">
        <f t="shared" si="16"/>
        <v>15</v>
      </c>
      <c r="L94" s="17">
        <f t="shared" si="16"/>
        <v>19</v>
      </c>
      <c r="M94" s="17">
        <f t="shared" si="16"/>
        <v>24</v>
      </c>
      <c r="N94" s="17">
        <f t="shared" si="16"/>
        <v>16</v>
      </c>
      <c r="O94" s="17">
        <f t="shared" si="16"/>
        <v>8</v>
      </c>
      <c r="P94" s="17">
        <f t="shared" si="16"/>
        <v>14</v>
      </c>
      <c r="Q94" s="17">
        <f t="shared" si="16"/>
        <v>44</v>
      </c>
      <c r="R94" s="17">
        <f t="shared" si="16"/>
        <v>14</v>
      </c>
      <c r="S94" s="17">
        <f t="shared" si="16"/>
        <v>13</v>
      </c>
      <c r="T94" s="17">
        <f t="shared" si="16"/>
        <v>17</v>
      </c>
      <c r="U94" s="17">
        <f t="shared" si="16"/>
        <v>25</v>
      </c>
      <c r="V94" s="17">
        <f t="shared" si="16"/>
        <v>15</v>
      </c>
      <c r="W94" s="17">
        <f t="shared" si="16"/>
        <v>35</v>
      </c>
      <c r="X94" s="17">
        <f t="shared" si="16"/>
        <v>20</v>
      </c>
      <c r="Y94" s="17">
        <f t="shared" si="16"/>
        <v>22</v>
      </c>
      <c r="Z94" s="17">
        <f t="shared" si="16"/>
        <v>8</v>
      </c>
      <c r="AA94" s="17">
        <f t="shared" si="16"/>
        <v>19</v>
      </c>
      <c r="AB94" s="17">
        <f t="shared" si="16"/>
        <v>14</v>
      </c>
      <c r="AC94" s="17">
        <f t="shared" si="16"/>
        <v>16</v>
      </c>
      <c r="AD94" s="17">
        <f t="shared" si="16"/>
        <v>23</v>
      </c>
      <c r="AE94" s="17">
        <f t="shared" si="16"/>
        <v>0</v>
      </c>
      <c r="AF94" s="18">
        <f t="shared" si="16"/>
        <v>0</v>
      </c>
      <c r="AG94" s="4">
        <f t="shared" si="13"/>
        <v>579</v>
      </c>
    </row>
    <row r="95" spans="1:35" ht="18.75" x14ac:dyDescent="0.25">
      <c r="A95" s="44" t="s">
        <v>81</v>
      </c>
      <c r="B95" s="7">
        <v>2</v>
      </c>
      <c r="C95" s="7">
        <v>1</v>
      </c>
      <c r="D95" s="7">
        <v>2</v>
      </c>
      <c r="E95" s="7"/>
      <c r="F95" s="7"/>
      <c r="G95" s="7">
        <v>1</v>
      </c>
      <c r="H95" s="7">
        <v>1</v>
      </c>
      <c r="I95" s="7">
        <v>1</v>
      </c>
      <c r="J95" s="7">
        <v>1</v>
      </c>
      <c r="K95" s="7">
        <v>2</v>
      </c>
      <c r="L95" s="7"/>
      <c r="M95" s="7">
        <v>1</v>
      </c>
      <c r="N95" s="7">
        <v>2</v>
      </c>
      <c r="O95" s="7"/>
      <c r="P95" s="7">
        <v>1</v>
      </c>
      <c r="Q95" s="7">
        <v>4</v>
      </c>
      <c r="R95" s="7"/>
      <c r="S95" s="7"/>
      <c r="T95" s="7">
        <v>2</v>
      </c>
      <c r="U95" s="7"/>
      <c r="V95" s="7">
        <v>2</v>
      </c>
      <c r="W95" s="7">
        <v>2</v>
      </c>
      <c r="X95" s="7">
        <v>2</v>
      </c>
      <c r="Y95" s="7">
        <v>1</v>
      </c>
      <c r="Z95" s="7">
        <v>1</v>
      </c>
      <c r="AA95" s="7">
        <v>2</v>
      </c>
      <c r="AB95" s="7">
        <v>1</v>
      </c>
      <c r="AC95" s="7"/>
      <c r="AD95" s="7">
        <v>2</v>
      </c>
      <c r="AE95" s="7"/>
      <c r="AF95" s="8"/>
      <c r="AG95" s="4">
        <f t="shared" si="13"/>
        <v>34</v>
      </c>
    </row>
    <row r="96" spans="1:35" ht="18.75" x14ac:dyDescent="0.25">
      <c r="A96" s="45" t="s">
        <v>82</v>
      </c>
      <c r="B96" s="7">
        <v>2</v>
      </c>
      <c r="C96" s="7">
        <v>2</v>
      </c>
      <c r="D96" s="7">
        <v>3</v>
      </c>
      <c r="E96" s="7"/>
      <c r="F96" s="7">
        <v>4</v>
      </c>
      <c r="G96" s="7">
        <v>1</v>
      </c>
      <c r="H96" s="7">
        <v>2</v>
      </c>
      <c r="I96" s="7"/>
      <c r="J96" s="7">
        <v>3</v>
      </c>
      <c r="K96" s="7"/>
      <c r="L96" s="7">
        <v>1</v>
      </c>
      <c r="M96" s="7">
        <v>3</v>
      </c>
      <c r="N96" s="7">
        <v>2</v>
      </c>
      <c r="O96" s="7">
        <v>2</v>
      </c>
      <c r="P96" s="7">
        <v>1</v>
      </c>
      <c r="Q96" s="7">
        <v>6</v>
      </c>
      <c r="R96" s="7">
        <v>1</v>
      </c>
      <c r="S96" s="141"/>
      <c r="T96" s="7">
        <v>2</v>
      </c>
      <c r="U96" s="7">
        <v>2</v>
      </c>
      <c r="V96" s="7">
        <v>1</v>
      </c>
      <c r="W96" s="7">
        <v>3</v>
      </c>
      <c r="X96" s="7">
        <v>2</v>
      </c>
      <c r="Y96" s="7"/>
      <c r="Z96" s="7"/>
      <c r="AA96" s="7">
        <v>1</v>
      </c>
      <c r="AB96" s="7">
        <v>1</v>
      </c>
      <c r="AC96" s="7">
        <v>1</v>
      </c>
      <c r="AD96" s="7">
        <v>1</v>
      </c>
      <c r="AE96" s="7"/>
      <c r="AF96" s="8"/>
      <c r="AG96" s="4">
        <f t="shared" si="13"/>
        <v>47</v>
      </c>
    </row>
    <row r="97" spans="1:33" ht="18.75" x14ac:dyDescent="0.25">
      <c r="A97" s="46" t="s">
        <v>70</v>
      </c>
      <c r="B97" s="7">
        <v>6</v>
      </c>
      <c r="C97" s="7">
        <v>7</v>
      </c>
      <c r="D97" s="7">
        <v>3</v>
      </c>
      <c r="E97" s="7">
        <v>1</v>
      </c>
      <c r="F97" s="7">
        <v>2</v>
      </c>
      <c r="G97" s="7"/>
      <c r="H97" s="7">
        <v>7</v>
      </c>
      <c r="I97" s="7">
        <v>3</v>
      </c>
      <c r="J97" s="7">
        <v>4</v>
      </c>
      <c r="K97" s="7">
        <v>6</v>
      </c>
      <c r="L97" s="7">
        <v>3</v>
      </c>
      <c r="M97" s="7">
        <v>8</v>
      </c>
      <c r="N97" s="7">
        <v>2</v>
      </c>
      <c r="O97" s="7">
        <v>1</v>
      </c>
      <c r="P97" s="7">
        <v>2</v>
      </c>
      <c r="Q97" s="7">
        <v>10</v>
      </c>
      <c r="R97" s="7">
        <v>4</v>
      </c>
      <c r="S97" s="7">
        <v>5</v>
      </c>
      <c r="T97" s="7">
        <v>2</v>
      </c>
      <c r="U97" s="7">
        <v>5</v>
      </c>
      <c r="V97" s="7">
        <v>2</v>
      </c>
      <c r="W97" s="7">
        <v>8</v>
      </c>
      <c r="X97" s="7">
        <v>6</v>
      </c>
      <c r="Y97" s="7">
        <v>1</v>
      </c>
      <c r="Z97" s="7">
        <v>2</v>
      </c>
      <c r="AA97" s="7">
        <v>1</v>
      </c>
      <c r="AB97" s="7">
        <v>2</v>
      </c>
      <c r="AC97" s="7">
        <v>2</v>
      </c>
      <c r="AD97" s="7">
        <v>4</v>
      </c>
      <c r="AE97" s="7"/>
      <c r="AF97" s="8"/>
      <c r="AG97" s="4">
        <f t="shared" si="13"/>
        <v>109</v>
      </c>
    </row>
    <row r="98" spans="1:33" ht="18.75" x14ac:dyDescent="0.25">
      <c r="A98" s="47" t="s">
        <v>6</v>
      </c>
      <c r="B98" s="7">
        <v>9</v>
      </c>
      <c r="C98" s="7">
        <v>11</v>
      </c>
      <c r="D98" s="7">
        <v>3</v>
      </c>
      <c r="E98" s="7">
        <v>5</v>
      </c>
      <c r="F98" s="7">
        <v>5</v>
      </c>
      <c r="G98" s="7">
        <v>4</v>
      </c>
      <c r="H98" s="7">
        <v>7</v>
      </c>
      <c r="I98" s="7">
        <v>11</v>
      </c>
      <c r="J98" s="7">
        <v>11</v>
      </c>
      <c r="K98" s="7">
        <v>5</v>
      </c>
      <c r="L98" s="7">
        <v>5</v>
      </c>
      <c r="M98" s="7">
        <v>5</v>
      </c>
      <c r="N98" s="7">
        <v>4</v>
      </c>
      <c r="O98" s="7">
        <v>1</v>
      </c>
      <c r="P98" s="7">
        <v>3</v>
      </c>
      <c r="Q98" s="7">
        <v>12</v>
      </c>
      <c r="R98" s="7">
        <v>2</v>
      </c>
      <c r="S98" s="7">
        <v>1</v>
      </c>
      <c r="T98" s="7">
        <v>6</v>
      </c>
      <c r="U98" s="7">
        <v>6</v>
      </c>
      <c r="V98" s="7">
        <v>4</v>
      </c>
      <c r="W98" s="7">
        <v>12</v>
      </c>
      <c r="X98" s="7">
        <v>4</v>
      </c>
      <c r="Y98" s="7">
        <v>9</v>
      </c>
      <c r="Z98" s="7">
        <v>3</v>
      </c>
      <c r="AA98" s="7">
        <v>7</v>
      </c>
      <c r="AB98" s="7">
        <v>2</v>
      </c>
      <c r="AC98" s="7">
        <v>9</v>
      </c>
      <c r="AD98" s="7">
        <v>9</v>
      </c>
      <c r="AE98" s="7"/>
      <c r="AF98" s="8"/>
      <c r="AG98" s="4">
        <f t="shared" si="13"/>
        <v>175</v>
      </c>
    </row>
    <row r="99" spans="1:33" ht="18.75" x14ac:dyDescent="0.25">
      <c r="A99" s="48" t="s">
        <v>7</v>
      </c>
      <c r="B99" s="7">
        <v>8</v>
      </c>
      <c r="C99" s="7">
        <v>6</v>
      </c>
      <c r="D99" s="7">
        <v>12</v>
      </c>
      <c r="E99" s="7">
        <v>11</v>
      </c>
      <c r="F99" s="7">
        <v>15</v>
      </c>
      <c r="G99" s="7"/>
      <c r="H99" s="7">
        <v>6</v>
      </c>
      <c r="I99" s="7">
        <v>4</v>
      </c>
      <c r="J99" s="7">
        <v>11</v>
      </c>
      <c r="K99" s="7">
        <v>2</v>
      </c>
      <c r="L99" s="7">
        <v>10</v>
      </c>
      <c r="M99" s="7">
        <v>7</v>
      </c>
      <c r="N99" s="7">
        <v>6</v>
      </c>
      <c r="O99" s="7">
        <v>4</v>
      </c>
      <c r="P99" s="7">
        <v>7</v>
      </c>
      <c r="Q99" s="7">
        <v>12</v>
      </c>
      <c r="R99" s="7">
        <v>7</v>
      </c>
      <c r="S99" s="7">
        <v>7</v>
      </c>
      <c r="T99" s="7">
        <v>5</v>
      </c>
      <c r="U99" s="7">
        <v>12</v>
      </c>
      <c r="V99" s="7">
        <v>6</v>
      </c>
      <c r="W99" s="7">
        <v>10</v>
      </c>
      <c r="X99" s="7">
        <v>6</v>
      </c>
      <c r="Y99" s="7">
        <v>11</v>
      </c>
      <c r="Z99" s="7">
        <v>2</v>
      </c>
      <c r="AA99" s="7">
        <v>8</v>
      </c>
      <c r="AB99" s="7">
        <v>8</v>
      </c>
      <c r="AC99" s="7">
        <v>4</v>
      </c>
      <c r="AD99" s="7">
        <v>7</v>
      </c>
      <c r="AE99" s="7"/>
      <c r="AF99" s="8"/>
      <c r="AG99" s="4">
        <f t="shared" si="13"/>
        <v>214</v>
      </c>
    </row>
    <row r="100" spans="1:33" ht="18.75" x14ac:dyDescent="0.25">
      <c r="A100" s="42" t="s">
        <v>66</v>
      </c>
      <c r="B100" s="17">
        <f t="shared" ref="B100:AF100" si="17">SUM(B101:B115)</f>
        <v>188</v>
      </c>
      <c r="C100" s="17">
        <f t="shared" si="17"/>
        <v>172</v>
      </c>
      <c r="D100" s="17">
        <f t="shared" si="17"/>
        <v>146</v>
      </c>
      <c r="E100" s="17">
        <f t="shared" si="17"/>
        <v>119</v>
      </c>
      <c r="F100" s="17">
        <f t="shared" si="17"/>
        <v>117</v>
      </c>
      <c r="G100" s="17">
        <f t="shared" si="17"/>
        <v>110</v>
      </c>
      <c r="H100" s="17">
        <f t="shared" si="17"/>
        <v>134</v>
      </c>
      <c r="I100" s="17">
        <f t="shared" si="17"/>
        <v>153</v>
      </c>
      <c r="J100" s="17">
        <f t="shared" si="17"/>
        <v>175</v>
      </c>
      <c r="K100" s="17">
        <f t="shared" si="17"/>
        <v>131</v>
      </c>
      <c r="L100" s="17">
        <f t="shared" si="17"/>
        <v>129</v>
      </c>
      <c r="M100" s="17">
        <f t="shared" si="17"/>
        <v>114</v>
      </c>
      <c r="N100" s="17">
        <f t="shared" si="17"/>
        <v>124</v>
      </c>
      <c r="O100" s="17">
        <f t="shared" si="17"/>
        <v>110</v>
      </c>
      <c r="P100" s="17">
        <f t="shared" si="17"/>
        <v>168</v>
      </c>
      <c r="Q100" s="17">
        <f t="shared" si="17"/>
        <v>193</v>
      </c>
      <c r="R100" s="17">
        <f t="shared" si="17"/>
        <v>142</v>
      </c>
      <c r="S100" s="17">
        <f t="shared" si="17"/>
        <v>151</v>
      </c>
      <c r="T100" s="17">
        <f t="shared" si="17"/>
        <v>146</v>
      </c>
      <c r="U100" s="17">
        <f t="shared" si="17"/>
        <v>125</v>
      </c>
      <c r="V100" s="17">
        <f t="shared" si="17"/>
        <v>122</v>
      </c>
      <c r="W100" s="17">
        <f t="shared" si="17"/>
        <v>173</v>
      </c>
      <c r="X100" s="17">
        <f t="shared" si="17"/>
        <v>193</v>
      </c>
      <c r="Y100" s="17">
        <f t="shared" si="17"/>
        <v>120</v>
      </c>
      <c r="Z100" s="17">
        <f t="shared" si="17"/>
        <v>127</v>
      </c>
      <c r="AA100" s="17">
        <f t="shared" si="17"/>
        <v>140</v>
      </c>
      <c r="AB100" s="17">
        <f t="shared" si="17"/>
        <v>142</v>
      </c>
      <c r="AC100" s="17">
        <f t="shared" si="17"/>
        <v>110</v>
      </c>
      <c r="AD100" s="17">
        <f t="shared" si="17"/>
        <v>206</v>
      </c>
      <c r="AE100" s="17">
        <f t="shared" si="17"/>
        <v>0</v>
      </c>
      <c r="AF100" s="18">
        <f t="shared" si="17"/>
        <v>0</v>
      </c>
      <c r="AG100" s="4">
        <f t="shared" si="13"/>
        <v>4180</v>
      </c>
    </row>
    <row r="101" spans="1:33" ht="18.75" x14ac:dyDescent="0.25">
      <c r="A101" s="48" t="s">
        <v>8</v>
      </c>
      <c r="B101" s="7">
        <v>13</v>
      </c>
      <c r="C101" s="7">
        <v>8</v>
      </c>
      <c r="D101" s="7">
        <v>13</v>
      </c>
      <c r="E101" s="7">
        <v>8</v>
      </c>
      <c r="F101" s="7">
        <v>6</v>
      </c>
      <c r="G101" s="7">
        <v>8</v>
      </c>
      <c r="H101" s="7">
        <v>10</v>
      </c>
      <c r="I101" s="7">
        <v>9</v>
      </c>
      <c r="J101" s="7">
        <v>12</v>
      </c>
      <c r="K101" s="7">
        <v>8</v>
      </c>
      <c r="L101" s="7">
        <v>10</v>
      </c>
      <c r="M101" s="7">
        <v>9</v>
      </c>
      <c r="N101" s="7">
        <v>12</v>
      </c>
      <c r="O101" s="7">
        <v>7</v>
      </c>
      <c r="P101" s="7">
        <v>13</v>
      </c>
      <c r="Q101" s="7">
        <v>23</v>
      </c>
      <c r="R101" s="7">
        <v>11</v>
      </c>
      <c r="S101" s="7">
        <v>8</v>
      </c>
      <c r="T101" s="7">
        <v>11</v>
      </c>
      <c r="U101" s="7">
        <v>13</v>
      </c>
      <c r="V101" s="7">
        <v>7</v>
      </c>
      <c r="W101" s="7">
        <v>12</v>
      </c>
      <c r="X101" s="7">
        <v>16</v>
      </c>
      <c r="Y101" s="7">
        <v>7</v>
      </c>
      <c r="Z101" s="7">
        <v>5</v>
      </c>
      <c r="AA101" s="7">
        <v>8</v>
      </c>
      <c r="AB101" s="7">
        <v>13</v>
      </c>
      <c r="AC101" s="7">
        <v>5</v>
      </c>
      <c r="AD101" s="7">
        <v>11</v>
      </c>
      <c r="AE101" s="7"/>
      <c r="AF101" s="8"/>
      <c r="AG101" s="4">
        <f t="shared" si="13"/>
        <v>296</v>
      </c>
    </row>
    <row r="102" spans="1:33" ht="18.75" x14ac:dyDescent="0.25">
      <c r="A102" s="48" t="s">
        <v>9</v>
      </c>
      <c r="B102" s="7">
        <v>21</v>
      </c>
      <c r="C102" s="7">
        <v>19</v>
      </c>
      <c r="D102" s="7">
        <v>17</v>
      </c>
      <c r="E102" s="7">
        <v>14</v>
      </c>
      <c r="F102" s="7">
        <v>14</v>
      </c>
      <c r="G102" s="7">
        <v>16</v>
      </c>
      <c r="H102" s="7">
        <v>15</v>
      </c>
      <c r="I102" s="7">
        <v>15</v>
      </c>
      <c r="J102" s="7">
        <v>18</v>
      </c>
      <c r="K102" s="7">
        <v>16</v>
      </c>
      <c r="L102" s="7">
        <v>22</v>
      </c>
      <c r="M102" s="7">
        <v>17</v>
      </c>
      <c r="N102" s="7">
        <v>10</v>
      </c>
      <c r="O102" s="7">
        <v>14</v>
      </c>
      <c r="P102" s="7">
        <v>12</v>
      </c>
      <c r="Q102" s="7">
        <v>19</v>
      </c>
      <c r="R102" s="7">
        <v>10</v>
      </c>
      <c r="S102" s="7">
        <v>14</v>
      </c>
      <c r="T102" s="7">
        <v>15</v>
      </c>
      <c r="U102" s="7">
        <v>13</v>
      </c>
      <c r="V102" s="7">
        <v>17</v>
      </c>
      <c r="W102" s="7">
        <v>11</v>
      </c>
      <c r="X102" s="7">
        <v>22</v>
      </c>
      <c r="Y102" s="7">
        <v>15</v>
      </c>
      <c r="Z102" s="7">
        <v>18</v>
      </c>
      <c r="AA102" s="7">
        <v>21</v>
      </c>
      <c r="AB102" s="7">
        <v>16</v>
      </c>
      <c r="AC102" s="7">
        <v>12</v>
      </c>
      <c r="AD102" s="7">
        <v>27</v>
      </c>
      <c r="AE102" s="7"/>
      <c r="AF102" s="8"/>
      <c r="AG102" s="4">
        <f t="shared" si="13"/>
        <v>470</v>
      </c>
    </row>
    <row r="103" spans="1:33" ht="18.75" x14ac:dyDescent="0.25">
      <c r="A103" s="49" t="s">
        <v>10</v>
      </c>
      <c r="B103" s="7">
        <v>21</v>
      </c>
      <c r="C103" s="7">
        <v>21</v>
      </c>
      <c r="D103" s="7">
        <v>12</v>
      </c>
      <c r="E103" s="7">
        <v>8</v>
      </c>
      <c r="F103" s="7">
        <v>5</v>
      </c>
      <c r="G103" s="7">
        <v>12</v>
      </c>
      <c r="H103" s="7">
        <v>20</v>
      </c>
      <c r="I103" s="7">
        <v>13</v>
      </c>
      <c r="J103" s="7">
        <v>22</v>
      </c>
      <c r="K103" s="7">
        <v>8</v>
      </c>
      <c r="L103" s="7">
        <v>12</v>
      </c>
      <c r="M103" s="7">
        <v>16</v>
      </c>
      <c r="N103" s="7">
        <v>13</v>
      </c>
      <c r="O103" s="7">
        <v>8</v>
      </c>
      <c r="P103" s="7">
        <v>16</v>
      </c>
      <c r="Q103" s="7">
        <v>14</v>
      </c>
      <c r="R103" s="7">
        <v>11</v>
      </c>
      <c r="S103" s="7">
        <v>14</v>
      </c>
      <c r="T103" s="7">
        <v>9</v>
      </c>
      <c r="U103" s="7">
        <v>9</v>
      </c>
      <c r="V103" s="7">
        <v>10</v>
      </c>
      <c r="W103" s="7">
        <v>16</v>
      </c>
      <c r="X103" s="7">
        <v>15</v>
      </c>
      <c r="Y103" s="7">
        <v>14</v>
      </c>
      <c r="Z103" s="7">
        <v>17</v>
      </c>
      <c r="AA103" s="7">
        <v>15</v>
      </c>
      <c r="AB103" s="7">
        <v>8</v>
      </c>
      <c r="AC103" s="7">
        <v>11</v>
      </c>
      <c r="AD103" s="7">
        <v>18</v>
      </c>
      <c r="AE103" s="7"/>
      <c r="AF103" s="8"/>
      <c r="AG103" s="4">
        <f t="shared" si="13"/>
        <v>388</v>
      </c>
    </row>
    <row r="104" spans="1:33" ht="18.75" x14ac:dyDescent="0.25">
      <c r="A104" s="49" t="s">
        <v>11</v>
      </c>
      <c r="B104" s="7">
        <v>15</v>
      </c>
      <c r="C104" s="7">
        <v>16</v>
      </c>
      <c r="D104" s="7">
        <v>8</v>
      </c>
      <c r="E104" s="7">
        <v>8</v>
      </c>
      <c r="F104" s="7">
        <v>11</v>
      </c>
      <c r="G104" s="7">
        <v>9</v>
      </c>
      <c r="H104" s="7">
        <v>7</v>
      </c>
      <c r="I104" s="7">
        <v>12</v>
      </c>
      <c r="J104" s="7">
        <v>12</v>
      </c>
      <c r="K104" s="7">
        <v>11</v>
      </c>
      <c r="L104" s="7">
        <v>13</v>
      </c>
      <c r="M104" s="7">
        <v>9</v>
      </c>
      <c r="N104" s="7">
        <v>17</v>
      </c>
      <c r="O104" s="7">
        <v>7</v>
      </c>
      <c r="P104" s="7">
        <v>12</v>
      </c>
      <c r="Q104" s="7">
        <v>10</v>
      </c>
      <c r="R104" s="7">
        <v>10</v>
      </c>
      <c r="S104" s="7">
        <v>16</v>
      </c>
      <c r="T104" s="7">
        <v>11</v>
      </c>
      <c r="U104" s="7">
        <v>8</v>
      </c>
      <c r="V104" s="7">
        <v>11</v>
      </c>
      <c r="W104" s="7">
        <v>18</v>
      </c>
      <c r="X104" s="7">
        <v>13</v>
      </c>
      <c r="Y104" s="7">
        <v>4</v>
      </c>
      <c r="Z104" s="7">
        <v>7</v>
      </c>
      <c r="AA104" s="7">
        <v>9</v>
      </c>
      <c r="AB104" s="7">
        <v>9</v>
      </c>
      <c r="AC104" s="7">
        <v>5</v>
      </c>
      <c r="AD104" s="7">
        <v>16</v>
      </c>
      <c r="AE104" s="7"/>
      <c r="AF104" s="8"/>
      <c r="AG104" s="4">
        <f t="shared" si="13"/>
        <v>314</v>
      </c>
    </row>
    <row r="105" spans="1:33" ht="18.75" x14ac:dyDescent="0.25">
      <c r="A105" s="49" t="s">
        <v>12</v>
      </c>
      <c r="B105" s="7">
        <v>17</v>
      </c>
      <c r="C105" s="7">
        <v>15</v>
      </c>
      <c r="D105" s="7">
        <v>10</v>
      </c>
      <c r="E105" s="7">
        <v>14</v>
      </c>
      <c r="F105" s="7">
        <v>11</v>
      </c>
      <c r="G105" s="7">
        <v>6</v>
      </c>
      <c r="H105" s="7">
        <v>6</v>
      </c>
      <c r="I105" s="7">
        <v>4</v>
      </c>
      <c r="J105" s="7">
        <v>10</v>
      </c>
      <c r="K105" s="7">
        <v>9</v>
      </c>
      <c r="L105" s="7">
        <v>12</v>
      </c>
      <c r="M105" s="7">
        <v>6</v>
      </c>
      <c r="N105" s="7">
        <v>8</v>
      </c>
      <c r="O105" s="7">
        <v>5</v>
      </c>
      <c r="P105" s="7">
        <v>15</v>
      </c>
      <c r="Q105" s="7">
        <v>11</v>
      </c>
      <c r="R105" s="7">
        <v>17</v>
      </c>
      <c r="S105" s="7">
        <v>16</v>
      </c>
      <c r="T105" s="7">
        <v>18</v>
      </c>
      <c r="U105" s="7">
        <v>4</v>
      </c>
      <c r="V105" s="7">
        <v>8</v>
      </c>
      <c r="W105" s="7">
        <v>11</v>
      </c>
      <c r="X105" s="7">
        <v>14</v>
      </c>
      <c r="Y105" s="7">
        <v>8</v>
      </c>
      <c r="Z105" s="7">
        <v>7</v>
      </c>
      <c r="AA105" s="7">
        <v>8</v>
      </c>
      <c r="AB105" s="7">
        <v>13</v>
      </c>
      <c r="AC105" s="7">
        <v>10</v>
      </c>
      <c r="AD105" s="7">
        <v>5</v>
      </c>
      <c r="AE105" s="7"/>
      <c r="AF105" s="8"/>
      <c r="AG105" s="4">
        <f t="shared" si="13"/>
        <v>298</v>
      </c>
    </row>
    <row r="106" spans="1:33" ht="18.75" x14ac:dyDescent="0.25">
      <c r="A106" s="49" t="s">
        <v>13</v>
      </c>
      <c r="B106" s="7">
        <v>11</v>
      </c>
      <c r="C106" s="7">
        <v>9</v>
      </c>
      <c r="D106" s="7">
        <v>8</v>
      </c>
      <c r="E106" s="7">
        <v>7</v>
      </c>
      <c r="F106" s="7">
        <v>7</v>
      </c>
      <c r="G106" s="7">
        <v>5</v>
      </c>
      <c r="H106" s="7">
        <v>10</v>
      </c>
      <c r="I106" s="7">
        <v>7</v>
      </c>
      <c r="J106" s="7">
        <v>14</v>
      </c>
      <c r="K106" s="7">
        <v>7</v>
      </c>
      <c r="L106" s="7">
        <v>8</v>
      </c>
      <c r="M106" s="7">
        <v>8</v>
      </c>
      <c r="N106" s="7">
        <v>9</v>
      </c>
      <c r="O106" s="7">
        <v>8</v>
      </c>
      <c r="P106" s="7">
        <v>6</v>
      </c>
      <c r="Q106" s="7">
        <v>12</v>
      </c>
      <c r="R106" s="7">
        <v>8</v>
      </c>
      <c r="S106" s="7">
        <v>5</v>
      </c>
      <c r="T106" s="7">
        <v>10</v>
      </c>
      <c r="U106" s="7">
        <v>11</v>
      </c>
      <c r="V106" s="7">
        <v>11</v>
      </c>
      <c r="W106" s="7">
        <v>11</v>
      </c>
      <c r="X106" s="7">
        <v>17</v>
      </c>
      <c r="Y106" s="7">
        <v>7</v>
      </c>
      <c r="Z106" s="7">
        <v>9</v>
      </c>
      <c r="AA106" s="7">
        <v>8</v>
      </c>
      <c r="AB106" s="7">
        <v>12</v>
      </c>
      <c r="AC106" s="7">
        <v>4</v>
      </c>
      <c r="AD106" s="7">
        <v>16</v>
      </c>
      <c r="AE106" s="7"/>
      <c r="AF106" s="8"/>
      <c r="AG106" s="4">
        <f t="shared" si="13"/>
        <v>265</v>
      </c>
    </row>
    <row r="107" spans="1:33" ht="18.75" x14ac:dyDescent="0.25">
      <c r="A107" s="49" t="s">
        <v>14</v>
      </c>
      <c r="B107" s="7">
        <v>15</v>
      </c>
      <c r="C107" s="7">
        <v>15</v>
      </c>
      <c r="D107" s="7">
        <v>13</v>
      </c>
      <c r="E107" s="7">
        <v>11</v>
      </c>
      <c r="F107" s="7">
        <v>9</v>
      </c>
      <c r="G107" s="7">
        <v>5</v>
      </c>
      <c r="H107" s="7">
        <v>11</v>
      </c>
      <c r="I107" s="7">
        <v>16</v>
      </c>
      <c r="J107" s="7">
        <v>9</v>
      </c>
      <c r="K107" s="7">
        <v>12</v>
      </c>
      <c r="L107" s="7">
        <v>12</v>
      </c>
      <c r="M107" s="7">
        <v>8</v>
      </c>
      <c r="N107" s="7">
        <v>9</v>
      </c>
      <c r="O107" s="7">
        <v>12</v>
      </c>
      <c r="P107" s="7">
        <v>16</v>
      </c>
      <c r="Q107" s="7">
        <v>17</v>
      </c>
      <c r="R107" s="7">
        <v>13</v>
      </c>
      <c r="S107" s="7">
        <v>14</v>
      </c>
      <c r="T107" s="7">
        <v>9</v>
      </c>
      <c r="U107" s="7">
        <v>7</v>
      </c>
      <c r="V107" s="7">
        <v>5</v>
      </c>
      <c r="W107" s="7">
        <v>16</v>
      </c>
      <c r="X107" s="7">
        <v>14</v>
      </c>
      <c r="Y107" s="7">
        <v>13</v>
      </c>
      <c r="Z107" s="7">
        <v>12</v>
      </c>
      <c r="AA107" s="7">
        <v>10</v>
      </c>
      <c r="AB107" s="7">
        <v>13</v>
      </c>
      <c r="AC107" s="7">
        <v>12</v>
      </c>
      <c r="AD107" s="7">
        <v>25</v>
      </c>
      <c r="AE107" s="7"/>
      <c r="AF107" s="8"/>
      <c r="AG107" s="4">
        <f t="shared" si="13"/>
        <v>353</v>
      </c>
    </row>
    <row r="108" spans="1:33" ht="18.75" x14ac:dyDescent="0.25">
      <c r="A108" s="49" t="s">
        <v>15</v>
      </c>
      <c r="B108" s="7">
        <v>17</v>
      </c>
      <c r="C108" s="7">
        <v>18</v>
      </c>
      <c r="D108" s="7">
        <v>14</v>
      </c>
      <c r="E108" s="7">
        <v>11</v>
      </c>
      <c r="F108" s="7">
        <v>9</v>
      </c>
      <c r="G108" s="7">
        <v>5</v>
      </c>
      <c r="H108" s="7">
        <v>11</v>
      </c>
      <c r="I108" s="7">
        <v>17</v>
      </c>
      <c r="J108" s="7">
        <v>17</v>
      </c>
      <c r="K108" s="7">
        <v>15</v>
      </c>
      <c r="L108" s="7">
        <v>12</v>
      </c>
      <c r="M108" s="7">
        <v>7</v>
      </c>
      <c r="N108" s="7">
        <v>9</v>
      </c>
      <c r="O108" s="7">
        <v>8</v>
      </c>
      <c r="P108" s="7">
        <v>13</v>
      </c>
      <c r="Q108" s="7">
        <v>20</v>
      </c>
      <c r="R108" s="7">
        <v>8</v>
      </c>
      <c r="S108" s="7">
        <v>9</v>
      </c>
      <c r="T108" s="7">
        <v>14</v>
      </c>
      <c r="U108" s="7">
        <v>12</v>
      </c>
      <c r="V108" s="7">
        <v>10</v>
      </c>
      <c r="W108" s="7">
        <v>15</v>
      </c>
      <c r="X108" s="7">
        <v>18</v>
      </c>
      <c r="Y108" s="7">
        <v>11</v>
      </c>
      <c r="Z108" s="7">
        <v>11</v>
      </c>
      <c r="AA108" s="7">
        <v>9</v>
      </c>
      <c r="AB108" s="7">
        <v>13</v>
      </c>
      <c r="AC108" s="7">
        <v>10</v>
      </c>
      <c r="AD108" s="7">
        <v>20</v>
      </c>
      <c r="AE108" s="7"/>
      <c r="AF108" s="8"/>
      <c r="AG108" s="4">
        <f t="shared" si="13"/>
        <v>363</v>
      </c>
    </row>
    <row r="109" spans="1:33" ht="18.75" x14ac:dyDescent="0.25">
      <c r="A109" s="49" t="s">
        <v>16</v>
      </c>
      <c r="B109" s="7">
        <v>11</v>
      </c>
      <c r="C109" s="7">
        <v>16</v>
      </c>
      <c r="D109" s="7">
        <v>10</v>
      </c>
      <c r="E109" s="7">
        <v>8</v>
      </c>
      <c r="F109" s="7">
        <v>17</v>
      </c>
      <c r="G109" s="7">
        <v>12</v>
      </c>
      <c r="H109" s="7">
        <v>5</v>
      </c>
      <c r="I109" s="7">
        <v>11</v>
      </c>
      <c r="J109" s="7">
        <v>15</v>
      </c>
      <c r="K109" s="7">
        <v>10</v>
      </c>
      <c r="L109" s="7">
        <v>4</v>
      </c>
      <c r="M109" s="7">
        <v>9</v>
      </c>
      <c r="N109" s="7">
        <v>8</v>
      </c>
      <c r="O109" s="7">
        <v>6</v>
      </c>
      <c r="P109" s="7">
        <v>13</v>
      </c>
      <c r="Q109" s="7">
        <v>20</v>
      </c>
      <c r="R109" s="7">
        <v>14</v>
      </c>
      <c r="S109" s="7">
        <v>8</v>
      </c>
      <c r="T109" s="7">
        <v>10</v>
      </c>
      <c r="U109" s="7">
        <v>8</v>
      </c>
      <c r="V109" s="7">
        <v>12</v>
      </c>
      <c r="W109" s="7">
        <v>24</v>
      </c>
      <c r="X109" s="7">
        <v>13</v>
      </c>
      <c r="Y109" s="7">
        <v>13</v>
      </c>
      <c r="Z109" s="7">
        <v>12</v>
      </c>
      <c r="AA109" s="7">
        <v>17</v>
      </c>
      <c r="AB109" s="7">
        <v>10</v>
      </c>
      <c r="AC109" s="7">
        <v>9</v>
      </c>
      <c r="AD109" s="7">
        <v>13</v>
      </c>
      <c r="AE109" s="7"/>
      <c r="AF109" s="8"/>
      <c r="AG109" s="4">
        <f t="shared" si="13"/>
        <v>338</v>
      </c>
    </row>
    <row r="110" spans="1:33" ht="18.75" x14ac:dyDescent="0.25">
      <c r="A110" s="49" t="s">
        <v>17</v>
      </c>
      <c r="B110" s="7">
        <v>9</v>
      </c>
      <c r="C110" s="7">
        <v>9</v>
      </c>
      <c r="D110" s="7">
        <v>8</v>
      </c>
      <c r="E110" s="7">
        <v>8</v>
      </c>
      <c r="F110" s="7">
        <v>4</v>
      </c>
      <c r="G110" s="7">
        <v>7</v>
      </c>
      <c r="H110" s="7">
        <v>5</v>
      </c>
      <c r="I110" s="7">
        <v>9</v>
      </c>
      <c r="J110" s="7">
        <v>8</v>
      </c>
      <c r="K110" s="7">
        <v>10</v>
      </c>
      <c r="L110" s="7">
        <v>7</v>
      </c>
      <c r="M110" s="7">
        <v>7</v>
      </c>
      <c r="N110" s="7">
        <v>11</v>
      </c>
      <c r="O110" s="7">
        <v>10</v>
      </c>
      <c r="P110" s="7">
        <v>16</v>
      </c>
      <c r="Q110" s="7">
        <v>17</v>
      </c>
      <c r="R110" s="7">
        <v>8</v>
      </c>
      <c r="S110" s="7">
        <v>13</v>
      </c>
      <c r="T110" s="7">
        <v>11</v>
      </c>
      <c r="U110" s="7">
        <v>11</v>
      </c>
      <c r="V110" s="7">
        <v>8</v>
      </c>
      <c r="W110" s="7">
        <v>9</v>
      </c>
      <c r="X110" s="7">
        <v>18</v>
      </c>
      <c r="Y110" s="7">
        <v>11</v>
      </c>
      <c r="Z110" s="7">
        <v>8</v>
      </c>
      <c r="AA110" s="7">
        <v>12</v>
      </c>
      <c r="AB110" s="7">
        <v>15</v>
      </c>
      <c r="AC110" s="7">
        <v>13</v>
      </c>
      <c r="AD110" s="7">
        <v>21</v>
      </c>
      <c r="AE110" s="7"/>
      <c r="AF110" s="8"/>
      <c r="AG110" s="4">
        <f t="shared" si="13"/>
        <v>303</v>
      </c>
    </row>
    <row r="111" spans="1:33" ht="18.75" x14ac:dyDescent="0.25">
      <c r="A111" s="49" t="s">
        <v>18</v>
      </c>
      <c r="B111" s="7">
        <v>10</v>
      </c>
      <c r="C111" s="7">
        <v>7</v>
      </c>
      <c r="D111" s="7">
        <v>8</v>
      </c>
      <c r="E111" s="7">
        <v>7</v>
      </c>
      <c r="F111" s="7">
        <v>7</v>
      </c>
      <c r="G111" s="7">
        <v>11</v>
      </c>
      <c r="H111" s="7">
        <v>11</v>
      </c>
      <c r="I111" s="7">
        <v>8</v>
      </c>
      <c r="J111" s="7">
        <v>14</v>
      </c>
      <c r="K111" s="7">
        <v>4</v>
      </c>
      <c r="L111" s="7">
        <v>6</v>
      </c>
      <c r="M111" s="7">
        <v>8</v>
      </c>
      <c r="N111" s="7">
        <v>6</v>
      </c>
      <c r="O111" s="7">
        <v>5</v>
      </c>
      <c r="P111" s="7">
        <v>10</v>
      </c>
      <c r="Q111" s="7">
        <v>8</v>
      </c>
      <c r="R111" s="7">
        <v>8</v>
      </c>
      <c r="S111" s="7">
        <v>10</v>
      </c>
      <c r="T111" s="7">
        <v>9</v>
      </c>
      <c r="U111" s="7">
        <v>10</v>
      </c>
      <c r="V111" s="7">
        <v>7</v>
      </c>
      <c r="W111" s="7">
        <v>9</v>
      </c>
      <c r="X111" s="7">
        <v>10</v>
      </c>
      <c r="Y111" s="7">
        <v>4</v>
      </c>
      <c r="Z111" s="7">
        <v>11</v>
      </c>
      <c r="AA111" s="7">
        <v>7</v>
      </c>
      <c r="AB111" s="7">
        <v>8</v>
      </c>
      <c r="AC111" s="7">
        <v>3</v>
      </c>
      <c r="AD111" s="7">
        <v>6</v>
      </c>
      <c r="AE111" s="7"/>
      <c r="AF111" s="8"/>
      <c r="AG111" s="4">
        <f t="shared" si="13"/>
        <v>232</v>
      </c>
    </row>
    <row r="112" spans="1:33" ht="18.75" x14ac:dyDescent="0.25">
      <c r="A112" s="49" t="s">
        <v>19</v>
      </c>
      <c r="B112" s="7">
        <v>12</v>
      </c>
      <c r="C112" s="7">
        <v>6</v>
      </c>
      <c r="D112" s="7">
        <v>11</v>
      </c>
      <c r="E112" s="7">
        <v>5</v>
      </c>
      <c r="F112" s="7">
        <v>6</v>
      </c>
      <c r="G112" s="7">
        <v>5</v>
      </c>
      <c r="H112" s="7">
        <v>9</v>
      </c>
      <c r="I112" s="7">
        <v>6</v>
      </c>
      <c r="J112" s="7">
        <v>9</v>
      </c>
      <c r="K112" s="7">
        <v>6</v>
      </c>
      <c r="L112" s="7">
        <v>5</v>
      </c>
      <c r="M112" s="7">
        <v>5</v>
      </c>
      <c r="N112" s="7">
        <v>7</v>
      </c>
      <c r="O112" s="7">
        <v>6</v>
      </c>
      <c r="P112" s="7">
        <v>6</v>
      </c>
      <c r="Q112" s="7">
        <v>9</v>
      </c>
      <c r="R112" s="7">
        <v>4</v>
      </c>
      <c r="S112" s="7">
        <v>8</v>
      </c>
      <c r="T112" s="7">
        <v>4</v>
      </c>
      <c r="U112" s="7">
        <v>6</v>
      </c>
      <c r="V112" s="7">
        <v>6</v>
      </c>
      <c r="W112" s="7">
        <v>6</v>
      </c>
      <c r="X112" s="7">
        <v>6</v>
      </c>
      <c r="Y112" s="7">
        <v>4</v>
      </c>
      <c r="Z112" s="7">
        <v>3</v>
      </c>
      <c r="AA112" s="7">
        <v>2</v>
      </c>
      <c r="AB112" s="7">
        <v>5</v>
      </c>
      <c r="AC112" s="7">
        <v>6</v>
      </c>
      <c r="AD112" s="7">
        <v>3</v>
      </c>
      <c r="AE112" s="7"/>
      <c r="AF112" s="8"/>
      <c r="AG112" s="4">
        <f>SUM(B112:AF112)</f>
        <v>176</v>
      </c>
    </row>
    <row r="113" spans="1:33" ht="18.75" x14ac:dyDescent="0.25">
      <c r="A113" s="49" t="s">
        <v>20</v>
      </c>
      <c r="B113" s="7">
        <v>5</v>
      </c>
      <c r="C113" s="7">
        <v>5</v>
      </c>
      <c r="D113" s="7">
        <v>6</v>
      </c>
      <c r="E113" s="7">
        <v>2</v>
      </c>
      <c r="F113" s="7">
        <v>5</v>
      </c>
      <c r="G113" s="7">
        <v>4</v>
      </c>
      <c r="H113" s="7">
        <v>7</v>
      </c>
      <c r="I113" s="7">
        <v>14</v>
      </c>
      <c r="J113" s="7">
        <v>9</v>
      </c>
      <c r="K113" s="7">
        <v>7</v>
      </c>
      <c r="L113" s="7">
        <v>4</v>
      </c>
      <c r="M113" s="7"/>
      <c r="N113" s="7">
        <v>2</v>
      </c>
      <c r="O113" s="7">
        <v>9</v>
      </c>
      <c r="P113" s="7">
        <v>9</v>
      </c>
      <c r="Q113" s="7">
        <v>6</v>
      </c>
      <c r="R113" s="7">
        <v>7</v>
      </c>
      <c r="S113" s="7">
        <v>4</v>
      </c>
      <c r="T113" s="7">
        <v>9</v>
      </c>
      <c r="U113" s="7">
        <v>3</v>
      </c>
      <c r="V113" s="7">
        <v>5</v>
      </c>
      <c r="W113" s="7">
        <v>6</v>
      </c>
      <c r="X113" s="7">
        <v>7</v>
      </c>
      <c r="Y113" s="7">
        <v>5</v>
      </c>
      <c r="Z113" s="7">
        <v>3</v>
      </c>
      <c r="AA113" s="7">
        <v>10</v>
      </c>
      <c r="AB113" s="7">
        <v>2</v>
      </c>
      <c r="AC113" s="7">
        <v>7</v>
      </c>
      <c r="AD113" s="7">
        <v>10</v>
      </c>
      <c r="AE113" s="7"/>
      <c r="AF113" s="8"/>
      <c r="AG113" s="4">
        <f t="shared" si="13"/>
        <v>172</v>
      </c>
    </row>
    <row r="114" spans="1:33" ht="18.75" x14ac:dyDescent="0.25">
      <c r="A114" s="49" t="s">
        <v>21</v>
      </c>
      <c r="B114" s="7">
        <v>11</v>
      </c>
      <c r="C114" s="7">
        <v>8</v>
      </c>
      <c r="D114" s="7">
        <v>8</v>
      </c>
      <c r="E114" s="7">
        <v>8</v>
      </c>
      <c r="F114" s="7">
        <v>6</v>
      </c>
      <c r="G114" s="7">
        <v>5</v>
      </c>
      <c r="H114" s="7">
        <v>7</v>
      </c>
      <c r="I114" s="7">
        <v>12</v>
      </c>
      <c r="J114" s="7">
        <v>6</v>
      </c>
      <c r="K114" s="7">
        <v>8</v>
      </c>
      <c r="L114" s="7">
        <v>2</v>
      </c>
      <c r="M114" s="7">
        <v>5</v>
      </c>
      <c r="N114" s="7">
        <v>3</v>
      </c>
      <c r="O114" s="7">
        <v>5</v>
      </c>
      <c r="P114" s="7">
        <v>11</v>
      </c>
      <c r="Q114" s="7">
        <v>7</v>
      </c>
      <c r="R114" s="7">
        <v>13</v>
      </c>
      <c r="S114" s="7">
        <v>12</v>
      </c>
      <c r="T114" s="7">
        <v>6</v>
      </c>
      <c r="U114" s="7">
        <v>10</v>
      </c>
      <c r="V114" s="7">
        <v>5</v>
      </c>
      <c r="W114" s="7">
        <v>9</v>
      </c>
      <c r="X114" s="7">
        <v>10</v>
      </c>
      <c r="Y114" s="7">
        <v>4</v>
      </c>
      <c r="Z114" s="7">
        <v>4</v>
      </c>
      <c r="AA114" s="7">
        <v>4</v>
      </c>
      <c r="AB114" s="7">
        <v>5</v>
      </c>
      <c r="AC114" s="7">
        <v>3</v>
      </c>
      <c r="AD114" s="7">
        <v>15</v>
      </c>
      <c r="AE114" s="7"/>
      <c r="AF114" s="8"/>
      <c r="AG114" s="4">
        <f t="shared" si="13"/>
        <v>212</v>
      </c>
    </row>
    <row r="115" spans="1:33" ht="19.5" thickBot="1" x14ac:dyDescent="0.3">
      <c r="A115" s="76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2"/>
      <c r="AG115" s="4">
        <f t="shared" si="13"/>
        <v>0</v>
      </c>
    </row>
    <row r="116" spans="1:33" ht="18.75" x14ac:dyDescent="0.25">
      <c r="A116" s="73" t="s">
        <v>61</v>
      </c>
      <c r="B116" s="74">
        <f t="shared" ref="B116:AF116" si="18">SUM(B117:B129)</f>
        <v>105</v>
      </c>
      <c r="C116" s="74">
        <f t="shared" si="18"/>
        <v>86</v>
      </c>
      <c r="D116" s="74">
        <f t="shared" si="18"/>
        <v>76</v>
      </c>
      <c r="E116" s="74">
        <f t="shared" si="18"/>
        <v>55</v>
      </c>
      <c r="F116" s="74">
        <f t="shared" si="18"/>
        <v>57</v>
      </c>
      <c r="G116" s="74">
        <f t="shared" si="18"/>
        <v>64</v>
      </c>
      <c r="H116" s="74">
        <f t="shared" si="18"/>
        <v>70</v>
      </c>
      <c r="I116" s="74">
        <f t="shared" si="18"/>
        <v>91</v>
      </c>
      <c r="J116" s="74">
        <f t="shared" si="18"/>
        <v>94</v>
      </c>
      <c r="K116" s="74">
        <f t="shared" si="18"/>
        <v>75</v>
      </c>
      <c r="L116" s="74">
        <f t="shared" si="18"/>
        <v>59</v>
      </c>
      <c r="M116" s="74">
        <f t="shared" si="18"/>
        <v>69</v>
      </c>
      <c r="N116" s="74">
        <f t="shared" si="18"/>
        <v>68</v>
      </c>
      <c r="O116" s="74">
        <f t="shared" si="18"/>
        <v>56</v>
      </c>
      <c r="P116" s="74">
        <f t="shared" si="18"/>
        <v>103</v>
      </c>
      <c r="Q116" s="74">
        <f t="shared" si="18"/>
        <v>106</v>
      </c>
      <c r="R116" s="74">
        <f t="shared" si="18"/>
        <v>66</v>
      </c>
      <c r="S116" s="74">
        <f t="shared" si="18"/>
        <v>73</v>
      </c>
      <c r="T116" s="74">
        <f t="shared" si="18"/>
        <v>78</v>
      </c>
      <c r="U116" s="74">
        <f t="shared" si="18"/>
        <v>77</v>
      </c>
      <c r="V116" s="74">
        <f t="shared" si="18"/>
        <v>71</v>
      </c>
      <c r="W116" s="74">
        <f t="shared" si="18"/>
        <v>107</v>
      </c>
      <c r="X116" s="74">
        <f t="shared" si="18"/>
        <v>90</v>
      </c>
      <c r="Y116" s="74">
        <f t="shared" si="18"/>
        <v>73</v>
      </c>
      <c r="Z116" s="74">
        <f t="shared" si="18"/>
        <v>68</v>
      </c>
      <c r="AA116" s="74">
        <f t="shared" si="18"/>
        <v>79</v>
      </c>
      <c r="AB116" s="74">
        <f t="shared" si="18"/>
        <v>85</v>
      </c>
      <c r="AC116" s="74">
        <f t="shared" si="18"/>
        <v>62</v>
      </c>
      <c r="AD116" s="74">
        <f t="shared" si="18"/>
        <v>101</v>
      </c>
      <c r="AE116" s="74">
        <f t="shared" si="18"/>
        <v>0</v>
      </c>
      <c r="AF116" s="84">
        <f t="shared" si="18"/>
        <v>0</v>
      </c>
      <c r="AG116" s="4">
        <f t="shared" si="13"/>
        <v>2264</v>
      </c>
    </row>
    <row r="117" spans="1:33" ht="18.75" x14ac:dyDescent="0.25">
      <c r="A117" s="43" t="s">
        <v>59</v>
      </c>
      <c r="B117" s="7">
        <v>71</v>
      </c>
      <c r="C117" s="7">
        <v>51</v>
      </c>
      <c r="D117" s="7">
        <v>46</v>
      </c>
      <c r="E117" s="7">
        <v>29</v>
      </c>
      <c r="F117" s="7">
        <v>33</v>
      </c>
      <c r="G117" s="7">
        <v>45</v>
      </c>
      <c r="H117" s="7">
        <v>44</v>
      </c>
      <c r="I117" s="7">
        <v>59</v>
      </c>
      <c r="J117" s="7">
        <v>66</v>
      </c>
      <c r="K117" s="7">
        <v>55</v>
      </c>
      <c r="L117" s="7">
        <v>30</v>
      </c>
      <c r="M117" s="7">
        <v>47</v>
      </c>
      <c r="N117" s="7">
        <v>46</v>
      </c>
      <c r="O117" s="7">
        <v>37</v>
      </c>
      <c r="P117" s="7">
        <v>70</v>
      </c>
      <c r="Q117" s="7">
        <v>69</v>
      </c>
      <c r="R117" s="7">
        <v>46</v>
      </c>
      <c r="S117" s="7">
        <v>51</v>
      </c>
      <c r="T117" s="7">
        <v>55</v>
      </c>
      <c r="U117" s="7">
        <v>55</v>
      </c>
      <c r="V117" s="7">
        <v>47</v>
      </c>
      <c r="W117" s="7">
        <v>75</v>
      </c>
      <c r="X117" s="7">
        <v>65</v>
      </c>
      <c r="Y117" s="7">
        <v>45</v>
      </c>
      <c r="Z117" s="7">
        <v>51</v>
      </c>
      <c r="AA117" s="7">
        <v>60</v>
      </c>
      <c r="AB117" s="7">
        <v>61</v>
      </c>
      <c r="AC117" s="7">
        <v>45</v>
      </c>
      <c r="AD117" s="7">
        <v>81</v>
      </c>
      <c r="AE117" s="7"/>
      <c r="AF117" s="8"/>
      <c r="AG117" s="4">
        <f t="shared" si="13"/>
        <v>1535</v>
      </c>
    </row>
    <row r="118" spans="1:33" ht="19.5" hidden="1" customHeight="1" thickBot="1" x14ac:dyDescent="0.25">
      <c r="A118" s="43" t="s">
        <v>23</v>
      </c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8"/>
      <c r="AG118" s="4">
        <f t="shared" si="13"/>
        <v>0</v>
      </c>
    </row>
    <row r="119" spans="1:33" ht="19.5" hidden="1" customHeight="1" thickBot="1" x14ac:dyDescent="0.25">
      <c r="A119" s="43" t="s">
        <v>24</v>
      </c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8"/>
      <c r="AG119" s="4">
        <f t="shared" si="13"/>
        <v>0</v>
      </c>
    </row>
    <row r="120" spans="1:33" ht="19.5" hidden="1" customHeight="1" thickBot="1" x14ac:dyDescent="0.25">
      <c r="A120" s="43" t="s">
        <v>25</v>
      </c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8"/>
      <c r="AG120" s="4">
        <f t="shared" si="13"/>
        <v>0</v>
      </c>
    </row>
    <row r="121" spans="1:33" ht="19.5" hidden="1" customHeight="1" thickBot="1" x14ac:dyDescent="0.25">
      <c r="A121" s="43" t="s">
        <v>26</v>
      </c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8"/>
      <c r="AG121" s="4">
        <f t="shared" si="13"/>
        <v>0</v>
      </c>
    </row>
    <row r="122" spans="1:33" ht="19.5" hidden="1" customHeight="1" thickBot="1" x14ac:dyDescent="0.25">
      <c r="A122" s="43" t="s">
        <v>27</v>
      </c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8"/>
      <c r="AG122" s="4">
        <f t="shared" si="13"/>
        <v>0</v>
      </c>
    </row>
    <row r="123" spans="1:33" ht="19.5" hidden="1" customHeight="1" thickBot="1" x14ac:dyDescent="0.25">
      <c r="A123" s="43" t="s">
        <v>28</v>
      </c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8"/>
      <c r="AG123" s="4">
        <f t="shared" si="13"/>
        <v>0</v>
      </c>
    </row>
    <row r="124" spans="1:33" ht="19.5" hidden="1" customHeight="1" thickBot="1" x14ac:dyDescent="0.25">
      <c r="A124" s="43" t="s">
        <v>29</v>
      </c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8"/>
      <c r="AG124" s="4">
        <f t="shared" si="13"/>
        <v>0</v>
      </c>
    </row>
    <row r="125" spans="1:33" ht="19.5" hidden="1" customHeight="1" thickBot="1" x14ac:dyDescent="0.25">
      <c r="A125" s="41" t="s">
        <v>30</v>
      </c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8"/>
      <c r="AG125" s="4">
        <f t="shared" si="13"/>
        <v>0</v>
      </c>
    </row>
    <row r="126" spans="1:33" ht="19.5" hidden="1" customHeight="1" thickBot="1" x14ac:dyDescent="0.25">
      <c r="A126" s="41" t="s">
        <v>31</v>
      </c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8"/>
      <c r="AG126" s="4">
        <f t="shared" si="13"/>
        <v>0</v>
      </c>
    </row>
    <row r="127" spans="1:33" ht="19.5" hidden="1" customHeight="1" thickBot="1" x14ac:dyDescent="0.25">
      <c r="A127" s="41" t="s">
        <v>32</v>
      </c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8"/>
      <c r="AG127" s="4">
        <f t="shared" ref="AG127:AG133" si="19">SUM(B127:AF127)</f>
        <v>0</v>
      </c>
    </row>
    <row r="128" spans="1:33" ht="19.5" hidden="1" customHeight="1" thickBot="1" x14ac:dyDescent="0.25">
      <c r="A128" s="43" t="s">
        <v>60</v>
      </c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8"/>
      <c r="AG128" s="4">
        <f t="shared" si="19"/>
        <v>0</v>
      </c>
    </row>
    <row r="129" spans="1:35" ht="19.5" thickBot="1" x14ac:dyDescent="0.3">
      <c r="A129" s="75" t="s">
        <v>86</v>
      </c>
      <c r="B129" s="13">
        <f>21+1+12</f>
        <v>34</v>
      </c>
      <c r="C129" s="13">
        <f>1+24+1+9</f>
        <v>35</v>
      </c>
      <c r="D129" s="13">
        <f>17+13</f>
        <v>30</v>
      </c>
      <c r="E129" s="13">
        <f>15+11</f>
        <v>26</v>
      </c>
      <c r="F129" s="13">
        <f>18+6</f>
        <v>24</v>
      </c>
      <c r="G129" s="13">
        <f>9+10</f>
        <v>19</v>
      </c>
      <c r="H129" s="13">
        <f>18+8</f>
        <v>26</v>
      </c>
      <c r="I129" s="13">
        <f>1+16+15</f>
        <v>32</v>
      </c>
      <c r="J129" s="13">
        <f>15+1+12</f>
        <v>28</v>
      </c>
      <c r="K129" s="13">
        <f>8+12</f>
        <v>20</v>
      </c>
      <c r="L129" s="13">
        <f>20+9</f>
        <v>29</v>
      </c>
      <c r="M129" s="13">
        <f>10+12</f>
        <v>22</v>
      </c>
      <c r="N129" s="13">
        <f>11+11</f>
        <v>22</v>
      </c>
      <c r="O129" s="13">
        <f>10+9</f>
        <v>19</v>
      </c>
      <c r="P129" s="13">
        <f>23+10</f>
        <v>33</v>
      </c>
      <c r="Q129" s="13">
        <f>20+17</f>
        <v>37</v>
      </c>
      <c r="R129" s="13">
        <f>15+5</f>
        <v>20</v>
      </c>
      <c r="S129" s="13">
        <f>13+9</f>
        <v>22</v>
      </c>
      <c r="T129" s="13">
        <f>15+1+7</f>
        <v>23</v>
      </c>
      <c r="U129" s="13">
        <f>16+6</f>
        <v>22</v>
      </c>
      <c r="V129" s="13">
        <f>13+1+10</f>
        <v>24</v>
      </c>
      <c r="W129" s="13">
        <f>14+18</f>
        <v>32</v>
      </c>
      <c r="X129" s="13">
        <f>13+12</f>
        <v>25</v>
      </c>
      <c r="Y129" s="13">
        <f>17+11</f>
        <v>28</v>
      </c>
      <c r="Z129" s="13">
        <f>9+8</f>
        <v>17</v>
      </c>
      <c r="AA129" s="13">
        <f>8+11</f>
        <v>19</v>
      </c>
      <c r="AB129" s="13">
        <f>9+15</f>
        <v>24</v>
      </c>
      <c r="AC129" s="13">
        <f>10+1+6</f>
        <v>17</v>
      </c>
      <c r="AD129" s="13">
        <f>11+9</f>
        <v>20</v>
      </c>
      <c r="AE129" s="13"/>
      <c r="AF129" s="14"/>
      <c r="AG129" s="4">
        <f t="shared" si="19"/>
        <v>729</v>
      </c>
    </row>
    <row r="130" spans="1:35" ht="18.75" x14ac:dyDescent="0.25">
      <c r="A130" s="73" t="s">
        <v>109</v>
      </c>
      <c r="B130" s="74">
        <f t="shared" ref="B130:AF130" si="20">SUM(B131:B143)</f>
        <v>215</v>
      </c>
      <c r="C130" s="74">
        <f t="shared" si="20"/>
        <v>199</v>
      </c>
      <c r="D130" s="74">
        <f t="shared" si="20"/>
        <v>169</v>
      </c>
      <c r="E130" s="74">
        <f t="shared" si="20"/>
        <v>136</v>
      </c>
      <c r="F130" s="74">
        <f t="shared" si="20"/>
        <v>143</v>
      </c>
      <c r="G130" s="74">
        <f t="shared" si="20"/>
        <v>116</v>
      </c>
      <c r="H130" s="74">
        <f t="shared" si="20"/>
        <v>157</v>
      </c>
      <c r="I130" s="74">
        <f t="shared" si="20"/>
        <v>172</v>
      </c>
      <c r="J130" s="74">
        <f t="shared" si="20"/>
        <v>205</v>
      </c>
      <c r="K130" s="74">
        <f t="shared" si="20"/>
        <v>146</v>
      </c>
      <c r="L130" s="74">
        <f t="shared" si="20"/>
        <v>148</v>
      </c>
      <c r="M130" s="74">
        <f t="shared" si="20"/>
        <v>138</v>
      </c>
      <c r="N130" s="74">
        <f t="shared" si="20"/>
        <v>140</v>
      </c>
      <c r="O130" s="74">
        <f t="shared" si="20"/>
        <v>118</v>
      </c>
      <c r="P130" s="74">
        <f t="shared" si="20"/>
        <v>182</v>
      </c>
      <c r="Q130" s="74">
        <f t="shared" si="20"/>
        <v>237</v>
      </c>
      <c r="R130" s="74">
        <f t="shared" si="20"/>
        <v>156</v>
      </c>
      <c r="S130" s="74">
        <f t="shared" si="20"/>
        <v>164</v>
      </c>
      <c r="T130" s="74">
        <f t="shared" si="20"/>
        <v>163</v>
      </c>
      <c r="U130" s="74">
        <f t="shared" si="20"/>
        <v>150</v>
      </c>
      <c r="V130" s="74">
        <f t="shared" si="20"/>
        <v>137</v>
      </c>
      <c r="W130" s="74">
        <f t="shared" si="20"/>
        <v>208</v>
      </c>
      <c r="X130" s="74">
        <f t="shared" si="20"/>
        <v>213</v>
      </c>
      <c r="Y130" s="74">
        <f t="shared" si="20"/>
        <v>142</v>
      </c>
      <c r="Z130" s="74">
        <f t="shared" si="20"/>
        <v>135</v>
      </c>
      <c r="AA130" s="74">
        <f t="shared" si="20"/>
        <v>159</v>
      </c>
      <c r="AB130" s="74">
        <f t="shared" si="20"/>
        <v>156</v>
      </c>
      <c r="AC130" s="74">
        <f t="shared" si="20"/>
        <v>126</v>
      </c>
      <c r="AD130" s="74">
        <f t="shared" si="20"/>
        <v>229</v>
      </c>
      <c r="AE130" s="74">
        <f t="shared" si="20"/>
        <v>0</v>
      </c>
      <c r="AF130" s="84">
        <f t="shared" si="20"/>
        <v>0</v>
      </c>
      <c r="AG130" s="150">
        <f t="shared" si="19"/>
        <v>4759</v>
      </c>
      <c r="AH130" s="1" t="str">
        <f>IF(AG130&lt;&gt;AG93,"*","")</f>
        <v/>
      </c>
    </row>
    <row r="131" spans="1:35" ht="18.75" x14ac:dyDescent="0.25">
      <c r="A131" s="43" t="s">
        <v>59</v>
      </c>
      <c r="B131" s="7">
        <v>66</v>
      </c>
      <c r="C131" s="7">
        <v>51</v>
      </c>
      <c r="D131" s="7">
        <v>45</v>
      </c>
      <c r="E131" s="7">
        <v>26</v>
      </c>
      <c r="F131" s="7">
        <v>33</v>
      </c>
      <c r="G131" s="7">
        <v>36</v>
      </c>
      <c r="H131" s="7">
        <v>36</v>
      </c>
      <c r="I131" s="7">
        <v>54</v>
      </c>
      <c r="J131" s="7">
        <v>65</v>
      </c>
      <c r="K131" s="7">
        <v>43</v>
      </c>
      <c r="L131" s="7">
        <v>25</v>
      </c>
      <c r="M131" s="7">
        <v>46</v>
      </c>
      <c r="N131" s="7">
        <v>39</v>
      </c>
      <c r="O131" s="7">
        <v>35</v>
      </c>
      <c r="P131" s="7">
        <v>56</v>
      </c>
      <c r="Q131" s="7">
        <v>69</v>
      </c>
      <c r="R131" s="7">
        <v>35</v>
      </c>
      <c r="S131" s="7">
        <v>45</v>
      </c>
      <c r="T131" s="7">
        <v>49</v>
      </c>
      <c r="U131" s="7">
        <v>53</v>
      </c>
      <c r="V131" s="7">
        <v>38</v>
      </c>
      <c r="W131" s="7">
        <v>73</v>
      </c>
      <c r="X131" s="7">
        <v>65</v>
      </c>
      <c r="Y131" s="7">
        <v>38</v>
      </c>
      <c r="Z131" s="7">
        <v>45</v>
      </c>
      <c r="AA131" s="7">
        <v>55</v>
      </c>
      <c r="AB131" s="7">
        <v>52</v>
      </c>
      <c r="AC131" s="7">
        <v>38</v>
      </c>
      <c r="AD131" s="7">
        <v>79</v>
      </c>
      <c r="AE131" s="7"/>
      <c r="AF131" s="8"/>
      <c r="AG131" s="4">
        <f t="shared" si="19"/>
        <v>1390</v>
      </c>
    </row>
    <row r="132" spans="1:35" ht="18.75" x14ac:dyDescent="0.25">
      <c r="A132" s="43" t="s">
        <v>23</v>
      </c>
      <c r="B132" s="7">
        <v>10</v>
      </c>
      <c r="C132" s="7">
        <v>16</v>
      </c>
      <c r="D132" s="7">
        <v>12</v>
      </c>
      <c r="E132" s="7">
        <v>14</v>
      </c>
      <c r="F132" s="7">
        <v>7</v>
      </c>
      <c r="G132" s="7">
        <v>6</v>
      </c>
      <c r="H132" s="7">
        <v>8</v>
      </c>
      <c r="I132" s="7">
        <v>7</v>
      </c>
      <c r="J132" s="7">
        <v>15</v>
      </c>
      <c r="K132" s="7">
        <v>9</v>
      </c>
      <c r="L132" s="7">
        <v>8</v>
      </c>
      <c r="M132" s="7">
        <v>10</v>
      </c>
      <c r="N132" s="7">
        <v>2</v>
      </c>
      <c r="O132" s="7">
        <v>7</v>
      </c>
      <c r="P132" s="7">
        <v>13</v>
      </c>
      <c r="Q132" s="7">
        <v>14</v>
      </c>
      <c r="R132" s="7">
        <v>16</v>
      </c>
      <c r="S132" s="7">
        <v>13</v>
      </c>
      <c r="T132" s="7">
        <v>8</v>
      </c>
      <c r="U132" s="7">
        <v>10</v>
      </c>
      <c r="V132" s="7">
        <v>8</v>
      </c>
      <c r="W132" s="7">
        <v>5</v>
      </c>
      <c r="X132" s="7">
        <v>14</v>
      </c>
      <c r="Y132" s="7">
        <v>8</v>
      </c>
      <c r="Z132" s="7">
        <v>7</v>
      </c>
      <c r="AA132" s="7">
        <v>10</v>
      </c>
      <c r="AB132" s="7">
        <v>10</v>
      </c>
      <c r="AC132" s="7">
        <v>3</v>
      </c>
      <c r="AD132" s="7">
        <v>18</v>
      </c>
      <c r="AE132" s="7"/>
      <c r="AF132" s="8"/>
      <c r="AG132" s="4">
        <f t="shared" si="19"/>
        <v>288</v>
      </c>
    </row>
    <row r="133" spans="1:35" ht="18.75" x14ac:dyDescent="0.25">
      <c r="A133" s="43" t="s">
        <v>24</v>
      </c>
      <c r="B133" s="7">
        <v>16</v>
      </c>
      <c r="C133" s="7">
        <v>6</v>
      </c>
      <c r="D133" s="7">
        <v>11</v>
      </c>
      <c r="E133" s="7">
        <v>6</v>
      </c>
      <c r="F133" s="7">
        <v>12</v>
      </c>
      <c r="G133" s="7">
        <v>7</v>
      </c>
      <c r="H133" s="7">
        <v>12</v>
      </c>
      <c r="I133" s="7">
        <v>14</v>
      </c>
      <c r="J133" s="7">
        <v>14</v>
      </c>
      <c r="K133" s="7">
        <v>9</v>
      </c>
      <c r="L133" s="7">
        <v>17</v>
      </c>
      <c r="M133" s="7">
        <v>9</v>
      </c>
      <c r="N133" s="7">
        <v>10</v>
      </c>
      <c r="O133" s="7">
        <v>5</v>
      </c>
      <c r="P133" s="7">
        <v>7</v>
      </c>
      <c r="Q133" s="7">
        <v>16</v>
      </c>
      <c r="R133" s="7">
        <v>19</v>
      </c>
      <c r="S133" s="7">
        <v>13</v>
      </c>
      <c r="T133" s="7">
        <v>12</v>
      </c>
      <c r="U133" s="7">
        <v>9</v>
      </c>
      <c r="V133" s="7">
        <v>11</v>
      </c>
      <c r="W133" s="7">
        <v>15</v>
      </c>
      <c r="X133" s="7">
        <v>15</v>
      </c>
      <c r="Y133" s="7">
        <v>12</v>
      </c>
      <c r="Z133" s="7">
        <v>6</v>
      </c>
      <c r="AA133" s="7">
        <v>9</v>
      </c>
      <c r="AB133" s="7">
        <v>13</v>
      </c>
      <c r="AC133" s="7">
        <v>3</v>
      </c>
      <c r="AD133" s="7">
        <v>8</v>
      </c>
      <c r="AE133" s="7"/>
      <c r="AF133" s="8"/>
      <c r="AG133" s="4">
        <f t="shared" si="19"/>
        <v>316</v>
      </c>
    </row>
    <row r="134" spans="1:35" ht="18.75" x14ac:dyDescent="0.25">
      <c r="A134" s="43" t="s">
        <v>25</v>
      </c>
      <c r="B134" s="7">
        <v>12</v>
      </c>
      <c r="C134" s="7">
        <v>10</v>
      </c>
      <c r="D134" s="7">
        <v>12</v>
      </c>
      <c r="E134" s="7">
        <v>13</v>
      </c>
      <c r="F134" s="7">
        <f>8+1</f>
        <v>9</v>
      </c>
      <c r="G134" s="7">
        <f>1+3+1</f>
        <v>5</v>
      </c>
      <c r="H134" s="7">
        <v>11</v>
      </c>
      <c r="I134" s="7">
        <v>14</v>
      </c>
      <c r="J134" s="7">
        <f>1+12</f>
        <v>13</v>
      </c>
      <c r="K134" s="7">
        <v>11</v>
      </c>
      <c r="L134" s="7">
        <f>1+9</f>
        <v>10</v>
      </c>
      <c r="M134" s="7">
        <f>1+9</f>
        <v>10</v>
      </c>
      <c r="N134" s="7">
        <v>6</v>
      </c>
      <c r="O134" s="7">
        <v>6</v>
      </c>
      <c r="P134" s="7">
        <v>10</v>
      </c>
      <c r="Q134" s="7">
        <f>2+10</f>
        <v>12</v>
      </c>
      <c r="R134" s="7">
        <v>3</v>
      </c>
      <c r="S134" s="7">
        <v>10</v>
      </c>
      <c r="T134" s="7">
        <f>1+11</f>
        <v>12</v>
      </c>
      <c r="U134" s="7">
        <v>6</v>
      </c>
      <c r="V134" s="7">
        <v>8</v>
      </c>
      <c r="W134" s="7">
        <v>20</v>
      </c>
      <c r="X134" s="7">
        <v>10</v>
      </c>
      <c r="Y134" s="7">
        <f>1+5</f>
        <v>6</v>
      </c>
      <c r="Z134" s="7">
        <v>4</v>
      </c>
      <c r="AA134" s="7">
        <v>12</v>
      </c>
      <c r="AB134" s="7">
        <v>3</v>
      </c>
      <c r="AC134" s="7">
        <f>1+5</f>
        <v>6</v>
      </c>
      <c r="AD134" s="7">
        <v>15</v>
      </c>
      <c r="AE134" s="7"/>
      <c r="AF134" s="8"/>
      <c r="AG134" s="4">
        <f t="shared" ref="AG134:AG147" si="21">SUM(B134:AF134)</f>
        <v>279</v>
      </c>
    </row>
    <row r="135" spans="1:35" ht="18.75" x14ac:dyDescent="0.25">
      <c r="A135" s="43" t="s">
        <v>26</v>
      </c>
      <c r="B135" s="7">
        <v>7</v>
      </c>
      <c r="C135" s="7">
        <v>19</v>
      </c>
      <c r="D135" s="7">
        <v>7</v>
      </c>
      <c r="E135" s="7">
        <v>9</v>
      </c>
      <c r="F135" s="7">
        <v>11</v>
      </c>
      <c r="G135" s="7">
        <v>5</v>
      </c>
      <c r="H135" s="7">
        <v>15</v>
      </c>
      <c r="I135" s="7">
        <v>12</v>
      </c>
      <c r="J135" s="7">
        <v>8</v>
      </c>
      <c r="K135" s="7">
        <v>7</v>
      </c>
      <c r="L135" s="7">
        <v>8</v>
      </c>
      <c r="M135" s="7">
        <v>6</v>
      </c>
      <c r="N135" s="7">
        <v>10</v>
      </c>
      <c r="O135" s="7">
        <v>12</v>
      </c>
      <c r="P135" s="7">
        <v>9</v>
      </c>
      <c r="Q135" s="7">
        <v>14</v>
      </c>
      <c r="R135" s="7">
        <v>11</v>
      </c>
      <c r="S135" s="7">
        <v>10</v>
      </c>
      <c r="T135" s="7">
        <v>11</v>
      </c>
      <c r="U135" s="7">
        <v>11</v>
      </c>
      <c r="V135" s="7">
        <v>8</v>
      </c>
      <c r="W135" s="7">
        <v>10</v>
      </c>
      <c r="X135" s="7">
        <v>15</v>
      </c>
      <c r="Y135" s="7">
        <v>8</v>
      </c>
      <c r="Z135" s="7">
        <v>14</v>
      </c>
      <c r="AA135" s="7">
        <v>10</v>
      </c>
      <c r="AB135" s="7">
        <v>9</v>
      </c>
      <c r="AC135" s="7">
        <v>12</v>
      </c>
      <c r="AD135" s="7">
        <v>15</v>
      </c>
      <c r="AE135" s="7"/>
      <c r="AF135" s="8"/>
      <c r="AG135" s="4">
        <f t="shared" si="21"/>
        <v>303</v>
      </c>
    </row>
    <row r="136" spans="1:35" ht="18.75" x14ac:dyDescent="0.25">
      <c r="A136" s="43" t="s">
        <v>27</v>
      </c>
      <c r="B136" s="7">
        <v>43</v>
      </c>
      <c r="C136" s="7">
        <v>43</v>
      </c>
      <c r="D136" s="7">
        <v>36</v>
      </c>
      <c r="E136" s="7">
        <v>22</v>
      </c>
      <c r="F136" s="7">
        <v>23</v>
      </c>
      <c r="G136" s="7">
        <v>25</v>
      </c>
      <c r="H136" s="7">
        <v>33</v>
      </c>
      <c r="I136" s="7">
        <v>27</v>
      </c>
      <c r="J136" s="7">
        <v>36</v>
      </c>
      <c r="K136" s="7">
        <v>30</v>
      </c>
      <c r="L136" s="7">
        <v>36</v>
      </c>
      <c r="M136" s="7">
        <v>22</v>
      </c>
      <c r="N136" s="7">
        <v>31</v>
      </c>
      <c r="O136" s="7">
        <v>24</v>
      </c>
      <c r="P136" s="7">
        <v>39</v>
      </c>
      <c r="Q136" s="7">
        <v>45</v>
      </c>
      <c r="R136" s="7">
        <v>27</v>
      </c>
      <c r="S136" s="7">
        <v>31</v>
      </c>
      <c r="T136" s="7">
        <v>33</v>
      </c>
      <c r="U136" s="7">
        <v>24</v>
      </c>
      <c r="V136" s="7">
        <v>26</v>
      </c>
      <c r="W136" s="7">
        <v>34</v>
      </c>
      <c r="X136" s="7">
        <v>38</v>
      </c>
      <c r="Y136" s="7">
        <v>25</v>
      </c>
      <c r="Z136" s="7">
        <v>22</v>
      </c>
      <c r="AA136" s="7">
        <v>23</v>
      </c>
      <c r="AB136" s="7">
        <v>29</v>
      </c>
      <c r="AC136" s="7">
        <v>25</v>
      </c>
      <c r="AD136" s="7">
        <v>46</v>
      </c>
      <c r="AE136" s="7"/>
      <c r="AF136" s="8"/>
      <c r="AG136" s="4">
        <f t="shared" si="21"/>
        <v>898</v>
      </c>
    </row>
    <row r="137" spans="1:35" ht="18.75" x14ac:dyDescent="0.25">
      <c r="A137" s="43" t="s">
        <v>28</v>
      </c>
      <c r="B137" s="7">
        <v>11</v>
      </c>
      <c r="C137" s="7">
        <f>7+1</f>
        <v>8</v>
      </c>
      <c r="D137" s="7">
        <f>3+1</f>
        <v>4</v>
      </c>
      <c r="E137" s="7">
        <f>8+1</f>
        <v>9</v>
      </c>
      <c r="F137" s="7">
        <f>5+3</f>
        <v>8</v>
      </c>
      <c r="G137" s="7">
        <f>6+1</f>
        <v>7</v>
      </c>
      <c r="H137" s="7">
        <f>6+1</f>
        <v>7</v>
      </c>
      <c r="I137" s="7">
        <v>7</v>
      </c>
      <c r="J137" s="7">
        <f>12+1</f>
        <v>13</v>
      </c>
      <c r="K137" s="7">
        <v>8</v>
      </c>
      <c r="L137" s="7">
        <f>10+1</f>
        <v>11</v>
      </c>
      <c r="M137" s="7">
        <v>6</v>
      </c>
      <c r="N137" s="7">
        <f>12+1</f>
        <v>13</v>
      </c>
      <c r="O137" s="7">
        <v>8</v>
      </c>
      <c r="P137" s="7">
        <v>8</v>
      </c>
      <c r="Q137" s="7">
        <v>13</v>
      </c>
      <c r="R137" s="7">
        <v>10</v>
      </c>
      <c r="S137" s="7">
        <v>10</v>
      </c>
      <c r="T137" s="7">
        <f>6+1</f>
        <v>7</v>
      </c>
      <c r="U137" s="7">
        <f>7+2</f>
        <v>9</v>
      </c>
      <c r="V137" s="7">
        <f>11+1</f>
        <v>12</v>
      </c>
      <c r="W137" s="7">
        <f>5+1</f>
        <v>6</v>
      </c>
      <c r="X137" s="7">
        <f>9+1</f>
        <v>10</v>
      </c>
      <c r="Y137" s="7">
        <v>10</v>
      </c>
      <c r="Z137" s="7">
        <f>12+1</f>
        <v>13</v>
      </c>
      <c r="AA137" s="7">
        <f>7+3</f>
        <v>10</v>
      </c>
      <c r="AB137" s="7">
        <f>9+1</f>
        <v>10</v>
      </c>
      <c r="AC137" s="7">
        <f>7+2</f>
        <v>9</v>
      </c>
      <c r="AD137" s="7">
        <f>5+1</f>
        <v>6</v>
      </c>
      <c r="AE137" s="7"/>
      <c r="AF137" s="8"/>
      <c r="AG137" s="4">
        <f t="shared" si="21"/>
        <v>263</v>
      </c>
    </row>
    <row r="138" spans="1:35" ht="18.75" x14ac:dyDescent="0.25">
      <c r="A138" s="43" t="s">
        <v>29</v>
      </c>
      <c r="B138" s="7">
        <v>8</v>
      </c>
      <c r="C138" s="7">
        <v>2</v>
      </c>
      <c r="D138" s="7">
        <v>5</v>
      </c>
      <c r="E138" s="7">
        <v>5</v>
      </c>
      <c r="F138" s="7">
        <v>5</v>
      </c>
      <c r="G138" s="7">
        <v>5</v>
      </c>
      <c r="H138" s="7">
        <v>4</v>
      </c>
      <c r="I138" s="7">
        <v>7</v>
      </c>
      <c r="J138" s="7">
        <v>7</v>
      </c>
      <c r="K138" s="7">
        <v>5</v>
      </c>
      <c r="L138" s="7">
        <v>2</v>
      </c>
      <c r="M138" s="7">
        <v>5</v>
      </c>
      <c r="N138" s="7">
        <v>2</v>
      </c>
      <c r="O138" s="7">
        <v>3</v>
      </c>
      <c r="P138" s="7">
        <v>4</v>
      </c>
      <c r="Q138" s="7">
        <v>7</v>
      </c>
      <c r="R138" s="7">
        <v>8</v>
      </c>
      <c r="S138" s="7">
        <v>4</v>
      </c>
      <c r="T138" s="7">
        <v>3</v>
      </c>
      <c r="U138" s="7">
        <v>5</v>
      </c>
      <c r="V138" s="7">
        <v>4</v>
      </c>
      <c r="W138" s="7">
        <v>7</v>
      </c>
      <c r="X138" s="7">
        <v>6</v>
      </c>
      <c r="Y138" s="7">
        <v>8</v>
      </c>
      <c r="Z138" s="7">
        <v>4</v>
      </c>
      <c r="AA138" s="7">
        <v>7</v>
      </c>
      <c r="AB138" s="7">
        <v>6</v>
      </c>
      <c r="AC138" s="7">
        <v>7</v>
      </c>
      <c r="AD138" s="7">
        <v>7</v>
      </c>
      <c r="AE138" s="7"/>
      <c r="AF138" s="8"/>
      <c r="AG138" s="4">
        <f t="shared" si="21"/>
        <v>152</v>
      </c>
    </row>
    <row r="139" spans="1:35" ht="18.75" x14ac:dyDescent="0.25">
      <c r="A139" s="41" t="s">
        <v>30</v>
      </c>
      <c r="B139" s="7">
        <v>3</v>
      </c>
      <c r="C139" s="7">
        <v>3</v>
      </c>
      <c r="D139" s="7">
        <v>2</v>
      </c>
      <c r="E139" s="7">
        <v>3</v>
      </c>
      <c r="F139" s="7">
        <v>1</v>
      </c>
      <c r="G139" s="7"/>
      <c r="H139" s="7">
        <v>1</v>
      </c>
      <c r="I139" s="7">
        <v>1</v>
      </c>
      <c r="J139" s="7">
        <v>2</v>
      </c>
      <c r="K139" s="7">
        <f>2+2</f>
        <v>4</v>
      </c>
      <c r="L139" s="7"/>
      <c r="M139" s="7">
        <v>1</v>
      </c>
      <c r="N139" s="7">
        <f>2+1</f>
        <v>3</v>
      </c>
      <c r="O139" s="7">
        <v>3</v>
      </c>
      <c r="P139" s="7">
        <f>3+2</f>
        <v>5</v>
      </c>
      <c r="Q139" s="7">
        <f>1+2</f>
        <v>3</v>
      </c>
      <c r="R139" s="7">
        <f>2+2</f>
        <v>4</v>
      </c>
      <c r="S139" s="7">
        <f>1+3</f>
        <v>4</v>
      </c>
      <c r="T139" s="7">
        <f>2+2</f>
        <v>4</v>
      </c>
      <c r="U139" s="7">
        <f>1</f>
        <v>1</v>
      </c>
      <c r="V139" s="7">
        <f>1+1</f>
        <v>2</v>
      </c>
      <c r="W139" s="7">
        <f>5+2</f>
        <v>7</v>
      </c>
      <c r="X139" s="7">
        <f>3+1</f>
        <v>4</v>
      </c>
      <c r="Y139" s="7"/>
      <c r="Z139" s="7"/>
      <c r="AA139" s="7"/>
      <c r="AB139" s="7">
        <v>1</v>
      </c>
      <c r="AC139" s="7">
        <v>1</v>
      </c>
      <c r="AD139" s="7">
        <v>2</v>
      </c>
      <c r="AE139" s="7"/>
      <c r="AF139" s="8"/>
      <c r="AG139" s="4">
        <f t="shared" si="21"/>
        <v>65</v>
      </c>
    </row>
    <row r="140" spans="1:35" ht="18.75" x14ac:dyDescent="0.25">
      <c r="A140" s="41" t="s">
        <v>31</v>
      </c>
      <c r="B140" s="7"/>
      <c r="C140" s="7">
        <v>2</v>
      </c>
      <c r="D140" s="7">
        <v>4</v>
      </c>
      <c r="E140" s="7">
        <v>2</v>
      </c>
      <c r="F140" s="7">
        <v>5</v>
      </c>
      <c r="G140" s="7"/>
      <c r="H140" s="7">
        <v>1</v>
      </c>
      <c r="I140" s="7"/>
      <c r="J140" s="7">
        <v>1</v>
      </c>
      <c r="K140" s="7">
        <v>3</v>
      </c>
      <c r="L140" s="7">
        <v>2</v>
      </c>
      <c r="M140" s="7">
        <v>1</v>
      </c>
      <c r="N140" s="7">
        <v>2</v>
      </c>
      <c r="O140" s="7"/>
      <c r="P140" s="7">
        <v>1</v>
      </c>
      <c r="Q140" s="7">
        <v>2</v>
      </c>
      <c r="R140" s="7"/>
      <c r="S140" s="7">
        <v>1</v>
      </c>
      <c r="T140" s="7">
        <v>1</v>
      </c>
      <c r="U140" s="7"/>
      <c r="V140" s="7">
        <v>1</v>
      </c>
      <c r="W140" s="7"/>
      <c r="X140" s="7">
        <v>4</v>
      </c>
      <c r="Y140" s="7">
        <v>2</v>
      </c>
      <c r="Z140" s="7">
        <v>1</v>
      </c>
      <c r="AA140" s="7">
        <v>1</v>
      </c>
      <c r="AB140" s="7"/>
      <c r="AC140" s="7">
        <v>4</v>
      </c>
      <c r="AD140" s="7">
        <v>8</v>
      </c>
      <c r="AE140" s="7"/>
      <c r="AF140" s="8"/>
      <c r="AG140" s="4">
        <f t="shared" si="21"/>
        <v>49</v>
      </c>
    </row>
    <row r="141" spans="1:35" ht="18.75" x14ac:dyDescent="0.25">
      <c r="A141" s="41" t="s">
        <v>32</v>
      </c>
      <c r="B141" s="7">
        <v>1</v>
      </c>
      <c r="C141" s="7">
        <v>1</v>
      </c>
      <c r="D141" s="7"/>
      <c r="E141" s="7"/>
      <c r="F141" s="7"/>
      <c r="G141" s="7"/>
      <c r="H141" s="7"/>
      <c r="I141" s="7"/>
      <c r="J141" s="7"/>
      <c r="K141" s="7"/>
      <c r="L141" s="7">
        <v>1</v>
      </c>
      <c r="M141" s="7">
        <v>1</v>
      </c>
      <c r="N141" s="7"/>
      <c r="O141" s="7"/>
      <c r="P141" s="7">
        <v>1</v>
      </c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8"/>
      <c r="AG141" s="4">
        <f t="shared" si="21"/>
        <v>5</v>
      </c>
    </row>
    <row r="142" spans="1:35" ht="18.75" x14ac:dyDescent="0.25">
      <c r="A142" s="43" t="s">
        <v>60</v>
      </c>
      <c r="B142" s="7">
        <f>1+2+2+1+1</f>
        <v>7</v>
      </c>
      <c r="C142" s="7">
        <f>1+1+1</f>
        <v>3</v>
      </c>
      <c r="D142" s="7">
        <f>1+1+1</f>
        <v>3</v>
      </c>
      <c r="E142" s="7">
        <f>1+1+1+1</f>
        <v>4</v>
      </c>
      <c r="F142" s="7">
        <f>1+1+4</f>
        <v>6</v>
      </c>
      <c r="G142" s="7">
        <f>1+1+1</f>
        <v>3</v>
      </c>
      <c r="H142" s="7">
        <f>1+1+1+1</f>
        <v>4</v>
      </c>
      <c r="I142" s="7">
        <f>2+1+1</f>
        <v>4</v>
      </c>
      <c r="J142" s="7">
        <f>2+1+1</f>
        <v>4</v>
      </c>
      <c r="K142" s="7">
        <f>5+1+1</f>
        <v>7</v>
      </c>
      <c r="L142" s="7">
        <f>1+1+1+1</f>
        <v>4</v>
      </c>
      <c r="M142" s="7">
        <f>9+1</f>
        <v>10</v>
      </c>
      <c r="N142" s="7">
        <f>1+1+1+1</f>
        <v>4</v>
      </c>
      <c r="O142" s="7">
        <f>1+1</f>
        <v>2</v>
      </c>
      <c r="P142" s="7">
        <f>1+1+1+1+1+1</f>
        <v>6</v>
      </c>
      <c r="Q142" s="7">
        <f>1+1+1+1+1+1</f>
        <v>6</v>
      </c>
      <c r="R142" s="7">
        <f>1+1+2+1</f>
        <v>5</v>
      </c>
      <c r="S142" s="7">
        <f>1+1+1+1+1</f>
        <v>5</v>
      </c>
      <c r="T142" s="7">
        <f>1+1+1+1+1</f>
        <v>5</v>
      </c>
      <c r="U142" s="7">
        <f>1+1</f>
        <v>2</v>
      </c>
      <c r="V142" s="7">
        <f>1</f>
        <v>1</v>
      </c>
      <c r="W142" s="7">
        <f>1+1+1</f>
        <v>3</v>
      </c>
      <c r="X142" s="7">
        <f>2+1+1+1+2</f>
        <v>7</v>
      </c>
      <c r="Y142" s="7">
        <f>1+1+1</f>
        <v>3</v>
      </c>
      <c r="Z142" s="7">
        <f>2+1+1+1</f>
        <v>5</v>
      </c>
      <c r="AA142" s="7">
        <f>1+1+2</f>
        <v>4</v>
      </c>
      <c r="AB142" s="7">
        <f>1+1+1+1</f>
        <v>4</v>
      </c>
      <c r="AC142" s="7">
        <f>1+1</f>
        <v>2</v>
      </c>
      <c r="AD142" s="7">
        <f>1+1+1+1+1</f>
        <v>5</v>
      </c>
      <c r="AE142" s="7"/>
      <c r="AF142" s="8"/>
      <c r="AG142" s="4">
        <f t="shared" si="21"/>
        <v>128</v>
      </c>
    </row>
    <row r="143" spans="1:35" ht="19.5" thickBot="1" x14ac:dyDescent="0.3">
      <c r="A143" s="75" t="s">
        <v>86</v>
      </c>
      <c r="B143" s="13">
        <f>19+1+11</f>
        <v>31</v>
      </c>
      <c r="C143" s="13">
        <f>1+24+1+9</f>
        <v>35</v>
      </c>
      <c r="D143" s="13">
        <f>16+12</f>
        <v>28</v>
      </c>
      <c r="E143" s="13">
        <f>14+9</f>
        <v>23</v>
      </c>
      <c r="F143" s="13">
        <f>17+6</f>
        <v>23</v>
      </c>
      <c r="G143" s="13">
        <f>8+9</f>
        <v>17</v>
      </c>
      <c r="H143" s="13">
        <f>17+8</f>
        <v>25</v>
      </c>
      <c r="I143" s="13">
        <f>1+10+14</f>
        <v>25</v>
      </c>
      <c r="J143" s="13">
        <f>14+1+12</f>
        <v>27</v>
      </c>
      <c r="K143" s="13">
        <v>10</v>
      </c>
      <c r="L143" s="13">
        <f>15+9</f>
        <v>24</v>
      </c>
      <c r="M143" s="13">
        <v>11</v>
      </c>
      <c r="N143" s="13">
        <f>9+9</f>
        <v>18</v>
      </c>
      <c r="O143" s="13">
        <f>7+6</f>
        <v>13</v>
      </c>
      <c r="P143" s="13">
        <f>15+8</f>
        <v>23</v>
      </c>
      <c r="Q143" s="13">
        <f>19+17</f>
        <v>36</v>
      </c>
      <c r="R143" s="13">
        <f>13+5</f>
        <v>18</v>
      </c>
      <c r="S143" s="13">
        <f>10+8</f>
        <v>18</v>
      </c>
      <c r="T143" s="13">
        <f>12+6</f>
        <v>18</v>
      </c>
      <c r="U143" s="13">
        <f>14+1+5</f>
        <v>20</v>
      </c>
      <c r="V143" s="13">
        <f>9+1+8</f>
        <v>18</v>
      </c>
      <c r="W143" s="13">
        <f>11+17</f>
        <v>28</v>
      </c>
      <c r="X143" s="13">
        <f>13+12</f>
        <v>25</v>
      </c>
      <c r="Y143" s="13">
        <f>13+9</f>
        <v>22</v>
      </c>
      <c r="Z143" s="13">
        <f>7+7</f>
        <v>14</v>
      </c>
      <c r="AA143" s="13">
        <f>7+11</f>
        <v>18</v>
      </c>
      <c r="AB143" s="13">
        <f>5+14</f>
        <v>19</v>
      </c>
      <c r="AC143" s="13">
        <f>9+1+6</f>
        <v>16</v>
      </c>
      <c r="AD143" s="13">
        <f>11+9</f>
        <v>20</v>
      </c>
      <c r="AE143" s="13"/>
      <c r="AF143" s="14"/>
      <c r="AG143" s="108">
        <f t="shared" si="21"/>
        <v>623</v>
      </c>
    </row>
    <row r="144" spans="1:35" ht="19.5" thickBot="1" x14ac:dyDescent="0.3">
      <c r="A144" s="164" t="s">
        <v>89</v>
      </c>
      <c r="B144" s="165">
        <f t="shared" ref="B144:AD144" si="22">+B146+B156+B158+B167</f>
        <v>215</v>
      </c>
      <c r="C144" s="165">
        <f t="shared" si="22"/>
        <v>199</v>
      </c>
      <c r="D144" s="165">
        <f t="shared" si="22"/>
        <v>169</v>
      </c>
      <c r="E144" s="165">
        <f t="shared" si="22"/>
        <v>136</v>
      </c>
      <c r="F144" s="165">
        <f t="shared" si="22"/>
        <v>143</v>
      </c>
      <c r="G144" s="165">
        <f t="shared" si="22"/>
        <v>116</v>
      </c>
      <c r="H144" s="165">
        <f t="shared" si="22"/>
        <v>157</v>
      </c>
      <c r="I144" s="165">
        <f t="shared" si="22"/>
        <v>172</v>
      </c>
      <c r="J144" s="165">
        <f t="shared" si="22"/>
        <v>205</v>
      </c>
      <c r="K144" s="165">
        <f t="shared" si="22"/>
        <v>146</v>
      </c>
      <c r="L144" s="165">
        <f t="shared" si="22"/>
        <v>148</v>
      </c>
      <c r="M144" s="165">
        <f t="shared" si="22"/>
        <v>138</v>
      </c>
      <c r="N144" s="165">
        <f t="shared" si="22"/>
        <v>140</v>
      </c>
      <c r="O144" s="165">
        <f t="shared" si="22"/>
        <v>118</v>
      </c>
      <c r="P144" s="165">
        <f t="shared" si="22"/>
        <v>182</v>
      </c>
      <c r="Q144" s="165">
        <f t="shared" si="22"/>
        <v>237</v>
      </c>
      <c r="R144" s="165">
        <f t="shared" si="22"/>
        <v>156</v>
      </c>
      <c r="S144" s="165">
        <f t="shared" si="22"/>
        <v>164</v>
      </c>
      <c r="T144" s="165">
        <f t="shared" si="22"/>
        <v>163</v>
      </c>
      <c r="U144" s="165">
        <f t="shared" si="22"/>
        <v>150</v>
      </c>
      <c r="V144" s="165">
        <f t="shared" si="22"/>
        <v>137</v>
      </c>
      <c r="W144" s="165">
        <f t="shared" si="22"/>
        <v>208</v>
      </c>
      <c r="X144" s="165">
        <f t="shared" si="22"/>
        <v>213</v>
      </c>
      <c r="Y144" s="165">
        <f t="shared" si="22"/>
        <v>142</v>
      </c>
      <c r="Z144" s="165">
        <f t="shared" si="22"/>
        <v>135</v>
      </c>
      <c r="AA144" s="165">
        <f t="shared" si="22"/>
        <v>159</v>
      </c>
      <c r="AB144" s="165">
        <f t="shared" si="22"/>
        <v>156</v>
      </c>
      <c r="AC144" s="165">
        <f t="shared" si="22"/>
        <v>126</v>
      </c>
      <c r="AD144" s="165">
        <f t="shared" si="22"/>
        <v>229</v>
      </c>
      <c r="AE144" s="165">
        <f>+AE146+AE156+AE158+AE167</f>
        <v>0</v>
      </c>
      <c r="AF144" s="165">
        <f t="shared" ref="AF144" si="23">+AF146+AF156+AF158+AF167</f>
        <v>0</v>
      </c>
      <c r="AG144" s="116">
        <f t="shared" si="21"/>
        <v>4759</v>
      </c>
      <c r="AH144" s="38" t="str">
        <f>IF(AG144&lt;&gt;AG93,"*","")</f>
        <v/>
      </c>
      <c r="AI144" t="s">
        <v>140</v>
      </c>
    </row>
    <row r="145" spans="1:34" ht="19.5" thickBot="1" x14ac:dyDescent="0.3">
      <c r="A145" s="160" t="s">
        <v>98</v>
      </c>
      <c r="B145" s="161">
        <f t="shared" ref="B145:AD145" si="24">+B149+B155+B157+B172</f>
        <v>12</v>
      </c>
      <c r="C145" s="161">
        <f t="shared" si="24"/>
        <v>0</v>
      </c>
      <c r="D145" s="161">
        <f t="shared" si="24"/>
        <v>6</v>
      </c>
      <c r="E145" s="161">
        <f t="shared" si="24"/>
        <v>9</v>
      </c>
      <c r="F145" s="161">
        <f t="shared" si="24"/>
        <v>6</v>
      </c>
      <c r="G145" s="161">
        <f t="shared" si="24"/>
        <v>26</v>
      </c>
      <c r="H145" s="161">
        <f t="shared" si="24"/>
        <v>20</v>
      </c>
      <c r="I145" s="161">
        <f t="shared" si="24"/>
        <v>25</v>
      </c>
      <c r="J145" s="161">
        <f t="shared" si="24"/>
        <v>5</v>
      </c>
      <c r="K145" s="161">
        <f t="shared" si="24"/>
        <v>32</v>
      </c>
      <c r="L145" s="161">
        <f t="shared" si="24"/>
        <v>13</v>
      </c>
      <c r="M145" s="161">
        <f t="shared" si="24"/>
        <v>3</v>
      </c>
      <c r="N145" s="161">
        <f t="shared" si="24"/>
        <v>14</v>
      </c>
      <c r="O145" s="161">
        <f t="shared" si="24"/>
        <v>10</v>
      </c>
      <c r="P145" s="161">
        <f t="shared" si="24"/>
        <v>49</v>
      </c>
      <c r="Q145" s="161">
        <f t="shared" si="24"/>
        <v>2</v>
      </c>
      <c r="R145" s="161">
        <f t="shared" si="24"/>
        <v>26</v>
      </c>
      <c r="S145" s="161">
        <f t="shared" si="24"/>
        <v>21</v>
      </c>
      <c r="T145" s="161">
        <f t="shared" si="24"/>
        <v>17</v>
      </c>
      <c r="U145" s="161">
        <f t="shared" si="24"/>
        <v>10</v>
      </c>
      <c r="V145" s="161">
        <f t="shared" si="24"/>
        <v>30</v>
      </c>
      <c r="W145" s="161">
        <f t="shared" si="24"/>
        <v>16</v>
      </c>
      <c r="X145" s="161">
        <f t="shared" si="24"/>
        <v>2</v>
      </c>
      <c r="Y145" s="161">
        <f t="shared" si="24"/>
        <v>23</v>
      </c>
      <c r="Z145" s="161">
        <f t="shared" si="24"/>
        <v>24</v>
      </c>
      <c r="AA145" s="161">
        <f t="shared" si="24"/>
        <v>7</v>
      </c>
      <c r="AB145" s="161">
        <f t="shared" si="24"/>
        <v>27</v>
      </c>
      <c r="AC145" s="161">
        <f t="shared" si="24"/>
        <v>12</v>
      </c>
      <c r="AD145" s="161">
        <f t="shared" si="24"/>
        <v>7</v>
      </c>
      <c r="AE145" s="161">
        <f>+AE149+AE155+AE157+AE172</f>
        <v>0</v>
      </c>
      <c r="AF145" s="162">
        <f t="shared" ref="AF145" si="25">+AF149+AF155+AF157+AF172</f>
        <v>0</v>
      </c>
      <c r="AG145" s="163">
        <f t="shared" si="21"/>
        <v>454</v>
      </c>
      <c r="AH145" s="1"/>
    </row>
    <row r="146" spans="1:34" ht="19.5" thickBot="1" x14ac:dyDescent="0.3">
      <c r="A146" s="117" t="s">
        <v>69</v>
      </c>
      <c r="B146" s="118">
        <f t="shared" ref="B146:AG147" si="26">+B148+B154</f>
        <v>0</v>
      </c>
      <c r="C146" s="118">
        <f t="shared" si="26"/>
        <v>0</v>
      </c>
      <c r="D146" s="118">
        <f t="shared" si="26"/>
        <v>0</v>
      </c>
      <c r="E146" s="118">
        <f t="shared" si="26"/>
        <v>0</v>
      </c>
      <c r="F146" s="118">
        <f t="shared" si="26"/>
        <v>0</v>
      </c>
      <c r="G146" s="118">
        <f t="shared" si="26"/>
        <v>0</v>
      </c>
      <c r="H146" s="118">
        <f t="shared" si="26"/>
        <v>0</v>
      </c>
      <c r="I146" s="118">
        <f t="shared" si="26"/>
        <v>0</v>
      </c>
      <c r="J146" s="118">
        <f t="shared" si="26"/>
        <v>0</v>
      </c>
      <c r="K146" s="118">
        <f t="shared" si="26"/>
        <v>0</v>
      </c>
      <c r="L146" s="118">
        <f t="shared" si="26"/>
        <v>0</v>
      </c>
      <c r="M146" s="118">
        <f t="shared" si="26"/>
        <v>0</v>
      </c>
      <c r="N146" s="118">
        <f t="shared" si="26"/>
        <v>2</v>
      </c>
      <c r="O146" s="118">
        <f t="shared" si="26"/>
        <v>0</v>
      </c>
      <c r="P146" s="118">
        <f t="shared" si="26"/>
        <v>0</v>
      </c>
      <c r="Q146" s="118">
        <f t="shared" si="26"/>
        <v>0</v>
      </c>
      <c r="R146" s="118">
        <f t="shared" si="26"/>
        <v>0</v>
      </c>
      <c r="S146" s="118">
        <f t="shared" si="26"/>
        <v>0</v>
      </c>
      <c r="T146" s="118">
        <f t="shared" si="26"/>
        <v>0</v>
      </c>
      <c r="U146" s="118">
        <f t="shared" si="26"/>
        <v>0</v>
      </c>
      <c r="V146" s="118">
        <f t="shared" si="26"/>
        <v>0</v>
      </c>
      <c r="W146" s="118">
        <f t="shared" si="26"/>
        <v>0</v>
      </c>
      <c r="X146" s="118">
        <f t="shared" si="26"/>
        <v>0</v>
      </c>
      <c r="Y146" s="118">
        <f t="shared" si="26"/>
        <v>0</v>
      </c>
      <c r="Z146" s="118">
        <f t="shared" si="26"/>
        <v>0</v>
      </c>
      <c r="AA146" s="118">
        <f t="shared" si="26"/>
        <v>1</v>
      </c>
      <c r="AB146" s="118">
        <f t="shared" si="26"/>
        <v>0</v>
      </c>
      <c r="AC146" s="118">
        <f t="shared" si="26"/>
        <v>0</v>
      </c>
      <c r="AD146" s="118">
        <f t="shared" si="26"/>
        <v>0</v>
      </c>
      <c r="AE146" s="118">
        <f t="shared" si="26"/>
        <v>0</v>
      </c>
      <c r="AF146" s="119">
        <f t="shared" si="26"/>
        <v>0</v>
      </c>
      <c r="AG146" s="120">
        <f t="shared" si="26"/>
        <v>3</v>
      </c>
    </row>
    <row r="147" spans="1:34" ht="19.5" thickBot="1" x14ac:dyDescent="0.3">
      <c r="A147" s="153" t="s">
        <v>130</v>
      </c>
      <c r="B147" s="154">
        <f t="shared" si="26"/>
        <v>0</v>
      </c>
      <c r="C147" s="154">
        <f t="shared" si="26"/>
        <v>0</v>
      </c>
      <c r="D147" s="154">
        <f t="shared" si="26"/>
        <v>0</v>
      </c>
      <c r="E147" s="154">
        <f t="shared" si="26"/>
        <v>0</v>
      </c>
      <c r="F147" s="154">
        <f t="shared" si="26"/>
        <v>0</v>
      </c>
      <c r="G147" s="154">
        <f t="shared" si="26"/>
        <v>0</v>
      </c>
      <c r="H147" s="154">
        <f t="shared" si="26"/>
        <v>0</v>
      </c>
      <c r="I147" s="154">
        <f t="shared" si="26"/>
        <v>0</v>
      </c>
      <c r="J147" s="154">
        <f t="shared" si="26"/>
        <v>0</v>
      </c>
      <c r="K147" s="154">
        <f t="shared" si="26"/>
        <v>0</v>
      </c>
      <c r="L147" s="154">
        <f t="shared" si="26"/>
        <v>0</v>
      </c>
      <c r="M147" s="154">
        <f t="shared" si="26"/>
        <v>0</v>
      </c>
      <c r="N147" s="154">
        <f t="shared" si="26"/>
        <v>0</v>
      </c>
      <c r="O147" s="154">
        <f t="shared" si="26"/>
        <v>0</v>
      </c>
      <c r="P147" s="154">
        <f t="shared" si="26"/>
        <v>0</v>
      </c>
      <c r="Q147" s="154">
        <f t="shared" si="26"/>
        <v>0</v>
      </c>
      <c r="R147" s="154">
        <f t="shared" si="26"/>
        <v>0</v>
      </c>
      <c r="S147" s="154">
        <f t="shared" si="26"/>
        <v>0</v>
      </c>
      <c r="T147" s="154">
        <f t="shared" si="26"/>
        <v>0</v>
      </c>
      <c r="U147" s="154">
        <f t="shared" si="26"/>
        <v>0</v>
      </c>
      <c r="V147" s="154">
        <f t="shared" si="26"/>
        <v>0</v>
      </c>
      <c r="W147" s="154">
        <f t="shared" si="26"/>
        <v>0</v>
      </c>
      <c r="X147" s="154">
        <f t="shared" si="26"/>
        <v>0</v>
      </c>
      <c r="Y147" s="154">
        <f t="shared" si="26"/>
        <v>0</v>
      </c>
      <c r="Z147" s="154">
        <f t="shared" si="26"/>
        <v>0</v>
      </c>
      <c r="AA147" s="154">
        <f t="shared" si="26"/>
        <v>0</v>
      </c>
      <c r="AB147" s="154">
        <f>+AB149+AB155</f>
        <v>0</v>
      </c>
      <c r="AC147" s="154">
        <f t="shared" si="26"/>
        <v>0</v>
      </c>
      <c r="AD147" s="154">
        <f t="shared" si="26"/>
        <v>0</v>
      </c>
      <c r="AE147" s="154">
        <f t="shared" si="26"/>
        <v>0</v>
      </c>
      <c r="AF147" s="155"/>
      <c r="AG147" s="156">
        <f t="shared" si="21"/>
        <v>0</v>
      </c>
    </row>
    <row r="148" spans="1:34" ht="19.5" thickBot="1" x14ac:dyDescent="0.3">
      <c r="A148" s="125" t="s">
        <v>68</v>
      </c>
      <c r="B148" s="126">
        <f>SUM(B150:B153)</f>
        <v>0</v>
      </c>
      <c r="C148" s="126">
        <f t="shared" ref="C148:AF148" si="27">SUM(C150:C153)</f>
        <v>0</v>
      </c>
      <c r="D148" s="126">
        <f t="shared" si="27"/>
        <v>0</v>
      </c>
      <c r="E148" s="126">
        <f t="shared" si="27"/>
        <v>0</v>
      </c>
      <c r="F148" s="126">
        <f t="shared" si="27"/>
        <v>0</v>
      </c>
      <c r="G148" s="126">
        <f t="shared" si="27"/>
        <v>0</v>
      </c>
      <c r="H148" s="126">
        <f t="shared" si="27"/>
        <v>0</v>
      </c>
      <c r="I148" s="126">
        <f t="shared" si="27"/>
        <v>0</v>
      </c>
      <c r="J148" s="126">
        <f t="shared" si="27"/>
        <v>0</v>
      </c>
      <c r="K148" s="126">
        <f t="shared" si="27"/>
        <v>0</v>
      </c>
      <c r="L148" s="126">
        <f t="shared" si="27"/>
        <v>0</v>
      </c>
      <c r="M148" s="126">
        <f t="shared" si="27"/>
        <v>0</v>
      </c>
      <c r="N148" s="126">
        <f t="shared" si="27"/>
        <v>0</v>
      </c>
      <c r="O148" s="126">
        <f t="shared" si="27"/>
        <v>0</v>
      </c>
      <c r="P148" s="126">
        <f t="shared" si="27"/>
        <v>0</v>
      </c>
      <c r="Q148" s="126">
        <f t="shared" si="27"/>
        <v>0</v>
      </c>
      <c r="R148" s="126">
        <f t="shared" si="27"/>
        <v>0</v>
      </c>
      <c r="S148" s="126">
        <f t="shared" si="27"/>
        <v>0</v>
      </c>
      <c r="T148" s="126">
        <f t="shared" si="27"/>
        <v>0</v>
      </c>
      <c r="U148" s="126">
        <f t="shared" si="27"/>
        <v>0</v>
      </c>
      <c r="V148" s="126">
        <f t="shared" si="27"/>
        <v>0</v>
      </c>
      <c r="W148" s="126">
        <f t="shared" si="27"/>
        <v>0</v>
      </c>
      <c r="X148" s="126">
        <f t="shared" si="27"/>
        <v>0</v>
      </c>
      <c r="Y148" s="126">
        <f t="shared" si="27"/>
        <v>0</v>
      </c>
      <c r="Z148" s="126">
        <f t="shared" si="27"/>
        <v>0</v>
      </c>
      <c r="AA148" s="126">
        <f t="shared" si="27"/>
        <v>0</v>
      </c>
      <c r="AB148" s="126">
        <f t="shared" si="27"/>
        <v>0</v>
      </c>
      <c r="AC148" s="126">
        <f t="shared" si="27"/>
        <v>0</v>
      </c>
      <c r="AD148" s="126">
        <f t="shared" si="27"/>
        <v>0</v>
      </c>
      <c r="AE148" s="126">
        <f t="shared" si="27"/>
        <v>0</v>
      </c>
      <c r="AF148" s="127">
        <f t="shared" si="27"/>
        <v>0</v>
      </c>
      <c r="AG148" s="128">
        <f t="shared" ref="AG148:AG232" si="28">SUM(B148:AF148)</f>
        <v>0</v>
      </c>
    </row>
    <row r="149" spans="1:34" ht="19.5" thickBot="1" x14ac:dyDescent="0.3">
      <c r="A149" s="153" t="s">
        <v>131</v>
      </c>
      <c r="B149" s="154"/>
      <c r="C149" s="154"/>
      <c r="D149" s="154"/>
      <c r="E149" s="154"/>
      <c r="F149" s="154"/>
      <c r="G149" s="154"/>
      <c r="H149" s="154"/>
      <c r="I149" s="154"/>
      <c r="J149" s="154"/>
      <c r="K149" s="154"/>
      <c r="L149" s="154"/>
      <c r="M149" s="154"/>
      <c r="N149" s="154"/>
      <c r="O149" s="154"/>
      <c r="P149" s="154"/>
      <c r="Q149" s="154"/>
      <c r="R149" s="154"/>
      <c r="S149" s="154"/>
      <c r="T149" s="154"/>
      <c r="U149" s="154"/>
      <c r="V149" s="154"/>
      <c r="W149" s="154"/>
      <c r="X149" s="154"/>
      <c r="Y149" s="154"/>
      <c r="Z149" s="154"/>
      <c r="AA149" s="154"/>
      <c r="AB149" s="154"/>
      <c r="AC149" s="154"/>
      <c r="AD149" s="154"/>
      <c r="AE149" s="154"/>
      <c r="AF149" s="155"/>
      <c r="AG149" s="156">
        <f t="shared" si="28"/>
        <v>0</v>
      </c>
    </row>
    <row r="150" spans="1:34" ht="18.75" x14ac:dyDescent="0.25">
      <c r="A150" s="129" t="s">
        <v>100</v>
      </c>
      <c r="B150" s="130"/>
      <c r="C150" s="130"/>
      <c r="D150" s="130"/>
      <c r="E150" s="130"/>
      <c r="F150" s="130"/>
      <c r="G150" s="130"/>
      <c r="H150" s="130"/>
      <c r="I150" s="130"/>
      <c r="J150" s="130"/>
      <c r="K150" s="130"/>
      <c r="L150" s="130"/>
      <c r="M150" s="130"/>
      <c r="N150" s="130"/>
      <c r="O150" s="130"/>
      <c r="P150" s="130"/>
      <c r="Q150" s="130"/>
      <c r="R150" s="130"/>
      <c r="S150" s="130"/>
      <c r="T150" s="130"/>
      <c r="U150" s="130"/>
      <c r="V150" s="130"/>
      <c r="W150" s="130"/>
      <c r="X150" s="130"/>
      <c r="Y150" s="130"/>
      <c r="Z150" s="130"/>
      <c r="AA150" s="130"/>
      <c r="AB150" s="130"/>
      <c r="AC150" s="130"/>
      <c r="AD150" s="130"/>
      <c r="AE150" s="130"/>
      <c r="AF150" s="131"/>
      <c r="AG150" s="132">
        <f t="shared" si="28"/>
        <v>0</v>
      </c>
    </row>
    <row r="151" spans="1:34" ht="18.75" x14ac:dyDescent="0.25">
      <c r="A151" s="50" t="s">
        <v>101</v>
      </c>
      <c r="B151" s="29"/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  <c r="AA151" s="29"/>
      <c r="AB151" s="29"/>
      <c r="AC151" s="29"/>
      <c r="AD151" s="29"/>
      <c r="AE151" s="29"/>
      <c r="AF151" s="21"/>
      <c r="AG151" s="4">
        <f t="shared" si="28"/>
        <v>0</v>
      </c>
    </row>
    <row r="152" spans="1:34" ht="18.75" x14ac:dyDescent="0.25">
      <c r="A152" s="50" t="s">
        <v>102</v>
      </c>
      <c r="B152" s="29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  <c r="AA152" s="29"/>
      <c r="AB152" s="29"/>
      <c r="AC152" s="29"/>
      <c r="AD152" s="29"/>
      <c r="AE152" s="29"/>
      <c r="AF152" s="21"/>
      <c r="AG152" s="4">
        <f t="shared" si="28"/>
        <v>0</v>
      </c>
    </row>
    <row r="153" spans="1:34" ht="19.5" thickBot="1" x14ac:dyDescent="0.3">
      <c r="A153" s="71" t="s">
        <v>103</v>
      </c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  <c r="AA153" s="30"/>
      <c r="AB153" s="30"/>
      <c r="AC153" s="30"/>
      <c r="AD153" s="30"/>
      <c r="AE153" s="30"/>
      <c r="AF153" s="22"/>
      <c r="AG153" s="28">
        <f t="shared" si="28"/>
        <v>0</v>
      </c>
    </row>
    <row r="154" spans="1:34" ht="19.5" thickBot="1" x14ac:dyDescent="0.3">
      <c r="A154" s="125" t="s">
        <v>67</v>
      </c>
      <c r="B154" s="126"/>
      <c r="C154" s="126"/>
      <c r="D154" s="126"/>
      <c r="E154" s="126"/>
      <c r="F154" s="126"/>
      <c r="G154" s="126"/>
      <c r="H154" s="126"/>
      <c r="I154" s="126"/>
      <c r="J154" s="126"/>
      <c r="K154" s="126"/>
      <c r="L154" s="126"/>
      <c r="M154" s="126"/>
      <c r="N154" s="126">
        <v>2</v>
      </c>
      <c r="O154" s="126"/>
      <c r="P154" s="126"/>
      <c r="Q154" s="126"/>
      <c r="R154" s="126"/>
      <c r="S154" s="126"/>
      <c r="T154" s="126"/>
      <c r="U154" s="126"/>
      <c r="V154" s="126"/>
      <c r="W154" s="126"/>
      <c r="X154" s="126"/>
      <c r="Y154" s="126"/>
      <c r="Z154" s="126"/>
      <c r="AA154" s="126">
        <v>1</v>
      </c>
      <c r="AB154" s="126"/>
      <c r="AC154" s="126"/>
      <c r="AD154" s="126"/>
      <c r="AE154" s="126"/>
      <c r="AF154" s="127"/>
      <c r="AG154" s="128">
        <f t="shared" si="28"/>
        <v>3</v>
      </c>
    </row>
    <row r="155" spans="1:34" ht="19.5" thickBot="1" x14ac:dyDescent="0.3">
      <c r="A155" s="153" t="s">
        <v>132</v>
      </c>
      <c r="B155" s="154"/>
      <c r="C155" s="154"/>
      <c r="D155" s="154"/>
      <c r="E155" s="154"/>
      <c r="F155" s="154"/>
      <c r="G155" s="154"/>
      <c r="H155" s="154"/>
      <c r="I155" s="154"/>
      <c r="J155" s="154"/>
      <c r="K155" s="154"/>
      <c r="L155" s="154"/>
      <c r="M155" s="154"/>
      <c r="N155" s="154"/>
      <c r="O155" s="154"/>
      <c r="P155" s="154"/>
      <c r="Q155" s="154"/>
      <c r="R155" s="154"/>
      <c r="S155" s="154"/>
      <c r="T155" s="154"/>
      <c r="U155" s="154"/>
      <c r="V155" s="154"/>
      <c r="W155" s="154"/>
      <c r="X155" s="154"/>
      <c r="Y155" s="154"/>
      <c r="Z155" s="154"/>
      <c r="AA155" s="154"/>
      <c r="AB155" s="154"/>
      <c r="AC155" s="154"/>
      <c r="AD155" s="154"/>
      <c r="AE155" s="154"/>
      <c r="AF155" s="155"/>
      <c r="AG155" s="156">
        <f t="shared" si="28"/>
        <v>0</v>
      </c>
    </row>
    <row r="156" spans="1:34" ht="18.75" x14ac:dyDescent="0.25">
      <c r="A156" s="69" t="s">
        <v>62</v>
      </c>
      <c r="B156" s="56">
        <v>214</v>
      </c>
      <c r="C156" s="56">
        <v>198</v>
      </c>
      <c r="D156" s="56">
        <v>166</v>
      </c>
      <c r="E156" s="56">
        <v>136</v>
      </c>
      <c r="F156" s="56">
        <v>142</v>
      </c>
      <c r="G156" s="56">
        <v>112</v>
      </c>
      <c r="H156" s="56">
        <v>156</v>
      </c>
      <c r="I156" s="56">
        <v>171</v>
      </c>
      <c r="J156" s="56">
        <v>203</v>
      </c>
      <c r="K156" s="56">
        <v>143</v>
      </c>
      <c r="L156" s="56">
        <v>147</v>
      </c>
      <c r="M156" s="56">
        <v>138</v>
      </c>
      <c r="N156" s="56">
        <v>138</v>
      </c>
      <c r="O156" s="56">
        <v>118</v>
      </c>
      <c r="P156" s="56">
        <v>176</v>
      </c>
      <c r="Q156" s="56">
        <v>237</v>
      </c>
      <c r="R156" s="56">
        <v>156</v>
      </c>
      <c r="S156" s="56">
        <v>162</v>
      </c>
      <c r="T156" s="56">
        <v>161</v>
      </c>
      <c r="U156" s="56">
        <v>149</v>
      </c>
      <c r="V156" s="56">
        <v>135</v>
      </c>
      <c r="W156" s="56">
        <v>207</v>
      </c>
      <c r="X156" s="56">
        <v>212</v>
      </c>
      <c r="Y156" s="56">
        <v>142</v>
      </c>
      <c r="Z156" s="56">
        <v>133</v>
      </c>
      <c r="AA156" s="56">
        <v>158</v>
      </c>
      <c r="AB156" s="56">
        <v>155</v>
      </c>
      <c r="AC156" s="56">
        <v>125</v>
      </c>
      <c r="AD156" s="56">
        <v>226</v>
      </c>
      <c r="AE156" s="56"/>
      <c r="AF156" s="85"/>
      <c r="AG156" s="95">
        <f t="shared" si="28"/>
        <v>4716</v>
      </c>
      <c r="AH156" s="2" t="s">
        <v>84</v>
      </c>
    </row>
    <row r="157" spans="1:34" ht="19.5" thickBot="1" x14ac:dyDescent="0.3">
      <c r="A157" s="75" t="s">
        <v>1</v>
      </c>
      <c r="B157" s="13">
        <v>12</v>
      </c>
      <c r="C157" s="13">
        <v>0</v>
      </c>
      <c r="D157" s="13">
        <v>6</v>
      </c>
      <c r="E157" s="13">
        <v>9</v>
      </c>
      <c r="F157" s="13">
        <v>6</v>
      </c>
      <c r="G157" s="13">
        <v>26</v>
      </c>
      <c r="H157" s="13">
        <v>20</v>
      </c>
      <c r="I157" s="13">
        <v>25</v>
      </c>
      <c r="J157" s="13">
        <v>5</v>
      </c>
      <c r="K157" s="13">
        <v>32</v>
      </c>
      <c r="L157" s="13">
        <v>13</v>
      </c>
      <c r="M157" s="13">
        <v>3</v>
      </c>
      <c r="N157" s="13">
        <v>14</v>
      </c>
      <c r="O157" s="13">
        <v>10</v>
      </c>
      <c r="P157" s="13">
        <v>48</v>
      </c>
      <c r="Q157" s="13">
        <v>2</v>
      </c>
      <c r="R157" s="13">
        <v>26</v>
      </c>
      <c r="S157" s="13">
        <v>21</v>
      </c>
      <c r="T157" s="13">
        <v>16</v>
      </c>
      <c r="U157" s="13">
        <v>10</v>
      </c>
      <c r="V157" s="13">
        <v>30</v>
      </c>
      <c r="W157" s="13">
        <v>16</v>
      </c>
      <c r="X157" s="13">
        <v>2</v>
      </c>
      <c r="Y157" s="13">
        <v>23</v>
      </c>
      <c r="Z157" s="13">
        <v>24</v>
      </c>
      <c r="AA157" s="13">
        <v>7</v>
      </c>
      <c r="AB157" s="13">
        <v>27</v>
      </c>
      <c r="AC157" s="13">
        <v>12</v>
      </c>
      <c r="AD157" s="13">
        <v>7</v>
      </c>
      <c r="AE157" s="13"/>
      <c r="AF157" s="14"/>
      <c r="AG157" s="157">
        <f t="shared" si="28"/>
        <v>452</v>
      </c>
      <c r="AH157" s="2"/>
    </row>
    <row r="158" spans="1:34" ht="19.5" thickBot="1" x14ac:dyDescent="0.3">
      <c r="A158" s="121" t="s">
        <v>22</v>
      </c>
      <c r="B158" s="122">
        <f t="shared" ref="B158:AF158" si="29">SUM(B159:B166)</f>
        <v>0</v>
      </c>
      <c r="C158" s="122">
        <f t="shared" si="29"/>
        <v>1</v>
      </c>
      <c r="D158" s="122">
        <f t="shared" si="29"/>
        <v>0</v>
      </c>
      <c r="E158" s="122">
        <f t="shared" si="29"/>
        <v>0</v>
      </c>
      <c r="F158" s="122">
        <f t="shared" si="29"/>
        <v>1</v>
      </c>
      <c r="G158" s="122">
        <f t="shared" si="29"/>
        <v>1</v>
      </c>
      <c r="H158" s="122">
        <f t="shared" si="29"/>
        <v>1</v>
      </c>
      <c r="I158" s="122">
        <f t="shared" si="29"/>
        <v>1</v>
      </c>
      <c r="J158" s="122">
        <f t="shared" si="29"/>
        <v>2</v>
      </c>
      <c r="K158" s="122">
        <f t="shared" si="29"/>
        <v>2</v>
      </c>
      <c r="L158" s="122">
        <f t="shared" si="29"/>
        <v>1</v>
      </c>
      <c r="M158" s="122">
        <f t="shared" si="29"/>
        <v>0</v>
      </c>
      <c r="N158" s="122">
        <f t="shared" si="29"/>
        <v>0</v>
      </c>
      <c r="O158" s="122">
        <f t="shared" si="29"/>
        <v>0</v>
      </c>
      <c r="P158" s="122">
        <f t="shared" si="29"/>
        <v>1</v>
      </c>
      <c r="Q158" s="122">
        <f t="shared" si="29"/>
        <v>0</v>
      </c>
      <c r="R158" s="122">
        <f t="shared" si="29"/>
        <v>0</v>
      </c>
      <c r="S158" s="122">
        <f t="shared" si="29"/>
        <v>1</v>
      </c>
      <c r="T158" s="122">
        <f t="shared" si="29"/>
        <v>2</v>
      </c>
      <c r="U158" s="122">
        <f t="shared" si="29"/>
        <v>1</v>
      </c>
      <c r="V158" s="122">
        <f t="shared" si="29"/>
        <v>2</v>
      </c>
      <c r="W158" s="122">
        <f t="shared" si="29"/>
        <v>0</v>
      </c>
      <c r="X158" s="122">
        <f t="shared" si="29"/>
        <v>0</v>
      </c>
      <c r="Y158" s="122">
        <f t="shared" si="29"/>
        <v>0</v>
      </c>
      <c r="Z158" s="122">
        <f t="shared" si="29"/>
        <v>2</v>
      </c>
      <c r="AA158" s="122">
        <f t="shared" si="29"/>
        <v>0</v>
      </c>
      <c r="AB158" s="122">
        <f t="shared" si="29"/>
        <v>0</v>
      </c>
      <c r="AC158" s="122">
        <f t="shared" si="29"/>
        <v>1</v>
      </c>
      <c r="AD158" s="122">
        <f t="shared" si="29"/>
        <v>1</v>
      </c>
      <c r="AE158" s="122">
        <f t="shared" si="29"/>
        <v>0</v>
      </c>
      <c r="AF158" s="123">
        <f t="shared" si="29"/>
        <v>0</v>
      </c>
      <c r="AG158" s="124">
        <f t="shared" si="28"/>
        <v>21</v>
      </c>
    </row>
    <row r="159" spans="1:34" ht="18.75" x14ac:dyDescent="0.25">
      <c r="A159" s="129" t="s">
        <v>23</v>
      </c>
      <c r="B159" s="130"/>
      <c r="C159" s="130"/>
      <c r="D159" s="130"/>
      <c r="E159" s="130"/>
      <c r="F159" s="130"/>
      <c r="G159" s="130"/>
      <c r="H159" s="130"/>
      <c r="I159" s="130"/>
      <c r="J159" s="130"/>
      <c r="K159" s="130">
        <v>1</v>
      </c>
      <c r="L159" s="130"/>
      <c r="M159" s="130"/>
      <c r="N159" s="130"/>
      <c r="O159" s="130"/>
      <c r="P159" s="130"/>
      <c r="Q159" s="130"/>
      <c r="R159" s="130"/>
      <c r="S159" s="130"/>
      <c r="T159" s="130"/>
      <c r="U159" s="130"/>
      <c r="V159" s="130"/>
      <c r="W159" s="130"/>
      <c r="X159" s="130"/>
      <c r="Y159" s="130"/>
      <c r="Z159" s="130">
        <v>1</v>
      </c>
      <c r="AA159" s="130"/>
      <c r="AB159" s="130"/>
      <c r="AC159" s="130">
        <v>1</v>
      </c>
      <c r="AD159" s="130"/>
      <c r="AE159" s="130"/>
      <c r="AF159" s="131"/>
      <c r="AG159" s="132">
        <f t="shared" si="28"/>
        <v>3</v>
      </c>
    </row>
    <row r="160" spans="1:34" ht="18.75" x14ac:dyDescent="0.25">
      <c r="A160" s="50" t="s">
        <v>24</v>
      </c>
      <c r="B160" s="29"/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>
        <v>1</v>
      </c>
      <c r="T160" s="29"/>
      <c r="U160" s="29">
        <v>1</v>
      </c>
      <c r="V160" s="29"/>
      <c r="W160" s="29"/>
      <c r="X160" s="29"/>
      <c r="Y160" s="29"/>
      <c r="Z160" s="29">
        <v>1</v>
      </c>
      <c r="AA160" s="29"/>
      <c r="AB160" s="29"/>
      <c r="AC160" s="29"/>
      <c r="AD160" s="29"/>
      <c r="AE160" s="29"/>
      <c r="AF160" s="21"/>
      <c r="AG160" s="4">
        <f t="shared" si="28"/>
        <v>3</v>
      </c>
    </row>
    <row r="161" spans="1:34" ht="18.75" x14ac:dyDescent="0.25">
      <c r="A161" s="50" t="s">
        <v>59</v>
      </c>
      <c r="B161" s="29"/>
      <c r="C161" s="29"/>
      <c r="D161" s="29"/>
      <c r="E161" s="29"/>
      <c r="F161" s="29"/>
      <c r="G161" s="29"/>
      <c r="H161" s="29"/>
      <c r="I161" s="29"/>
      <c r="J161" s="29">
        <v>1</v>
      </c>
      <c r="K161" s="29">
        <v>1</v>
      </c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  <c r="AA161" s="29"/>
      <c r="AB161" s="29"/>
      <c r="AC161" s="29"/>
      <c r="AD161" s="29"/>
      <c r="AE161" s="29"/>
      <c r="AF161" s="21"/>
      <c r="AG161" s="4">
        <f t="shared" si="28"/>
        <v>2</v>
      </c>
    </row>
    <row r="162" spans="1:34" ht="18.75" x14ac:dyDescent="0.25">
      <c r="A162" s="50" t="s">
        <v>25</v>
      </c>
      <c r="B162" s="29"/>
      <c r="C162" s="29">
        <v>1</v>
      </c>
      <c r="D162" s="29"/>
      <c r="E162" s="29"/>
      <c r="F162" s="29"/>
      <c r="G162" s="29"/>
      <c r="H162" s="29">
        <v>1</v>
      </c>
      <c r="I162" s="29"/>
      <c r="J162" s="29">
        <v>1</v>
      </c>
      <c r="K162" s="29"/>
      <c r="L162" s="29"/>
      <c r="M162" s="29"/>
      <c r="N162" s="29"/>
      <c r="O162" s="29"/>
      <c r="P162" s="29"/>
      <c r="Q162" s="29"/>
      <c r="R162" s="29"/>
      <c r="S162" s="29"/>
      <c r="T162" s="29">
        <v>1</v>
      </c>
      <c r="U162" s="29"/>
      <c r="V162" s="29">
        <v>2</v>
      </c>
      <c r="W162" s="29"/>
      <c r="X162" s="29"/>
      <c r="Y162" s="29"/>
      <c r="Z162" s="29"/>
      <c r="AA162" s="29"/>
      <c r="AB162" s="29"/>
      <c r="AC162" s="29"/>
      <c r="AD162" s="29"/>
      <c r="AE162" s="29"/>
      <c r="AF162" s="21"/>
      <c r="AG162" s="4">
        <f t="shared" si="28"/>
        <v>6</v>
      </c>
    </row>
    <row r="163" spans="1:34" ht="18.75" x14ac:dyDescent="0.25">
      <c r="A163" s="50" t="s">
        <v>26</v>
      </c>
      <c r="B163" s="29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  <c r="AA163" s="29"/>
      <c r="AB163" s="29"/>
      <c r="AC163" s="29"/>
      <c r="AD163" s="29"/>
      <c r="AE163" s="29"/>
      <c r="AF163" s="21"/>
      <c r="AG163" s="4">
        <f t="shared" si="28"/>
        <v>0</v>
      </c>
    </row>
    <row r="164" spans="1:34" ht="18.75" x14ac:dyDescent="0.25">
      <c r="A164" s="50" t="s">
        <v>27</v>
      </c>
      <c r="B164" s="29"/>
      <c r="C164" s="29"/>
      <c r="D164" s="29"/>
      <c r="E164" s="29"/>
      <c r="F164" s="29">
        <v>1</v>
      </c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>
        <v>1</v>
      </c>
      <c r="U164" s="29"/>
      <c r="V164" s="29"/>
      <c r="W164" s="29"/>
      <c r="X164" s="29"/>
      <c r="Y164" s="29"/>
      <c r="Z164" s="29"/>
      <c r="AA164" s="29"/>
      <c r="AB164" s="29"/>
      <c r="AC164" s="29"/>
      <c r="AD164" s="29"/>
      <c r="AE164" s="29"/>
      <c r="AF164" s="21"/>
      <c r="AG164" s="4">
        <f t="shared" si="28"/>
        <v>2</v>
      </c>
    </row>
    <row r="165" spans="1:34" ht="18.75" x14ac:dyDescent="0.25">
      <c r="A165" s="50" t="s">
        <v>28</v>
      </c>
      <c r="B165" s="29"/>
      <c r="C165" s="29"/>
      <c r="D165" s="29"/>
      <c r="E165" s="29"/>
      <c r="F165" s="29"/>
      <c r="G165" s="29">
        <v>1</v>
      </c>
      <c r="H165" s="29"/>
      <c r="I165" s="29">
        <v>1</v>
      </c>
      <c r="J165" s="29"/>
      <c r="K165" s="29"/>
      <c r="L165" s="29">
        <v>1</v>
      </c>
      <c r="M165" s="29"/>
      <c r="N165" s="29"/>
      <c r="O165" s="29"/>
      <c r="P165" s="29">
        <v>1</v>
      </c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>
        <v>1</v>
      </c>
      <c r="AE165" s="29"/>
      <c r="AF165" s="21"/>
      <c r="AG165" s="4">
        <f t="shared" si="28"/>
        <v>5</v>
      </c>
    </row>
    <row r="166" spans="1:34" ht="19.5" thickBot="1" x14ac:dyDescent="0.3">
      <c r="A166" s="71" t="s">
        <v>29</v>
      </c>
      <c r="B166" s="30"/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  <c r="AA166" s="30"/>
      <c r="AB166" s="30"/>
      <c r="AC166" s="30"/>
      <c r="AD166" s="30"/>
      <c r="AE166" s="30"/>
      <c r="AF166" s="22"/>
      <c r="AG166" s="28">
        <f t="shared" si="28"/>
        <v>0</v>
      </c>
    </row>
    <row r="167" spans="1:34" ht="18.75" x14ac:dyDescent="0.25">
      <c r="A167" s="69" t="s">
        <v>71</v>
      </c>
      <c r="B167" s="56">
        <f t="shared" ref="B167:AF167" si="30">SUM(B168:B171)</f>
        <v>1</v>
      </c>
      <c r="C167" s="56">
        <f t="shared" si="30"/>
        <v>0</v>
      </c>
      <c r="D167" s="56">
        <f t="shared" si="30"/>
        <v>3</v>
      </c>
      <c r="E167" s="56">
        <f t="shared" si="30"/>
        <v>0</v>
      </c>
      <c r="F167" s="56">
        <f t="shared" si="30"/>
        <v>0</v>
      </c>
      <c r="G167" s="56">
        <f t="shared" si="30"/>
        <v>3</v>
      </c>
      <c r="H167" s="56">
        <f t="shared" si="30"/>
        <v>0</v>
      </c>
      <c r="I167" s="56">
        <f t="shared" si="30"/>
        <v>0</v>
      </c>
      <c r="J167" s="56">
        <f t="shared" si="30"/>
        <v>0</v>
      </c>
      <c r="K167" s="56">
        <f t="shared" si="30"/>
        <v>1</v>
      </c>
      <c r="L167" s="56">
        <f t="shared" si="30"/>
        <v>0</v>
      </c>
      <c r="M167" s="56">
        <f t="shared" si="30"/>
        <v>0</v>
      </c>
      <c r="N167" s="56">
        <f t="shared" si="30"/>
        <v>0</v>
      </c>
      <c r="O167" s="56">
        <f t="shared" si="30"/>
        <v>0</v>
      </c>
      <c r="P167" s="56">
        <f t="shared" si="30"/>
        <v>5</v>
      </c>
      <c r="Q167" s="56">
        <f t="shared" si="30"/>
        <v>0</v>
      </c>
      <c r="R167" s="56">
        <f t="shared" si="30"/>
        <v>0</v>
      </c>
      <c r="S167" s="56">
        <f t="shared" si="30"/>
        <v>1</v>
      </c>
      <c r="T167" s="56">
        <f t="shared" si="30"/>
        <v>0</v>
      </c>
      <c r="U167" s="56">
        <f t="shared" si="30"/>
        <v>0</v>
      </c>
      <c r="V167" s="56">
        <f t="shared" si="30"/>
        <v>0</v>
      </c>
      <c r="W167" s="56">
        <f t="shared" si="30"/>
        <v>1</v>
      </c>
      <c r="X167" s="56">
        <f t="shared" si="30"/>
        <v>1</v>
      </c>
      <c r="Y167" s="56">
        <f t="shared" si="30"/>
        <v>0</v>
      </c>
      <c r="Z167" s="56">
        <f t="shared" si="30"/>
        <v>0</v>
      </c>
      <c r="AA167" s="56">
        <f t="shared" si="30"/>
        <v>0</v>
      </c>
      <c r="AB167" s="56">
        <f t="shared" si="30"/>
        <v>1</v>
      </c>
      <c r="AC167" s="56">
        <f t="shared" si="30"/>
        <v>0</v>
      </c>
      <c r="AD167" s="56">
        <f t="shared" si="30"/>
        <v>2</v>
      </c>
      <c r="AE167" s="56">
        <f t="shared" si="30"/>
        <v>0</v>
      </c>
      <c r="AF167" s="85">
        <f t="shared" si="30"/>
        <v>0</v>
      </c>
      <c r="AG167" s="95">
        <f t="shared" si="28"/>
        <v>19</v>
      </c>
    </row>
    <row r="168" spans="1:34" ht="18.75" x14ac:dyDescent="0.25">
      <c r="A168" s="51" t="s">
        <v>30</v>
      </c>
      <c r="B168" s="29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>
        <v>4</v>
      </c>
      <c r="Q168" s="29"/>
      <c r="R168" s="29"/>
      <c r="S168" s="29"/>
      <c r="T168" s="29"/>
      <c r="U168" s="29"/>
      <c r="V168" s="29"/>
      <c r="W168" s="29"/>
      <c r="X168" s="29"/>
      <c r="Y168" s="29"/>
      <c r="Z168" s="29"/>
      <c r="AA168" s="29"/>
      <c r="AB168" s="29"/>
      <c r="AC168" s="29"/>
      <c r="AD168" s="29"/>
      <c r="AE168" s="29"/>
      <c r="AF168" s="21"/>
      <c r="AG168" s="4">
        <f t="shared" si="28"/>
        <v>4</v>
      </c>
    </row>
    <row r="169" spans="1:34" ht="18.75" x14ac:dyDescent="0.25">
      <c r="A169" s="51" t="s">
        <v>31</v>
      </c>
      <c r="B169" s="29"/>
      <c r="C169" s="29"/>
      <c r="D169" s="29">
        <v>3</v>
      </c>
      <c r="E169" s="29"/>
      <c r="F169" s="29"/>
      <c r="G169" s="29"/>
      <c r="H169" s="29"/>
      <c r="I169" s="29"/>
      <c r="J169" s="29"/>
      <c r="K169" s="29">
        <v>1</v>
      </c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>
        <v>2</v>
      </c>
      <c r="AE169" s="29"/>
      <c r="AF169" s="21"/>
      <c r="AG169" s="4">
        <f t="shared" si="28"/>
        <v>6</v>
      </c>
    </row>
    <row r="170" spans="1:34" ht="18.75" x14ac:dyDescent="0.25">
      <c r="A170" s="51" t="s">
        <v>32</v>
      </c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1"/>
      <c r="AG170" s="4">
        <f t="shared" si="28"/>
        <v>0</v>
      </c>
    </row>
    <row r="171" spans="1:34" ht="19.5" thickBot="1" x14ac:dyDescent="0.3">
      <c r="A171" s="70" t="s">
        <v>87</v>
      </c>
      <c r="B171" s="30">
        <v>1</v>
      </c>
      <c r="C171" s="30"/>
      <c r="D171" s="30"/>
      <c r="E171" s="30"/>
      <c r="F171" s="30"/>
      <c r="G171" s="30">
        <v>3</v>
      </c>
      <c r="H171" s="30"/>
      <c r="I171" s="30"/>
      <c r="J171" s="30"/>
      <c r="K171" s="30"/>
      <c r="L171" s="30"/>
      <c r="M171" s="30"/>
      <c r="N171" s="30"/>
      <c r="O171" s="30"/>
      <c r="P171" s="30">
        <v>1</v>
      </c>
      <c r="Q171" s="30"/>
      <c r="R171" s="30"/>
      <c r="S171" s="30">
        <v>1</v>
      </c>
      <c r="T171" s="30"/>
      <c r="U171" s="30"/>
      <c r="V171" s="30"/>
      <c r="W171" s="30">
        <v>1</v>
      </c>
      <c r="X171" s="30">
        <v>1</v>
      </c>
      <c r="Y171" s="30"/>
      <c r="Z171" s="30"/>
      <c r="AA171" s="30"/>
      <c r="AB171" s="30">
        <v>1</v>
      </c>
      <c r="AC171" s="30"/>
      <c r="AD171" s="30"/>
      <c r="AE171" s="30"/>
      <c r="AF171" s="22"/>
      <c r="AG171" s="28">
        <f t="shared" si="28"/>
        <v>9</v>
      </c>
    </row>
    <row r="172" spans="1:34" ht="19.5" thickBot="1" x14ac:dyDescent="0.3">
      <c r="A172" s="158" t="s">
        <v>128</v>
      </c>
      <c r="B172" s="151"/>
      <c r="C172" s="151"/>
      <c r="D172" s="151"/>
      <c r="E172" s="151"/>
      <c r="F172" s="151"/>
      <c r="G172" s="151"/>
      <c r="H172" s="151"/>
      <c r="I172" s="151"/>
      <c r="J172" s="151"/>
      <c r="K172" s="151"/>
      <c r="L172" s="151"/>
      <c r="M172" s="151"/>
      <c r="N172" s="151"/>
      <c r="O172" s="151"/>
      <c r="P172" s="151">
        <v>1</v>
      </c>
      <c r="Q172" s="151"/>
      <c r="R172" s="151"/>
      <c r="S172" s="151"/>
      <c r="T172" s="151">
        <v>1</v>
      </c>
      <c r="U172" s="151"/>
      <c r="V172" s="151"/>
      <c r="W172" s="151"/>
      <c r="X172" s="151"/>
      <c r="Y172" s="151"/>
      <c r="Z172" s="151"/>
      <c r="AA172" s="151"/>
      <c r="AB172" s="151"/>
      <c r="AC172" s="151"/>
      <c r="AD172" s="151"/>
      <c r="AE172" s="151"/>
      <c r="AF172" s="152"/>
      <c r="AG172" s="159">
        <f t="shared" si="28"/>
        <v>2</v>
      </c>
    </row>
    <row r="173" spans="1:34" ht="18.75" x14ac:dyDescent="0.25">
      <c r="A173" s="68" t="s">
        <v>2</v>
      </c>
      <c r="B173" s="15">
        <v>0</v>
      </c>
      <c r="C173" s="15">
        <v>0</v>
      </c>
      <c r="D173" s="15">
        <v>0</v>
      </c>
      <c r="E173" s="15">
        <v>0</v>
      </c>
      <c r="F173" s="15">
        <v>0</v>
      </c>
      <c r="G173" s="15">
        <v>0</v>
      </c>
      <c r="H173" s="15">
        <v>1</v>
      </c>
      <c r="I173" s="15">
        <v>0</v>
      </c>
      <c r="J173" s="15">
        <v>0</v>
      </c>
      <c r="K173" s="15">
        <v>1</v>
      </c>
      <c r="L173" s="15">
        <v>0</v>
      </c>
      <c r="M173" s="15">
        <v>0</v>
      </c>
      <c r="N173" s="15">
        <v>0</v>
      </c>
      <c r="O173" s="15">
        <v>0</v>
      </c>
      <c r="P173" s="15">
        <v>3</v>
      </c>
      <c r="Q173" s="15">
        <v>1</v>
      </c>
      <c r="R173" s="15">
        <v>1</v>
      </c>
      <c r="S173" s="15">
        <v>1</v>
      </c>
      <c r="T173" s="15">
        <v>0</v>
      </c>
      <c r="U173" s="15">
        <v>0</v>
      </c>
      <c r="V173" s="15">
        <v>0</v>
      </c>
      <c r="W173" s="15">
        <v>0</v>
      </c>
      <c r="X173" s="15">
        <v>2</v>
      </c>
      <c r="Y173" s="15">
        <v>0</v>
      </c>
      <c r="Z173" s="15">
        <v>0</v>
      </c>
      <c r="AA173" s="15">
        <v>0</v>
      </c>
      <c r="AB173" s="15">
        <v>0</v>
      </c>
      <c r="AC173" s="15">
        <v>0</v>
      </c>
      <c r="AD173" s="15">
        <v>0</v>
      </c>
      <c r="AE173" s="15"/>
      <c r="AF173" s="23"/>
      <c r="AG173" s="5">
        <f t="shared" si="28"/>
        <v>10</v>
      </c>
      <c r="AH173" s="2" t="s">
        <v>137</v>
      </c>
    </row>
    <row r="174" spans="1:34" ht="19.5" thickBot="1" x14ac:dyDescent="0.3">
      <c r="A174" s="146" t="s">
        <v>3</v>
      </c>
      <c r="B174" s="16">
        <f>SUM(B175:B176)</f>
        <v>11</v>
      </c>
      <c r="C174" s="16">
        <f t="shared" ref="C174:AF174" si="31">SUM(C175:C176)</f>
        <v>5</v>
      </c>
      <c r="D174" s="16">
        <f t="shared" si="31"/>
        <v>6</v>
      </c>
      <c r="E174" s="16">
        <f t="shared" si="31"/>
        <v>1</v>
      </c>
      <c r="F174" s="16">
        <f t="shared" si="31"/>
        <v>9</v>
      </c>
      <c r="G174" s="16">
        <f t="shared" si="31"/>
        <v>2</v>
      </c>
      <c r="H174" s="16">
        <f t="shared" si="31"/>
        <v>5</v>
      </c>
      <c r="I174" s="16">
        <f t="shared" si="31"/>
        <v>7</v>
      </c>
      <c r="J174" s="16">
        <f t="shared" si="31"/>
        <v>7</v>
      </c>
      <c r="K174" s="16">
        <f t="shared" si="31"/>
        <v>5</v>
      </c>
      <c r="L174" s="16">
        <f t="shared" si="31"/>
        <v>4</v>
      </c>
      <c r="M174" s="16">
        <f t="shared" si="31"/>
        <v>1</v>
      </c>
      <c r="N174" s="16">
        <f t="shared" si="31"/>
        <v>6</v>
      </c>
      <c r="O174" s="16">
        <f t="shared" si="31"/>
        <v>6</v>
      </c>
      <c r="P174" s="16">
        <f t="shared" si="31"/>
        <v>13</v>
      </c>
      <c r="Q174" s="16">
        <f t="shared" si="31"/>
        <v>3</v>
      </c>
      <c r="R174" s="16">
        <f t="shared" si="31"/>
        <v>9</v>
      </c>
      <c r="S174" s="16">
        <f t="shared" si="31"/>
        <v>8</v>
      </c>
      <c r="T174" s="16">
        <f t="shared" si="31"/>
        <v>2</v>
      </c>
      <c r="U174" s="16">
        <f t="shared" si="31"/>
        <v>5</v>
      </c>
      <c r="V174" s="16">
        <f t="shared" si="31"/>
        <v>3</v>
      </c>
      <c r="W174" s="16">
        <f t="shared" si="31"/>
        <v>7</v>
      </c>
      <c r="X174" s="16">
        <f t="shared" si="31"/>
        <v>3</v>
      </c>
      <c r="Y174" s="16">
        <f t="shared" si="31"/>
        <v>9</v>
      </c>
      <c r="Z174" s="16">
        <f t="shared" si="31"/>
        <v>5</v>
      </c>
      <c r="AA174" s="16">
        <f t="shared" si="31"/>
        <v>2</v>
      </c>
      <c r="AB174" s="16">
        <f t="shared" si="31"/>
        <v>8</v>
      </c>
      <c r="AC174" s="16">
        <f t="shared" si="31"/>
        <v>4</v>
      </c>
      <c r="AD174" s="16">
        <f t="shared" si="31"/>
        <v>2</v>
      </c>
      <c r="AE174" s="16">
        <f t="shared" si="31"/>
        <v>0</v>
      </c>
      <c r="AF174" s="24">
        <f t="shared" si="31"/>
        <v>0</v>
      </c>
      <c r="AG174" s="6">
        <f t="shared" si="28"/>
        <v>158</v>
      </c>
      <c r="AH174" s="2" t="s">
        <v>138</v>
      </c>
    </row>
    <row r="175" spans="1:34" ht="18.75" x14ac:dyDescent="0.25">
      <c r="A175" s="133" t="s">
        <v>120</v>
      </c>
      <c r="B175" s="15">
        <v>1</v>
      </c>
      <c r="C175" s="15">
        <v>0</v>
      </c>
      <c r="D175" s="15">
        <v>1</v>
      </c>
      <c r="E175" s="15">
        <v>0</v>
      </c>
      <c r="F175" s="15">
        <v>3</v>
      </c>
      <c r="G175" s="15">
        <v>0</v>
      </c>
      <c r="H175" s="15">
        <v>1</v>
      </c>
      <c r="I175" s="15">
        <v>1</v>
      </c>
      <c r="J175" s="15">
        <v>0</v>
      </c>
      <c r="K175" s="15">
        <v>0</v>
      </c>
      <c r="L175" s="15">
        <v>0</v>
      </c>
      <c r="M175" s="15">
        <v>0</v>
      </c>
      <c r="N175" s="15">
        <v>0</v>
      </c>
      <c r="O175" s="15">
        <v>2</v>
      </c>
      <c r="P175" s="15">
        <v>0</v>
      </c>
      <c r="Q175" s="15">
        <v>0</v>
      </c>
      <c r="R175" s="15">
        <v>1</v>
      </c>
      <c r="S175" s="15">
        <v>1</v>
      </c>
      <c r="T175" s="15">
        <v>0</v>
      </c>
      <c r="U175" s="15">
        <v>0</v>
      </c>
      <c r="V175" s="15">
        <v>0</v>
      </c>
      <c r="W175" s="15">
        <v>1</v>
      </c>
      <c r="X175" s="15">
        <v>0</v>
      </c>
      <c r="Y175" s="15">
        <v>3</v>
      </c>
      <c r="Z175" s="15">
        <v>0</v>
      </c>
      <c r="AA175" s="15">
        <v>0</v>
      </c>
      <c r="AB175" s="15">
        <v>0</v>
      </c>
      <c r="AC175" s="15">
        <v>0</v>
      </c>
      <c r="AD175" s="15">
        <v>0</v>
      </c>
      <c r="AE175" s="15"/>
      <c r="AF175" s="23"/>
      <c r="AG175" s="5">
        <f t="shared" si="28"/>
        <v>15</v>
      </c>
      <c r="AH175" s="2" t="s">
        <v>138</v>
      </c>
    </row>
    <row r="176" spans="1:34" ht="19.5" thickBot="1" x14ac:dyDescent="0.3">
      <c r="A176" s="104" t="s">
        <v>119</v>
      </c>
      <c r="B176" s="101">
        <v>10</v>
      </c>
      <c r="C176" s="101">
        <v>5</v>
      </c>
      <c r="D176" s="101">
        <v>5</v>
      </c>
      <c r="E176" s="101">
        <v>1</v>
      </c>
      <c r="F176" s="101">
        <v>6</v>
      </c>
      <c r="G176" s="101">
        <v>2</v>
      </c>
      <c r="H176" s="101">
        <v>4</v>
      </c>
      <c r="I176" s="101">
        <v>6</v>
      </c>
      <c r="J176" s="101">
        <v>7</v>
      </c>
      <c r="K176" s="101">
        <v>5</v>
      </c>
      <c r="L176" s="101">
        <v>4</v>
      </c>
      <c r="M176" s="101">
        <v>1</v>
      </c>
      <c r="N176" s="101">
        <v>6</v>
      </c>
      <c r="O176" s="101">
        <v>4</v>
      </c>
      <c r="P176" s="101">
        <v>13</v>
      </c>
      <c r="Q176" s="101">
        <v>3</v>
      </c>
      <c r="R176" s="101">
        <v>8</v>
      </c>
      <c r="S176" s="101">
        <v>7</v>
      </c>
      <c r="T176" s="101">
        <v>2</v>
      </c>
      <c r="U176" s="101">
        <v>5</v>
      </c>
      <c r="V176" s="101">
        <v>3</v>
      </c>
      <c r="W176" s="101">
        <v>6</v>
      </c>
      <c r="X176" s="101">
        <v>3</v>
      </c>
      <c r="Y176" s="101">
        <v>6</v>
      </c>
      <c r="Z176" s="101">
        <v>5</v>
      </c>
      <c r="AA176" s="101">
        <v>2</v>
      </c>
      <c r="AB176" s="101">
        <v>8</v>
      </c>
      <c r="AC176" s="101">
        <v>4</v>
      </c>
      <c r="AD176" s="101">
        <v>2</v>
      </c>
      <c r="AE176" s="101"/>
      <c r="AF176" s="102"/>
      <c r="AG176" s="103">
        <f t="shared" si="28"/>
        <v>143</v>
      </c>
      <c r="AH176" s="2" t="s">
        <v>138</v>
      </c>
    </row>
    <row r="177" spans="1:34" ht="18.75" x14ac:dyDescent="0.25">
      <c r="A177" s="64" t="s">
        <v>105</v>
      </c>
      <c r="B177" s="65"/>
      <c r="C177" s="65"/>
      <c r="D177" s="65"/>
      <c r="E177" s="65"/>
      <c r="F177" s="65"/>
      <c r="G177" s="65"/>
      <c r="H177" s="65"/>
      <c r="I177" s="65"/>
      <c r="J177" s="65"/>
      <c r="K177" s="65"/>
      <c r="L177" s="65"/>
      <c r="M177" s="65"/>
      <c r="N177" s="65"/>
      <c r="O177" s="65"/>
      <c r="P177" s="65"/>
      <c r="Q177" s="65"/>
      <c r="R177" s="65"/>
      <c r="S177" s="65"/>
      <c r="T177" s="65"/>
      <c r="U177" s="65"/>
      <c r="V177" s="65"/>
      <c r="W177" s="65"/>
      <c r="X177" s="65"/>
      <c r="Y177" s="65"/>
      <c r="Z177" s="65"/>
      <c r="AA177" s="65"/>
      <c r="AB177" s="65"/>
      <c r="AC177" s="65"/>
      <c r="AD177" s="65"/>
      <c r="AE177" s="65"/>
      <c r="AF177" s="86"/>
      <c r="AG177" s="96">
        <f t="shared" si="28"/>
        <v>0</v>
      </c>
    </row>
    <row r="178" spans="1:34" ht="19.5" thickBot="1" x14ac:dyDescent="0.3">
      <c r="A178" s="66" t="s">
        <v>104</v>
      </c>
      <c r="B178" s="67"/>
      <c r="C178" s="67"/>
      <c r="D178" s="67"/>
      <c r="E178" s="67"/>
      <c r="F178" s="67"/>
      <c r="G178" s="67"/>
      <c r="H178" s="67"/>
      <c r="I178" s="67"/>
      <c r="J178" s="67"/>
      <c r="K178" s="67"/>
      <c r="L178" s="67"/>
      <c r="M178" s="67"/>
      <c r="N178" s="67"/>
      <c r="O178" s="67"/>
      <c r="P178" s="67"/>
      <c r="Q178" s="67"/>
      <c r="R178" s="67"/>
      <c r="S178" s="67"/>
      <c r="T178" s="67"/>
      <c r="U178" s="67"/>
      <c r="V178" s="67"/>
      <c r="W178" s="67"/>
      <c r="X178" s="67"/>
      <c r="Y178" s="67"/>
      <c r="Z178" s="67"/>
      <c r="AA178" s="67"/>
      <c r="AB178" s="67"/>
      <c r="AC178" s="67"/>
      <c r="AD178" s="67"/>
      <c r="AE178" s="67"/>
      <c r="AF178" s="87"/>
      <c r="AG178" s="32">
        <f t="shared" si="28"/>
        <v>0</v>
      </c>
    </row>
    <row r="179" spans="1:34" ht="19.5" thickBot="1" x14ac:dyDescent="0.3">
      <c r="A179" s="219" t="s">
        <v>149</v>
      </c>
      <c r="B179" s="220">
        <f t="shared" ref="B179:AF179" si="32">SUM(B180:B205)</f>
        <v>12</v>
      </c>
      <c r="C179" s="220">
        <f t="shared" si="32"/>
        <v>25</v>
      </c>
      <c r="D179" s="220">
        <f t="shared" si="32"/>
        <v>22</v>
      </c>
      <c r="E179" s="220">
        <f t="shared" si="32"/>
        <v>12</v>
      </c>
      <c r="F179" s="220">
        <f t="shared" si="32"/>
        <v>13</v>
      </c>
      <c r="G179" s="220">
        <f t="shared" si="32"/>
        <v>12</v>
      </c>
      <c r="H179" s="220">
        <f t="shared" si="32"/>
        <v>15</v>
      </c>
      <c r="I179" s="220">
        <f t="shared" si="32"/>
        <v>23</v>
      </c>
      <c r="J179" s="220">
        <f t="shared" si="32"/>
        <v>5</v>
      </c>
      <c r="K179" s="220">
        <f t="shared" si="32"/>
        <v>18</v>
      </c>
      <c r="L179" s="220">
        <f t="shared" si="32"/>
        <v>15</v>
      </c>
      <c r="M179" s="220">
        <f t="shared" si="32"/>
        <v>15</v>
      </c>
      <c r="N179" s="220">
        <f t="shared" si="32"/>
        <v>10</v>
      </c>
      <c r="O179" s="220">
        <f t="shared" si="32"/>
        <v>9</v>
      </c>
      <c r="P179" s="220">
        <f t="shared" si="32"/>
        <v>20</v>
      </c>
      <c r="Q179" s="220">
        <f t="shared" si="32"/>
        <v>25</v>
      </c>
      <c r="R179" s="220">
        <f t="shared" si="32"/>
        <v>21</v>
      </c>
      <c r="S179" s="220">
        <f t="shared" si="32"/>
        <v>22</v>
      </c>
      <c r="T179" s="220">
        <f t="shared" si="32"/>
        <v>20</v>
      </c>
      <c r="U179" s="220">
        <f t="shared" si="32"/>
        <v>22</v>
      </c>
      <c r="V179" s="220">
        <f t="shared" si="32"/>
        <v>14</v>
      </c>
      <c r="W179" s="220">
        <f t="shared" si="32"/>
        <v>15</v>
      </c>
      <c r="X179" s="220">
        <f t="shared" si="32"/>
        <v>11</v>
      </c>
      <c r="Y179" s="220">
        <f t="shared" si="32"/>
        <v>24</v>
      </c>
      <c r="Z179" s="220">
        <f t="shared" si="32"/>
        <v>16</v>
      </c>
      <c r="AA179" s="220">
        <f t="shared" si="32"/>
        <v>11</v>
      </c>
      <c r="AB179" s="220">
        <f t="shared" si="32"/>
        <v>19</v>
      </c>
      <c r="AC179" s="220">
        <f t="shared" si="32"/>
        <v>15</v>
      </c>
      <c r="AD179" s="220">
        <f t="shared" si="32"/>
        <v>24</v>
      </c>
      <c r="AE179" s="220">
        <f t="shared" si="32"/>
        <v>0</v>
      </c>
      <c r="AF179" s="221">
        <f t="shared" si="32"/>
        <v>0</v>
      </c>
      <c r="AG179" s="156">
        <f t="shared" si="28"/>
        <v>485</v>
      </c>
      <c r="AH179" s="38"/>
    </row>
    <row r="180" spans="1:34" ht="18.75" x14ac:dyDescent="0.25">
      <c r="A180" s="109" t="s">
        <v>4</v>
      </c>
      <c r="B180" s="216">
        <v>9</v>
      </c>
      <c r="C180" s="216">
        <v>3</v>
      </c>
      <c r="D180" s="216">
        <v>4</v>
      </c>
      <c r="E180" s="216">
        <v>2</v>
      </c>
      <c r="F180" s="216">
        <v>2</v>
      </c>
      <c r="G180" s="216">
        <v>7</v>
      </c>
      <c r="H180" s="216">
        <v>7</v>
      </c>
      <c r="I180" s="216">
        <v>3</v>
      </c>
      <c r="J180" s="216">
        <v>4</v>
      </c>
      <c r="K180" s="216">
        <v>1</v>
      </c>
      <c r="L180" s="216">
        <v>2</v>
      </c>
      <c r="M180" s="216">
        <v>1</v>
      </c>
      <c r="N180" s="217">
        <v>2</v>
      </c>
      <c r="O180" s="217">
        <v>2</v>
      </c>
      <c r="P180" s="217">
        <v>7</v>
      </c>
      <c r="Q180" s="217">
        <v>4</v>
      </c>
      <c r="R180" s="217">
        <v>6</v>
      </c>
      <c r="S180" s="217">
        <v>2</v>
      </c>
      <c r="T180" s="217">
        <v>3</v>
      </c>
      <c r="U180" s="217">
        <v>8</v>
      </c>
      <c r="V180" s="217">
        <v>8</v>
      </c>
      <c r="W180" s="217">
        <v>1</v>
      </c>
      <c r="X180" s="217">
        <v>5</v>
      </c>
      <c r="Y180" s="217">
        <v>6</v>
      </c>
      <c r="Z180" s="217">
        <v>4</v>
      </c>
      <c r="AA180" s="217">
        <v>5</v>
      </c>
      <c r="AB180" s="217">
        <v>10</v>
      </c>
      <c r="AC180" s="217"/>
      <c r="AD180" s="217">
        <v>9</v>
      </c>
      <c r="AE180" s="217"/>
      <c r="AF180" s="218"/>
      <c r="AG180" s="31">
        <f t="shared" si="28"/>
        <v>127</v>
      </c>
    </row>
    <row r="181" spans="1:34" ht="18.75" x14ac:dyDescent="0.25">
      <c r="A181" s="109" t="s">
        <v>122</v>
      </c>
      <c r="B181" s="147"/>
      <c r="C181" s="147"/>
      <c r="D181" s="147"/>
      <c r="E181" s="147"/>
      <c r="F181" s="147"/>
      <c r="G181" s="147"/>
      <c r="H181" s="147">
        <v>4</v>
      </c>
      <c r="I181" s="147">
        <v>2</v>
      </c>
      <c r="J181" s="147"/>
      <c r="K181" s="147"/>
      <c r="L181" s="147"/>
      <c r="M181" s="147"/>
      <c r="N181" s="17"/>
      <c r="O181" s="17"/>
      <c r="P181" s="17">
        <v>1</v>
      </c>
      <c r="Q181" s="17"/>
      <c r="R181" s="17"/>
      <c r="S181" s="17">
        <v>1</v>
      </c>
      <c r="T181" s="17"/>
      <c r="U181" s="17">
        <v>1</v>
      </c>
      <c r="V181" s="17"/>
      <c r="W181" s="17"/>
      <c r="X181" s="17"/>
      <c r="Y181" s="17"/>
      <c r="Z181" s="17"/>
      <c r="AA181" s="17"/>
      <c r="AB181" s="17">
        <v>1</v>
      </c>
      <c r="AC181" s="17"/>
      <c r="AD181" s="17">
        <v>3</v>
      </c>
      <c r="AE181" s="17"/>
      <c r="AF181" s="18"/>
      <c r="AG181" s="4">
        <f t="shared" si="28"/>
        <v>13</v>
      </c>
    </row>
    <row r="182" spans="1:34" ht="18.75" x14ac:dyDescent="0.25">
      <c r="A182" s="109" t="s">
        <v>123</v>
      </c>
      <c r="B182" s="147"/>
      <c r="C182" s="147">
        <v>20</v>
      </c>
      <c r="D182" s="147">
        <v>16</v>
      </c>
      <c r="E182" s="147">
        <v>8</v>
      </c>
      <c r="F182" s="147">
        <v>6</v>
      </c>
      <c r="G182" s="147">
        <v>4</v>
      </c>
      <c r="H182" s="147">
        <v>1</v>
      </c>
      <c r="I182" s="147">
        <v>16</v>
      </c>
      <c r="J182" s="147"/>
      <c r="K182" s="147">
        <v>17</v>
      </c>
      <c r="L182" s="147">
        <v>10</v>
      </c>
      <c r="M182" s="147">
        <v>8</v>
      </c>
      <c r="N182" s="17">
        <v>7</v>
      </c>
      <c r="O182" s="17">
        <v>5</v>
      </c>
      <c r="P182" s="17">
        <v>3</v>
      </c>
      <c r="Q182" s="17">
        <v>18</v>
      </c>
      <c r="R182" s="17">
        <v>12</v>
      </c>
      <c r="S182" s="17">
        <v>16</v>
      </c>
      <c r="T182" s="17">
        <v>13</v>
      </c>
      <c r="U182" s="17">
        <v>3</v>
      </c>
      <c r="V182" s="17">
        <v>2</v>
      </c>
      <c r="W182" s="17">
        <v>12</v>
      </c>
      <c r="X182" s="17">
        <v>1</v>
      </c>
      <c r="Y182" s="17">
        <v>16</v>
      </c>
      <c r="Z182" s="17">
        <v>9</v>
      </c>
      <c r="AA182" s="17">
        <v>5</v>
      </c>
      <c r="AB182" s="17">
        <v>1</v>
      </c>
      <c r="AC182" s="17">
        <v>13</v>
      </c>
      <c r="AD182" s="17">
        <v>3</v>
      </c>
      <c r="AE182" s="17"/>
      <c r="AF182" s="18"/>
      <c r="AG182" s="4">
        <f t="shared" si="28"/>
        <v>245</v>
      </c>
    </row>
    <row r="183" spans="1:34" ht="18.75" x14ac:dyDescent="0.25">
      <c r="A183" s="109" t="s">
        <v>614</v>
      </c>
      <c r="B183" s="147"/>
      <c r="C183" s="147"/>
      <c r="D183" s="147"/>
      <c r="E183" s="147"/>
      <c r="F183" s="147"/>
      <c r="G183" s="147"/>
      <c r="H183" s="147"/>
      <c r="I183" s="147"/>
      <c r="J183" s="147"/>
      <c r="K183" s="147"/>
      <c r="L183" s="147"/>
      <c r="M183" s="14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  <c r="AE183" s="17"/>
      <c r="AF183" s="18"/>
      <c r="AG183" s="4">
        <f t="shared" si="28"/>
        <v>0</v>
      </c>
    </row>
    <row r="184" spans="1:34" s="398" customFormat="1" ht="18.75" x14ac:dyDescent="0.25">
      <c r="A184" s="393" t="s">
        <v>621</v>
      </c>
      <c r="B184" s="394"/>
      <c r="C184" s="394"/>
      <c r="D184" s="394"/>
      <c r="E184" s="394"/>
      <c r="F184" s="394"/>
      <c r="G184" s="394"/>
      <c r="H184" s="394"/>
      <c r="I184" s="394"/>
      <c r="J184" s="394"/>
      <c r="K184" s="394"/>
      <c r="L184" s="394"/>
      <c r="M184" s="394"/>
      <c r="N184" s="395"/>
      <c r="O184" s="395"/>
      <c r="P184" s="395"/>
      <c r="Q184" s="395"/>
      <c r="R184" s="395"/>
      <c r="S184" s="395"/>
      <c r="T184" s="395"/>
      <c r="U184" s="395"/>
      <c r="V184" s="395"/>
      <c r="W184" s="395"/>
      <c r="X184" s="395"/>
      <c r="Y184" s="395"/>
      <c r="Z184" s="395"/>
      <c r="AA184" s="395"/>
      <c r="AB184" s="395"/>
      <c r="AC184" s="395"/>
      <c r="AD184" s="395"/>
      <c r="AE184" s="395"/>
      <c r="AF184" s="396"/>
      <c r="AG184" s="397">
        <f t="shared" ref="AG184" si="33">SUM(B184:AF184)</f>
        <v>0</v>
      </c>
    </row>
    <row r="185" spans="1:34" ht="18.75" x14ac:dyDescent="0.25">
      <c r="A185" s="109" t="s">
        <v>165</v>
      </c>
      <c r="B185" s="147"/>
      <c r="C185" s="147"/>
      <c r="D185" s="147">
        <v>1</v>
      </c>
      <c r="E185" s="147"/>
      <c r="F185" s="147"/>
      <c r="G185" s="147"/>
      <c r="H185" s="147"/>
      <c r="I185" s="147"/>
      <c r="J185" s="147"/>
      <c r="K185" s="147"/>
      <c r="L185" s="147"/>
      <c r="M185" s="14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  <c r="AF185" s="18"/>
      <c r="AG185" s="4">
        <f t="shared" si="28"/>
        <v>1</v>
      </c>
    </row>
    <row r="186" spans="1:34" ht="18.75" x14ac:dyDescent="0.25">
      <c r="A186" s="109" t="s">
        <v>141</v>
      </c>
      <c r="B186" s="147"/>
      <c r="C186" s="147"/>
      <c r="D186" s="147"/>
      <c r="E186" s="147"/>
      <c r="F186" s="147"/>
      <c r="G186" s="147"/>
      <c r="H186" s="147"/>
      <c r="I186" s="147"/>
      <c r="J186" s="147"/>
      <c r="K186" s="147"/>
      <c r="L186" s="147"/>
      <c r="M186" s="147"/>
      <c r="N186" s="17"/>
      <c r="O186" s="17"/>
      <c r="P186" s="17">
        <v>1</v>
      </c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>
        <v>1</v>
      </c>
      <c r="AC186" s="17"/>
      <c r="AD186" s="17"/>
      <c r="AE186" s="17"/>
      <c r="AF186" s="18"/>
      <c r="AG186" s="4">
        <f t="shared" si="28"/>
        <v>2</v>
      </c>
    </row>
    <row r="187" spans="1:34" ht="18.75" x14ac:dyDescent="0.25">
      <c r="A187" s="109" t="s">
        <v>613</v>
      </c>
      <c r="B187" s="147"/>
      <c r="C187" s="147"/>
      <c r="D187" s="147"/>
      <c r="E187" s="147"/>
      <c r="F187" s="147"/>
      <c r="G187" s="147"/>
      <c r="H187" s="147"/>
      <c r="I187" s="147"/>
      <c r="J187" s="147"/>
      <c r="K187" s="147"/>
      <c r="L187" s="147"/>
      <c r="M187" s="14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  <c r="AF187" s="18"/>
      <c r="AG187" s="4">
        <f t="shared" si="28"/>
        <v>0</v>
      </c>
    </row>
    <row r="188" spans="1:34" ht="18.75" x14ac:dyDescent="0.25">
      <c r="A188" s="109" t="s">
        <v>139</v>
      </c>
      <c r="B188" s="147"/>
      <c r="C188" s="147"/>
      <c r="D188" s="147"/>
      <c r="E188" s="147"/>
      <c r="F188" s="147"/>
      <c r="G188" s="147"/>
      <c r="H188" s="147">
        <v>1</v>
      </c>
      <c r="I188" s="147"/>
      <c r="J188" s="147"/>
      <c r="K188" s="147"/>
      <c r="L188" s="147"/>
      <c r="M188" s="147"/>
      <c r="N188" s="17"/>
      <c r="O188" s="17"/>
      <c r="P188" s="17">
        <v>6</v>
      </c>
      <c r="Q188" s="17">
        <v>1</v>
      </c>
      <c r="R188" s="17"/>
      <c r="S188" s="17"/>
      <c r="T188" s="17"/>
      <c r="U188" s="17">
        <v>8</v>
      </c>
      <c r="V188" s="17">
        <v>1</v>
      </c>
      <c r="W188" s="17"/>
      <c r="X188" s="17">
        <v>2</v>
      </c>
      <c r="Y188" s="17"/>
      <c r="Z188" s="17"/>
      <c r="AA188" s="17"/>
      <c r="AB188" s="17">
        <v>3</v>
      </c>
      <c r="AC188" s="17"/>
      <c r="AD188" s="17">
        <v>5</v>
      </c>
      <c r="AE188" s="17"/>
      <c r="AF188" s="18"/>
      <c r="AG188" s="4">
        <f t="shared" si="28"/>
        <v>27</v>
      </c>
    </row>
    <row r="189" spans="1:34" ht="18.75" x14ac:dyDescent="0.25">
      <c r="A189" s="110" t="s">
        <v>63</v>
      </c>
      <c r="B189" s="147"/>
      <c r="C189" s="147"/>
      <c r="D189" s="147"/>
      <c r="E189" s="147"/>
      <c r="F189" s="147"/>
      <c r="G189" s="147"/>
      <c r="H189" s="147"/>
      <c r="I189" s="147"/>
      <c r="J189" s="147"/>
      <c r="K189" s="147"/>
      <c r="L189" s="147"/>
      <c r="M189" s="147"/>
      <c r="N189" s="17"/>
      <c r="O189" s="17"/>
      <c r="P189" s="17"/>
      <c r="Q189" s="17"/>
      <c r="R189" s="17"/>
      <c r="S189" s="17"/>
      <c r="T189" s="17"/>
      <c r="U189" s="17"/>
      <c r="V189" s="17"/>
      <c r="W189" s="17">
        <v>1</v>
      </c>
      <c r="X189" s="17"/>
      <c r="Y189" s="17"/>
      <c r="Z189" s="17"/>
      <c r="AA189" s="17"/>
      <c r="AB189" s="17"/>
      <c r="AC189" s="17"/>
      <c r="AD189" s="17"/>
      <c r="AE189" s="17"/>
      <c r="AF189" s="18"/>
      <c r="AG189" s="4">
        <f t="shared" si="28"/>
        <v>1</v>
      </c>
    </row>
    <row r="190" spans="1:34" ht="18.75" x14ac:dyDescent="0.25">
      <c r="A190" s="110" t="s">
        <v>142</v>
      </c>
      <c r="B190" s="147"/>
      <c r="C190" s="147"/>
      <c r="D190" s="147"/>
      <c r="E190" s="147"/>
      <c r="F190" s="147"/>
      <c r="G190" s="147"/>
      <c r="H190" s="147"/>
      <c r="I190" s="147"/>
      <c r="J190" s="147"/>
      <c r="K190" s="147"/>
      <c r="L190" s="147">
        <v>1</v>
      </c>
      <c r="M190" s="14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>
        <v>1</v>
      </c>
      <c r="AA190" s="17"/>
      <c r="AB190" s="17"/>
      <c r="AC190" s="17"/>
      <c r="AD190" s="17"/>
      <c r="AE190" s="17"/>
      <c r="AF190" s="18"/>
      <c r="AG190" s="4">
        <f t="shared" si="28"/>
        <v>2</v>
      </c>
    </row>
    <row r="191" spans="1:34" ht="18.75" x14ac:dyDescent="0.25">
      <c r="A191" s="110" t="s">
        <v>168</v>
      </c>
      <c r="B191" s="147"/>
      <c r="C191" s="147"/>
      <c r="D191" s="147"/>
      <c r="E191" s="147"/>
      <c r="F191" s="147"/>
      <c r="G191" s="147"/>
      <c r="H191" s="147"/>
      <c r="I191" s="147"/>
      <c r="J191" s="147"/>
      <c r="K191" s="147"/>
      <c r="L191" s="147"/>
      <c r="M191" s="147"/>
      <c r="N191" s="17"/>
      <c r="O191" s="17"/>
      <c r="P191" s="17"/>
      <c r="Q191" s="17"/>
      <c r="R191" s="17"/>
      <c r="S191" s="17"/>
      <c r="T191" s="17"/>
      <c r="U191" s="17"/>
      <c r="V191" s="17"/>
      <c r="W191" s="17">
        <v>1</v>
      </c>
      <c r="X191" s="17"/>
      <c r="Y191" s="17"/>
      <c r="Z191" s="17"/>
      <c r="AA191" s="17"/>
      <c r="AB191" s="17"/>
      <c r="AC191" s="17"/>
      <c r="AD191" s="17"/>
      <c r="AE191" s="17"/>
      <c r="AF191" s="18"/>
      <c r="AG191" s="4">
        <f t="shared" si="28"/>
        <v>1</v>
      </c>
    </row>
    <row r="192" spans="1:34" ht="18.75" x14ac:dyDescent="0.25">
      <c r="A192" s="110" t="s">
        <v>169</v>
      </c>
      <c r="B192" s="147"/>
      <c r="C192" s="147"/>
      <c r="D192" s="147"/>
      <c r="E192" s="147"/>
      <c r="F192" s="147"/>
      <c r="G192" s="147"/>
      <c r="H192" s="147"/>
      <c r="I192" s="147"/>
      <c r="J192" s="147"/>
      <c r="K192" s="147"/>
      <c r="L192" s="147"/>
      <c r="M192" s="14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  <c r="AE192" s="17"/>
      <c r="AF192" s="18"/>
      <c r="AG192" s="4">
        <f t="shared" si="28"/>
        <v>0</v>
      </c>
    </row>
    <row r="193" spans="1:34" ht="18.75" x14ac:dyDescent="0.25">
      <c r="A193" s="236" t="s">
        <v>5</v>
      </c>
      <c r="B193" s="237"/>
      <c r="C193" s="237"/>
      <c r="D193" s="237"/>
      <c r="E193" s="237">
        <v>1</v>
      </c>
      <c r="F193" s="237">
        <v>4</v>
      </c>
      <c r="G193" s="237"/>
      <c r="H193" s="237"/>
      <c r="I193" s="237"/>
      <c r="J193" s="237"/>
      <c r="K193" s="237"/>
      <c r="L193" s="237"/>
      <c r="M193" s="237"/>
      <c r="N193" s="238">
        <v>1</v>
      </c>
      <c r="O193" s="238"/>
      <c r="P193" s="238"/>
      <c r="Q193" s="238"/>
      <c r="R193" s="238"/>
      <c r="S193" s="238"/>
      <c r="T193" s="238"/>
      <c r="U193" s="238"/>
      <c r="V193" s="238">
        <v>1</v>
      </c>
      <c r="W193" s="238"/>
      <c r="X193" s="238">
        <v>1</v>
      </c>
      <c r="Y193" s="238"/>
      <c r="Z193" s="238">
        <v>2</v>
      </c>
      <c r="AA193" s="238">
        <v>1</v>
      </c>
      <c r="AB193" s="238">
        <v>1</v>
      </c>
      <c r="AC193" s="238"/>
      <c r="AD193" s="238">
        <v>1</v>
      </c>
      <c r="AE193" s="238"/>
      <c r="AF193" s="239"/>
      <c r="AG193" s="240">
        <f t="shared" si="28"/>
        <v>13</v>
      </c>
    </row>
    <row r="194" spans="1:34" ht="18.75" x14ac:dyDescent="0.25">
      <c r="A194" s="111" t="s">
        <v>174</v>
      </c>
      <c r="B194" s="147"/>
      <c r="C194" s="147"/>
      <c r="D194" s="147"/>
      <c r="E194" s="147"/>
      <c r="F194" s="147"/>
      <c r="G194" s="147"/>
      <c r="H194" s="147"/>
      <c r="I194" s="147"/>
      <c r="J194" s="147"/>
      <c r="K194" s="147"/>
      <c r="L194" s="147"/>
      <c r="M194" s="14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  <c r="AE194" s="17"/>
      <c r="AF194" s="18"/>
      <c r="AG194" s="4">
        <f t="shared" si="28"/>
        <v>0</v>
      </c>
    </row>
    <row r="195" spans="1:34" ht="18.75" x14ac:dyDescent="0.25">
      <c r="A195" s="111" t="s">
        <v>171</v>
      </c>
      <c r="B195" s="147"/>
      <c r="C195" s="147"/>
      <c r="D195" s="147"/>
      <c r="E195" s="147"/>
      <c r="F195" s="147"/>
      <c r="G195" s="147"/>
      <c r="H195" s="147"/>
      <c r="I195" s="147"/>
      <c r="J195" s="147"/>
      <c r="K195" s="147"/>
      <c r="L195" s="147"/>
      <c r="M195" s="14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  <c r="AE195" s="17"/>
      <c r="AF195" s="18"/>
      <c r="AG195" s="4">
        <f t="shared" si="28"/>
        <v>0</v>
      </c>
    </row>
    <row r="196" spans="1:34" ht="18.75" x14ac:dyDescent="0.25">
      <c r="A196" s="111" t="s">
        <v>173</v>
      </c>
      <c r="B196" s="147"/>
      <c r="C196" s="147"/>
      <c r="D196" s="147"/>
      <c r="E196" s="147"/>
      <c r="F196" s="147"/>
      <c r="G196" s="147"/>
      <c r="H196" s="147"/>
      <c r="I196" s="147"/>
      <c r="J196" s="147"/>
      <c r="K196" s="147"/>
      <c r="L196" s="147"/>
      <c r="M196" s="14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  <c r="AE196" s="17"/>
      <c r="AF196" s="18"/>
      <c r="AG196" s="4">
        <f t="shared" si="28"/>
        <v>0</v>
      </c>
    </row>
    <row r="197" spans="1:34" ht="18.75" x14ac:dyDescent="0.25">
      <c r="A197" s="111" t="s">
        <v>88</v>
      </c>
      <c r="B197" s="147"/>
      <c r="C197" s="147"/>
      <c r="D197" s="147"/>
      <c r="E197" s="147"/>
      <c r="F197" s="147"/>
      <c r="G197" s="147"/>
      <c r="H197" s="147"/>
      <c r="I197" s="147"/>
      <c r="J197" s="147"/>
      <c r="K197" s="147"/>
      <c r="L197" s="147"/>
      <c r="M197" s="14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  <c r="AE197" s="17"/>
      <c r="AF197" s="18"/>
      <c r="AG197" s="4">
        <f t="shared" si="28"/>
        <v>0</v>
      </c>
    </row>
    <row r="198" spans="1:34" ht="18.75" x14ac:dyDescent="0.25">
      <c r="A198" s="111" t="s">
        <v>617</v>
      </c>
      <c r="B198" s="147"/>
      <c r="C198" s="147"/>
      <c r="D198" s="147"/>
      <c r="E198" s="147"/>
      <c r="F198" s="147"/>
      <c r="G198" s="147"/>
      <c r="H198" s="147"/>
      <c r="I198" s="147">
        <v>1</v>
      </c>
      <c r="J198" s="147"/>
      <c r="K198" s="147"/>
      <c r="L198" s="147"/>
      <c r="M198" s="14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  <c r="AE198" s="17"/>
      <c r="AF198" s="18"/>
      <c r="AG198" s="4">
        <f t="shared" si="28"/>
        <v>1</v>
      </c>
    </row>
    <row r="199" spans="1:34" ht="18.75" x14ac:dyDescent="0.25">
      <c r="A199" s="111" t="s">
        <v>143</v>
      </c>
      <c r="B199" s="147"/>
      <c r="C199" s="147"/>
      <c r="D199" s="147"/>
      <c r="E199" s="147"/>
      <c r="F199" s="147"/>
      <c r="G199" s="147"/>
      <c r="H199" s="147"/>
      <c r="I199" s="147"/>
      <c r="J199" s="147"/>
      <c r="K199" s="147"/>
      <c r="L199" s="147"/>
      <c r="M199" s="147"/>
      <c r="N199" s="17"/>
      <c r="O199" s="17"/>
      <c r="P199" s="17"/>
      <c r="Q199" s="17"/>
      <c r="R199" s="17"/>
      <c r="S199" s="17">
        <v>1</v>
      </c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  <c r="AE199" s="17"/>
      <c r="AF199" s="18"/>
      <c r="AG199" s="4">
        <f t="shared" si="28"/>
        <v>1</v>
      </c>
    </row>
    <row r="200" spans="1:34" ht="18.75" x14ac:dyDescent="0.25">
      <c r="A200" s="110" t="s">
        <v>124</v>
      </c>
      <c r="B200" s="147"/>
      <c r="C200" s="147">
        <v>2</v>
      </c>
      <c r="D200" s="147"/>
      <c r="E200" s="147"/>
      <c r="F200" s="147"/>
      <c r="G200" s="147"/>
      <c r="H200" s="147"/>
      <c r="I200" s="147"/>
      <c r="J200" s="147"/>
      <c r="K200" s="147"/>
      <c r="L200" s="147"/>
      <c r="M200" s="147">
        <v>3</v>
      </c>
      <c r="N200" s="17"/>
      <c r="O200" s="17">
        <v>1</v>
      </c>
      <c r="P200" s="17"/>
      <c r="Q200" s="17"/>
      <c r="R200" s="17">
        <v>1</v>
      </c>
      <c r="S200" s="17">
        <v>1</v>
      </c>
      <c r="T200" s="17">
        <v>4</v>
      </c>
      <c r="U200" s="17">
        <v>1</v>
      </c>
      <c r="V200" s="17">
        <v>1</v>
      </c>
      <c r="W200" s="17"/>
      <c r="X200" s="17"/>
      <c r="Y200" s="17">
        <v>1</v>
      </c>
      <c r="Z200" s="17"/>
      <c r="AA200" s="17"/>
      <c r="AB200" s="17"/>
      <c r="AC200" s="17">
        <v>2</v>
      </c>
      <c r="AD200" s="17">
        <v>1</v>
      </c>
      <c r="AE200" s="17"/>
      <c r="AF200" s="18"/>
      <c r="AG200" s="4">
        <f t="shared" si="28"/>
        <v>18</v>
      </c>
    </row>
    <row r="201" spans="1:34" ht="18.75" x14ac:dyDescent="0.25">
      <c r="A201" s="110" t="s">
        <v>167</v>
      </c>
      <c r="B201" s="147"/>
      <c r="C201" s="147"/>
      <c r="D201" s="147"/>
      <c r="E201" s="147"/>
      <c r="F201" s="147"/>
      <c r="G201" s="147"/>
      <c r="H201" s="147"/>
      <c r="I201" s="147"/>
      <c r="J201" s="147"/>
      <c r="K201" s="147"/>
      <c r="L201" s="147"/>
      <c r="M201" s="14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  <c r="AD201" s="17"/>
      <c r="AE201" s="17"/>
      <c r="AF201" s="18"/>
      <c r="AG201" s="4">
        <f t="shared" si="28"/>
        <v>0</v>
      </c>
    </row>
    <row r="202" spans="1:34" ht="18.75" x14ac:dyDescent="0.25">
      <c r="A202" s="110" t="s">
        <v>125</v>
      </c>
      <c r="B202" s="147">
        <v>1</v>
      </c>
      <c r="C202" s="147"/>
      <c r="D202" s="147"/>
      <c r="E202" s="147">
        <v>1</v>
      </c>
      <c r="F202" s="147"/>
      <c r="G202" s="147"/>
      <c r="H202" s="147"/>
      <c r="I202" s="147"/>
      <c r="J202" s="147"/>
      <c r="K202" s="147"/>
      <c r="L202" s="147"/>
      <c r="M202" s="147"/>
      <c r="N202" s="17"/>
      <c r="O202" s="17"/>
      <c r="P202" s="17"/>
      <c r="Q202" s="17"/>
      <c r="R202" s="17">
        <v>1</v>
      </c>
      <c r="S202" s="17"/>
      <c r="T202" s="17"/>
      <c r="U202" s="17"/>
      <c r="V202" s="17"/>
      <c r="W202" s="17"/>
      <c r="X202" s="17"/>
      <c r="Y202" s="17"/>
      <c r="Z202" s="17"/>
      <c r="AA202" s="17"/>
      <c r="AB202" s="17"/>
      <c r="AC202" s="17"/>
      <c r="AD202" s="17">
        <v>1</v>
      </c>
      <c r="AE202" s="17"/>
      <c r="AF202" s="18"/>
      <c r="AG202" s="4">
        <f t="shared" si="28"/>
        <v>4</v>
      </c>
    </row>
    <row r="203" spans="1:34" ht="18.75" x14ac:dyDescent="0.25">
      <c r="A203" s="110" t="s">
        <v>126</v>
      </c>
      <c r="B203" s="202"/>
      <c r="C203" s="202"/>
      <c r="D203" s="202"/>
      <c r="E203" s="202"/>
      <c r="F203" s="202">
        <v>1</v>
      </c>
      <c r="G203" s="202">
        <v>1</v>
      </c>
      <c r="H203" s="202">
        <v>1</v>
      </c>
      <c r="I203" s="202">
        <v>1</v>
      </c>
      <c r="J203" s="202"/>
      <c r="K203" s="202"/>
      <c r="L203" s="202">
        <v>1</v>
      </c>
      <c r="M203" s="202">
        <v>3</v>
      </c>
      <c r="N203" s="203"/>
      <c r="O203" s="203">
        <v>1</v>
      </c>
      <c r="P203" s="203">
        <v>1</v>
      </c>
      <c r="Q203" s="203">
        <v>1</v>
      </c>
      <c r="R203" s="203"/>
      <c r="S203" s="203">
        <v>1</v>
      </c>
      <c r="T203" s="203"/>
      <c r="U203" s="203">
        <v>1</v>
      </c>
      <c r="V203" s="203">
        <v>1</v>
      </c>
      <c r="W203" s="203"/>
      <c r="X203" s="203">
        <v>1</v>
      </c>
      <c r="Y203" s="203">
        <v>1</v>
      </c>
      <c r="Z203" s="203"/>
      <c r="AA203" s="203"/>
      <c r="AB203" s="203">
        <v>1</v>
      </c>
      <c r="AC203" s="203"/>
      <c r="AD203" s="203">
        <v>1</v>
      </c>
      <c r="AE203" s="203"/>
      <c r="AF203" s="204"/>
      <c r="AG203" s="4">
        <f t="shared" si="28"/>
        <v>18</v>
      </c>
    </row>
    <row r="204" spans="1:34" ht="18.75" x14ac:dyDescent="0.25">
      <c r="A204" s="112" t="s">
        <v>170</v>
      </c>
      <c r="B204" s="202">
        <v>2</v>
      </c>
      <c r="C204" s="202"/>
      <c r="D204" s="202">
        <v>1</v>
      </c>
      <c r="E204" s="202"/>
      <c r="F204" s="202"/>
      <c r="G204" s="202"/>
      <c r="H204" s="202">
        <v>1</v>
      </c>
      <c r="I204" s="202"/>
      <c r="J204" s="202">
        <v>1</v>
      </c>
      <c r="K204" s="202"/>
      <c r="L204" s="202"/>
      <c r="M204" s="202"/>
      <c r="N204" s="203"/>
      <c r="O204" s="203"/>
      <c r="P204" s="203">
        <v>1</v>
      </c>
      <c r="Q204" s="203">
        <v>1</v>
      </c>
      <c r="R204" s="203">
        <v>1</v>
      </c>
      <c r="S204" s="203"/>
      <c r="T204" s="203"/>
      <c r="U204" s="203"/>
      <c r="V204" s="203"/>
      <c r="W204" s="203"/>
      <c r="X204" s="203">
        <v>1</v>
      </c>
      <c r="Y204" s="203"/>
      <c r="Z204" s="203"/>
      <c r="AA204" s="203"/>
      <c r="AB204" s="203">
        <v>1</v>
      </c>
      <c r="AC204" s="203"/>
      <c r="AD204" s="203"/>
      <c r="AE204" s="203"/>
      <c r="AF204" s="204"/>
      <c r="AG204" s="4">
        <f t="shared" si="28"/>
        <v>10</v>
      </c>
    </row>
    <row r="205" spans="1:34" ht="19.5" thickBot="1" x14ac:dyDescent="0.3">
      <c r="A205" s="231" t="s">
        <v>166</v>
      </c>
      <c r="B205" s="202"/>
      <c r="C205" s="202"/>
      <c r="D205" s="202"/>
      <c r="E205" s="202"/>
      <c r="F205" s="202"/>
      <c r="G205" s="202"/>
      <c r="H205" s="202"/>
      <c r="I205" s="202"/>
      <c r="J205" s="202"/>
      <c r="K205" s="202"/>
      <c r="L205" s="202">
        <v>1</v>
      </c>
      <c r="M205" s="202"/>
      <c r="N205" s="203"/>
      <c r="O205" s="203"/>
      <c r="P205" s="203"/>
      <c r="Q205" s="203"/>
      <c r="R205" s="203"/>
      <c r="S205" s="203"/>
      <c r="T205" s="203"/>
      <c r="U205" s="203"/>
      <c r="V205" s="203"/>
      <c r="W205" s="203"/>
      <c r="X205" s="203"/>
      <c r="Y205" s="203"/>
      <c r="Z205" s="203"/>
      <c r="AA205" s="203"/>
      <c r="AB205" s="203"/>
      <c r="AC205" s="203"/>
      <c r="AD205" s="203"/>
      <c r="AE205" s="203"/>
      <c r="AF205" s="204"/>
      <c r="AG205" s="28">
        <f t="shared" si="28"/>
        <v>1</v>
      </c>
    </row>
    <row r="206" spans="1:34" ht="19.5" thickBot="1" x14ac:dyDescent="0.3">
      <c r="A206" s="215" t="s">
        <v>83</v>
      </c>
      <c r="B206" s="209">
        <f>SUM(B207:B211)</f>
        <v>215</v>
      </c>
      <c r="C206" s="210">
        <f t="shared" ref="C206:AF206" si="34">SUM(C207:C211)</f>
        <v>199</v>
      </c>
      <c r="D206" s="210">
        <f t="shared" si="34"/>
        <v>169</v>
      </c>
      <c r="E206" s="210">
        <f t="shared" si="34"/>
        <v>136</v>
      </c>
      <c r="F206" s="210">
        <f t="shared" si="34"/>
        <v>143</v>
      </c>
      <c r="G206" s="210">
        <f t="shared" si="34"/>
        <v>116</v>
      </c>
      <c r="H206" s="210">
        <f t="shared" si="34"/>
        <v>157</v>
      </c>
      <c r="I206" s="210">
        <f t="shared" si="34"/>
        <v>172</v>
      </c>
      <c r="J206" s="210">
        <f t="shared" si="34"/>
        <v>205</v>
      </c>
      <c r="K206" s="210">
        <f t="shared" si="34"/>
        <v>146</v>
      </c>
      <c r="L206" s="210">
        <f t="shared" si="34"/>
        <v>148</v>
      </c>
      <c r="M206" s="210">
        <f t="shared" si="34"/>
        <v>138</v>
      </c>
      <c r="N206" s="211">
        <f t="shared" si="34"/>
        <v>140</v>
      </c>
      <c r="O206" s="211">
        <f t="shared" si="34"/>
        <v>118</v>
      </c>
      <c r="P206" s="211">
        <f t="shared" si="34"/>
        <v>182</v>
      </c>
      <c r="Q206" s="211">
        <f t="shared" si="34"/>
        <v>237</v>
      </c>
      <c r="R206" s="211">
        <f t="shared" si="34"/>
        <v>156</v>
      </c>
      <c r="S206" s="211">
        <f t="shared" si="34"/>
        <v>164</v>
      </c>
      <c r="T206" s="211">
        <f t="shared" si="34"/>
        <v>163</v>
      </c>
      <c r="U206" s="211">
        <f t="shared" si="34"/>
        <v>150</v>
      </c>
      <c r="V206" s="211">
        <f t="shared" si="34"/>
        <v>137</v>
      </c>
      <c r="W206" s="211">
        <f t="shared" si="34"/>
        <v>208</v>
      </c>
      <c r="X206" s="211">
        <f t="shared" si="34"/>
        <v>213</v>
      </c>
      <c r="Y206" s="211">
        <f t="shared" si="34"/>
        <v>142</v>
      </c>
      <c r="Z206" s="211">
        <f t="shared" si="34"/>
        <v>135</v>
      </c>
      <c r="AA206" s="211">
        <f t="shared" si="34"/>
        <v>159</v>
      </c>
      <c r="AB206" s="211">
        <f t="shared" si="34"/>
        <v>156</v>
      </c>
      <c r="AC206" s="211">
        <f t="shared" si="34"/>
        <v>126</v>
      </c>
      <c r="AD206" s="211">
        <f t="shared" si="34"/>
        <v>229</v>
      </c>
      <c r="AE206" s="211">
        <f t="shared" si="34"/>
        <v>0</v>
      </c>
      <c r="AF206" s="212">
        <f t="shared" si="34"/>
        <v>0</v>
      </c>
      <c r="AG206" s="213">
        <f t="shared" si="28"/>
        <v>4759</v>
      </c>
      <c r="AH206" s="180" t="str">
        <f>IF(AG206&lt;&gt;AG93,"X","")</f>
        <v/>
      </c>
    </row>
    <row r="207" spans="1:34" ht="18.75" x14ac:dyDescent="0.25">
      <c r="A207" s="214" t="s">
        <v>72</v>
      </c>
      <c r="B207" s="205"/>
      <c r="C207" s="205"/>
      <c r="D207" s="205"/>
      <c r="E207" s="205"/>
      <c r="F207" s="205"/>
      <c r="G207" s="205"/>
      <c r="H207" s="205"/>
      <c r="I207" s="205"/>
      <c r="J207" s="205"/>
      <c r="K207" s="205"/>
      <c r="L207" s="205"/>
      <c r="M207" s="205"/>
      <c r="N207" s="206"/>
      <c r="O207" s="206"/>
      <c r="P207" s="206"/>
      <c r="Q207" s="206"/>
      <c r="R207" s="206"/>
      <c r="S207" s="206"/>
      <c r="T207" s="206"/>
      <c r="U207" s="206"/>
      <c r="V207" s="206"/>
      <c r="W207" s="206"/>
      <c r="X207" s="206"/>
      <c r="Y207" s="206"/>
      <c r="Z207" s="206"/>
      <c r="AA207" s="206"/>
      <c r="AB207" s="206"/>
      <c r="AC207" s="206"/>
      <c r="AD207" s="206"/>
      <c r="AE207" s="206"/>
      <c r="AF207" s="207"/>
      <c r="AG207" s="208">
        <f t="shared" si="28"/>
        <v>0</v>
      </c>
    </row>
    <row r="208" spans="1:34" ht="18.75" x14ac:dyDescent="0.25">
      <c r="A208" s="52" t="s">
        <v>73</v>
      </c>
      <c r="B208" s="148">
        <v>1</v>
      </c>
      <c r="C208" s="148">
        <v>1</v>
      </c>
      <c r="D208" s="148">
        <v>3</v>
      </c>
      <c r="E208" s="148"/>
      <c r="F208" s="148"/>
      <c r="G208" s="148">
        <v>2</v>
      </c>
      <c r="H208" s="148"/>
      <c r="I208" s="148">
        <v>4</v>
      </c>
      <c r="J208" s="148"/>
      <c r="K208" s="148">
        <v>3</v>
      </c>
      <c r="L208" s="148"/>
      <c r="M208" s="148"/>
      <c r="N208" s="33"/>
      <c r="O208" s="33"/>
      <c r="P208" s="33">
        <v>2</v>
      </c>
      <c r="Q208" s="33">
        <v>1</v>
      </c>
      <c r="R208" s="33">
        <v>1</v>
      </c>
      <c r="S208" s="33">
        <v>1</v>
      </c>
      <c r="T208" s="33"/>
      <c r="U208" s="33"/>
      <c r="V208" s="33"/>
      <c r="W208" s="33"/>
      <c r="X208" s="33"/>
      <c r="Y208" s="33">
        <v>3</v>
      </c>
      <c r="Z208" s="33">
        <v>1</v>
      </c>
      <c r="AA208" s="33"/>
      <c r="AB208" s="33"/>
      <c r="AC208" s="33"/>
      <c r="AD208" s="33">
        <v>3</v>
      </c>
      <c r="AE208" s="33"/>
      <c r="AF208" s="88"/>
      <c r="AG208" s="97">
        <f t="shared" si="28"/>
        <v>26</v>
      </c>
    </row>
    <row r="209" spans="1:34" ht="18.75" x14ac:dyDescent="0.25">
      <c r="A209" s="52" t="s">
        <v>74</v>
      </c>
      <c r="B209" s="148">
        <v>24</v>
      </c>
      <c r="C209" s="148">
        <v>12</v>
      </c>
      <c r="D209" s="148">
        <v>19</v>
      </c>
      <c r="E209" s="148">
        <v>15</v>
      </c>
      <c r="F209" s="148">
        <v>25</v>
      </c>
      <c r="G209" s="148">
        <v>22</v>
      </c>
      <c r="H209" s="148">
        <v>20</v>
      </c>
      <c r="I209" s="148">
        <v>14</v>
      </c>
      <c r="J209" s="148">
        <v>17</v>
      </c>
      <c r="K209" s="148">
        <v>9</v>
      </c>
      <c r="L209" s="148">
        <v>10</v>
      </c>
      <c r="M209" s="148">
        <v>9</v>
      </c>
      <c r="N209" s="33">
        <v>17</v>
      </c>
      <c r="O209" s="33">
        <v>6</v>
      </c>
      <c r="P209" s="33">
        <v>26</v>
      </c>
      <c r="Q209" s="33">
        <v>28</v>
      </c>
      <c r="R209" s="33">
        <v>8</v>
      </c>
      <c r="S209" s="33">
        <v>11</v>
      </c>
      <c r="T209" s="33">
        <v>6</v>
      </c>
      <c r="U209" s="33">
        <v>18</v>
      </c>
      <c r="V209" s="33">
        <v>23</v>
      </c>
      <c r="W209" s="33">
        <v>15</v>
      </c>
      <c r="X209" s="33">
        <v>13</v>
      </c>
      <c r="Y209" s="33">
        <v>13</v>
      </c>
      <c r="Z209" s="33">
        <v>17</v>
      </c>
      <c r="AA209" s="33">
        <v>15</v>
      </c>
      <c r="AB209" s="33">
        <v>16</v>
      </c>
      <c r="AC209" s="33">
        <v>4</v>
      </c>
      <c r="AD209" s="33">
        <v>29</v>
      </c>
      <c r="AE209" s="33"/>
      <c r="AF209" s="88"/>
      <c r="AG209" s="97">
        <f t="shared" si="28"/>
        <v>461</v>
      </c>
    </row>
    <row r="210" spans="1:34" ht="18.75" x14ac:dyDescent="0.25">
      <c r="A210" s="52" t="s">
        <v>75</v>
      </c>
      <c r="B210" s="148">
        <v>122</v>
      </c>
      <c r="C210" s="148">
        <v>111</v>
      </c>
      <c r="D210" s="148">
        <v>123</v>
      </c>
      <c r="E210" s="148">
        <v>101</v>
      </c>
      <c r="F210" s="148">
        <v>95</v>
      </c>
      <c r="G210" s="148">
        <v>85</v>
      </c>
      <c r="H210" s="148">
        <v>97</v>
      </c>
      <c r="I210" s="148">
        <v>113</v>
      </c>
      <c r="J210" s="148">
        <v>129</v>
      </c>
      <c r="K210" s="148">
        <v>118</v>
      </c>
      <c r="L210" s="148">
        <v>131</v>
      </c>
      <c r="M210" s="148">
        <v>124</v>
      </c>
      <c r="N210" s="33">
        <v>98</v>
      </c>
      <c r="O210" s="33">
        <v>90</v>
      </c>
      <c r="P210" s="33">
        <v>142</v>
      </c>
      <c r="Q210" s="33">
        <v>166</v>
      </c>
      <c r="R210" s="33">
        <v>129</v>
      </c>
      <c r="S210" s="33">
        <v>135</v>
      </c>
      <c r="T210" s="33">
        <v>135</v>
      </c>
      <c r="U210" s="33">
        <v>114</v>
      </c>
      <c r="V210" s="33">
        <v>99</v>
      </c>
      <c r="W210" s="33">
        <v>127</v>
      </c>
      <c r="X210" s="33">
        <v>119</v>
      </c>
      <c r="Y210" s="33">
        <v>88</v>
      </c>
      <c r="Z210" s="33">
        <v>71</v>
      </c>
      <c r="AA210" s="33">
        <v>94</v>
      </c>
      <c r="AB210" s="33">
        <v>91</v>
      </c>
      <c r="AC210" s="33">
        <v>77</v>
      </c>
      <c r="AD210" s="33">
        <v>139</v>
      </c>
      <c r="AE210" s="33"/>
      <c r="AF210" s="88"/>
      <c r="AG210" s="97">
        <f t="shared" si="28"/>
        <v>3263</v>
      </c>
    </row>
    <row r="211" spans="1:34" ht="19.5" thickBot="1" x14ac:dyDescent="0.3">
      <c r="A211" s="63" t="s">
        <v>76</v>
      </c>
      <c r="B211" s="149">
        <v>68</v>
      </c>
      <c r="C211" s="149">
        <v>75</v>
      </c>
      <c r="D211" s="149">
        <v>24</v>
      </c>
      <c r="E211" s="149">
        <v>20</v>
      </c>
      <c r="F211" s="149">
        <v>23</v>
      </c>
      <c r="G211" s="149">
        <v>7</v>
      </c>
      <c r="H211" s="149">
        <v>40</v>
      </c>
      <c r="I211" s="149">
        <v>41</v>
      </c>
      <c r="J211" s="149">
        <v>59</v>
      </c>
      <c r="K211" s="149">
        <v>16</v>
      </c>
      <c r="L211" s="149">
        <v>7</v>
      </c>
      <c r="M211" s="149">
        <v>5</v>
      </c>
      <c r="N211" s="34">
        <v>25</v>
      </c>
      <c r="O211" s="34">
        <v>22</v>
      </c>
      <c r="P211" s="34">
        <v>12</v>
      </c>
      <c r="Q211" s="34">
        <v>42</v>
      </c>
      <c r="R211" s="34">
        <v>18</v>
      </c>
      <c r="S211" s="34">
        <v>17</v>
      </c>
      <c r="T211" s="34">
        <v>22</v>
      </c>
      <c r="U211" s="34">
        <v>18</v>
      </c>
      <c r="V211" s="34">
        <v>15</v>
      </c>
      <c r="W211" s="34">
        <v>66</v>
      </c>
      <c r="X211" s="34">
        <v>81</v>
      </c>
      <c r="Y211" s="34">
        <v>38</v>
      </c>
      <c r="Z211" s="34">
        <v>46</v>
      </c>
      <c r="AA211" s="34">
        <v>50</v>
      </c>
      <c r="AB211" s="34">
        <v>49</v>
      </c>
      <c r="AC211" s="34">
        <v>45</v>
      </c>
      <c r="AD211" s="34">
        <v>58</v>
      </c>
      <c r="AE211" s="34"/>
      <c r="AF211" s="89"/>
      <c r="AG211" s="35">
        <f t="shared" si="28"/>
        <v>1009</v>
      </c>
    </row>
    <row r="212" spans="1:34" ht="19.5" thickBot="1" x14ac:dyDescent="0.3">
      <c r="A212" s="121" t="s">
        <v>622</v>
      </c>
      <c r="B212" s="404"/>
      <c r="C212" s="404"/>
      <c r="D212" s="404"/>
      <c r="E212" s="404"/>
      <c r="F212" s="404"/>
      <c r="G212" s="404"/>
      <c r="H212" s="404"/>
      <c r="I212" s="404"/>
      <c r="J212" s="404"/>
      <c r="K212" s="404"/>
      <c r="L212" s="404"/>
      <c r="M212" s="404"/>
      <c r="N212" s="122"/>
      <c r="O212" s="122"/>
      <c r="P212" s="122"/>
      <c r="Q212" s="122"/>
      <c r="R212" s="122"/>
      <c r="S212" s="122"/>
      <c r="T212" s="122"/>
      <c r="U212" s="122"/>
      <c r="V212" s="122"/>
      <c r="W212" s="122"/>
      <c r="X212" s="122"/>
      <c r="Y212" s="122"/>
      <c r="Z212" s="122"/>
      <c r="AA212" s="122"/>
      <c r="AB212" s="122"/>
      <c r="AC212" s="122"/>
      <c r="AD212" s="122"/>
      <c r="AE212" s="122"/>
      <c r="AF212" s="123"/>
      <c r="AG212" s="124">
        <f t="shared" si="28"/>
        <v>0</v>
      </c>
    </row>
    <row r="213" spans="1:34" ht="18.75" x14ac:dyDescent="0.25">
      <c r="A213" s="414" t="s">
        <v>624</v>
      </c>
      <c r="B213" s="415"/>
      <c r="C213" s="415"/>
      <c r="D213" s="415"/>
      <c r="E213" s="415"/>
      <c r="F213" s="415"/>
      <c r="G213" s="415"/>
      <c r="H213" s="415"/>
      <c r="I213" s="415"/>
      <c r="J213" s="415"/>
      <c r="K213" s="415"/>
      <c r="L213" s="415"/>
      <c r="M213" s="415"/>
      <c r="N213" s="416"/>
      <c r="O213" s="416"/>
      <c r="P213" s="416"/>
      <c r="Q213" s="416"/>
      <c r="R213" s="416"/>
      <c r="S213" s="416"/>
      <c r="T213" s="416"/>
      <c r="U213" s="416"/>
      <c r="V213" s="416"/>
      <c r="W213" s="416"/>
      <c r="X213" s="416"/>
      <c r="Y213" s="416"/>
      <c r="Z213" s="416"/>
      <c r="AA213" s="416"/>
      <c r="AB213" s="416"/>
      <c r="AC213" s="416"/>
      <c r="AD213" s="416"/>
      <c r="AE213" s="416"/>
      <c r="AF213" s="417"/>
      <c r="AG213" s="418">
        <f t="shared" si="28"/>
        <v>0</v>
      </c>
    </row>
    <row r="214" spans="1:34" ht="18.75" x14ac:dyDescent="0.25">
      <c r="A214" s="419" t="s">
        <v>626</v>
      </c>
      <c r="B214" s="420"/>
      <c r="C214" s="420"/>
      <c r="D214" s="420"/>
      <c r="E214" s="420"/>
      <c r="F214" s="420"/>
      <c r="G214" s="420"/>
      <c r="H214" s="420"/>
      <c r="I214" s="420"/>
      <c r="J214" s="420"/>
      <c r="K214" s="420"/>
      <c r="L214" s="420"/>
      <c r="M214" s="420"/>
      <c r="N214" s="421"/>
      <c r="O214" s="421"/>
      <c r="P214" s="421"/>
      <c r="Q214" s="421"/>
      <c r="R214" s="421"/>
      <c r="S214" s="421"/>
      <c r="T214" s="421"/>
      <c r="U214" s="421"/>
      <c r="V214" s="421"/>
      <c r="W214" s="421"/>
      <c r="X214" s="421"/>
      <c r="Y214" s="421"/>
      <c r="Z214" s="421"/>
      <c r="AA214" s="421"/>
      <c r="AB214" s="421"/>
      <c r="AC214" s="421"/>
      <c r="AD214" s="421"/>
      <c r="AE214" s="421"/>
      <c r="AF214" s="422"/>
      <c r="AG214" s="397">
        <f t="shared" si="28"/>
        <v>0</v>
      </c>
    </row>
    <row r="215" spans="1:34" ht="18.75" x14ac:dyDescent="0.25">
      <c r="A215" s="423" t="s">
        <v>627</v>
      </c>
      <c r="B215" s="420"/>
      <c r="C215" s="420"/>
      <c r="D215" s="420"/>
      <c r="E215" s="420"/>
      <c r="F215" s="420"/>
      <c r="G215" s="420"/>
      <c r="H215" s="420"/>
      <c r="I215" s="420"/>
      <c r="J215" s="420"/>
      <c r="K215" s="420"/>
      <c r="L215" s="420"/>
      <c r="M215" s="420"/>
      <c r="N215" s="421"/>
      <c r="O215" s="421"/>
      <c r="P215" s="421"/>
      <c r="Q215" s="421"/>
      <c r="R215" s="421"/>
      <c r="S215" s="421"/>
      <c r="T215" s="421"/>
      <c r="U215" s="421"/>
      <c r="V215" s="421"/>
      <c r="W215" s="421"/>
      <c r="X215" s="421"/>
      <c r="Y215" s="421"/>
      <c r="Z215" s="421"/>
      <c r="AA215" s="421"/>
      <c r="AB215" s="421"/>
      <c r="AC215" s="421"/>
      <c r="AD215" s="421"/>
      <c r="AE215" s="421"/>
      <c r="AF215" s="422"/>
      <c r="AG215" s="397">
        <f t="shared" si="28"/>
        <v>0</v>
      </c>
    </row>
    <row r="216" spans="1:34" ht="19.5" thickBot="1" x14ac:dyDescent="0.3">
      <c r="A216" s="424" t="s">
        <v>623</v>
      </c>
      <c r="B216" s="412"/>
      <c r="C216" s="412"/>
      <c r="D216" s="412"/>
      <c r="E216" s="412"/>
      <c r="F216" s="412"/>
      <c r="G216" s="412"/>
      <c r="H216" s="412"/>
      <c r="I216" s="412"/>
      <c r="J216" s="412"/>
      <c r="K216" s="412"/>
      <c r="L216" s="412"/>
      <c r="M216" s="412"/>
      <c r="N216" s="425"/>
      <c r="O216" s="425"/>
      <c r="P216" s="425"/>
      <c r="Q216" s="425"/>
      <c r="R216" s="425"/>
      <c r="S216" s="425"/>
      <c r="T216" s="425"/>
      <c r="U216" s="425"/>
      <c r="V216" s="425"/>
      <c r="W216" s="425"/>
      <c r="X216" s="425"/>
      <c r="Y216" s="425"/>
      <c r="Z216" s="425"/>
      <c r="AA216" s="425"/>
      <c r="AB216" s="425"/>
      <c r="AC216" s="425"/>
      <c r="AD216" s="425"/>
      <c r="AE216" s="425"/>
      <c r="AF216" s="426"/>
      <c r="AG216" s="397">
        <f>SUM(B216:AF216)</f>
        <v>0</v>
      </c>
    </row>
    <row r="217" spans="1:34" ht="18.75" x14ac:dyDescent="0.25">
      <c r="A217" s="69" t="s">
        <v>628</v>
      </c>
      <c r="B217" s="407"/>
      <c r="C217" s="407"/>
      <c r="D217" s="407"/>
      <c r="E217" s="407"/>
      <c r="F217" s="407"/>
      <c r="G217" s="407"/>
      <c r="H217" s="407"/>
      <c r="I217" s="407"/>
      <c r="J217" s="407"/>
      <c r="K217" s="407"/>
      <c r="L217" s="407"/>
      <c r="M217" s="407"/>
      <c r="N217" s="56"/>
      <c r="O217" s="56"/>
      <c r="P217" s="56"/>
      <c r="Q217" s="56"/>
      <c r="R217" s="56"/>
      <c r="S217" s="56"/>
      <c r="T217" s="56"/>
      <c r="U217" s="56"/>
      <c r="V217" s="56"/>
      <c r="W217" s="56"/>
      <c r="X217" s="56"/>
      <c r="Y217" s="56"/>
      <c r="Z217" s="56"/>
      <c r="AA217" s="56"/>
      <c r="AB217" s="56"/>
      <c r="AC217" s="56"/>
      <c r="AD217" s="56"/>
      <c r="AE217" s="56"/>
      <c r="AF217" s="85"/>
      <c r="AG217" s="95">
        <f>SUM(B217:AF217)</f>
        <v>0</v>
      </c>
    </row>
    <row r="218" spans="1:34" ht="19.5" thickBot="1" x14ac:dyDescent="0.3">
      <c r="A218" s="424" t="s">
        <v>629</v>
      </c>
      <c r="B218" s="412">
        <f>+B212-B217</f>
        <v>0</v>
      </c>
      <c r="C218" s="412">
        <f t="shared" ref="C218:AF218" si="35">+C212-C217</f>
        <v>0</v>
      </c>
      <c r="D218" s="412">
        <f t="shared" si="35"/>
        <v>0</v>
      </c>
      <c r="E218" s="412">
        <f t="shared" si="35"/>
        <v>0</v>
      </c>
      <c r="F218" s="412">
        <f t="shared" si="35"/>
        <v>0</v>
      </c>
      <c r="G218" s="412">
        <f t="shared" si="35"/>
        <v>0</v>
      </c>
      <c r="H218" s="412">
        <f t="shared" si="35"/>
        <v>0</v>
      </c>
      <c r="I218" s="412">
        <f t="shared" si="35"/>
        <v>0</v>
      </c>
      <c r="J218" s="412">
        <f t="shared" si="35"/>
        <v>0</v>
      </c>
      <c r="K218" s="412">
        <f t="shared" si="35"/>
        <v>0</v>
      </c>
      <c r="L218" s="412">
        <f t="shared" si="35"/>
        <v>0</v>
      </c>
      <c r="M218" s="412">
        <f t="shared" si="35"/>
        <v>0</v>
      </c>
      <c r="N218" s="425">
        <f t="shared" si="35"/>
        <v>0</v>
      </c>
      <c r="O218" s="425">
        <f t="shared" si="35"/>
        <v>0</v>
      </c>
      <c r="P218" s="425">
        <f t="shared" si="35"/>
        <v>0</v>
      </c>
      <c r="Q218" s="425">
        <f t="shared" si="35"/>
        <v>0</v>
      </c>
      <c r="R218" s="425">
        <f t="shared" si="35"/>
        <v>0</v>
      </c>
      <c r="S218" s="425">
        <f t="shared" si="35"/>
        <v>0</v>
      </c>
      <c r="T218" s="425">
        <f t="shared" si="35"/>
        <v>0</v>
      </c>
      <c r="U218" s="425">
        <f t="shared" si="35"/>
        <v>0</v>
      </c>
      <c r="V218" s="425">
        <f t="shared" si="35"/>
        <v>0</v>
      </c>
      <c r="W218" s="425">
        <f t="shared" si="35"/>
        <v>0</v>
      </c>
      <c r="X218" s="425">
        <f t="shared" si="35"/>
        <v>0</v>
      </c>
      <c r="Y218" s="425">
        <f t="shared" si="35"/>
        <v>0</v>
      </c>
      <c r="Z218" s="425">
        <f t="shared" si="35"/>
        <v>0</v>
      </c>
      <c r="AA218" s="425">
        <f t="shared" si="35"/>
        <v>0</v>
      </c>
      <c r="AB218" s="425">
        <f t="shared" si="35"/>
        <v>0</v>
      </c>
      <c r="AC218" s="425">
        <f t="shared" si="35"/>
        <v>0</v>
      </c>
      <c r="AD218" s="425">
        <f t="shared" si="35"/>
        <v>0</v>
      </c>
      <c r="AE218" s="425">
        <f t="shared" si="35"/>
        <v>0</v>
      </c>
      <c r="AF218" s="428">
        <f t="shared" si="35"/>
        <v>0</v>
      </c>
      <c r="AG218" s="413">
        <f>SUM(B218:AF218)</f>
        <v>0</v>
      </c>
    </row>
    <row r="219" spans="1:34" ht="19.5" thickBot="1" x14ac:dyDescent="0.3">
      <c r="A219" s="60" t="s">
        <v>64</v>
      </c>
      <c r="B219" s="61"/>
      <c r="C219" s="61"/>
      <c r="D219" s="61"/>
      <c r="E219" s="61"/>
      <c r="F219" s="61"/>
      <c r="G219" s="61"/>
      <c r="H219" s="61"/>
      <c r="I219" s="61"/>
      <c r="J219" s="61"/>
      <c r="K219" s="61"/>
      <c r="L219" s="61"/>
      <c r="M219" s="61"/>
      <c r="N219" s="61"/>
      <c r="O219" s="61"/>
      <c r="P219" s="61"/>
      <c r="Q219" s="61"/>
      <c r="R219" s="61"/>
      <c r="S219" s="61"/>
      <c r="T219" s="61"/>
      <c r="U219" s="61"/>
      <c r="V219" s="61"/>
      <c r="W219" s="61"/>
      <c r="X219" s="61"/>
      <c r="Y219" s="61"/>
      <c r="Z219" s="61"/>
      <c r="AA219" s="61"/>
      <c r="AB219" s="61"/>
      <c r="AC219" s="61"/>
      <c r="AD219" s="61"/>
      <c r="AE219" s="61"/>
      <c r="AF219" s="90"/>
      <c r="AG219" s="98"/>
    </row>
    <row r="220" spans="1:34" ht="18.75" x14ac:dyDescent="0.25">
      <c r="A220" s="43" t="s">
        <v>77</v>
      </c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  <c r="AC220" s="19"/>
      <c r="AD220" s="19"/>
      <c r="AE220" s="19"/>
      <c r="AF220" s="25"/>
      <c r="AG220" s="99">
        <f t="shared" si="28"/>
        <v>0</v>
      </c>
      <c r="AH220" s="437" t="s">
        <v>85</v>
      </c>
    </row>
    <row r="221" spans="1:34" ht="18.75" x14ac:dyDescent="0.25">
      <c r="A221" s="53" t="s">
        <v>110</v>
      </c>
      <c r="B221" s="39"/>
      <c r="C221" s="39"/>
      <c r="D221" s="39"/>
      <c r="E221" s="39"/>
      <c r="F221" s="39"/>
      <c r="G221" s="39"/>
      <c r="H221" s="39"/>
      <c r="I221" s="39"/>
      <c r="J221" s="39"/>
      <c r="K221" s="39"/>
      <c r="L221" s="39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  <c r="Y221" s="39"/>
      <c r="Z221" s="39"/>
      <c r="AA221" s="39"/>
      <c r="AB221" s="39"/>
      <c r="AC221" s="39"/>
      <c r="AD221" s="39"/>
      <c r="AE221" s="39"/>
      <c r="AF221" s="91"/>
      <c r="AG221" s="100">
        <f t="shared" si="28"/>
        <v>0</v>
      </c>
      <c r="AH221" s="438"/>
    </row>
    <row r="222" spans="1:34" ht="18.75" x14ac:dyDescent="0.25">
      <c r="A222" s="53" t="s">
        <v>111</v>
      </c>
      <c r="B222" s="39"/>
      <c r="C222" s="39"/>
      <c r="D222" s="39"/>
      <c r="E222" s="39"/>
      <c r="F222" s="39"/>
      <c r="G222" s="39"/>
      <c r="H222" s="39"/>
      <c r="I222" s="39"/>
      <c r="J222" s="39"/>
      <c r="K222" s="39"/>
      <c r="L222" s="39"/>
      <c r="M222" s="39"/>
      <c r="N222" s="39"/>
      <c r="O222" s="39"/>
      <c r="P222" s="39"/>
      <c r="Q222" s="39"/>
      <c r="R222" s="39"/>
      <c r="S222" s="39"/>
      <c r="T222" s="39"/>
      <c r="U222" s="39"/>
      <c r="V222" s="39"/>
      <c r="W222" s="39"/>
      <c r="X222" s="39"/>
      <c r="Y222" s="39"/>
      <c r="Z222" s="39"/>
      <c r="AA222" s="39"/>
      <c r="AB222" s="39"/>
      <c r="AC222" s="39"/>
      <c r="AD222" s="39"/>
      <c r="AE222" s="39"/>
      <c r="AF222" s="91"/>
      <c r="AG222" s="100">
        <f t="shared" si="28"/>
        <v>0</v>
      </c>
      <c r="AH222" s="438"/>
    </row>
    <row r="223" spans="1:34" ht="18.75" x14ac:dyDescent="0.25">
      <c r="A223" s="53" t="s">
        <v>112</v>
      </c>
      <c r="B223" s="39"/>
      <c r="C223" s="39"/>
      <c r="D223" s="39"/>
      <c r="E223" s="39"/>
      <c r="F223" s="39"/>
      <c r="G223" s="39"/>
      <c r="H223" s="39"/>
      <c r="I223" s="39"/>
      <c r="J223" s="39"/>
      <c r="K223" s="39"/>
      <c r="L223" s="39"/>
      <c r="M223" s="39"/>
      <c r="N223" s="39"/>
      <c r="O223" s="39"/>
      <c r="P223" s="39"/>
      <c r="Q223" s="39"/>
      <c r="R223" s="39"/>
      <c r="S223" s="39"/>
      <c r="T223" s="39"/>
      <c r="U223" s="39"/>
      <c r="V223" s="39"/>
      <c r="W223" s="39"/>
      <c r="X223" s="39"/>
      <c r="Y223" s="39"/>
      <c r="Z223" s="39"/>
      <c r="AA223" s="39"/>
      <c r="AB223" s="39"/>
      <c r="AC223" s="39"/>
      <c r="AD223" s="39"/>
      <c r="AE223" s="39"/>
      <c r="AF223" s="91"/>
      <c r="AG223" s="100">
        <f t="shared" si="28"/>
        <v>0</v>
      </c>
      <c r="AH223" s="438"/>
    </row>
    <row r="224" spans="1:34" ht="18.75" x14ac:dyDescent="0.25">
      <c r="A224" s="53" t="s">
        <v>113</v>
      </c>
      <c r="B224" s="39"/>
      <c r="C224" s="39"/>
      <c r="D224" s="39"/>
      <c r="E224" s="39"/>
      <c r="F224" s="39"/>
      <c r="G224" s="39"/>
      <c r="H224" s="39"/>
      <c r="I224" s="39"/>
      <c r="J224" s="39"/>
      <c r="K224" s="39"/>
      <c r="L224" s="39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  <c r="Y224" s="39"/>
      <c r="Z224" s="39"/>
      <c r="AA224" s="39"/>
      <c r="AB224" s="39"/>
      <c r="AC224" s="39"/>
      <c r="AD224" s="39"/>
      <c r="AE224" s="39"/>
      <c r="AF224" s="91"/>
      <c r="AG224" s="100">
        <f t="shared" si="28"/>
        <v>0</v>
      </c>
      <c r="AH224" s="438"/>
    </row>
    <row r="225" spans="1:34" ht="18.75" x14ac:dyDescent="0.25">
      <c r="A225" s="53" t="s">
        <v>114</v>
      </c>
      <c r="B225" s="39"/>
      <c r="C225" s="39"/>
      <c r="D225" s="39"/>
      <c r="E225" s="39"/>
      <c r="F225" s="39"/>
      <c r="G225" s="39"/>
      <c r="H225" s="39"/>
      <c r="I225" s="39"/>
      <c r="J225" s="39"/>
      <c r="K225" s="39"/>
      <c r="L225" s="39"/>
      <c r="M225" s="39"/>
      <c r="N225" s="39"/>
      <c r="O225" s="39"/>
      <c r="P225" s="39"/>
      <c r="Q225" s="39"/>
      <c r="R225" s="39"/>
      <c r="S225" s="39"/>
      <c r="T225" s="39"/>
      <c r="U225" s="39"/>
      <c r="V225" s="39"/>
      <c r="W225" s="39"/>
      <c r="X225" s="39"/>
      <c r="Y225" s="39"/>
      <c r="Z225" s="39"/>
      <c r="AA225" s="39"/>
      <c r="AB225" s="39"/>
      <c r="AC225" s="39"/>
      <c r="AD225" s="39"/>
      <c r="AE225" s="39"/>
      <c r="AF225" s="91"/>
      <c r="AG225" s="100">
        <f t="shared" ref="AG225:AG227" si="36">SUM(B225:AF225)</f>
        <v>0</v>
      </c>
      <c r="AH225" s="438"/>
    </row>
    <row r="226" spans="1:34" ht="18.75" x14ac:dyDescent="0.25">
      <c r="A226" s="53" t="s">
        <v>115</v>
      </c>
      <c r="B226" s="39"/>
      <c r="C226" s="39"/>
      <c r="D226" s="39"/>
      <c r="E226" s="39"/>
      <c r="F226" s="39"/>
      <c r="G226" s="39"/>
      <c r="H226" s="39"/>
      <c r="I226" s="39"/>
      <c r="J226" s="39"/>
      <c r="K226" s="39"/>
      <c r="L226" s="39"/>
      <c r="M226" s="39"/>
      <c r="N226" s="39"/>
      <c r="O226" s="39"/>
      <c r="P226" s="39"/>
      <c r="Q226" s="39"/>
      <c r="R226" s="39"/>
      <c r="S226" s="39"/>
      <c r="T226" s="39"/>
      <c r="U226" s="39"/>
      <c r="V226" s="39"/>
      <c r="W226" s="39"/>
      <c r="X226" s="39"/>
      <c r="Y226" s="39"/>
      <c r="Z226" s="39"/>
      <c r="AA226" s="39"/>
      <c r="AB226" s="39"/>
      <c r="AC226" s="39"/>
      <c r="AD226" s="39"/>
      <c r="AE226" s="39"/>
      <c r="AF226" s="91"/>
      <c r="AG226" s="100">
        <f t="shared" si="36"/>
        <v>0</v>
      </c>
      <c r="AH226" s="438"/>
    </row>
    <row r="227" spans="1:34" ht="18.75" x14ac:dyDescent="0.25">
      <c r="A227" s="53" t="s">
        <v>116</v>
      </c>
      <c r="B227" s="39"/>
      <c r="C227" s="39"/>
      <c r="D227" s="39"/>
      <c r="E227" s="39"/>
      <c r="F227" s="39"/>
      <c r="G227" s="39"/>
      <c r="H227" s="39"/>
      <c r="I227" s="39"/>
      <c r="J227" s="39"/>
      <c r="K227" s="39"/>
      <c r="L227" s="39"/>
      <c r="M227" s="39"/>
      <c r="N227" s="39"/>
      <c r="O227" s="39"/>
      <c r="P227" s="39"/>
      <c r="Q227" s="39"/>
      <c r="R227" s="39"/>
      <c r="S227" s="39"/>
      <c r="T227" s="39"/>
      <c r="U227" s="39"/>
      <c r="V227" s="39"/>
      <c r="W227" s="39"/>
      <c r="X227" s="39"/>
      <c r="Y227" s="39"/>
      <c r="Z227" s="39"/>
      <c r="AA227" s="39"/>
      <c r="AB227" s="39"/>
      <c r="AC227" s="39"/>
      <c r="AD227" s="39"/>
      <c r="AE227" s="39"/>
      <c r="AF227" s="91"/>
      <c r="AG227" s="100">
        <f t="shared" si="36"/>
        <v>0</v>
      </c>
      <c r="AH227" s="438"/>
    </row>
    <row r="228" spans="1:34" ht="18.75" x14ac:dyDescent="0.25">
      <c r="A228" s="53" t="s">
        <v>117</v>
      </c>
      <c r="B228" s="39"/>
      <c r="C228" s="39"/>
      <c r="D228" s="39"/>
      <c r="E228" s="39"/>
      <c r="F228" s="39"/>
      <c r="G228" s="39"/>
      <c r="H228" s="39"/>
      <c r="I228" s="39"/>
      <c r="J228" s="39"/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39"/>
      <c r="AA228" s="39"/>
      <c r="AB228" s="39"/>
      <c r="AC228" s="39"/>
      <c r="AD228" s="39"/>
      <c r="AE228" s="39"/>
      <c r="AF228" s="91"/>
      <c r="AG228" s="100">
        <f t="shared" si="28"/>
        <v>0</v>
      </c>
      <c r="AH228" s="438"/>
    </row>
    <row r="229" spans="1:34" ht="18.75" x14ac:dyDescent="0.25">
      <c r="A229" s="43" t="s">
        <v>150</v>
      </c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  <c r="AB229" s="19"/>
      <c r="AC229" s="19"/>
      <c r="AD229" s="19"/>
      <c r="AE229" s="19"/>
      <c r="AF229" s="25"/>
      <c r="AG229" s="99">
        <f t="shared" si="28"/>
        <v>0</v>
      </c>
      <c r="AH229" s="438"/>
    </row>
    <row r="230" spans="1:34" ht="18.75" x14ac:dyDescent="0.25">
      <c r="A230" s="43" t="s">
        <v>78</v>
      </c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  <c r="AC230" s="19"/>
      <c r="AD230" s="19"/>
      <c r="AE230" s="19"/>
      <c r="AF230" s="25"/>
      <c r="AG230" s="99">
        <f t="shared" si="28"/>
        <v>0</v>
      </c>
      <c r="AH230" s="438"/>
    </row>
    <row r="231" spans="1:34" ht="19.5" thickBot="1" x14ac:dyDescent="0.3">
      <c r="A231" s="43" t="s">
        <v>79</v>
      </c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19"/>
      <c r="AD231" s="19"/>
      <c r="AE231" s="19"/>
      <c r="AF231" s="25"/>
      <c r="AG231" s="99">
        <f t="shared" si="28"/>
        <v>0</v>
      </c>
      <c r="AH231" s="439"/>
    </row>
    <row r="232" spans="1:34" ht="24" thickBot="1" x14ac:dyDescent="0.3">
      <c r="A232" s="62" t="s">
        <v>118</v>
      </c>
      <c r="B232" s="20">
        <f>+B231+B230+B220+B229</f>
        <v>0</v>
      </c>
      <c r="C232" s="20">
        <f t="shared" ref="C232:AF232" si="37">+C231+C230+C220+C229</f>
        <v>0</v>
      </c>
      <c r="D232" s="20">
        <f t="shared" si="37"/>
        <v>0</v>
      </c>
      <c r="E232" s="20">
        <f t="shared" si="37"/>
        <v>0</v>
      </c>
      <c r="F232" s="20">
        <f t="shared" si="37"/>
        <v>0</v>
      </c>
      <c r="G232" s="20">
        <f t="shared" si="37"/>
        <v>0</v>
      </c>
      <c r="H232" s="20">
        <f t="shared" si="37"/>
        <v>0</v>
      </c>
      <c r="I232" s="20">
        <f t="shared" si="37"/>
        <v>0</v>
      </c>
      <c r="J232" s="20">
        <f t="shared" si="37"/>
        <v>0</v>
      </c>
      <c r="K232" s="20">
        <f t="shared" si="37"/>
        <v>0</v>
      </c>
      <c r="L232" s="20">
        <f t="shared" si="37"/>
        <v>0</v>
      </c>
      <c r="M232" s="20">
        <f t="shared" si="37"/>
        <v>0</v>
      </c>
      <c r="N232" s="20">
        <f t="shared" si="37"/>
        <v>0</v>
      </c>
      <c r="O232" s="20">
        <f t="shared" si="37"/>
        <v>0</v>
      </c>
      <c r="P232" s="20">
        <f t="shared" si="37"/>
        <v>0</v>
      </c>
      <c r="Q232" s="20">
        <f t="shared" si="37"/>
        <v>0</v>
      </c>
      <c r="R232" s="20">
        <f t="shared" si="37"/>
        <v>0</v>
      </c>
      <c r="S232" s="20">
        <f t="shared" si="37"/>
        <v>0</v>
      </c>
      <c r="T232" s="20">
        <f t="shared" si="37"/>
        <v>0</v>
      </c>
      <c r="U232" s="20">
        <f t="shared" si="37"/>
        <v>0</v>
      </c>
      <c r="V232" s="20">
        <f t="shared" si="37"/>
        <v>0</v>
      </c>
      <c r="W232" s="20">
        <f t="shared" si="37"/>
        <v>0</v>
      </c>
      <c r="X232" s="20">
        <f t="shared" si="37"/>
        <v>0</v>
      </c>
      <c r="Y232" s="20">
        <f t="shared" si="37"/>
        <v>0</v>
      </c>
      <c r="Z232" s="20">
        <f t="shared" si="37"/>
        <v>0</v>
      </c>
      <c r="AA232" s="20">
        <f t="shared" si="37"/>
        <v>0</v>
      </c>
      <c r="AB232" s="20">
        <f t="shared" si="37"/>
        <v>0</v>
      </c>
      <c r="AC232" s="20">
        <f t="shared" si="37"/>
        <v>0</v>
      </c>
      <c r="AD232" s="20">
        <f t="shared" si="37"/>
        <v>0</v>
      </c>
      <c r="AE232" s="20">
        <f t="shared" si="37"/>
        <v>0</v>
      </c>
      <c r="AF232" s="26">
        <f t="shared" si="37"/>
        <v>0</v>
      </c>
      <c r="AG232" s="99">
        <f t="shared" si="28"/>
        <v>0</v>
      </c>
      <c r="AH232" s="36"/>
    </row>
    <row r="233" spans="1:34" ht="18.75" x14ac:dyDescent="0.25">
      <c r="A233" s="57" t="s">
        <v>90</v>
      </c>
      <c r="B233" s="27"/>
      <c r="C233" s="27"/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  <c r="AA233" s="27"/>
      <c r="AB233" s="27"/>
      <c r="AC233" s="27"/>
      <c r="AD233" s="27"/>
      <c r="AE233" s="27"/>
      <c r="AF233" s="92"/>
      <c r="AG233" s="31">
        <f t="shared" ref="AG233:AG248" si="38">SUM(B233:AF233)</f>
        <v>0</v>
      </c>
      <c r="AH233" s="440" t="s">
        <v>96</v>
      </c>
    </row>
    <row r="234" spans="1:34" ht="18.75" x14ac:dyDescent="0.25">
      <c r="A234" s="54" t="s">
        <v>91</v>
      </c>
      <c r="B234" s="40"/>
      <c r="C234" s="40"/>
      <c r="D234" s="40"/>
      <c r="E234" s="40"/>
      <c r="F234" s="40"/>
      <c r="G234" s="40"/>
      <c r="H234" s="40"/>
      <c r="I234" s="40"/>
      <c r="J234" s="40"/>
      <c r="K234" s="40"/>
      <c r="L234" s="40"/>
      <c r="M234" s="40"/>
      <c r="N234" s="40"/>
      <c r="O234" s="40"/>
      <c r="P234" s="40"/>
      <c r="Q234" s="40"/>
      <c r="R234" s="40"/>
      <c r="S234" s="40"/>
      <c r="T234" s="40"/>
      <c r="U234" s="40"/>
      <c r="V234" s="40"/>
      <c r="W234" s="40"/>
      <c r="X234" s="40"/>
      <c r="Y234" s="40"/>
      <c r="Z234" s="40"/>
      <c r="AA234" s="40"/>
      <c r="AB234" s="40"/>
      <c r="AC234" s="40"/>
      <c r="AD234" s="40"/>
      <c r="AE234" s="40"/>
      <c r="AF234" s="93"/>
      <c r="AG234" s="99">
        <f t="shared" si="38"/>
        <v>0</v>
      </c>
      <c r="AH234" s="441"/>
    </row>
    <row r="235" spans="1:34" ht="19.5" thickBot="1" x14ac:dyDescent="0.3">
      <c r="A235" s="58" t="s">
        <v>97</v>
      </c>
      <c r="B235" s="59"/>
      <c r="C235" s="59"/>
      <c r="D235" s="59"/>
      <c r="E235" s="59"/>
      <c r="F235" s="59"/>
      <c r="G235" s="59"/>
      <c r="H235" s="59"/>
      <c r="I235" s="59"/>
      <c r="J235" s="59"/>
      <c r="K235" s="59"/>
      <c r="L235" s="59"/>
      <c r="M235" s="59"/>
      <c r="N235" s="59"/>
      <c r="O235" s="59"/>
      <c r="P235" s="59"/>
      <c r="Q235" s="59"/>
      <c r="R235" s="59"/>
      <c r="S235" s="59"/>
      <c r="T235" s="59"/>
      <c r="U235" s="59"/>
      <c r="V235" s="59"/>
      <c r="W235" s="59"/>
      <c r="X235" s="59"/>
      <c r="Y235" s="59"/>
      <c r="Z235" s="59"/>
      <c r="AA235" s="59"/>
      <c r="AB235" s="59"/>
      <c r="AC235" s="59"/>
      <c r="AD235" s="59"/>
      <c r="AE235" s="59"/>
      <c r="AF235" s="94"/>
      <c r="AG235" s="28">
        <f t="shared" si="38"/>
        <v>0</v>
      </c>
      <c r="AH235" s="442"/>
    </row>
    <row r="236" spans="1:34" ht="18.75" x14ac:dyDescent="0.25">
      <c r="A236" s="55" t="s">
        <v>92</v>
      </c>
      <c r="B236" s="118">
        <f>SUM(B237:B239)</f>
        <v>0</v>
      </c>
      <c r="C236" s="118">
        <f t="shared" ref="C236:AF236" si="39">SUM(C237:C239)</f>
        <v>0</v>
      </c>
      <c r="D236" s="118">
        <f t="shared" si="39"/>
        <v>0</v>
      </c>
      <c r="E236" s="118">
        <f t="shared" si="39"/>
        <v>0</v>
      </c>
      <c r="F236" s="118">
        <f t="shared" si="39"/>
        <v>0</v>
      </c>
      <c r="G236" s="118">
        <f t="shared" si="39"/>
        <v>0</v>
      </c>
      <c r="H236" s="118">
        <f t="shared" si="39"/>
        <v>0</v>
      </c>
      <c r="I236" s="118">
        <f t="shared" si="39"/>
        <v>0</v>
      </c>
      <c r="J236" s="118">
        <f t="shared" si="39"/>
        <v>0</v>
      </c>
      <c r="K236" s="118">
        <f t="shared" si="39"/>
        <v>0</v>
      </c>
      <c r="L236" s="118">
        <f t="shared" si="39"/>
        <v>0</v>
      </c>
      <c r="M236" s="118">
        <f t="shared" si="39"/>
        <v>0</v>
      </c>
      <c r="N236" s="118">
        <f t="shared" si="39"/>
        <v>0</v>
      </c>
      <c r="O236" s="118">
        <f t="shared" si="39"/>
        <v>0</v>
      </c>
      <c r="P236" s="118">
        <f t="shared" si="39"/>
        <v>0</v>
      </c>
      <c r="Q236" s="118">
        <f t="shared" si="39"/>
        <v>0</v>
      </c>
      <c r="R236" s="118">
        <f t="shared" si="39"/>
        <v>0</v>
      </c>
      <c r="S236" s="118">
        <f t="shared" si="39"/>
        <v>0</v>
      </c>
      <c r="T236" s="118">
        <f t="shared" si="39"/>
        <v>0</v>
      </c>
      <c r="U236" s="118">
        <f t="shared" si="39"/>
        <v>0</v>
      </c>
      <c r="V236" s="118">
        <f t="shared" si="39"/>
        <v>0</v>
      </c>
      <c r="W236" s="118">
        <f t="shared" si="39"/>
        <v>0</v>
      </c>
      <c r="X236" s="118">
        <f t="shared" si="39"/>
        <v>0</v>
      </c>
      <c r="Y236" s="118">
        <f t="shared" si="39"/>
        <v>0</v>
      </c>
      <c r="Z236" s="118">
        <f t="shared" si="39"/>
        <v>0</v>
      </c>
      <c r="AA236" s="118">
        <f t="shared" si="39"/>
        <v>0</v>
      </c>
      <c r="AB236" s="118">
        <f t="shared" si="39"/>
        <v>0</v>
      </c>
      <c r="AC236" s="118">
        <f t="shared" si="39"/>
        <v>0</v>
      </c>
      <c r="AD236" s="118">
        <f t="shared" si="39"/>
        <v>0</v>
      </c>
      <c r="AE236" s="118">
        <f t="shared" si="39"/>
        <v>0</v>
      </c>
      <c r="AF236" s="118">
        <f t="shared" si="39"/>
        <v>0</v>
      </c>
      <c r="AG236" s="95">
        <f t="shared" si="38"/>
        <v>0</v>
      </c>
      <c r="AH236" s="440" t="s">
        <v>93</v>
      </c>
    </row>
    <row r="237" spans="1:34" ht="18.75" x14ac:dyDescent="0.25">
      <c r="A237" s="139" t="s">
        <v>94</v>
      </c>
      <c r="B237" s="140"/>
      <c r="C237" s="140"/>
      <c r="D237" s="140"/>
      <c r="E237" s="140"/>
      <c r="F237" s="140"/>
      <c r="G237" s="140"/>
      <c r="H237" s="140"/>
      <c r="I237" s="140"/>
      <c r="J237" s="140"/>
      <c r="K237" s="140"/>
      <c r="L237" s="140"/>
      <c r="M237" s="140"/>
      <c r="N237" s="145"/>
      <c r="O237" s="140"/>
      <c r="P237" s="140"/>
      <c r="Q237" s="140"/>
      <c r="R237" s="140"/>
      <c r="S237" s="140"/>
      <c r="T237" s="140"/>
      <c r="U237" s="140"/>
      <c r="V237" s="140"/>
      <c r="W237" s="140"/>
      <c r="X237" s="140"/>
      <c r="Y237" s="140"/>
      <c r="Z237" s="142"/>
      <c r="AA237" s="140"/>
      <c r="AB237" s="140"/>
      <c r="AC237" s="140"/>
      <c r="AD237" s="140"/>
      <c r="AE237" s="140"/>
      <c r="AF237" s="144"/>
      <c r="AG237" s="143">
        <f t="shared" si="38"/>
        <v>0</v>
      </c>
      <c r="AH237" s="441"/>
    </row>
    <row r="238" spans="1:34" ht="18.75" x14ac:dyDescent="0.25">
      <c r="A238" s="139" t="s">
        <v>95</v>
      </c>
      <c r="B238" s="140"/>
      <c r="C238" s="140"/>
      <c r="D238" s="140"/>
      <c r="E238" s="140"/>
      <c r="F238" s="140"/>
      <c r="G238" s="140"/>
      <c r="H238" s="140"/>
      <c r="I238" s="140"/>
      <c r="J238" s="140"/>
      <c r="K238" s="140"/>
      <c r="L238" s="140"/>
      <c r="M238" s="140"/>
      <c r="N238" s="145"/>
      <c r="O238" s="140"/>
      <c r="P238" s="140"/>
      <c r="Q238" s="140"/>
      <c r="R238" s="140"/>
      <c r="S238" s="140"/>
      <c r="T238" s="140"/>
      <c r="U238" s="140"/>
      <c r="V238" s="140"/>
      <c r="W238" s="140"/>
      <c r="X238" s="140"/>
      <c r="Y238" s="140"/>
      <c r="Z238" s="142"/>
      <c r="AA238" s="140"/>
      <c r="AB238" s="140"/>
      <c r="AC238" s="140"/>
      <c r="AD238" s="140"/>
      <c r="AE238" s="140"/>
      <c r="AF238" s="144"/>
      <c r="AG238" s="143">
        <f t="shared" si="38"/>
        <v>0</v>
      </c>
      <c r="AH238" s="441"/>
    </row>
    <row r="239" spans="1:34" ht="19.5" thickBot="1" x14ac:dyDescent="0.3">
      <c r="A239" s="190" t="s">
        <v>106</v>
      </c>
      <c r="B239" s="191"/>
      <c r="C239" s="191"/>
      <c r="D239" s="191"/>
      <c r="E239" s="191"/>
      <c r="F239" s="191"/>
      <c r="G239" s="191"/>
      <c r="H239" s="191"/>
      <c r="I239" s="191"/>
      <c r="J239" s="191"/>
      <c r="K239" s="192"/>
      <c r="L239" s="192"/>
      <c r="M239" s="192"/>
      <c r="N239" s="193"/>
      <c r="O239" s="194"/>
      <c r="P239" s="194"/>
      <c r="Q239" s="194"/>
      <c r="R239" s="194"/>
      <c r="S239" s="194"/>
      <c r="T239" s="194"/>
      <c r="U239" s="194"/>
      <c r="V239" s="194"/>
      <c r="W239" s="194"/>
      <c r="X239" s="194"/>
      <c r="Y239" s="194"/>
      <c r="Z239" s="194"/>
      <c r="AA239" s="194"/>
      <c r="AB239" s="194"/>
      <c r="AC239" s="194"/>
      <c r="AD239" s="194"/>
      <c r="AE239" s="194"/>
      <c r="AF239" s="195"/>
      <c r="AG239" s="108">
        <f t="shared" si="38"/>
        <v>0</v>
      </c>
      <c r="AH239" s="442"/>
    </row>
    <row r="240" spans="1:34" ht="24" hidden="1" thickBot="1" x14ac:dyDescent="0.3">
      <c r="A240" s="198" t="s">
        <v>148</v>
      </c>
      <c r="B240" s="199">
        <f>SUM(B241:B246)</f>
        <v>0</v>
      </c>
      <c r="C240" s="199">
        <f t="shared" ref="C240:AF240" si="40">SUM(C241:C246)</f>
        <v>0</v>
      </c>
      <c r="D240" s="199">
        <f t="shared" si="40"/>
        <v>0</v>
      </c>
      <c r="E240" s="199">
        <f t="shared" si="40"/>
        <v>0</v>
      </c>
      <c r="F240" s="199">
        <f t="shared" si="40"/>
        <v>0</v>
      </c>
      <c r="G240" s="199">
        <f t="shared" si="40"/>
        <v>0</v>
      </c>
      <c r="H240" s="199">
        <f t="shared" si="40"/>
        <v>0</v>
      </c>
      <c r="I240" s="199">
        <f t="shared" si="40"/>
        <v>0</v>
      </c>
      <c r="J240" s="199">
        <f t="shared" si="40"/>
        <v>0</v>
      </c>
      <c r="K240" s="199">
        <f t="shared" si="40"/>
        <v>0</v>
      </c>
      <c r="L240" s="199">
        <f t="shared" si="40"/>
        <v>0</v>
      </c>
      <c r="M240" s="199">
        <f t="shared" si="40"/>
        <v>0</v>
      </c>
      <c r="N240" s="199">
        <f t="shared" si="40"/>
        <v>0</v>
      </c>
      <c r="O240" s="199">
        <f t="shared" si="40"/>
        <v>0</v>
      </c>
      <c r="P240" s="199">
        <f t="shared" si="40"/>
        <v>0</v>
      </c>
      <c r="Q240" s="199">
        <f t="shared" si="40"/>
        <v>0</v>
      </c>
      <c r="R240" s="199">
        <f t="shared" si="40"/>
        <v>0</v>
      </c>
      <c r="S240" s="199">
        <f t="shared" si="40"/>
        <v>0</v>
      </c>
      <c r="T240" s="199">
        <f t="shared" si="40"/>
        <v>0</v>
      </c>
      <c r="U240" s="199">
        <f t="shared" si="40"/>
        <v>0</v>
      </c>
      <c r="V240" s="199">
        <f t="shared" si="40"/>
        <v>0</v>
      </c>
      <c r="W240" s="199">
        <f t="shared" si="40"/>
        <v>0</v>
      </c>
      <c r="X240" s="199">
        <f t="shared" si="40"/>
        <v>0</v>
      </c>
      <c r="Y240" s="199">
        <f t="shared" si="40"/>
        <v>0</v>
      </c>
      <c r="Z240" s="199">
        <f t="shared" si="40"/>
        <v>0</v>
      </c>
      <c r="AA240" s="199">
        <f t="shared" si="40"/>
        <v>0</v>
      </c>
      <c r="AB240" s="199">
        <f t="shared" si="40"/>
        <v>0</v>
      </c>
      <c r="AC240" s="199">
        <f t="shared" si="40"/>
        <v>0</v>
      </c>
      <c r="AD240" s="199">
        <f t="shared" si="40"/>
        <v>0</v>
      </c>
      <c r="AE240" s="199">
        <f t="shared" si="40"/>
        <v>0</v>
      </c>
      <c r="AF240" s="200">
        <f t="shared" si="40"/>
        <v>0</v>
      </c>
      <c r="AG240" s="201">
        <f t="shared" si="38"/>
        <v>0</v>
      </c>
    </row>
    <row r="241" spans="1:33" ht="38.25" hidden="1" customHeight="1" x14ac:dyDescent="0.25">
      <c r="A241" s="227" t="s">
        <v>159</v>
      </c>
      <c r="B241" s="189"/>
      <c r="C241" s="189"/>
      <c r="D241" s="189"/>
      <c r="E241" s="189"/>
      <c r="F241" s="189"/>
      <c r="G241" s="189"/>
      <c r="H241" s="189"/>
      <c r="I241" s="189"/>
      <c r="J241" s="189"/>
      <c r="K241" s="189"/>
      <c r="L241" s="189"/>
      <c r="M241" s="189"/>
      <c r="N241" s="189"/>
      <c r="O241" s="189"/>
      <c r="P241" s="189"/>
      <c r="Q241" s="189"/>
      <c r="R241" s="189"/>
      <c r="S241" s="189"/>
      <c r="T241" s="189"/>
      <c r="U241" s="189"/>
      <c r="V241" s="189"/>
      <c r="W241" s="189"/>
      <c r="X241" s="189"/>
      <c r="Y241" s="189"/>
      <c r="Z241" s="189"/>
      <c r="AA241" s="189"/>
      <c r="AB241" s="189"/>
      <c r="AC241" s="189"/>
      <c r="AD241" s="189"/>
      <c r="AE241" s="189"/>
      <c r="AF241" s="196"/>
      <c r="AG241" s="197">
        <f t="shared" si="38"/>
        <v>0</v>
      </c>
    </row>
    <row r="242" spans="1:33" ht="40.5" hidden="1" customHeight="1" x14ac:dyDescent="0.25">
      <c r="A242" s="227" t="s">
        <v>160</v>
      </c>
      <c r="B242" s="189"/>
      <c r="C242" s="189"/>
      <c r="D242" s="189"/>
      <c r="E242" s="189"/>
      <c r="F242" s="189"/>
      <c r="G242" s="189"/>
      <c r="H242" s="189"/>
      <c r="I242" s="189"/>
      <c r="J242" s="189"/>
      <c r="K242" s="189"/>
      <c r="L242" s="189"/>
      <c r="M242" s="189"/>
      <c r="N242" s="189"/>
      <c r="O242" s="189"/>
      <c r="P242" s="189"/>
      <c r="Q242" s="189"/>
      <c r="R242" s="189"/>
      <c r="S242" s="189"/>
      <c r="T242" s="189"/>
      <c r="U242" s="189"/>
      <c r="V242" s="189"/>
      <c r="W242" s="189"/>
      <c r="X242" s="189"/>
      <c r="Y242" s="189"/>
      <c r="Z242" s="189"/>
      <c r="AA242" s="189"/>
      <c r="AB242" s="189"/>
      <c r="AC242" s="189"/>
      <c r="AD242" s="189"/>
      <c r="AE242" s="189"/>
      <c r="AF242" s="196"/>
      <c r="AG242" s="197"/>
    </row>
    <row r="243" spans="1:33" ht="40.5" hidden="1" customHeight="1" x14ac:dyDescent="0.25">
      <c r="A243" s="227" t="s">
        <v>161</v>
      </c>
      <c r="B243" s="189"/>
      <c r="C243" s="189"/>
      <c r="D243" s="189"/>
      <c r="E243" s="189"/>
      <c r="F243" s="189"/>
      <c r="G243" s="189"/>
      <c r="H243" s="189"/>
      <c r="I243" s="189"/>
      <c r="J243" s="189"/>
      <c r="K243" s="189"/>
      <c r="L243" s="189"/>
      <c r="M243" s="189"/>
      <c r="N243" s="189"/>
      <c r="O243" s="189"/>
      <c r="P243" s="189"/>
      <c r="Q243" s="189"/>
      <c r="R243" s="189"/>
      <c r="S243" s="189"/>
      <c r="T243" s="189"/>
      <c r="U243" s="189"/>
      <c r="V243" s="189"/>
      <c r="W243" s="189"/>
      <c r="X243" s="189"/>
      <c r="Y243" s="189"/>
      <c r="Z243" s="189"/>
      <c r="AA243" s="189"/>
      <c r="AB243" s="189"/>
      <c r="AC243" s="189"/>
      <c r="AD243" s="189"/>
      <c r="AE243" s="189"/>
      <c r="AF243" s="196"/>
      <c r="AG243" s="197"/>
    </row>
    <row r="244" spans="1:33" ht="40.5" hidden="1" customHeight="1" x14ac:dyDescent="0.25">
      <c r="A244" s="227" t="s">
        <v>162</v>
      </c>
      <c r="B244" s="189"/>
      <c r="C244" s="189"/>
      <c r="D244" s="189"/>
      <c r="E244" s="189"/>
      <c r="F244" s="189"/>
      <c r="G244" s="189"/>
      <c r="H244" s="189"/>
      <c r="I244" s="189"/>
      <c r="J244" s="189"/>
      <c r="K244" s="189"/>
      <c r="L244" s="189"/>
      <c r="M244" s="189"/>
      <c r="N244" s="189"/>
      <c r="O244" s="189"/>
      <c r="P244" s="189"/>
      <c r="Q244" s="189"/>
      <c r="R244" s="189"/>
      <c r="S244" s="189"/>
      <c r="T244" s="189"/>
      <c r="U244" s="189"/>
      <c r="V244" s="189"/>
      <c r="W244" s="189"/>
      <c r="X244" s="189"/>
      <c r="Y244" s="189"/>
      <c r="Z244" s="189"/>
      <c r="AA244" s="189"/>
      <c r="AB244" s="189"/>
      <c r="AC244" s="189"/>
      <c r="AD244" s="189"/>
      <c r="AE244" s="189"/>
      <c r="AF244" s="196"/>
      <c r="AG244" s="197"/>
    </row>
    <row r="245" spans="1:33" ht="40.5" hidden="1" customHeight="1" x14ac:dyDescent="0.25">
      <c r="A245" s="228" t="s">
        <v>163</v>
      </c>
      <c r="B245" s="137"/>
      <c r="C245" s="137"/>
      <c r="D245" s="137"/>
      <c r="E245" s="137"/>
      <c r="F245" s="137"/>
      <c r="G245" s="137"/>
      <c r="H245" s="137"/>
      <c r="I245" s="137"/>
      <c r="J245" s="137"/>
      <c r="K245" s="137"/>
      <c r="L245" s="137"/>
      <c r="M245" s="137"/>
      <c r="N245" s="137"/>
      <c r="O245" s="137"/>
      <c r="P245" s="137"/>
      <c r="Q245" s="137"/>
      <c r="R245" s="137"/>
      <c r="S245" s="137"/>
      <c r="T245" s="137"/>
      <c r="U245" s="137"/>
      <c r="V245" s="137"/>
      <c r="W245" s="137"/>
      <c r="X245" s="137"/>
      <c r="Y245" s="137"/>
      <c r="Z245" s="137"/>
      <c r="AA245" s="137"/>
      <c r="AB245" s="137"/>
      <c r="AC245" s="137"/>
      <c r="AD245" s="137"/>
      <c r="AE245" s="137"/>
      <c r="AF245" s="188"/>
      <c r="AG245" s="138">
        <f t="shared" si="38"/>
        <v>0</v>
      </c>
    </row>
    <row r="246" spans="1:33" ht="39.75" hidden="1" customHeight="1" thickBot="1" x14ac:dyDescent="0.3">
      <c r="A246" s="229" t="s">
        <v>164</v>
      </c>
      <c r="B246" s="222"/>
      <c r="C246" s="222"/>
      <c r="D246" s="222"/>
      <c r="E246" s="222"/>
      <c r="F246" s="222"/>
      <c r="G246" s="222"/>
      <c r="H246" s="222"/>
      <c r="I246" s="222"/>
      <c r="J246" s="222"/>
      <c r="K246" s="222"/>
      <c r="L246" s="222"/>
      <c r="M246" s="222"/>
      <c r="N246" s="222"/>
      <c r="O246" s="222"/>
      <c r="P246" s="222"/>
      <c r="Q246" s="222"/>
      <c r="R246" s="222"/>
      <c r="S246" s="222"/>
      <c r="T246" s="222"/>
      <c r="U246" s="222"/>
      <c r="V246" s="222"/>
      <c r="W246" s="222"/>
      <c r="X246" s="222"/>
      <c r="Y246" s="222"/>
      <c r="Z246" s="222"/>
      <c r="AA246" s="222"/>
      <c r="AB246" s="222"/>
      <c r="AC246" s="222"/>
      <c r="AD246" s="222"/>
      <c r="AE246" s="222"/>
      <c r="AF246" s="223"/>
      <c r="AG246" s="224">
        <f t="shared" si="38"/>
        <v>0</v>
      </c>
    </row>
    <row r="247" spans="1:33" ht="21.75" x14ac:dyDescent="0.25">
      <c r="A247" s="225" t="s">
        <v>151</v>
      </c>
      <c r="B247" s="365"/>
      <c r="C247" s="365"/>
      <c r="D247" s="365"/>
      <c r="E247" s="365"/>
      <c r="F247" s="365"/>
      <c r="G247" s="365"/>
      <c r="H247" s="365"/>
      <c r="I247" s="365"/>
      <c r="J247" s="365"/>
      <c r="K247" s="365"/>
      <c r="L247" s="365"/>
      <c r="M247" s="365"/>
      <c r="N247" s="365"/>
      <c r="O247" s="365"/>
      <c r="P247" s="365"/>
      <c r="Q247" s="365"/>
      <c r="R247" s="365"/>
      <c r="S247" s="365"/>
      <c r="T247" s="365"/>
      <c r="U247" s="365"/>
      <c r="V247" s="365"/>
      <c r="W247" s="365"/>
      <c r="X247" s="365"/>
      <c r="Y247" s="365"/>
      <c r="Z247" s="365"/>
      <c r="AA247" s="365"/>
      <c r="AB247" s="365"/>
      <c r="AC247" s="365"/>
      <c r="AD247" s="365"/>
      <c r="AE247" s="365"/>
      <c r="AF247" s="365"/>
      <c r="AG247" s="369">
        <f t="shared" si="38"/>
        <v>0</v>
      </c>
    </row>
    <row r="248" spans="1:33" ht="22.5" thickBot="1" x14ac:dyDescent="0.3">
      <c r="A248" s="226" t="s">
        <v>152</v>
      </c>
      <c r="B248" s="366"/>
      <c r="C248" s="366"/>
      <c r="D248" s="366"/>
      <c r="E248" s="366"/>
      <c r="F248" s="366"/>
      <c r="G248" s="366"/>
      <c r="H248" s="366"/>
      <c r="I248" s="366"/>
      <c r="J248" s="366"/>
      <c r="K248" s="366"/>
      <c r="L248" s="366"/>
      <c r="M248" s="366"/>
      <c r="N248" s="366"/>
      <c r="O248" s="366"/>
      <c r="P248" s="366"/>
      <c r="Q248" s="366"/>
      <c r="R248" s="366"/>
      <c r="S248" s="366"/>
      <c r="T248" s="366"/>
      <c r="U248" s="366"/>
      <c r="V248" s="366"/>
      <c r="W248" s="366"/>
      <c r="X248" s="366"/>
      <c r="Y248" s="366"/>
      <c r="Z248" s="366"/>
      <c r="AA248" s="366"/>
      <c r="AB248" s="366"/>
      <c r="AC248" s="366"/>
      <c r="AD248" s="366"/>
      <c r="AE248" s="366"/>
      <c r="AF248" s="366"/>
      <c r="AG248" s="370">
        <f t="shared" si="38"/>
        <v>0</v>
      </c>
    </row>
    <row r="268" ht="18.75" customHeight="1" x14ac:dyDescent="0.25"/>
    <row r="269" ht="18.75" customHeight="1" x14ac:dyDescent="0.25"/>
    <row r="270" ht="18.75" customHeight="1" x14ac:dyDescent="0.25"/>
    <row r="271" ht="18.75" customHeight="1" x14ac:dyDescent="0.25"/>
    <row r="272" ht="18.75" customHeight="1" x14ac:dyDescent="0.25"/>
    <row r="273" ht="18.75" customHeight="1" x14ac:dyDescent="0.25"/>
    <row r="274" ht="18.75" customHeight="1" x14ac:dyDescent="0.25"/>
    <row r="275" ht="18.75" customHeight="1" x14ac:dyDescent="0.25"/>
    <row r="276" ht="18.75" customHeight="1" x14ac:dyDescent="0.25"/>
    <row r="277" ht="18.75" customHeight="1" x14ac:dyDescent="0.25"/>
    <row r="278" ht="18.75" customHeight="1" x14ac:dyDescent="0.25"/>
    <row r="279" ht="19.5" customHeight="1" x14ac:dyDescent="0.25"/>
    <row r="281" ht="18.75" customHeight="1" x14ac:dyDescent="0.25"/>
    <row r="284" ht="18.75" customHeight="1" x14ac:dyDescent="0.25"/>
  </sheetData>
  <dataConsolidate/>
  <mergeCells count="5">
    <mergeCell ref="A1:AG1"/>
    <mergeCell ref="AI84:AI86"/>
    <mergeCell ref="AH220:AH231"/>
    <mergeCell ref="AH233:AH235"/>
    <mergeCell ref="AH236:AH239"/>
  </mergeCells>
  <conditionalFormatting sqref="B29:AF52">
    <cfRule type="cellIs" dxfId="112" priority="6" operator="lessThan">
      <formula>0</formula>
    </cfRule>
  </conditionalFormatting>
  <conditionalFormatting sqref="D54:D77">
    <cfRule type="cellIs" dxfId="111" priority="2" operator="lessThan">
      <formula>0</formula>
    </cfRule>
  </conditionalFormatting>
  <conditionalFormatting sqref="G54:G77">
    <cfRule type="cellIs" dxfId="110" priority="1" operator="lessThan">
      <formula>0</formula>
    </cfRule>
  </conditionalFormatting>
  <conditionalFormatting sqref="AH81">
    <cfRule type="cellIs" dxfId="109" priority="4" operator="equal">
      <formula>"*"</formula>
    </cfRule>
  </conditionalFormatting>
  <conditionalFormatting sqref="AH84 AH87">
    <cfRule type="cellIs" dxfId="108" priority="5" operator="equal">
      <formula>"*"</formula>
    </cfRule>
  </conditionalFormatting>
  <conditionalFormatting sqref="AH93">
    <cfRule type="cellIs" dxfId="107" priority="10" operator="equal">
      <formula>"*"</formula>
    </cfRule>
  </conditionalFormatting>
  <conditionalFormatting sqref="AH130">
    <cfRule type="cellIs" dxfId="106" priority="8" operator="equal">
      <formula>"*"</formula>
    </cfRule>
  </conditionalFormatting>
  <conditionalFormatting sqref="AH144:AH145">
    <cfRule type="cellIs" dxfId="105" priority="9" operator="equal">
      <formula>"*"</formula>
    </cfRule>
  </conditionalFormatting>
  <conditionalFormatting sqref="AH179">
    <cfRule type="cellIs" dxfId="104" priority="7" operator="equal">
      <formula>"*"</formula>
    </cfRule>
  </conditionalFormatting>
  <conditionalFormatting sqref="AH206">
    <cfRule type="cellIs" dxfId="103" priority="3" operator="equal">
      <formula>"X"</formula>
    </cfRule>
  </conditionalFormatting>
  <dataValidations disablePrompts="1" count="1">
    <dataValidation type="whole" allowBlank="1" showInputMessage="1" showErrorMessage="1" errorTitle="ERROR" error="Por favor ingrese solo Números" sqref="A98:A99 A101:A115" xr:uid="{00000000-0002-0000-0400-000000000000}">
      <formula1>0</formula1>
      <formula2>1000000000</formula2>
    </dataValidation>
  </dataValidations>
  <pageMargins left="0.7" right="0.7" top="0.75" bottom="0.75" header="0.3" footer="0.3"/>
  <pageSetup orientation="portrait" horizontalDpi="0" verticalDpi="0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6"/>
  <dimension ref="A1:AI284"/>
  <sheetViews>
    <sheetView zoomScale="80" zoomScaleNormal="80" workbookViewId="0">
      <pane xSplit="1" ySplit="3" topLeftCell="B206" activePane="bottomRight" state="frozen"/>
      <selection activeCell="AG3" sqref="AG3"/>
      <selection pane="topRight" activeCell="AG3" sqref="AG3"/>
      <selection pane="bottomLeft" activeCell="AG3" sqref="AG3"/>
      <selection pane="bottomRight" activeCell="B218" sqref="B218"/>
    </sheetView>
  </sheetViews>
  <sheetFormatPr baseColWidth="10" defaultRowHeight="15" x14ac:dyDescent="0.25"/>
  <cols>
    <col min="1" max="1" width="34.7109375" customWidth="1"/>
    <col min="2" max="13" width="8.28515625" customWidth="1"/>
    <col min="14" max="14" width="10.140625" customWidth="1"/>
    <col min="15" max="27" width="8.28515625" customWidth="1"/>
    <col min="28" max="28" width="9.7109375" customWidth="1"/>
    <col min="29" max="32" width="8.28515625" customWidth="1"/>
    <col min="33" max="33" width="11.140625" customWidth="1"/>
    <col min="34" max="34" width="12.42578125" customWidth="1"/>
  </cols>
  <sheetData>
    <row r="1" spans="1:33" ht="21.75" thickBot="1" x14ac:dyDescent="0.3">
      <c r="A1" s="431"/>
      <c r="B1" s="432"/>
      <c r="C1" s="432"/>
      <c r="D1" s="432"/>
      <c r="E1" s="432"/>
      <c r="F1" s="432"/>
      <c r="G1" s="432"/>
      <c r="H1" s="432"/>
      <c r="I1" s="432"/>
      <c r="J1" s="432"/>
      <c r="K1" s="432"/>
      <c r="L1" s="432"/>
      <c r="M1" s="432"/>
      <c r="N1" s="432"/>
      <c r="O1" s="432"/>
      <c r="P1" s="432"/>
      <c r="Q1" s="432"/>
      <c r="R1" s="432"/>
      <c r="S1" s="432"/>
      <c r="T1" s="432"/>
      <c r="U1" s="432"/>
      <c r="V1" s="432"/>
      <c r="W1" s="432"/>
      <c r="X1" s="432"/>
      <c r="Y1" s="432"/>
      <c r="Z1" s="432"/>
      <c r="AA1" s="432"/>
      <c r="AB1" s="432"/>
      <c r="AC1" s="432"/>
      <c r="AD1" s="432"/>
      <c r="AE1" s="432"/>
      <c r="AF1" s="432"/>
      <c r="AG1" s="433"/>
    </row>
    <row r="2" spans="1:33" ht="21.75" thickBot="1" x14ac:dyDescent="0.3">
      <c r="A2" s="82" t="s">
        <v>155</v>
      </c>
      <c r="B2" s="106">
        <v>1</v>
      </c>
      <c r="C2" s="230">
        <f t="shared" ref="C2:AA2" si="0">+B2+1</f>
        <v>2</v>
      </c>
      <c r="D2" s="230">
        <f t="shared" si="0"/>
        <v>3</v>
      </c>
      <c r="E2" s="230">
        <f t="shared" si="0"/>
        <v>4</v>
      </c>
      <c r="F2" s="230">
        <f t="shared" si="0"/>
        <v>5</v>
      </c>
      <c r="G2" s="230">
        <f t="shared" si="0"/>
        <v>6</v>
      </c>
      <c r="H2" s="106">
        <f t="shared" si="0"/>
        <v>7</v>
      </c>
      <c r="I2" s="106">
        <f t="shared" si="0"/>
        <v>8</v>
      </c>
      <c r="J2" s="230">
        <f t="shared" si="0"/>
        <v>9</v>
      </c>
      <c r="K2" s="230">
        <f t="shared" si="0"/>
        <v>10</v>
      </c>
      <c r="L2" s="230">
        <f t="shared" si="0"/>
        <v>11</v>
      </c>
      <c r="M2" s="230">
        <f t="shared" si="0"/>
        <v>12</v>
      </c>
      <c r="N2" s="230">
        <f t="shared" si="0"/>
        <v>13</v>
      </c>
      <c r="O2" s="106">
        <f t="shared" si="0"/>
        <v>14</v>
      </c>
      <c r="P2" s="106">
        <f t="shared" si="0"/>
        <v>15</v>
      </c>
      <c r="Q2" s="230">
        <f t="shared" si="0"/>
        <v>16</v>
      </c>
      <c r="R2" s="230">
        <f t="shared" si="0"/>
        <v>17</v>
      </c>
      <c r="S2" s="230">
        <f t="shared" si="0"/>
        <v>18</v>
      </c>
      <c r="T2" s="230">
        <f t="shared" si="0"/>
        <v>19</v>
      </c>
      <c r="U2" s="230">
        <f t="shared" si="0"/>
        <v>20</v>
      </c>
      <c r="V2" s="106">
        <f t="shared" si="0"/>
        <v>21</v>
      </c>
      <c r="W2" s="106">
        <f t="shared" si="0"/>
        <v>22</v>
      </c>
      <c r="X2" s="230">
        <f t="shared" si="0"/>
        <v>23</v>
      </c>
      <c r="Y2" s="230">
        <f t="shared" si="0"/>
        <v>24</v>
      </c>
      <c r="Z2" s="230">
        <f t="shared" si="0"/>
        <v>25</v>
      </c>
      <c r="AA2" s="230">
        <f t="shared" si="0"/>
        <v>26</v>
      </c>
      <c r="AB2" s="230">
        <v>27</v>
      </c>
      <c r="AC2" s="106">
        <f>+AB2+1</f>
        <v>28</v>
      </c>
      <c r="AD2" s="106">
        <v>29</v>
      </c>
      <c r="AE2" s="230">
        <v>30</v>
      </c>
      <c r="AF2" s="230">
        <v>31</v>
      </c>
      <c r="AG2" s="3" t="s">
        <v>80</v>
      </c>
    </row>
    <row r="3" spans="1:33" ht="19.5" thickBot="1" x14ac:dyDescent="0.3">
      <c r="A3" s="136" t="s">
        <v>0</v>
      </c>
      <c r="B3" s="135">
        <f t="shared" ref="B3:AF3" si="1">SUM(B4:B27)</f>
        <v>188</v>
      </c>
      <c r="C3" s="135">
        <f t="shared" si="1"/>
        <v>165</v>
      </c>
      <c r="D3" s="135">
        <f t="shared" si="1"/>
        <v>193</v>
      </c>
      <c r="E3" s="135">
        <f t="shared" si="1"/>
        <v>156</v>
      </c>
      <c r="F3" s="135">
        <f t="shared" si="1"/>
        <v>165</v>
      </c>
      <c r="G3" s="135">
        <f t="shared" si="1"/>
        <v>144</v>
      </c>
      <c r="H3" s="135">
        <f t="shared" si="1"/>
        <v>216</v>
      </c>
      <c r="I3" s="135">
        <f t="shared" si="1"/>
        <v>206</v>
      </c>
      <c r="J3" s="135">
        <f t="shared" si="1"/>
        <v>180</v>
      </c>
      <c r="K3" s="135">
        <f t="shared" si="1"/>
        <v>190</v>
      </c>
      <c r="L3" s="135">
        <f t="shared" si="1"/>
        <v>194</v>
      </c>
      <c r="M3" s="135">
        <f t="shared" si="1"/>
        <v>171</v>
      </c>
      <c r="N3" s="135">
        <f t="shared" si="1"/>
        <v>164</v>
      </c>
      <c r="O3" s="135">
        <f t="shared" si="1"/>
        <v>236</v>
      </c>
      <c r="P3" s="135">
        <f t="shared" si="1"/>
        <v>241</v>
      </c>
      <c r="Q3" s="135">
        <f t="shared" si="1"/>
        <v>154</v>
      </c>
      <c r="R3" s="135">
        <f t="shared" si="1"/>
        <v>135</v>
      </c>
      <c r="S3" s="135">
        <f t="shared" si="1"/>
        <v>62</v>
      </c>
      <c r="T3" s="135">
        <f t="shared" si="1"/>
        <v>69</v>
      </c>
      <c r="U3" s="135">
        <f t="shared" si="1"/>
        <v>74</v>
      </c>
      <c r="V3" s="135">
        <f t="shared" si="1"/>
        <v>75</v>
      </c>
      <c r="W3" s="135">
        <f t="shared" si="1"/>
        <v>84</v>
      </c>
      <c r="X3" s="135">
        <f t="shared" si="1"/>
        <v>41</v>
      </c>
      <c r="Y3" s="135">
        <f t="shared" si="1"/>
        <v>38</v>
      </c>
      <c r="Z3" s="135">
        <f t="shared" si="1"/>
        <v>51</v>
      </c>
      <c r="AA3" s="135">
        <f t="shared" si="1"/>
        <v>62</v>
      </c>
      <c r="AB3" s="135">
        <f t="shared" si="1"/>
        <v>58</v>
      </c>
      <c r="AC3" s="135">
        <f t="shared" si="1"/>
        <v>87</v>
      </c>
      <c r="AD3" s="135">
        <f t="shared" si="1"/>
        <v>104</v>
      </c>
      <c r="AE3" s="135">
        <f t="shared" si="1"/>
        <v>55</v>
      </c>
      <c r="AF3" s="135">
        <f t="shared" si="1"/>
        <v>63</v>
      </c>
      <c r="AG3" s="187">
        <f>SUM(B3:AF3)</f>
        <v>4021</v>
      </c>
    </row>
    <row r="4" spans="1:33" ht="18.75" x14ac:dyDescent="0.25">
      <c r="A4" s="113" t="s">
        <v>54</v>
      </c>
      <c r="B4" s="114">
        <v>3</v>
      </c>
      <c r="C4" s="114"/>
      <c r="D4" s="114"/>
      <c r="E4" s="114"/>
      <c r="F4" s="114"/>
      <c r="G4" s="114"/>
      <c r="H4" s="114">
        <v>9</v>
      </c>
      <c r="I4" s="114">
        <v>4</v>
      </c>
      <c r="J4" s="114"/>
      <c r="K4" s="114"/>
      <c r="L4" s="114"/>
      <c r="M4" s="114"/>
      <c r="N4" s="114"/>
      <c r="O4" s="114">
        <v>5</v>
      </c>
      <c r="P4" s="114">
        <v>6</v>
      </c>
      <c r="Q4" s="114">
        <v>1</v>
      </c>
      <c r="R4" s="114">
        <v>1</v>
      </c>
      <c r="S4" s="114"/>
      <c r="T4" s="114"/>
      <c r="U4" s="114"/>
      <c r="V4" s="114">
        <v>5</v>
      </c>
      <c r="W4" s="114">
        <v>3</v>
      </c>
      <c r="X4" s="114"/>
      <c r="Y4" s="114">
        <v>2</v>
      </c>
      <c r="Z4" s="114">
        <v>1</v>
      </c>
      <c r="AA4" s="114"/>
      <c r="AB4" s="114" t="s">
        <v>620</v>
      </c>
      <c r="AC4" s="114"/>
      <c r="AD4" s="114">
        <v>1</v>
      </c>
      <c r="AE4" s="114"/>
      <c r="AF4" s="115">
        <v>5</v>
      </c>
      <c r="AG4" s="132">
        <f t="shared" ref="AG4:AG83" si="2">SUM(B4:AF4)</f>
        <v>46</v>
      </c>
    </row>
    <row r="5" spans="1:33" ht="18.75" x14ac:dyDescent="0.25">
      <c r="A5" s="41" t="s">
        <v>55</v>
      </c>
      <c r="B5" s="7">
        <v>8</v>
      </c>
      <c r="C5" s="7"/>
      <c r="D5" s="7">
        <v>2</v>
      </c>
      <c r="E5" s="7"/>
      <c r="F5" s="7"/>
      <c r="G5" s="7"/>
      <c r="H5" s="7">
        <v>9</v>
      </c>
      <c r="I5" s="7">
        <v>8</v>
      </c>
      <c r="J5" s="7"/>
      <c r="K5" s="7"/>
      <c r="L5" s="7"/>
      <c r="M5" s="7"/>
      <c r="N5" s="7">
        <v>1</v>
      </c>
      <c r="O5" s="7">
        <v>19</v>
      </c>
      <c r="P5" s="7">
        <v>17</v>
      </c>
      <c r="Q5" s="7"/>
      <c r="R5" s="7"/>
      <c r="S5" s="7"/>
      <c r="T5" s="7"/>
      <c r="U5" s="7"/>
      <c r="V5" s="7">
        <v>5</v>
      </c>
      <c r="W5" s="7">
        <v>3</v>
      </c>
      <c r="X5" s="7"/>
      <c r="Y5" s="7"/>
      <c r="Z5" s="7"/>
      <c r="AA5" s="7"/>
      <c r="AB5" s="7">
        <v>1</v>
      </c>
      <c r="AC5" s="7">
        <v>2</v>
      </c>
      <c r="AD5" s="7">
        <v>2</v>
      </c>
      <c r="AE5" s="7"/>
      <c r="AF5" s="8">
        <v>3</v>
      </c>
      <c r="AG5" s="4">
        <f t="shared" si="2"/>
        <v>80</v>
      </c>
    </row>
    <row r="6" spans="1:33" ht="18.75" x14ac:dyDescent="0.25">
      <c r="A6" s="41" t="s">
        <v>56</v>
      </c>
      <c r="B6" s="7">
        <v>14</v>
      </c>
      <c r="C6" s="7"/>
      <c r="D6" s="7"/>
      <c r="E6" s="7"/>
      <c r="F6" s="7"/>
      <c r="G6" s="7"/>
      <c r="H6" s="7">
        <v>12</v>
      </c>
      <c r="I6" s="7">
        <v>13</v>
      </c>
      <c r="J6" s="7"/>
      <c r="K6" s="7"/>
      <c r="L6" s="7"/>
      <c r="M6" s="7"/>
      <c r="N6" s="7"/>
      <c r="O6" s="7">
        <v>9</v>
      </c>
      <c r="P6" s="7">
        <v>17</v>
      </c>
      <c r="Q6" s="7"/>
      <c r="R6" s="7"/>
      <c r="S6" s="7"/>
      <c r="T6" s="7"/>
      <c r="U6" s="7">
        <v>1</v>
      </c>
      <c r="V6" s="7">
        <v>3</v>
      </c>
      <c r="W6" s="7">
        <v>5</v>
      </c>
      <c r="X6" s="7"/>
      <c r="Y6" s="7"/>
      <c r="Z6" s="7">
        <v>1</v>
      </c>
      <c r="AA6" s="7"/>
      <c r="AB6" s="7"/>
      <c r="AC6" s="7">
        <v>5</v>
      </c>
      <c r="AD6" s="7">
        <v>9</v>
      </c>
      <c r="AE6" s="7">
        <v>1</v>
      </c>
      <c r="AF6" s="8">
        <v>1</v>
      </c>
      <c r="AG6" s="4">
        <f t="shared" si="2"/>
        <v>91</v>
      </c>
    </row>
    <row r="7" spans="1:33" ht="18.75" x14ac:dyDescent="0.25">
      <c r="A7" s="41" t="s">
        <v>38</v>
      </c>
      <c r="B7" s="7">
        <v>22</v>
      </c>
      <c r="C7" s="7"/>
      <c r="D7" s="7"/>
      <c r="E7" s="7"/>
      <c r="F7" s="7"/>
      <c r="G7" s="7"/>
      <c r="H7" s="7">
        <v>17</v>
      </c>
      <c r="I7" s="7">
        <v>15</v>
      </c>
      <c r="J7" s="7"/>
      <c r="K7" s="7"/>
      <c r="L7" s="7"/>
      <c r="M7" s="7"/>
      <c r="N7" s="7"/>
      <c r="O7" s="7">
        <v>13</v>
      </c>
      <c r="P7" s="7">
        <v>19</v>
      </c>
      <c r="Q7" s="7"/>
      <c r="R7" s="7"/>
      <c r="S7" s="7"/>
      <c r="T7" s="7"/>
      <c r="U7" s="7"/>
      <c r="V7" s="7">
        <v>2</v>
      </c>
      <c r="W7" s="7">
        <v>7</v>
      </c>
      <c r="X7" s="7"/>
      <c r="Y7" s="7">
        <v>1</v>
      </c>
      <c r="Z7" s="7">
        <v>1</v>
      </c>
      <c r="AA7" s="7">
        <v>1</v>
      </c>
      <c r="AB7" s="7"/>
      <c r="AC7" s="7">
        <v>4</v>
      </c>
      <c r="AD7" s="7">
        <v>8</v>
      </c>
      <c r="AE7" s="7">
        <v>1</v>
      </c>
      <c r="AF7" s="8">
        <v>3</v>
      </c>
      <c r="AG7" s="4">
        <f t="shared" si="2"/>
        <v>114</v>
      </c>
    </row>
    <row r="8" spans="1:33" ht="18.75" x14ac:dyDescent="0.25">
      <c r="A8" s="41" t="s">
        <v>39</v>
      </c>
      <c r="B8" s="7">
        <v>16</v>
      </c>
      <c r="C8" s="7"/>
      <c r="D8" s="7"/>
      <c r="E8" s="7"/>
      <c r="F8" s="7"/>
      <c r="G8" s="7"/>
      <c r="H8" s="7">
        <v>19</v>
      </c>
      <c r="I8" s="7">
        <v>9</v>
      </c>
      <c r="J8" s="7"/>
      <c r="K8" s="7"/>
      <c r="L8" s="7"/>
      <c r="M8" s="7"/>
      <c r="N8" s="7"/>
      <c r="O8" s="7">
        <v>14</v>
      </c>
      <c r="P8" s="7">
        <v>16</v>
      </c>
      <c r="Q8" s="7">
        <v>2</v>
      </c>
      <c r="R8" s="7"/>
      <c r="S8" s="7"/>
      <c r="T8" s="7"/>
      <c r="U8" s="7"/>
      <c r="V8" s="7">
        <v>9</v>
      </c>
      <c r="W8" s="7">
        <v>13</v>
      </c>
      <c r="X8" s="7">
        <v>1</v>
      </c>
      <c r="Y8" s="7"/>
      <c r="Z8" s="7"/>
      <c r="AA8" s="7">
        <v>1</v>
      </c>
      <c r="AB8" s="7"/>
      <c r="AC8" s="7">
        <v>7</v>
      </c>
      <c r="AD8" s="7">
        <v>11</v>
      </c>
      <c r="AE8" s="7"/>
      <c r="AF8" s="8">
        <v>3</v>
      </c>
      <c r="AG8" s="4">
        <f t="shared" si="2"/>
        <v>121</v>
      </c>
    </row>
    <row r="9" spans="1:33" ht="18.75" x14ac:dyDescent="0.25">
      <c r="A9" s="41" t="s">
        <v>40</v>
      </c>
      <c r="B9" s="7">
        <v>7</v>
      </c>
      <c r="C9" s="7"/>
      <c r="D9" s="7"/>
      <c r="E9" s="7"/>
      <c r="F9" s="7"/>
      <c r="G9" s="7"/>
      <c r="H9" s="7">
        <v>13</v>
      </c>
      <c r="I9" s="7">
        <v>13</v>
      </c>
      <c r="J9" s="7"/>
      <c r="K9" s="7"/>
      <c r="L9" s="7"/>
      <c r="M9" s="7"/>
      <c r="N9" s="7"/>
      <c r="O9" s="7">
        <v>16</v>
      </c>
      <c r="P9" s="7">
        <v>12</v>
      </c>
      <c r="Q9" s="7"/>
      <c r="R9" s="7"/>
      <c r="S9" s="7"/>
      <c r="T9" s="7"/>
      <c r="U9" s="7"/>
      <c r="V9" s="7">
        <v>6</v>
      </c>
      <c r="W9" s="7">
        <v>8</v>
      </c>
      <c r="X9" s="7"/>
      <c r="Y9" s="7"/>
      <c r="Z9" s="7">
        <v>1</v>
      </c>
      <c r="AA9" s="7"/>
      <c r="AB9" s="7"/>
      <c r="AC9" s="7">
        <v>4</v>
      </c>
      <c r="AD9" s="7">
        <v>11</v>
      </c>
      <c r="AE9" s="7"/>
      <c r="AF9" s="8">
        <v>2</v>
      </c>
      <c r="AG9" s="4">
        <f t="shared" si="2"/>
        <v>93</v>
      </c>
    </row>
    <row r="10" spans="1:33" ht="18.75" x14ac:dyDescent="0.25">
      <c r="A10" s="41" t="s">
        <v>41</v>
      </c>
      <c r="B10" s="7">
        <v>7</v>
      </c>
      <c r="C10" s="7"/>
      <c r="D10" s="7"/>
      <c r="E10" s="7"/>
      <c r="F10" s="7"/>
      <c r="G10" s="7"/>
      <c r="H10" s="7">
        <v>10</v>
      </c>
      <c r="I10" s="7">
        <v>9</v>
      </c>
      <c r="J10" s="7"/>
      <c r="K10" s="7"/>
      <c r="L10" s="7"/>
      <c r="M10" s="7"/>
      <c r="N10" s="7">
        <v>1</v>
      </c>
      <c r="O10" s="7">
        <v>18</v>
      </c>
      <c r="P10" s="7">
        <v>9</v>
      </c>
      <c r="Q10" s="7"/>
      <c r="R10" s="7"/>
      <c r="S10" s="7"/>
      <c r="T10" s="7"/>
      <c r="U10" s="7"/>
      <c r="V10" s="7">
        <v>3</v>
      </c>
      <c r="W10" s="7">
        <v>4</v>
      </c>
      <c r="X10" s="7"/>
      <c r="Y10" s="7"/>
      <c r="Z10" s="7"/>
      <c r="AA10" s="7">
        <v>3</v>
      </c>
      <c r="AB10" s="7"/>
      <c r="AC10" s="7">
        <v>8</v>
      </c>
      <c r="AD10" s="7">
        <v>8</v>
      </c>
      <c r="AE10" s="7"/>
      <c r="AF10" s="8">
        <v>2</v>
      </c>
      <c r="AG10" s="4">
        <f t="shared" si="2"/>
        <v>82</v>
      </c>
    </row>
    <row r="11" spans="1:33" ht="18.75" x14ac:dyDescent="0.25">
      <c r="A11" s="41" t="s">
        <v>42</v>
      </c>
      <c r="B11" s="7">
        <v>9</v>
      </c>
      <c r="C11" s="7"/>
      <c r="D11" s="7"/>
      <c r="E11" s="7"/>
      <c r="F11" s="7"/>
      <c r="G11" s="7"/>
      <c r="H11" s="7">
        <v>10</v>
      </c>
      <c r="I11" s="7">
        <v>6</v>
      </c>
      <c r="J11" s="7"/>
      <c r="K11" s="7"/>
      <c r="L11" s="7"/>
      <c r="M11" s="7"/>
      <c r="N11" s="7"/>
      <c r="O11" s="7">
        <v>24</v>
      </c>
      <c r="P11" s="7">
        <v>12</v>
      </c>
      <c r="Q11" s="7"/>
      <c r="R11" s="7"/>
      <c r="S11" s="7"/>
      <c r="T11" s="7"/>
      <c r="U11" s="7"/>
      <c r="V11" s="7">
        <v>5</v>
      </c>
      <c r="W11" s="7">
        <v>11</v>
      </c>
      <c r="X11" s="7">
        <v>1</v>
      </c>
      <c r="Y11" s="7"/>
      <c r="Z11" s="7">
        <v>2</v>
      </c>
      <c r="AA11" s="7"/>
      <c r="AB11" s="7"/>
      <c r="AC11" s="7">
        <v>9</v>
      </c>
      <c r="AD11" s="7">
        <v>8</v>
      </c>
      <c r="AE11" s="7"/>
      <c r="AF11" s="8">
        <v>6</v>
      </c>
      <c r="AG11" s="4">
        <f t="shared" si="2"/>
        <v>103</v>
      </c>
    </row>
    <row r="12" spans="1:33" ht="18.75" x14ac:dyDescent="0.25">
      <c r="A12" s="41" t="s">
        <v>43</v>
      </c>
      <c r="B12" s="7">
        <v>9</v>
      </c>
      <c r="C12" s="7"/>
      <c r="D12" s="7"/>
      <c r="E12" s="7"/>
      <c r="F12" s="7"/>
      <c r="G12" s="7"/>
      <c r="H12" s="7">
        <v>11</v>
      </c>
      <c r="I12" s="7">
        <v>18</v>
      </c>
      <c r="J12" s="7"/>
      <c r="K12" s="7"/>
      <c r="L12" s="7"/>
      <c r="M12" s="7">
        <v>1</v>
      </c>
      <c r="N12" s="7"/>
      <c r="O12" s="7">
        <v>11</v>
      </c>
      <c r="P12" s="7">
        <v>16</v>
      </c>
      <c r="Q12" s="7"/>
      <c r="R12" s="7"/>
      <c r="S12" s="7"/>
      <c r="T12" s="7"/>
      <c r="U12" s="7"/>
      <c r="V12" s="7">
        <v>3</v>
      </c>
      <c r="W12" s="7">
        <v>1</v>
      </c>
      <c r="X12" s="7">
        <v>1</v>
      </c>
      <c r="Y12" s="7"/>
      <c r="Z12" s="7"/>
      <c r="AA12" s="7"/>
      <c r="AB12" s="7"/>
      <c r="AC12" s="7">
        <v>3</v>
      </c>
      <c r="AD12" s="7">
        <v>8</v>
      </c>
      <c r="AE12" s="7">
        <v>1</v>
      </c>
      <c r="AF12" s="8">
        <v>4</v>
      </c>
      <c r="AG12" s="4">
        <f t="shared" si="2"/>
        <v>87</v>
      </c>
    </row>
    <row r="13" spans="1:33" ht="18.75" x14ac:dyDescent="0.25">
      <c r="A13" s="41" t="s">
        <v>44</v>
      </c>
      <c r="B13" s="7">
        <v>10</v>
      </c>
      <c r="C13" s="7">
        <v>66</v>
      </c>
      <c r="D13" s="7">
        <v>69</v>
      </c>
      <c r="E13" s="7">
        <v>58</v>
      </c>
      <c r="F13" s="7">
        <v>55</v>
      </c>
      <c r="G13" s="7">
        <v>58</v>
      </c>
      <c r="H13" s="7">
        <v>28</v>
      </c>
      <c r="I13" s="7">
        <v>14</v>
      </c>
      <c r="J13" s="7">
        <v>60</v>
      </c>
      <c r="K13" s="7">
        <v>68</v>
      </c>
      <c r="L13" s="7">
        <v>74</v>
      </c>
      <c r="M13" s="7">
        <v>55</v>
      </c>
      <c r="N13" s="7">
        <v>70</v>
      </c>
      <c r="O13" s="7">
        <v>19</v>
      </c>
      <c r="P13" s="7">
        <v>19</v>
      </c>
      <c r="Q13" s="7">
        <v>52</v>
      </c>
      <c r="R13" s="7">
        <v>36</v>
      </c>
      <c r="S13" s="7">
        <v>20</v>
      </c>
      <c r="T13" s="7">
        <v>21</v>
      </c>
      <c r="U13" s="7">
        <v>24</v>
      </c>
      <c r="V13" s="7">
        <v>7</v>
      </c>
      <c r="W13" s="7">
        <v>6</v>
      </c>
      <c r="X13" s="7">
        <v>11</v>
      </c>
      <c r="Y13" s="7">
        <v>16</v>
      </c>
      <c r="Z13" s="7">
        <v>14</v>
      </c>
      <c r="AA13" s="7">
        <v>17</v>
      </c>
      <c r="AB13" s="7">
        <v>29</v>
      </c>
      <c r="AC13" s="7">
        <v>10</v>
      </c>
      <c r="AD13" s="7">
        <v>6</v>
      </c>
      <c r="AE13" s="7">
        <v>16</v>
      </c>
      <c r="AF13" s="8">
        <v>5</v>
      </c>
      <c r="AG13" s="4">
        <f t="shared" si="2"/>
        <v>1013</v>
      </c>
    </row>
    <row r="14" spans="1:33" ht="18.75" x14ac:dyDescent="0.25">
      <c r="A14" s="41" t="s">
        <v>45</v>
      </c>
      <c r="B14" s="7">
        <v>15</v>
      </c>
      <c r="C14" s="7">
        <v>18</v>
      </c>
      <c r="D14" s="7">
        <v>20</v>
      </c>
      <c r="E14" s="7">
        <v>17</v>
      </c>
      <c r="F14" s="7">
        <v>19</v>
      </c>
      <c r="G14" s="7">
        <v>22</v>
      </c>
      <c r="H14" s="7">
        <v>20</v>
      </c>
      <c r="I14" s="7">
        <v>11</v>
      </c>
      <c r="J14" s="7">
        <v>25</v>
      </c>
      <c r="K14" s="7">
        <v>23</v>
      </c>
      <c r="L14" s="7">
        <v>15</v>
      </c>
      <c r="M14" s="7">
        <v>18</v>
      </c>
      <c r="N14" s="7">
        <v>20</v>
      </c>
      <c r="O14" s="7">
        <v>18</v>
      </c>
      <c r="P14" s="7">
        <v>15</v>
      </c>
      <c r="Q14" s="7">
        <v>21</v>
      </c>
      <c r="R14" s="7">
        <v>20</v>
      </c>
      <c r="S14" s="7">
        <v>10</v>
      </c>
      <c r="T14" s="7">
        <v>10</v>
      </c>
      <c r="U14" s="7">
        <v>8</v>
      </c>
      <c r="V14" s="7">
        <v>4</v>
      </c>
      <c r="W14" s="7">
        <v>4</v>
      </c>
      <c r="X14" s="7">
        <v>12</v>
      </c>
      <c r="Y14" s="7">
        <v>4</v>
      </c>
      <c r="Z14" s="7">
        <v>5</v>
      </c>
      <c r="AA14" s="7">
        <v>7</v>
      </c>
      <c r="AB14" s="7">
        <v>5</v>
      </c>
      <c r="AC14" s="7">
        <v>5</v>
      </c>
      <c r="AD14" s="7">
        <v>5</v>
      </c>
      <c r="AE14" s="7">
        <v>7</v>
      </c>
      <c r="AF14" s="8">
        <v>8</v>
      </c>
      <c r="AG14" s="4">
        <f t="shared" si="2"/>
        <v>411</v>
      </c>
    </row>
    <row r="15" spans="1:33" ht="18.75" x14ac:dyDescent="0.25">
      <c r="A15" s="41" t="s">
        <v>46</v>
      </c>
      <c r="B15" s="7">
        <v>9</v>
      </c>
      <c r="C15" s="7">
        <v>17</v>
      </c>
      <c r="D15" s="7">
        <v>21</v>
      </c>
      <c r="E15" s="7">
        <v>15</v>
      </c>
      <c r="F15" s="7">
        <v>16</v>
      </c>
      <c r="G15" s="7">
        <v>16</v>
      </c>
      <c r="H15" s="7">
        <v>11</v>
      </c>
      <c r="I15" s="7">
        <v>12</v>
      </c>
      <c r="J15" s="7">
        <v>23</v>
      </c>
      <c r="K15" s="7">
        <v>22</v>
      </c>
      <c r="L15" s="7">
        <v>17</v>
      </c>
      <c r="M15" s="7">
        <v>38</v>
      </c>
      <c r="N15" s="7">
        <v>17</v>
      </c>
      <c r="O15" s="7">
        <v>6</v>
      </c>
      <c r="P15" s="7">
        <v>21</v>
      </c>
      <c r="Q15" s="7">
        <v>14</v>
      </c>
      <c r="R15" s="7">
        <v>20</v>
      </c>
      <c r="S15" s="7">
        <v>14</v>
      </c>
      <c r="T15" s="7">
        <v>6</v>
      </c>
      <c r="U15" s="7">
        <v>7</v>
      </c>
      <c r="V15" s="7">
        <v>3</v>
      </c>
      <c r="W15" s="7">
        <v>7</v>
      </c>
      <c r="X15" s="7">
        <v>3</v>
      </c>
      <c r="Y15" s="7">
        <v>7</v>
      </c>
      <c r="Z15" s="7">
        <v>6</v>
      </c>
      <c r="AA15" s="7">
        <v>9</v>
      </c>
      <c r="AB15" s="7">
        <v>5</v>
      </c>
      <c r="AC15" s="7">
        <v>7</v>
      </c>
      <c r="AD15" s="7">
        <v>10</v>
      </c>
      <c r="AE15" s="7">
        <v>6</v>
      </c>
      <c r="AF15" s="8">
        <v>3</v>
      </c>
      <c r="AG15" s="4">
        <f t="shared" si="2"/>
        <v>388</v>
      </c>
    </row>
    <row r="16" spans="1:33" ht="18.75" x14ac:dyDescent="0.25">
      <c r="A16" s="41" t="s">
        <v>47</v>
      </c>
      <c r="B16" s="7">
        <v>13</v>
      </c>
      <c r="C16" s="7">
        <v>18</v>
      </c>
      <c r="D16" s="7">
        <v>16</v>
      </c>
      <c r="E16" s="7">
        <v>23</v>
      </c>
      <c r="F16" s="7">
        <v>20</v>
      </c>
      <c r="G16" s="7">
        <v>7</v>
      </c>
      <c r="H16" s="7">
        <v>12</v>
      </c>
      <c r="I16" s="7">
        <v>18</v>
      </c>
      <c r="J16" s="7">
        <v>22</v>
      </c>
      <c r="K16" s="7">
        <v>20</v>
      </c>
      <c r="L16" s="7">
        <v>23</v>
      </c>
      <c r="M16" s="7">
        <v>16</v>
      </c>
      <c r="N16" s="7">
        <v>14</v>
      </c>
      <c r="O16" s="7">
        <v>15</v>
      </c>
      <c r="P16" s="7">
        <v>17</v>
      </c>
      <c r="Q16" s="7">
        <v>17</v>
      </c>
      <c r="R16" s="7">
        <v>14</v>
      </c>
      <c r="S16" s="7">
        <v>5</v>
      </c>
      <c r="T16" s="7">
        <v>5</v>
      </c>
      <c r="U16" s="7">
        <v>6</v>
      </c>
      <c r="V16" s="7">
        <v>4</v>
      </c>
      <c r="W16" s="7">
        <v>3</v>
      </c>
      <c r="X16" s="7">
        <v>3</v>
      </c>
      <c r="Y16" s="7">
        <v>3</v>
      </c>
      <c r="Z16" s="7">
        <v>6</v>
      </c>
      <c r="AA16" s="7">
        <v>10</v>
      </c>
      <c r="AB16" s="7">
        <v>3</v>
      </c>
      <c r="AC16" s="7">
        <v>5</v>
      </c>
      <c r="AD16" s="7">
        <v>6</v>
      </c>
      <c r="AE16" s="7">
        <v>5</v>
      </c>
      <c r="AF16" s="8">
        <v>7</v>
      </c>
      <c r="AG16" s="4">
        <f t="shared" si="2"/>
        <v>356</v>
      </c>
    </row>
    <row r="17" spans="1:33" ht="18.75" x14ac:dyDescent="0.25">
      <c r="A17" s="41" t="s">
        <v>48</v>
      </c>
      <c r="B17" s="7">
        <v>11</v>
      </c>
      <c r="C17" s="7">
        <v>9</v>
      </c>
      <c r="D17" s="7">
        <v>23</v>
      </c>
      <c r="E17" s="7">
        <v>21</v>
      </c>
      <c r="F17" s="7">
        <v>15</v>
      </c>
      <c r="G17" s="7">
        <v>11</v>
      </c>
      <c r="H17" s="7">
        <v>6</v>
      </c>
      <c r="I17" s="7">
        <v>10</v>
      </c>
      <c r="J17" s="7">
        <v>15</v>
      </c>
      <c r="K17" s="7">
        <v>19</v>
      </c>
      <c r="L17" s="7">
        <v>26</v>
      </c>
      <c r="M17" s="7">
        <v>13</v>
      </c>
      <c r="N17" s="7">
        <v>10</v>
      </c>
      <c r="O17" s="7">
        <v>5</v>
      </c>
      <c r="P17" s="7">
        <v>16</v>
      </c>
      <c r="Q17" s="7">
        <v>17</v>
      </c>
      <c r="R17" s="7">
        <v>12</v>
      </c>
      <c r="S17" s="7">
        <v>3</v>
      </c>
      <c r="T17" s="7">
        <v>5</v>
      </c>
      <c r="U17" s="7">
        <v>9</v>
      </c>
      <c r="V17" s="7">
        <v>3</v>
      </c>
      <c r="W17" s="7">
        <v>1</v>
      </c>
      <c r="X17" s="7">
        <v>3</v>
      </c>
      <c r="Y17" s="7">
        <v>1</v>
      </c>
      <c r="Z17" s="7">
        <v>5</v>
      </c>
      <c r="AA17" s="7">
        <v>2</v>
      </c>
      <c r="AB17" s="7">
        <v>3</v>
      </c>
      <c r="AC17" s="7">
        <v>5</v>
      </c>
      <c r="AD17" s="7">
        <v>4</v>
      </c>
      <c r="AE17" s="7">
        <v>3</v>
      </c>
      <c r="AF17" s="8">
        <v>4</v>
      </c>
      <c r="AG17" s="4">
        <f t="shared" si="2"/>
        <v>290</v>
      </c>
    </row>
    <row r="18" spans="1:33" ht="18.75" x14ac:dyDescent="0.25">
      <c r="A18" s="41" t="s">
        <v>49</v>
      </c>
      <c r="B18" s="7">
        <v>12</v>
      </c>
      <c r="C18" s="7">
        <v>9</v>
      </c>
      <c r="D18" s="7">
        <v>15</v>
      </c>
      <c r="E18" s="7">
        <v>8</v>
      </c>
      <c r="F18" s="7">
        <v>15</v>
      </c>
      <c r="G18" s="7">
        <v>11</v>
      </c>
      <c r="H18" s="7">
        <v>10</v>
      </c>
      <c r="I18" s="7">
        <v>15</v>
      </c>
      <c r="J18" s="7">
        <v>10</v>
      </c>
      <c r="K18" s="7">
        <v>14</v>
      </c>
      <c r="L18" s="7">
        <v>13</v>
      </c>
      <c r="M18" s="7">
        <v>8</v>
      </c>
      <c r="N18" s="7">
        <v>10</v>
      </c>
      <c r="O18" s="7">
        <v>16</v>
      </c>
      <c r="P18" s="7">
        <v>10</v>
      </c>
      <c r="Q18" s="7">
        <v>11</v>
      </c>
      <c r="R18" s="7">
        <v>14</v>
      </c>
      <c r="S18" s="7">
        <v>3</v>
      </c>
      <c r="T18" s="7">
        <v>8</v>
      </c>
      <c r="U18" s="7">
        <v>3</v>
      </c>
      <c r="V18" s="7">
        <v>3</v>
      </c>
      <c r="W18" s="7">
        <v>3</v>
      </c>
      <c r="X18" s="7">
        <v>2</v>
      </c>
      <c r="Y18" s="7">
        <v>2</v>
      </c>
      <c r="Z18" s="7">
        <v>3</v>
      </c>
      <c r="AA18" s="7">
        <v>1</v>
      </c>
      <c r="AB18" s="7">
        <v>4</v>
      </c>
      <c r="AC18" s="7">
        <v>5</v>
      </c>
      <c r="AD18" s="7">
        <v>2</v>
      </c>
      <c r="AE18" s="7">
        <v>5</v>
      </c>
      <c r="AF18" s="8">
        <v>3</v>
      </c>
      <c r="AG18" s="4">
        <f t="shared" si="2"/>
        <v>248</v>
      </c>
    </row>
    <row r="19" spans="1:33" ht="18.75" x14ac:dyDescent="0.25">
      <c r="A19" s="41" t="s">
        <v>50</v>
      </c>
      <c r="B19" s="7">
        <v>10</v>
      </c>
      <c r="C19" s="7">
        <v>14</v>
      </c>
      <c r="D19" s="7">
        <v>8</v>
      </c>
      <c r="E19" s="7">
        <v>7</v>
      </c>
      <c r="F19" s="7">
        <v>7</v>
      </c>
      <c r="G19" s="7">
        <v>6</v>
      </c>
      <c r="H19" s="7">
        <v>4</v>
      </c>
      <c r="I19" s="7">
        <v>8</v>
      </c>
      <c r="J19" s="7">
        <v>13</v>
      </c>
      <c r="K19" s="7">
        <v>7</v>
      </c>
      <c r="L19" s="7">
        <v>8</v>
      </c>
      <c r="M19" s="7">
        <v>12</v>
      </c>
      <c r="N19" s="7">
        <v>7</v>
      </c>
      <c r="O19" s="7">
        <v>16</v>
      </c>
      <c r="P19" s="7">
        <v>6</v>
      </c>
      <c r="Q19" s="7">
        <v>3</v>
      </c>
      <c r="R19" s="7">
        <v>2</v>
      </c>
      <c r="S19" s="7">
        <v>4</v>
      </c>
      <c r="T19" s="7">
        <v>7</v>
      </c>
      <c r="U19" s="7">
        <v>5</v>
      </c>
      <c r="V19" s="7">
        <v>1</v>
      </c>
      <c r="W19" s="7"/>
      <c r="X19" s="7"/>
      <c r="Y19" s="7">
        <v>1</v>
      </c>
      <c r="Z19" s="7">
        <v>1</v>
      </c>
      <c r="AA19" s="7">
        <v>3</v>
      </c>
      <c r="AB19" s="7">
        <v>1</v>
      </c>
      <c r="AC19" s="7">
        <v>1</v>
      </c>
      <c r="AD19" s="7">
        <v>1</v>
      </c>
      <c r="AE19" s="7">
        <v>3</v>
      </c>
      <c r="AF19" s="8">
        <v>2</v>
      </c>
      <c r="AG19" s="4">
        <f t="shared" si="2"/>
        <v>168</v>
      </c>
    </row>
    <row r="20" spans="1:33" ht="18.75" x14ac:dyDescent="0.25">
      <c r="A20" s="41" t="s">
        <v>33</v>
      </c>
      <c r="B20" s="7">
        <v>3</v>
      </c>
      <c r="C20" s="7">
        <v>2</v>
      </c>
      <c r="D20" s="7">
        <v>6</v>
      </c>
      <c r="E20" s="7">
        <v>1</v>
      </c>
      <c r="F20" s="7">
        <v>7</v>
      </c>
      <c r="G20" s="7">
        <v>2</v>
      </c>
      <c r="H20" s="7">
        <v>3</v>
      </c>
      <c r="I20" s="7">
        <v>8</v>
      </c>
      <c r="J20" s="7">
        <v>5</v>
      </c>
      <c r="K20" s="7">
        <v>5</v>
      </c>
      <c r="L20" s="7">
        <v>2</v>
      </c>
      <c r="M20" s="7">
        <v>2</v>
      </c>
      <c r="N20" s="7">
        <v>3</v>
      </c>
      <c r="O20" s="7">
        <v>5</v>
      </c>
      <c r="P20" s="7">
        <v>6</v>
      </c>
      <c r="Q20" s="7">
        <v>4</v>
      </c>
      <c r="R20" s="7">
        <v>6</v>
      </c>
      <c r="S20" s="7"/>
      <c r="T20" s="7">
        <v>1</v>
      </c>
      <c r="U20" s="7">
        <v>3</v>
      </c>
      <c r="V20" s="7">
        <v>5</v>
      </c>
      <c r="W20" s="7">
        <v>1</v>
      </c>
      <c r="X20" s="7">
        <v>1</v>
      </c>
      <c r="Y20" s="7"/>
      <c r="Z20" s="7">
        <v>1</v>
      </c>
      <c r="AA20" s="7">
        <v>2</v>
      </c>
      <c r="AB20" s="7">
        <v>2</v>
      </c>
      <c r="AC20" s="7">
        <v>2</v>
      </c>
      <c r="AD20" s="7"/>
      <c r="AE20" s="7">
        <v>4</v>
      </c>
      <c r="AF20" s="8"/>
      <c r="AG20" s="4">
        <f t="shared" si="2"/>
        <v>92</v>
      </c>
    </row>
    <row r="21" spans="1:33" ht="18.75" x14ac:dyDescent="0.25">
      <c r="A21" s="41" t="s">
        <v>34</v>
      </c>
      <c r="B21" s="7">
        <v>3</v>
      </c>
      <c r="C21" s="7">
        <v>4</v>
      </c>
      <c r="D21" s="7">
        <v>4</v>
      </c>
      <c r="E21" s="7">
        <v>2</v>
      </c>
      <c r="F21" s="7">
        <v>2</v>
      </c>
      <c r="G21" s="7">
        <v>6</v>
      </c>
      <c r="H21" s="7">
        <v>5</v>
      </c>
      <c r="I21" s="7">
        <v>6</v>
      </c>
      <c r="J21" s="7">
        <v>3</v>
      </c>
      <c r="K21" s="7">
        <v>1</v>
      </c>
      <c r="L21" s="7">
        <v>7</v>
      </c>
      <c r="M21" s="7">
        <v>4</v>
      </c>
      <c r="N21" s="7">
        <v>2</v>
      </c>
      <c r="O21" s="7"/>
      <c r="P21" s="7">
        <v>3</v>
      </c>
      <c r="Q21" s="7">
        <v>2</v>
      </c>
      <c r="R21" s="7">
        <v>2</v>
      </c>
      <c r="S21" s="7"/>
      <c r="T21" s="7"/>
      <c r="U21" s="7">
        <v>4</v>
      </c>
      <c r="V21" s="7">
        <v>2</v>
      </c>
      <c r="W21" s="7"/>
      <c r="X21" s="7"/>
      <c r="Y21" s="7">
        <v>1</v>
      </c>
      <c r="Z21" s="7">
        <v>3</v>
      </c>
      <c r="AA21" s="7"/>
      <c r="AB21" s="7">
        <v>2</v>
      </c>
      <c r="AC21" s="7">
        <v>2</v>
      </c>
      <c r="AD21" s="7">
        <v>3</v>
      </c>
      <c r="AE21" s="7"/>
      <c r="AF21" s="8"/>
      <c r="AG21" s="4">
        <f t="shared" si="2"/>
        <v>73</v>
      </c>
    </row>
    <row r="22" spans="1:33" ht="18.75" x14ac:dyDescent="0.25">
      <c r="A22" s="41" t="s">
        <v>35</v>
      </c>
      <c r="B22" s="7">
        <v>6</v>
      </c>
      <c r="C22" s="7">
        <v>4</v>
      </c>
      <c r="D22" s="7">
        <v>5</v>
      </c>
      <c r="E22" s="7">
        <v>4</v>
      </c>
      <c r="F22" s="7">
        <v>3</v>
      </c>
      <c r="G22" s="7">
        <v>1</v>
      </c>
      <c r="H22" s="7">
        <v>1</v>
      </c>
      <c r="I22" s="7">
        <v>3</v>
      </c>
      <c r="J22" s="7"/>
      <c r="K22" s="7">
        <v>2</v>
      </c>
      <c r="L22" s="7">
        <v>5</v>
      </c>
      <c r="M22" s="7">
        <v>1</v>
      </c>
      <c r="N22" s="7">
        <v>2</v>
      </c>
      <c r="O22" s="7">
        <v>3</v>
      </c>
      <c r="P22" s="7">
        <v>3</v>
      </c>
      <c r="Q22" s="7">
        <v>2</v>
      </c>
      <c r="R22" s="7">
        <v>3</v>
      </c>
      <c r="S22" s="7">
        <v>1</v>
      </c>
      <c r="T22" s="7">
        <v>2</v>
      </c>
      <c r="U22" s="7">
        <v>3</v>
      </c>
      <c r="V22" s="7">
        <v>1</v>
      </c>
      <c r="W22" s="7">
        <v>1</v>
      </c>
      <c r="X22" s="7">
        <v>1</v>
      </c>
      <c r="Y22" s="7"/>
      <c r="Z22" s="7">
        <v>1</v>
      </c>
      <c r="AA22" s="7">
        <v>2</v>
      </c>
      <c r="AB22" s="7">
        <v>1</v>
      </c>
      <c r="AC22" s="7">
        <v>1</v>
      </c>
      <c r="AD22" s="7">
        <v>1</v>
      </c>
      <c r="AE22" s="7">
        <v>2</v>
      </c>
      <c r="AF22" s="8"/>
      <c r="AG22" s="4">
        <f t="shared" si="2"/>
        <v>65</v>
      </c>
    </row>
    <row r="23" spans="1:33" ht="18.75" x14ac:dyDescent="0.25">
      <c r="A23" s="41" t="s">
        <v>36</v>
      </c>
      <c r="B23" s="7"/>
      <c r="C23" s="7">
        <v>1</v>
      </c>
      <c r="D23" s="7">
        <v>1</v>
      </c>
      <c r="E23" s="7"/>
      <c r="F23" s="7">
        <v>1</v>
      </c>
      <c r="G23" s="7">
        <v>1</v>
      </c>
      <c r="H23" s="7"/>
      <c r="I23" s="7">
        <v>2</v>
      </c>
      <c r="J23" s="7">
        <v>2</v>
      </c>
      <c r="K23" s="7">
        <v>3</v>
      </c>
      <c r="L23" s="7">
        <v>4</v>
      </c>
      <c r="M23" s="7">
        <v>1</v>
      </c>
      <c r="N23" s="7">
        <v>2</v>
      </c>
      <c r="O23" s="7"/>
      <c r="P23" s="7"/>
      <c r="Q23" s="7">
        <v>1</v>
      </c>
      <c r="R23" s="7">
        <v>1</v>
      </c>
      <c r="S23" s="7">
        <v>1</v>
      </c>
      <c r="T23" s="7">
        <v>1</v>
      </c>
      <c r="U23" s="7"/>
      <c r="V23" s="7"/>
      <c r="W23" s="7"/>
      <c r="X23" s="7"/>
      <c r="Y23" s="7"/>
      <c r="Z23" s="7"/>
      <c r="AA23" s="7">
        <v>1</v>
      </c>
      <c r="AB23" s="7"/>
      <c r="AC23" s="7">
        <v>1</v>
      </c>
      <c r="AD23" s="7"/>
      <c r="AE23" s="7">
        <v>1</v>
      </c>
      <c r="AF23" s="8">
        <v>2</v>
      </c>
      <c r="AG23" s="4">
        <f t="shared" si="2"/>
        <v>27</v>
      </c>
    </row>
    <row r="24" spans="1:33" ht="18.75" x14ac:dyDescent="0.25">
      <c r="A24" s="41" t="s">
        <v>51</v>
      </c>
      <c r="B24" s="7">
        <v>1</v>
      </c>
      <c r="C24" s="7"/>
      <c r="D24" s="7">
        <v>1</v>
      </c>
      <c r="E24" s="7"/>
      <c r="F24" s="7">
        <v>2</v>
      </c>
      <c r="G24" s="7">
        <v>2</v>
      </c>
      <c r="H24" s="7">
        <v>1</v>
      </c>
      <c r="I24" s="7">
        <v>1</v>
      </c>
      <c r="J24" s="7"/>
      <c r="K24" s="7">
        <v>1</v>
      </c>
      <c r="L24" s="7"/>
      <c r="M24" s="7"/>
      <c r="N24" s="7"/>
      <c r="O24" s="7">
        <v>1</v>
      </c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>
        <v>1</v>
      </c>
      <c r="AB24" s="7">
        <v>2</v>
      </c>
      <c r="AC24" s="7"/>
      <c r="AD24" s="7"/>
      <c r="AE24" s="7"/>
      <c r="AF24" s="8"/>
      <c r="AG24" s="4">
        <f t="shared" si="2"/>
        <v>13</v>
      </c>
    </row>
    <row r="25" spans="1:33" ht="18.75" x14ac:dyDescent="0.25">
      <c r="A25" s="41" t="s">
        <v>52</v>
      </c>
      <c r="B25" s="7"/>
      <c r="C25" s="7">
        <v>1</v>
      </c>
      <c r="D25" s="7">
        <v>1</v>
      </c>
      <c r="E25" s="7"/>
      <c r="F25" s="7">
        <v>2</v>
      </c>
      <c r="G25" s="7"/>
      <c r="H25" s="7">
        <v>1</v>
      </c>
      <c r="I25" s="7"/>
      <c r="J25" s="7">
        <v>1</v>
      </c>
      <c r="K25" s="7">
        <v>3</v>
      </c>
      <c r="L25" s="7"/>
      <c r="M25" s="7">
        <v>1</v>
      </c>
      <c r="N25" s="7">
        <v>3</v>
      </c>
      <c r="O25" s="7"/>
      <c r="P25" s="7">
        <v>1</v>
      </c>
      <c r="Q25" s="7">
        <v>4</v>
      </c>
      <c r="R25" s="7"/>
      <c r="S25" s="7"/>
      <c r="T25" s="7">
        <v>1</v>
      </c>
      <c r="U25" s="7"/>
      <c r="V25" s="7">
        <v>1</v>
      </c>
      <c r="W25" s="7"/>
      <c r="X25" s="7"/>
      <c r="Y25" s="7"/>
      <c r="Z25" s="7"/>
      <c r="AA25" s="7"/>
      <c r="AB25" s="7"/>
      <c r="AC25" s="7"/>
      <c r="AD25" s="7"/>
      <c r="AE25" s="7"/>
      <c r="AF25" s="8"/>
      <c r="AG25" s="4">
        <f t="shared" si="2"/>
        <v>20</v>
      </c>
    </row>
    <row r="26" spans="1:33" ht="18.75" x14ac:dyDescent="0.25">
      <c r="A26" s="41" t="s">
        <v>37</v>
      </c>
      <c r="B26" s="7"/>
      <c r="C26" s="7">
        <v>2</v>
      </c>
      <c r="D26" s="7">
        <v>1</v>
      </c>
      <c r="E26" s="7"/>
      <c r="F26" s="7"/>
      <c r="G26" s="7">
        <v>1</v>
      </c>
      <c r="H26" s="7">
        <v>2</v>
      </c>
      <c r="I26" s="7">
        <v>3</v>
      </c>
      <c r="J26" s="7">
        <v>1</v>
      </c>
      <c r="K26" s="7">
        <v>1</v>
      </c>
      <c r="L26" s="7"/>
      <c r="M26" s="7">
        <v>1</v>
      </c>
      <c r="N26" s="7"/>
      <c r="O26" s="7">
        <v>2</v>
      </c>
      <c r="P26" s="7"/>
      <c r="Q26" s="7">
        <v>2</v>
      </c>
      <c r="R26" s="7">
        <v>3</v>
      </c>
      <c r="S26" s="7">
        <v>1</v>
      </c>
      <c r="T26" s="7">
        <v>1</v>
      </c>
      <c r="U26" s="7"/>
      <c r="V26" s="7"/>
      <c r="W26" s="7"/>
      <c r="X26" s="7"/>
      <c r="Y26" s="7"/>
      <c r="Z26" s="7"/>
      <c r="AA26" s="7">
        <v>1</v>
      </c>
      <c r="AB26" s="7"/>
      <c r="AC26" s="7"/>
      <c r="AD26" s="7"/>
      <c r="AE26" s="7"/>
      <c r="AF26" s="8"/>
      <c r="AG26" s="4">
        <f t="shared" si="2"/>
        <v>22</v>
      </c>
    </row>
    <row r="27" spans="1:33" ht="19.5" thickBot="1" x14ac:dyDescent="0.3">
      <c r="A27" s="81" t="s">
        <v>53</v>
      </c>
      <c r="B27" s="78"/>
      <c r="C27" s="78"/>
      <c r="D27" s="78"/>
      <c r="E27" s="78"/>
      <c r="F27" s="78">
        <v>1</v>
      </c>
      <c r="G27" s="78"/>
      <c r="H27" s="78">
        <v>2</v>
      </c>
      <c r="I27" s="78"/>
      <c r="J27" s="78"/>
      <c r="K27" s="78">
        <v>1</v>
      </c>
      <c r="L27" s="78"/>
      <c r="M27" s="78"/>
      <c r="N27" s="78">
        <v>2</v>
      </c>
      <c r="O27" s="78">
        <v>1</v>
      </c>
      <c r="P27" s="78"/>
      <c r="Q27" s="78">
        <v>1</v>
      </c>
      <c r="R27" s="78">
        <v>1</v>
      </c>
      <c r="S27" s="78"/>
      <c r="T27" s="78">
        <v>1</v>
      </c>
      <c r="U27" s="78">
        <v>1</v>
      </c>
      <c r="V27" s="78"/>
      <c r="W27" s="78">
        <v>3</v>
      </c>
      <c r="X27" s="78">
        <v>2</v>
      </c>
      <c r="Y27" s="78"/>
      <c r="Z27" s="78"/>
      <c r="AA27" s="78">
        <v>1</v>
      </c>
      <c r="AB27" s="78"/>
      <c r="AC27" s="78">
        <v>1</v>
      </c>
      <c r="AD27" s="78"/>
      <c r="AE27" s="78"/>
      <c r="AF27" s="83"/>
      <c r="AG27" s="4">
        <f t="shared" si="2"/>
        <v>18</v>
      </c>
    </row>
    <row r="28" spans="1:33" ht="18.75" x14ac:dyDescent="0.25">
      <c r="A28" s="79" t="s">
        <v>107</v>
      </c>
      <c r="B28" s="80">
        <f>SUM(B29:B52)</f>
        <v>188</v>
      </c>
      <c r="C28" s="80">
        <f t="shared" ref="C28:AF28" si="3">SUM(C29:C52)</f>
        <v>152</v>
      </c>
      <c r="D28" s="80">
        <f t="shared" si="3"/>
        <v>172</v>
      </c>
      <c r="E28" s="80">
        <f t="shared" si="3"/>
        <v>147</v>
      </c>
      <c r="F28" s="80">
        <f t="shared" si="3"/>
        <v>143</v>
      </c>
      <c r="G28" s="80">
        <f t="shared" si="3"/>
        <v>129</v>
      </c>
      <c r="H28" s="80">
        <f t="shared" si="3"/>
        <v>202</v>
      </c>
      <c r="I28" s="80">
        <f t="shared" si="3"/>
        <v>200</v>
      </c>
      <c r="J28" s="80">
        <f t="shared" si="3"/>
        <v>157</v>
      </c>
      <c r="K28" s="80">
        <f t="shared" si="3"/>
        <v>156</v>
      </c>
      <c r="L28" s="80">
        <f t="shared" si="3"/>
        <v>162</v>
      </c>
      <c r="M28" s="80">
        <f t="shared" si="3"/>
        <v>161</v>
      </c>
      <c r="N28" s="80">
        <f t="shared" si="3"/>
        <v>149</v>
      </c>
      <c r="O28" s="80">
        <f t="shared" si="3"/>
        <v>232</v>
      </c>
      <c r="P28" s="80">
        <f t="shared" si="3"/>
        <v>230</v>
      </c>
      <c r="Q28" s="80">
        <f t="shared" si="3"/>
        <v>128</v>
      </c>
      <c r="R28" s="80">
        <f t="shared" si="3"/>
        <v>118</v>
      </c>
      <c r="S28" s="80">
        <f t="shared" si="3"/>
        <v>53</v>
      </c>
      <c r="T28" s="80">
        <f t="shared" si="3"/>
        <v>65</v>
      </c>
      <c r="U28" s="80">
        <f t="shared" si="3"/>
        <v>69</v>
      </c>
      <c r="V28" s="80">
        <f t="shared" si="3"/>
        <v>70</v>
      </c>
      <c r="W28" s="80">
        <f t="shared" si="3"/>
        <v>82</v>
      </c>
      <c r="X28" s="80">
        <f t="shared" si="3"/>
        <v>41</v>
      </c>
      <c r="Y28" s="80">
        <f t="shared" si="3"/>
        <v>37</v>
      </c>
      <c r="Z28" s="80">
        <f t="shared" si="3"/>
        <v>48</v>
      </c>
      <c r="AA28" s="80">
        <f t="shared" si="3"/>
        <v>56</v>
      </c>
      <c r="AB28" s="80">
        <f t="shared" si="3"/>
        <v>54</v>
      </c>
      <c r="AC28" s="80">
        <f t="shared" si="3"/>
        <v>84</v>
      </c>
      <c r="AD28" s="80">
        <f t="shared" si="3"/>
        <v>102</v>
      </c>
      <c r="AE28" s="80">
        <f>SUM(AE29:AE52)</f>
        <v>54</v>
      </c>
      <c r="AF28" s="80">
        <f t="shared" si="3"/>
        <v>61</v>
      </c>
      <c r="AG28" s="150">
        <f t="shared" si="2"/>
        <v>3702</v>
      </c>
    </row>
    <row r="29" spans="1:33" ht="18.75" x14ac:dyDescent="0.25">
      <c r="A29" s="41" t="s">
        <v>54</v>
      </c>
      <c r="B29" s="7">
        <v>3</v>
      </c>
      <c r="C29" s="7"/>
      <c r="D29" s="7"/>
      <c r="E29" s="7"/>
      <c r="F29" s="7"/>
      <c r="G29" s="7"/>
      <c r="H29" s="7">
        <v>6</v>
      </c>
      <c r="I29" s="7">
        <v>4</v>
      </c>
      <c r="J29" s="7"/>
      <c r="K29" s="7"/>
      <c r="L29" s="7"/>
      <c r="M29" s="7"/>
      <c r="N29" s="7"/>
      <c r="O29" s="7">
        <v>3</v>
      </c>
      <c r="P29" s="7">
        <v>2</v>
      </c>
      <c r="Q29" s="114"/>
      <c r="R29" s="7">
        <v>1</v>
      </c>
      <c r="S29" s="7"/>
      <c r="T29" s="7"/>
      <c r="U29" s="7"/>
      <c r="V29" s="7">
        <v>2</v>
      </c>
      <c r="W29" s="7">
        <v>3</v>
      </c>
      <c r="X29" s="7"/>
      <c r="Y29" s="7"/>
      <c r="Z29" s="7"/>
      <c r="AA29" s="7"/>
      <c r="AB29" s="7"/>
      <c r="AC29" s="7"/>
      <c r="AD29" s="7">
        <v>1</v>
      </c>
      <c r="AE29" s="7"/>
      <c r="AF29" s="8"/>
      <c r="AG29" s="4">
        <f t="shared" si="2"/>
        <v>25</v>
      </c>
    </row>
    <row r="30" spans="1:33" ht="18.75" x14ac:dyDescent="0.25">
      <c r="A30" s="41" t="s">
        <v>55</v>
      </c>
      <c r="B30" s="7">
        <v>4</v>
      </c>
      <c r="C30" s="7"/>
      <c r="D30" s="7"/>
      <c r="E30" s="7"/>
      <c r="F30" s="7"/>
      <c r="G30" s="7"/>
      <c r="H30" s="7">
        <v>7</v>
      </c>
      <c r="I30" s="7">
        <v>4</v>
      </c>
      <c r="J30" s="7"/>
      <c r="K30" s="7"/>
      <c r="L30" s="7"/>
      <c r="M30" s="7"/>
      <c r="N30" s="7">
        <v>1</v>
      </c>
      <c r="O30" s="7">
        <v>6</v>
      </c>
      <c r="P30" s="7">
        <v>8</v>
      </c>
      <c r="Q30" s="7">
        <v>1</v>
      </c>
      <c r="R30" s="7"/>
      <c r="S30" s="7"/>
      <c r="T30" s="7"/>
      <c r="U30" s="7"/>
      <c r="V30" s="7">
        <v>2</v>
      </c>
      <c r="W30" s="7">
        <v>2</v>
      </c>
      <c r="X30" s="7"/>
      <c r="Y30" s="7"/>
      <c r="Z30" s="7"/>
      <c r="AA30" s="7"/>
      <c r="AB30" s="7">
        <v>1</v>
      </c>
      <c r="AC30" s="7">
        <v>2</v>
      </c>
      <c r="AD30" s="7">
        <v>2</v>
      </c>
      <c r="AE30" s="7"/>
      <c r="AF30" s="8">
        <v>3</v>
      </c>
      <c r="AG30" s="4">
        <f t="shared" si="2"/>
        <v>43</v>
      </c>
    </row>
    <row r="31" spans="1:33" ht="18.75" x14ac:dyDescent="0.25">
      <c r="A31" s="41" t="s">
        <v>56</v>
      </c>
      <c r="B31" s="7">
        <v>12</v>
      </c>
      <c r="C31" s="7"/>
      <c r="D31" s="7"/>
      <c r="E31" s="7"/>
      <c r="F31" s="7"/>
      <c r="G31" s="7"/>
      <c r="H31" s="7">
        <v>11</v>
      </c>
      <c r="I31" s="7">
        <v>10</v>
      </c>
      <c r="J31" s="7"/>
      <c r="K31" s="7"/>
      <c r="L31" s="7"/>
      <c r="M31" s="7"/>
      <c r="N31" s="7"/>
      <c r="O31" s="7">
        <v>15</v>
      </c>
      <c r="P31" s="7">
        <v>12</v>
      </c>
      <c r="Q31" s="7"/>
      <c r="R31" s="7"/>
      <c r="S31" s="7"/>
      <c r="T31" s="7"/>
      <c r="U31" s="7"/>
      <c r="V31" s="7">
        <v>4</v>
      </c>
      <c r="W31" s="7">
        <v>4</v>
      </c>
      <c r="X31" s="7"/>
      <c r="Y31" s="7"/>
      <c r="Z31" s="7">
        <v>1</v>
      </c>
      <c r="AA31" s="7"/>
      <c r="AB31" s="7"/>
      <c r="AC31" s="7">
        <v>5</v>
      </c>
      <c r="AD31" s="7">
        <v>4</v>
      </c>
      <c r="AE31" s="7"/>
      <c r="AF31" s="8">
        <v>4</v>
      </c>
      <c r="AG31" s="4">
        <f t="shared" si="2"/>
        <v>82</v>
      </c>
    </row>
    <row r="32" spans="1:33" ht="18.75" x14ac:dyDescent="0.25">
      <c r="A32" s="41" t="s">
        <v>38</v>
      </c>
      <c r="B32" s="7">
        <v>10</v>
      </c>
      <c r="C32" s="7"/>
      <c r="D32" s="7"/>
      <c r="E32" s="7"/>
      <c r="F32" s="7"/>
      <c r="G32" s="7"/>
      <c r="H32" s="7">
        <v>10</v>
      </c>
      <c r="I32" s="7">
        <v>14</v>
      </c>
      <c r="J32" s="7"/>
      <c r="K32" s="7"/>
      <c r="L32" s="7"/>
      <c r="M32" s="7"/>
      <c r="N32" s="7"/>
      <c r="O32" s="7">
        <v>13</v>
      </c>
      <c r="P32" s="7">
        <v>16</v>
      </c>
      <c r="Q32" s="7"/>
      <c r="R32" s="7"/>
      <c r="S32" s="7"/>
      <c r="T32" s="7"/>
      <c r="U32" s="7"/>
      <c r="V32" s="7">
        <v>3</v>
      </c>
      <c r="W32" s="7">
        <v>5</v>
      </c>
      <c r="X32" s="7"/>
      <c r="Y32" s="7">
        <v>1</v>
      </c>
      <c r="Z32" s="7">
        <v>1</v>
      </c>
      <c r="AA32" s="7"/>
      <c r="AB32" s="7"/>
      <c r="AC32" s="7">
        <v>2</v>
      </c>
      <c r="AD32" s="7">
        <v>9</v>
      </c>
      <c r="AE32" s="7"/>
      <c r="AF32" s="8">
        <v>3</v>
      </c>
      <c r="AG32" s="4">
        <f t="shared" si="2"/>
        <v>87</v>
      </c>
    </row>
    <row r="33" spans="1:33" ht="18.75" x14ac:dyDescent="0.25">
      <c r="A33" s="41" t="s">
        <v>39</v>
      </c>
      <c r="B33" s="7">
        <v>18</v>
      </c>
      <c r="C33" s="7"/>
      <c r="D33" s="7"/>
      <c r="E33" s="7"/>
      <c r="F33" s="7"/>
      <c r="G33" s="7"/>
      <c r="H33" s="7">
        <v>10</v>
      </c>
      <c r="I33" s="7">
        <v>12</v>
      </c>
      <c r="J33" s="7"/>
      <c r="K33" s="7"/>
      <c r="L33" s="7"/>
      <c r="M33" s="7"/>
      <c r="N33" s="7"/>
      <c r="O33" s="7">
        <v>11</v>
      </c>
      <c r="P33" s="7">
        <v>13</v>
      </c>
      <c r="Q33" s="7">
        <v>2</v>
      </c>
      <c r="R33" s="7"/>
      <c r="S33" s="7"/>
      <c r="T33" s="7"/>
      <c r="U33" s="7"/>
      <c r="V33" s="7">
        <v>3</v>
      </c>
      <c r="W33" s="7">
        <v>11</v>
      </c>
      <c r="X33" s="7">
        <v>1</v>
      </c>
      <c r="Y33" s="7"/>
      <c r="Z33" s="7"/>
      <c r="AA33" s="7">
        <v>1</v>
      </c>
      <c r="AB33" s="7"/>
      <c r="AC33" s="7">
        <v>5</v>
      </c>
      <c r="AD33" s="7">
        <v>6</v>
      </c>
      <c r="AE33" s="7">
        <v>1</v>
      </c>
      <c r="AF33" s="8">
        <v>3</v>
      </c>
      <c r="AG33" s="4">
        <f t="shared" si="2"/>
        <v>97</v>
      </c>
    </row>
    <row r="34" spans="1:33" ht="18.75" x14ac:dyDescent="0.25">
      <c r="A34" s="41" t="s">
        <v>40</v>
      </c>
      <c r="B34" s="7">
        <v>19</v>
      </c>
      <c r="C34" s="7"/>
      <c r="D34" s="7"/>
      <c r="E34" s="7"/>
      <c r="F34" s="7"/>
      <c r="G34" s="7"/>
      <c r="H34" s="7">
        <v>11</v>
      </c>
      <c r="I34" s="7">
        <v>9</v>
      </c>
      <c r="J34" s="7"/>
      <c r="K34" s="7"/>
      <c r="L34" s="7"/>
      <c r="M34" s="7"/>
      <c r="N34" s="7"/>
      <c r="O34" s="7">
        <v>13</v>
      </c>
      <c r="P34" s="7">
        <v>13</v>
      </c>
      <c r="Q34" s="7"/>
      <c r="R34" s="7"/>
      <c r="S34" s="7"/>
      <c r="T34" s="7"/>
      <c r="U34" s="7"/>
      <c r="V34" s="7">
        <v>8</v>
      </c>
      <c r="W34" s="7">
        <v>8</v>
      </c>
      <c r="X34" s="7"/>
      <c r="Y34" s="7"/>
      <c r="Z34" s="7">
        <v>1</v>
      </c>
      <c r="AA34" s="7"/>
      <c r="AB34" s="7"/>
      <c r="AC34" s="7">
        <v>5</v>
      </c>
      <c r="AD34" s="7">
        <v>11</v>
      </c>
      <c r="AE34" s="7"/>
      <c r="AF34" s="8">
        <v>3</v>
      </c>
      <c r="AG34" s="4">
        <f t="shared" si="2"/>
        <v>101</v>
      </c>
    </row>
    <row r="35" spans="1:33" ht="18.75" x14ac:dyDescent="0.25">
      <c r="A35" s="41" t="s">
        <v>41</v>
      </c>
      <c r="B35" s="7">
        <v>10</v>
      </c>
      <c r="C35" s="7"/>
      <c r="D35" s="7"/>
      <c r="E35" s="7"/>
      <c r="F35" s="7"/>
      <c r="G35" s="7"/>
      <c r="H35" s="7">
        <v>10</v>
      </c>
      <c r="I35" s="7">
        <v>13</v>
      </c>
      <c r="J35" s="7"/>
      <c r="K35" s="7"/>
      <c r="L35" s="7"/>
      <c r="M35" s="7"/>
      <c r="N35" s="7"/>
      <c r="O35" s="7">
        <v>13</v>
      </c>
      <c r="P35" s="7">
        <v>16</v>
      </c>
      <c r="Q35" s="7"/>
      <c r="R35" s="7"/>
      <c r="S35" s="7"/>
      <c r="T35" s="7"/>
      <c r="U35" s="7"/>
      <c r="V35" s="7">
        <v>6</v>
      </c>
      <c r="W35" s="7">
        <v>5</v>
      </c>
      <c r="X35" s="7"/>
      <c r="Y35" s="7"/>
      <c r="Z35" s="7"/>
      <c r="AA35" s="7"/>
      <c r="AB35" s="7"/>
      <c r="AC35" s="7">
        <v>5</v>
      </c>
      <c r="AD35" s="7">
        <v>9</v>
      </c>
      <c r="AE35" s="7"/>
      <c r="AF35" s="8"/>
      <c r="AG35" s="4">
        <f t="shared" si="2"/>
        <v>87</v>
      </c>
    </row>
    <row r="36" spans="1:33" ht="18.75" x14ac:dyDescent="0.25">
      <c r="A36" s="41" t="s">
        <v>42</v>
      </c>
      <c r="B36" s="7">
        <v>4</v>
      </c>
      <c r="C36" s="7"/>
      <c r="D36" s="7"/>
      <c r="E36" s="7"/>
      <c r="F36" s="7"/>
      <c r="G36" s="7"/>
      <c r="H36" s="7">
        <v>9</v>
      </c>
      <c r="I36" s="7">
        <v>9</v>
      </c>
      <c r="J36" s="7"/>
      <c r="K36" s="7"/>
      <c r="L36" s="7"/>
      <c r="M36" s="7"/>
      <c r="N36" s="7">
        <v>1</v>
      </c>
      <c r="O36" s="7">
        <v>12</v>
      </c>
      <c r="P36" s="7">
        <v>9</v>
      </c>
      <c r="Q36" s="7"/>
      <c r="R36" s="7"/>
      <c r="S36" s="7"/>
      <c r="T36" s="7"/>
      <c r="U36" s="7"/>
      <c r="V36" s="7">
        <v>2</v>
      </c>
      <c r="W36" s="7">
        <v>5</v>
      </c>
      <c r="X36" s="7">
        <v>1</v>
      </c>
      <c r="Y36" s="7"/>
      <c r="Z36" s="7">
        <v>2</v>
      </c>
      <c r="AA36" s="7">
        <v>3</v>
      </c>
      <c r="AB36" s="7"/>
      <c r="AC36" s="7">
        <v>7</v>
      </c>
      <c r="AD36" s="7">
        <v>6</v>
      </c>
      <c r="AE36" s="7"/>
      <c r="AF36" s="8">
        <v>9</v>
      </c>
      <c r="AG36" s="4">
        <f t="shared" si="2"/>
        <v>79</v>
      </c>
    </row>
    <row r="37" spans="1:33" ht="18.75" x14ac:dyDescent="0.25">
      <c r="A37" s="41" t="s">
        <v>43</v>
      </c>
      <c r="B37" s="7">
        <v>12</v>
      </c>
      <c r="C37" s="7"/>
      <c r="D37" s="7"/>
      <c r="E37" s="7"/>
      <c r="F37" s="7"/>
      <c r="G37" s="7"/>
      <c r="H37" s="7">
        <v>15</v>
      </c>
      <c r="I37" s="7">
        <v>15</v>
      </c>
      <c r="J37" s="7"/>
      <c r="K37" s="7"/>
      <c r="L37" s="7"/>
      <c r="M37" s="7"/>
      <c r="N37" s="7"/>
      <c r="O37" s="7">
        <v>16</v>
      </c>
      <c r="P37" s="7">
        <v>15</v>
      </c>
      <c r="Q37" s="7"/>
      <c r="R37" s="7"/>
      <c r="S37" s="7"/>
      <c r="T37" s="7"/>
      <c r="U37" s="7"/>
      <c r="V37" s="7">
        <v>6</v>
      </c>
      <c r="W37" s="7">
        <v>9</v>
      </c>
      <c r="X37" s="7"/>
      <c r="Y37" s="7"/>
      <c r="Z37" s="7"/>
      <c r="AA37" s="7"/>
      <c r="AB37" s="7"/>
      <c r="AC37" s="7">
        <v>5</v>
      </c>
      <c r="AD37" s="7">
        <v>6</v>
      </c>
      <c r="AE37" s="7">
        <v>1</v>
      </c>
      <c r="AF37" s="8">
        <v>1</v>
      </c>
      <c r="AG37" s="4">
        <f t="shared" si="2"/>
        <v>101</v>
      </c>
    </row>
    <row r="38" spans="1:33" ht="18.75" x14ac:dyDescent="0.25">
      <c r="A38" s="41" t="s">
        <v>44</v>
      </c>
      <c r="B38" s="7">
        <v>11</v>
      </c>
      <c r="C38" s="7">
        <v>2</v>
      </c>
      <c r="D38" s="7">
        <v>6</v>
      </c>
      <c r="E38" s="7">
        <v>5</v>
      </c>
      <c r="F38" s="7">
        <v>8</v>
      </c>
      <c r="G38" s="7">
        <v>5</v>
      </c>
      <c r="H38" s="7">
        <v>15</v>
      </c>
      <c r="I38" s="7">
        <v>15</v>
      </c>
      <c r="J38" s="7">
        <v>8</v>
      </c>
      <c r="K38" s="7">
        <v>7</v>
      </c>
      <c r="L38" s="7">
        <v>2</v>
      </c>
      <c r="M38" s="7">
        <v>5</v>
      </c>
      <c r="N38" s="7">
        <v>6</v>
      </c>
      <c r="O38" s="7">
        <v>21</v>
      </c>
      <c r="P38" s="7">
        <v>19</v>
      </c>
      <c r="Q38" s="7">
        <v>4</v>
      </c>
      <c r="R38" s="7"/>
      <c r="S38" s="7"/>
      <c r="T38" s="7">
        <v>7</v>
      </c>
      <c r="U38" s="7">
        <v>7</v>
      </c>
      <c r="V38" s="7">
        <v>5</v>
      </c>
      <c r="W38" s="7">
        <v>3</v>
      </c>
      <c r="X38" s="7">
        <v>3</v>
      </c>
      <c r="Y38" s="7">
        <f>5+1</f>
        <v>6</v>
      </c>
      <c r="Z38" s="7">
        <f>4+1</f>
        <v>5</v>
      </c>
      <c r="AA38" s="7">
        <v>4</v>
      </c>
      <c r="AB38" s="7">
        <v>7</v>
      </c>
      <c r="AC38" s="7">
        <v>7</v>
      </c>
      <c r="AD38" s="7">
        <v>5</v>
      </c>
      <c r="AE38" s="7">
        <v>6</v>
      </c>
      <c r="AF38" s="8">
        <v>5</v>
      </c>
      <c r="AG38" s="4">
        <f t="shared" si="2"/>
        <v>209</v>
      </c>
    </row>
    <row r="39" spans="1:33" ht="18.75" x14ac:dyDescent="0.25">
      <c r="A39" s="41" t="s">
        <v>45</v>
      </c>
      <c r="B39" s="7">
        <v>12</v>
      </c>
      <c r="C39" s="7">
        <v>23</v>
      </c>
      <c r="D39" s="7">
        <v>19</v>
      </c>
      <c r="E39" s="7">
        <v>20</v>
      </c>
      <c r="F39" s="7">
        <v>20</v>
      </c>
      <c r="G39" s="7">
        <v>24</v>
      </c>
      <c r="H39" s="7">
        <v>15</v>
      </c>
      <c r="I39" s="7">
        <v>9</v>
      </c>
      <c r="J39" s="7">
        <v>21</v>
      </c>
      <c r="K39" s="7">
        <v>23</v>
      </c>
      <c r="L39" s="7">
        <v>23</v>
      </c>
      <c r="M39" s="7">
        <v>22</v>
      </c>
      <c r="N39" s="7">
        <v>27</v>
      </c>
      <c r="O39" s="7">
        <v>17</v>
      </c>
      <c r="P39" s="7">
        <v>9</v>
      </c>
      <c r="Q39" s="7">
        <v>18</v>
      </c>
      <c r="R39" s="7">
        <v>11</v>
      </c>
      <c r="S39" s="7">
        <v>5</v>
      </c>
      <c r="T39" s="7">
        <v>14</v>
      </c>
      <c r="U39" s="7">
        <v>9</v>
      </c>
      <c r="V39" s="7">
        <v>6</v>
      </c>
      <c r="W39" s="7">
        <v>7</v>
      </c>
      <c r="X39" s="7">
        <v>10</v>
      </c>
      <c r="Y39" s="7">
        <v>12</v>
      </c>
      <c r="Z39" s="7">
        <v>10</v>
      </c>
      <c r="AA39" s="7">
        <v>8</v>
      </c>
      <c r="AB39" s="7">
        <v>11</v>
      </c>
      <c r="AC39" s="7">
        <v>6</v>
      </c>
      <c r="AD39" s="7">
        <v>11</v>
      </c>
      <c r="AE39" s="7">
        <v>13</v>
      </c>
      <c r="AF39" s="8">
        <v>6</v>
      </c>
      <c r="AG39" s="4">
        <f t="shared" si="2"/>
        <v>441</v>
      </c>
    </row>
    <row r="40" spans="1:33" ht="18.75" x14ac:dyDescent="0.25">
      <c r="A40" s="41" t="s">
        <v>46</v>
      </c>
      <c r="B40" s="7">
        <v>10</v>
      </c>
      <c r="C40" s="7">
        <v>26</v>
      </c>
      <c r="D40" s="7">
        <v>24</v>
      </c>
      <c r="E40" s="7">
        <v>37</v>
      </c>
      <c r="F40" s="7">
        <v>22</v>
      </c>
      <c r="G40" s="7">
        <v>27</v>
      </c>
      <c r="H40" s="7">
        <v>8</v>
      </c>
      <c r="I40" s="7">
        <v>8</v>
      </c>
      <c r="J40" s="7">
        <v>18</v>
      </c>
      <c r="K40" s="7">
        <v>26</v>
      </c>
      <c r="L40" s="7">
        <v>22</v>
      </c>
      <c r="M40" s="7">
        <v>17</v>
      </c>
      <c r="N40" s="7">
        <v>24</v>
      </c>
      <c r="O40" s="7">
        <v>14</v>
      </c>
      <c r="P40" s="7">
        <v>18</v>
      </c>
      <c r="Q40" s="7">
        <v>20</v>
      </c>
      <c r="R40" s="7">
        <v>18</v>
      </c>
      <c r="S40" s="7">
        <v>10</v>
      </c>
      <c r="T40" s="7">
        <v>15</v>
      </c>
      <c r="U40" s="7">
        <v>5</v>
      </c>
      <c r="V40" s="7">
        <v>4</v>
      </c>
      <c r="W40" s="7">
        <v>4</v>
      </c>
      <c r="X40" s="7">
        <v>8</v>
      </c>
      <c r="Y40" s="7">
        <v>5</v>
      </c>
      <c r="Z40" s="7">
        <v>7</v>
      </c>
      <c r="AA40" s="7">
        <v>10</v>
      </c>
      <c r="AB40" s="7">
        <v>9</v>
      </c>
      <c r="AC40" s="7">
        <v>8</v>
      </c>
      <c r="AD40" s="7">
        <v>7</v>
      </c>
      <c r="AE40" s="7">
        <v>7</v>
      </c>
      <c r="AF40" s="8">
        <v>5</v>
      </c>
      <c r="AG40" s="4">
        <f t="shared" si="2"/>
        <v>443</v>
      </c>
    </row>
    <row r="41" spans="1:33" ht="18.75" x14ac:dyDescent="0.25">
      <c r="A41" s="41" t="s">
        <v>47</v>
      </c>
      <c r="B41" s="7">
        <v>12</v>
      </c>
      <c r="C41" s="7">
        <v>21</v>
      </c>
      <c r="D41" s="7">
        <v>32</v>
      </c>
      <c r="E41" s="7">
        <v>22</v>
      </c>
      <c r="F41" s="7">
        <v>27</v>
      </c>
      <c r="G41" s="7">
        <v>13</v>
      </c>
      <c r="H41" s="7">
        <v>14</v>
      </c>
      <c r="I41" s="7">
        <v>14</v>
      </c>
      <c r="J41" s="7">
        <v>24</v>
      </c>
      <c r="K41" s="7">
        <v>21</v>
      </c>
      <c r="L41" s="7">
        <v>24</v>
      </c>
      <c r="M41" s="7">
        <v>31</v>
      </c>
      <c r="N41" s="7">
        <v>18</v>
      </c>
      <c r="O41" s="7">
        <v>16</v>
      </c>
      <c r="P41" s="7">
        <v>20</v>
      </c>
      <c r="Q41" s="7">
        <v>18</v>
      </c>
      <c r="R41" s="7">
        <v>16</v>
      </c>
      <c r="S41" s="7">
        <v>13</v>
      </c>
      <c r="T41" s="7">
        <v>5</v>
      </c>
      <c r="U41" s="7">
        <v>8</v>
      </c>
      <c r="V41" s="7">
        <v>3</v>
      </c>
      <c r="W41" s="7">
        <v>3</v>
      </c>
      <c r="X41" s="7">
        <v>9</v>
      </c>
      <c r="Y41" s="7">
        <v>6</v>
      </c>
      <c r="Z41" s="7">
        <v>6</v>
      </c>
      <c r="AA41" s="7">
        <v>7</v>
      </c>
      <c r="AB41" s="7">
        <v>8</v>
      </c>
      <c r="AC41" s="7">
        <v>5</v>
      </c>
      <c r="AD41" s="7">
        <v>8</v>
      </c>
      <c r="AE41" s="7">
        <v>6</v>
      </c>
      <c r="AF41" s="8">
        <v>7</v>
      </c>
      <c r="AG41" s="4">
        <f t="shared" si="2"/>
        <v>437</v>
      </c>
    </row>
    <row r="42" spans="1:33" ht="18.75" x14ac:dyDescent="0.25">
      <c r="A42" s="41" t="s">
        <v>48</v>
      </c>
      <c r="B42" s="7">
        <v>12</v>
      </c>
      <c r="C42" s="7">
        <v>18</v>
      </c>
      <c r="D42" s="7">
        <v>21</v>
      </c>
      <c r="E42" s="7">
        <v>26</v>
      </c>
      <c r="F42" s="7">
        <v>16</v>
      </c>
      <c r="G42" s="7">
        <v>18</v>
      </c>
      <c r="H42" s="7">
        <v>15</v>
      </c>
      <c r="I42" s="7">
        <v>16</v>
      </c>
      <c r="J42" s="7">
        <v>21</v>
      </c>
      <c r="K42" s="7">
        <v>18</v>
      </c>
      <c r="L42" s="7">
        <v>20</v>
      </c>
      <c r="M42" s="7">
        <v>26</v>
      </c>
      <c r="N42" s="7">
        <v>18</v>
      </c>
      <c r="O42" s="7">
        <v>14</v>
      </c>
      <c r="P42" s="7">
        <v>20</v>
      </c>
      <c r="Q42" s="7">
        <v>19</v>
      </c>
      <c r="R42" s="7">
        <v>21</v>
      </c>
      <c r="S42" s="7">
        <v>11</v>
      </c>
      <c r="T42" s="7">
        <v>3</v>
      </c>
      <c r="U42" s="7">
        <v>15</v>
      </c>
      <c r="V42" s="7">
        <v>2</v>
      </c>
      <c r="W42" s="7">
        <v>5</v>
      </c>
      <c r="X42" s="7">
        <v>2</v>
      </c>
      <c r="Y42" s="7">
        <v>3</v>
      </c>
      <c r="Z42" s="7">
        <v>2</v>
      </c>
      <c r="AA42" s="7">
        <v>9</v>
      </c>
      <c r="AB42" s="7">
        <v>5</v>
      </c>
      <c r="AC42" s="7">
        <v>6</v>
      </c>
      <c r="AD42" s="7">
        <v>8</v>
      </c>
      <c r="AE42" s="7">
        <v>3</v>
      </c>
      <c r="AF42" s="8">
        <v>3</v>
      </c>
      <c r="AG42" s="4">
        <f t="shared" si="2"/>
        <v>396</v>
      </c>
    </row>
    <row r="43" spans="1:33" ht="18.75" x14ac:dyDescent="0.25">
      <c r="A43" s="41" t="s">
        <v>49</v>
      </c>
      <c r="B43" s="7">
        <v>7</v>
      </c>
      <c r="C43" s="7">
        <v>20</v>
      </c>
      <c r="D43" s="7">
        <v>17</v>
      </c>
      <c r="E43" s="7">
        <v>17</v>
      </c>
      <c r="F43" s="7">
        <v>9</v>
      </c>
      <c r="G43" s="7">
        <v>16</v>
      </c>
      <c r="H43" s="7">
        <v>12</v>
      </c>
      <c r="I43" s="7">
        <v>9</v>
      </c>
      <c r="J43" s="7">
        <v>24</v>
      </c>
      <c r="K43" s="7">
        <v>21</v>
      </c>
      <c r="L43" s="7">
        <v>24</v>
      </c>
      <c r="M43" s="7">
        <v>20</v>
      </c>
      <c r="N43" s="7">
        <v>16</v>
      </c>
      <c r="O43" s="7">
        <v>13</v>
      </c>
      <c r="P43" s="7">
        <v>8</v>
      </c>
      <c r="Q43" s="7">
        <v>16</v>
      </c>
      <c r="R43" s="7">
        <v>12</v>
      </c>
      <c r="S43" s="7">
        <v>6</v>
      </c>
      <c r="T43" s="7">
        <v>6</v>
      </c>
      <c r="U43" s="7">
        <v>3</v>
      </c>
      <c r="V43" s="7">
        <v>4</v>
      </c>
      <c r="W43" s="7">
        <v>2</v>
      </c>
      <c r="X43" s="7">
        <v>3</v>
      </c>
      <c r="Y43" s="7">
        <v>2</v>
      </c>
      <c r="Z43" s="7">
        <v>3</v>
      </c>
      <c r="AA43" s="7">
        <v>3</v>
      </c>
      <c r="AB43" s="7">
        <v>2</v>
      </c>
      <c r="AC43" s="7">
        <v>5</v>
      </c>
      <c r="AD43" s="7">
        <v>4</v>
      </c>
      <c r="AE43" s="7">
        <v>6</v>
      </c>
      <c r="AF43" s="8">
        <v>3</v>
      </c>
      <c r="AG43" s="4">
        <f t="shared" si="2"/>
        <v>313</v>
      </c>
    </row>
    <row r="44" spans="1:33" ht="18.75" x14ac:dyDescent="0.25">
      <c r="A44" s="41" t="s">
        <v>50</v>
      </c>
      <c r="B44" s="7">
        <v>7</v>
      </c>
      <c r="C44" s="7">
        <v>10</v>
      </c>
      <c r="D44" s="7">
        <v>22</v>
      </c>
      <c r="E44" s="7">
        <v>9</v>
      </c>
      <c r="F44" s="7">
        <v>8</v>
      </c>
      <c r="G44" s="7">
        <v>9</v>
      </c>
      <c r="H44" s="7">
        <v>7</v>
      </c>
      <c r="I44" s="7">
        <v>5</v>
      </c>
      <c r="J44" s="7">
        <v>17</v>
      </c>
      <c r="K44" s="7">
        <v>7</v>
      </c>
      <c r="L44" s="7">
        <v>11</v>
      </c>
      <c r="M44" s="7">
        <v>15</v>
      </c>
      <c r="N44" s="7">
        <v>7</v>
      </c>
      <c r="O44" s="7">
        <v>13</v>
      </c>
      <c r="P44" s="7">
        <v>12</v>
      </c>
      <c r="Q44" s="7">
        <v>6</v>
      </c>
      <c r="R44" s="7">
        <v>11</v>
      </c>
      <c r="S44" s="7">
        <v>4</v>
      </c>
      <c r="T44" s="7">
        <v>6</v>
      </c>
      <c r="U44" s="7">
        <v>6</v>
      </c>
      <c r="V44" s="7">
        <v>1</v>
      </c>
      <c r="W44" s="7">
        <v>1</v>
      </c>
      <c r="X44" s="7"/>
      <c r="Y44" s="7">
        <v>1</v>
      </c>
      <c r="Z44" s="7">
        <v>4</v>
      </c>
      <c r="AA44" s="7">
        <v>1</v>
      </c>
      <c r="AB44" s="7">
        <v>2</v>
      </c>
      <c r="AC44" s="7">
        <v>4</v>
      </c>
      <c r="AD44" s="7">
        <v>1</v>
      </c>
      <c r="AE44" s="7">
        <v>1</v>
      </c>
      <c r="AF44" s="8">
        <v>4</v>
      </c>
      <c r="AG44" s="4">
        <f t="shared" si="2"/>
        <v>212</v>
      </c>
    </row>
    <row r="45" spans="1:33" ht="18.75" x14ac:dyDescent="0.25">
      <c r="A45" s="41" t="s">
        <v>33</v>
      </c>
      <c r="B45" s="7">
        <v>12</v>
      </c>
      <c r="C45" s="7">
        <v>11</v>
      </c>
      <c r="D45" s="7">
        <v>10</v>
      </c>
      <c r="E45" s="7">
        <v>5</v>
      </c>
      <c r="F45" s="7">
        <v>6</v>
      </c>
      <c r="G45" s="7">
        <v>3</v>
      </c>
      <c r="H45" s="7">
        <v>7</v>
      </c>
      <c r="I45" s="7">
        <v>9</v>
      </c>
      <c r="J45" s="7">
        <v>12</v>
      </c>
      <c r="K45" s="7">
        <v>5</v>
      </c>
      <c r="L45" s="7">
        <v>6</v>
      </c>
      <c r="M45" s="7">
        <v>14</v>
      </c>
      <c r="N45" s="7">
        <v>11</v>
      </c>
      <c r="O45" s="7">
        <v>12</v>
      </c>
      <c r="P45" s="7">
        <v>10</v>
      </c>
      <c r="Q45" s="114">
        <v>7</v>
      </c>
      <c r="R45" s="7">
        <v>9</v>
      </c>
      <c r="S45" s="7">
        <v>1</v>
      </c>
      <c r="T45" s="7">
        <v>4</v>
      </c>
      <c r="U45" s="7">
        <v>7</v>
      </c>
      <c r="V45" s="7">
        <v>3</v>
      </c>
      <c r="W45" s="7">
        <v>1</v>
      </c>
      <c r="X45" s="7"/>
      <c r="Y45" s="7"/>
      <c r="Z45" s="7">
        <v>3</v>
      </c>
      <c r="AA45" s="7">
        <v>4</v>
      </c>
      <c r="AB45" s="7">
        <v>3</v>
      </c>
      <c r="AC45" s="7">
        <v>1</v>
      </c>
      <c r="AD45" s="7"/>
      <c r="AE45" s="7">
        <v>5</v>
      </c>
      <c r="AF45" s="8"/>
      <c r="AG45" s="4">
        <f t="shared" si="2"/>
        <v>181</v>
      </c>
    </row>
    <row r="46" spans="1:33" ht="18.75" x14ac:dyDescent="0.25">
      <c r="A46" s="41" t="s">
        <v>34</v>
      </c>
      <c r="B46" s="7">
        <v>5</v>
      </c>
      <c r="C46" s="7">
        <v>7</v>
      </c>
      <c r="D46" s="7">
        <v>9</v>
      </c>
      <c r="E46" s="7">
        <v>1</v>
      </c>
      <c r="F46" s="7">
        <v>7</v>
      </c>
      <c r="G46" s="7">
        <v>5</v>
      </c>
      <c r="H46" s="7">
        <v>6</v>
      </c>
      <c r="I46" s="7">
        <v>9</v>
      </c>
      <c r="J46" s="7">
        <v>9</v>
      </c>
      <c r="K46" s="7">
        <v>4</v>
      </c>
      <c r="L46" s="7">
        <v>4</v>
      </c>
      <c r="M46" s="7">
        <v>6</v>
      </c>
      <c r="N46" s="7">
        <v>7</v>
      </c>
      <c r="O46" s="7">
        <v>3</v>
      </c>
      <c r="P46" s="7">
        <v>5</v>
      </c>
      <c r="Q46" s="114">
        <v>6</v>
      </c>
      <c r="R46" s="7">
        <v>9</v>
      </c>
      <c r="S46" s="7"/>
      <c r="T46" s="7"/>
      <c r="U46" s="7">
        <v>5</v>
      </c>
      <c r="V46" s="7">
        <v>3</v>
      </c>
      <c r="W46" s="7"/>
      <c r="X46" s="7">
        <v>1</v>
      </c>
      <c r="Y46" s="7">
        <v>1</v>
      </c>
      <c r="Z46" s="7">
        <v>2</v>
      </c>
      <c r="AA46" s="7"/>
      <c r="AB46" s="7">
        <v>3</v>
      </c>
      <c r="AC46" s="7">
        <v>2</v>
      </c>
      <c r="AD46" s="7">
        <v>1</v>
      </c>
      <c r="AE46" s="7">
        <v>2</v>
      </c>
      <c r="AF46" s="8"/>
      <c r="AG46" s="4">
        <f t="shared" si="2"/>
        <v>122</v>
      </c>
    </row>
    <row r="47" spans="1:33" ht="18.75" x14ac:dyDescent="0.25">
      <c r="A47" s="41" t="s">
        <v>35</v>
      </c>
      <c r="B47" s="7">
        <v>3</v>
      </c>
      <c r="C47" s="7">
        <v>7</v>
      </c>
      <c r="D47" s="7">
        <v>7</v>
      </c>
      <c r="E47" s="7">
        <v>4</v>
      </c>
      <c r="F47" s="7">
        <v>7</v>
      </c>
      <c r="G47" s="7">
        <v>4</v>
      </c>
      <c r="H47" s="7">
        <v>2</v>
      </c>
      <c r="I47" s="7">
        <v>8</v>
      </c>
      <c r="J47" s="7"/>
      <c r="K47" s="7">
        <v>5</v>
      </c>
      <c r="L47" s="7">
        <v>9</v>
      </c>
      <c r="M47" s="7">
        <v>2</v>
      </c>
      <c r="N47" s="7">
        <v>3</v>
      </c>
      <c r="O47" s="7">
        <v>2</v>
      </c>
      <c r="P47" s="7">
        <v>3</v>
      </c>
      <c r="Q47" s="114">
        <v>3</v>
      </c>
      <c r="R47" s="7">
        <v>4</v>
      </c>
      <c r="S47" s="7">
        <v>1</v>
      </c>
      <c r="T47" s="7">
        <v>1</v>
      </c>
      <c r="U47" s="7">
        <v>3</v>
      </c>
      <c r="V47" s="7">
        <v>1</v>
      </c>
      <c r="W47" s="7">
        <v>1</v>
      </c>
      <c r="X47" s="7">
        <v>1</v>
      </c>
      <c r="Y47" s="7"/>
      <c r="Z47" s="7"/>
      <c r="AA47" s="7">
        <v>2</v>
      </c>
      <c r="AB47" s="7"/>
      <c r="AC47" s="7">
        <v>2</v>
      </c>
      <c r="AD47" s="7">
        <v>3</v>
      </c>
      <c r="AE47" s="7">
        <v>2</v>
      </c>
      <c r="AF47" s="8"/>
      <c r="AG47" s="4">
        <f t="shared" si="2"/>
        <v>90</v>
      </c>
    </row>
    <row r="48" spans="1:33" ht="18.75" x14ac:dyDescent="0.25">
      <c r="A48" s="41" t="s">
        <v>36</v>
      </c>
      <c r="B48" s="7">
        <v>4</v>
      </c>
      <c r="C48" s="7">
        <v>3</v>
      </c>
      <c r="D48" s="7">
        <v>3</v>
      </c>
      <c r="E48" s="7">
        <v>1</v>
      </c>
      <c r="F48" s="7">
        <v>4</v>
      </c>
      <c r="G48" s="7">
        <v>1</v>
      </c>
      <c r="H48" s="7">
        <v>6</v>
      </c>
      <c r="I48" s="7">
        <v>4</v>
      </c>
      <c r="J48" s="7"/>
      <c r="K48" s="7">
        <v>7</v>
      </c>
      <c r="L48" s="7">
        <v>10</v>
      </c>
      <c r="M48" s="7">
        <v>1</v>
      </c>
      <c r="N48" s="7">
        <v>3</v>
      </c>
      <c r="O48" s="7">
        <v>1</v>
      </c>
      <c r="P48" s="7">
        <v>1</v>
      </c>
      <c r="Q48" s="114"/>
      <c r="R48" s="7">
        <v>2</v>
      </c>
      <c r="S48" s="7">
        <v>1</v>
      </c>
      <c r="T48" s="7">
        <v>1</v>
      </c>
      <c r="U48" s="7"/>
      <c r="V48" s="7">
        <v>1</v>
      </c>
      <c r="W48" s="7"/>
      <c r="X48" s="7"/>
      <c r="Y48" s="7"/>
      <c r="Z48" s="7"/>
      <c r="AA48" s="7">
        <v>1</v>
      </c>
      <c r="AB48" s="7">
        <v>1</v>
      </c>
      <c r="AC48" s="7">
        <v>1</v>
      </c>
      <c r="AD48" s="7"/>
      <c r="AE48" s="7">
        <v>1</v>
      </c>
      <c r="AF48" s="8">
        <v>2</v>
      </c>
      <c r="AG48" s="4">
        <f t="shared" si="2"/>
        <v>60</v>
      </c>
    </row>
    <row r="49" spans="1:33" ht="18.75" x14ac:dyDescent="0.25">
      <c r="A49" s="41" t="s">
        <v>51</v>
      </c>
      <c r="B49" s="7"/>
      <c r="C49" s="7">
        <v>1</v>
      </c>
      <c r="D49" s="7"/>
      <c r="E49" s="7"/>
      <c r="F49" s="7">
        <v>3</v>
      </c>
      <c r="G49" s="7">
        <v>2</v>
      </c>
      <c r="H49" s="7">
        <v>2</v>
      </c>
      <c r="I49" s="7">
        <v>2</v>
      </c>
      <c r="J49" s="7">
        <v>1</v>
      </c>
      <c r="K49" s="7">
        <v>7</v>
      </c>
      <c r="L49" s="7">
        <v>6</v>
      </c>
      <c r="M49" s="7"/>
      <c r="N49" s="7">
        <v>2</v>
      </c>
      <c r="O49" s="7">
        <v>1</v>
      </c>
      <c r="P49" s="7"/>
      <c r="Q49" s="114">
        <v>1</v>
      </c>
      <c r="R49" s="7"/>
      <c r="S49" s="7"/>
      <c r="T49" s="7"/>
      <c r="U49" s="7"/>
      <c r="V49" s="7"/>
      <c r="W49" s="7"/>
      <c r="X49" s="7"/>
      <c r="Y49" s="7"/>
      <c r="Z49" s="7"/>
      <c r="AA49" s="7">
        <v>1</v>
      </c>
      <c r="AB49" s="7">
        <v>2</v>
      </c>
      <c r="AC49" s="7"/>
      <c r="AD49" s="7"/>
      <c r="AE49" s="7"/>
      <c r="AF49" s="8"/>
      <c r="AG49" s="4">
        <f t="shared" si="2"/>
        <v>31</v>
      </c>
    </row>
    <row r="50" spans="1:33" ht="18.75" x14ac:dyDescent="0.25">
      <c r="A50" s="41" t="s">
        <v>52</v>
      </c>
      <c r="B50" s="7">
        <v>1</v>
      </c>
      <c r="C50" s="7">
        <v>1</v>
      </c>
      <c r="D50" s="7">
        <v>1</v>
      </c>
      <c r="E50" s="7"/>
      <c r="F50" s="7">
        <v>4</v>
      </c>
      <c r="G50" s="7">
        <v>1</v>
      </c>
      <c r="H50" s="7">
        <v>2</v>
      </c>
      <c r="I50" s="7"/>
      <c r="J50" s="7">
        <v>1</v>
      </c>
      <c r="K50" s="7">
        <v>2</v>
      </c>
      <c r="L50" s="7">
        <v>1</v>
      </c>
      <c r="M50" s="7">
        <v>1</v>
      </c>
      <c r="N50" s="7">
        <v>3</v>
      </c>
      <c r="O50" s="7"/>
      <c r="P50" s="7">
        <v>1</v>
      </c>
      <c r="Q50" s="114">
        <v>2</v>
      </c>
      <c r="R50" s="7"/>
      <c r="S50" s="7"/>
      <c r="T50" s="7">
        <v>1</v>
      </c>
      <c r="U50" s="7"/>
      <c r="V50" s="7"/>
      <c r="W50" s="7"/>
      <c r="X50" s="7"/>
      <c r="Y50" s="7"/>
      <c r="Z50" s="7">
        <v>1</v>
      </c>
      <c r="AA50" s="7"/>
      <c r="AB50" s="7"/>
      <c r="AC50" s="7"/>
      <c r="AD50" s="7"/>
      <c r="AE50" s="7"/>
      <c r="AF50" s="8"/>
      <c r="AG50" s="4">
        <f t="shared" si="2"/>
        <v>23</v>
      </c>
    </row>
    <row r="51" spans="1:33" ht="18.75" x14ac:dyDescent="0.25">
      <c r="A51" s="41" t="s">
        <v>37</v>
      </c>
      <c r="B51" s="7"/>
      <c r="C51" s="7">
        <v>1</v>
      </c>
      <c r="D51" s="7">
        <v>1</v>
      </c>
      <c r="E51" s="7"/>
      <c r="F51" s="7">
        <v>1</v>
      </c>
      <c r="G51" s="7">
        <v>1</v>
      </c>
      <c r="H51" s="7"/>
      <c r="I51" s="7"/>
      <c r="J51" s="7"/>
      <c r="K51" s="7">
        <v>1</v>
      </c>
      <c r="L51" s="7"/>
      <c r="M51" s="7">
        <v>1</v>
      </c>
      <c r="N51" s="7"/>
      <c r="O51" s="7"/>
      <c r="P51" s="7"/>
      <c r="Q51" s="114">
        <v>4</v>
      </c>
      <c r="R51" s="7"/>
      <c r="S51" s="7">
        <v>1</v>
      </c>
      <c r="T51" s="7">
        <v>1</v>
      </c>
      <c r="U51" s="7"/>
      <c r="V51" s="7">
        <v>1</v>
      </c>
      <c r="W51" s="7"/>
      <c r="X51" s="7"/>
      <c r="Y51" s="7"/>
      <c r="Z51" s="7"/>
      <c r="AA51" s="7">
        <v>1</v>
      </c>
      <c r="AB51" s="7"/>
      <c r="AC51" s="7"/>
      <c r="AD51" s="7"/>
      <c r="AE51" s="7"/>
      <c r="AF51" s="8"/>
      <c r="AG51" s="4">
        <f t="shared" si="2"/>
        <v>14</v>
      </c>
    </row>
    <row r="52" spans="1:33" ht="19.5" thickBot="1" x14ac:dyDescent="0.3">
      <c r="A52" s="77" t="s">
        <v>53</v>
      </c>
      <c r="B52" s="9"/>
      <c r="C52" s="9">
        <v>1</v>
      </c>
      <c r="D52" s="9"/>
      <c r="E52" s="9"/>
      <c r="F52" s="9">
        <v>1</v>
      </c>
      <c r="G52" s="9"/>
      <c r="H52" s="9">
        <v>2</v>
      </c>
      <c r="I52" s="9">
        <v>2</v>
      </c>
      <c r="J52" s="9">
        <v>1</v>
      </c>
      <c r="K52" s="9">
        <v>2</v>
      </c>
      <c r="L52" s="9"/>
      <c r="M52" s="9"/>
      <c r="N52" s="9">
        <v>2</v>
      </c>
      <c r="O52" s="9">
        <v>3</v>
      </c>
      <c r="P52" s="9"/>
      <c r="Q52" s="166">
        <v>1</v>
      </c>
      <c r="R52" s="9">
        <v>4</v>
      </c>
      <c r="S52" s="9"/>
      <c r="T52" s="9">
        <v>1</v>
      </c>
      <c r="U52" s="9">
        <v>1</v>
      </c>
      <c r="V52" s="9"/>
      <c r="W52" s="9">
        <v>3</v>
      </c>
      <c r="X52" s="9">
        <v>2</v>
      </c>
      <c r="Y52" s="9"/>
      <c r="Z52" s="9"/>
      <c r="AA52" s="9">
        <v>1</v>
      </c>
      <c r="AB52" s="9"/>
      <c r="AC52" s="9">
        <v>1</v>
      </c>
      <c r="AD52" s="9"/>
      <c r="AE52" s="9"/>
      <c r="AF52" s="10"/>
      <c r="AG52" s="108">
        <f t="shared" si="2"/>
        <v>28</v>
      </c>
    </row>
    <row r="53" spans="1:33" ht="19.5" thickBot="1" x14ac:dyDescent="0.3">
      <c r="A53" s="136" t="s">
        <v>108</v>
      </c>
      <c r="B53" s="135">
        <f t="shared" ref="B53:AF53" si="4">SUM(B54:B77)</f>
        <v>0</v>
      </c>
      <c r="C53" s="135">
        <f t="shared" si="4"/>
        <v>13</v>
      </c>
      <c r="D53" s="135">
        <f t="shared" si="4"/>
        <v>21</v>
      </c>
      <c r="E53" s="135">
        <f t="shared" si="4"/>
        <v>9</v>
      </c>
      <c r="F53" s="135">
        <f t="shared" si="4"/>
        <v>22</v>
      </c>
      <c r="G53" s="135">
        <f t="shared" si="4"/>
        <v>15</v>
      </c>
      <c r="H53" s="135">
        <f t="shared" si="4"/>
        <v>14</v>
      </c>
      <c r="I53" s="135">
        <f t="shared" si="4"/>
        <v>6</v>
      </c>
      <c r="J53" s="135">
        <f t="shared" si="4"/>
        <v>23</v>
      </c>
      <c r="K53" s="135">
        <f t="shared" si="4"/>
        <v>34</v>
      </c>
      <c r="L53" s="135">
        <f t="shared" si="4"/>
        <v>32</v>
      </c>
      <c r="M53" s="135">
        <f t="shared" si="4"/>
        <v>10</v>
      </c>
      <c r="N53" s="135">
        <f t="shared" si="4"/>
        <v>15</v>
      </c>
      <c r="O53" s="135">
        <f t="shared" si="4"/>
        <v>4</v>
      </c>
      <c r="P53" s="135">
        <f t="shared" si="4"/>
        <v>11</v>
      </c>
      <c r="Q53" s="135">
        <f t="shared" si="4"/>
        <v>26</v>
      </c>
      <c r="R53" s="135">
        <f t="shared" si="4"/>
        <v>17</v>
      </c>
      <c r="S53" s="135">
        <f t="shared" si="4"/>
        <v>9</v>
      </c>
      <c r="T53" s="135">
        <f t="shared" si="4"/>
        <v>4</v>
      </c>
      <c r="U53" s="135">
        <f t="shared" si="4"/>
        <v>5</v>
      </c>
      <c r="V53" s="135">
        <f t="shared" si="4"/>
        <v>5</v>
      </c>
      <c r="W53" s="135">
        <f t="shared" si="4"/>
        <v>2</v>
      </c>
      <c r="X53" s="135">
        <f t="shared" si="4"/>
        <v>0</v>
      </c>
      <c r="Y53" s="135">
        <f t="shared" si="4"/>
        <v>1</v>
      </c>
      <c r="Z53" s="135">
        <f t="shared" si="4"/>
        <v>3</v>
      </c>
      <c r="AA53" s="135">
        <f t="shared" si="4"/>
        <v>6</v>
      </c>
      <c r="AB53" s="135">
        <f t="shared" si="4"/>
        <v>4</v>
      </c>
      <c r="AC53" s="135">
        <f t="shared" si="4"/>
        <v>3</v>
      </c>
      <c r="AD53" s="135">
        <f t="shared" si="4"/>
        <v>2</v>
      </c>
      <c r="AE53" s="135">
        <f t="shared" si="4"/>
        <v>1</v>
      </c>
      <c r="AF53" s="135">
        <f t="shared" si="4"/>
        <v>2</v>
      </c>
      <c r="AG53" s="116">
        <f t="shared" si="2"/>
        <v>319</v>
      </c>
    </row>
    <row r="54" spans="1:33" ht="18.75" x14ac:dyDescent="0.25">
      <c r="A54" s="113" t="s">
        <v>54</v>
      </c>
      <c r="B54" s="114"/>
      <c r="C54" s="114"/>
      <c r="D54" s="7"/>
      <c r="E54" s="114"/>
      <c r="F54" s="114"/>
      <c r="G54" s="7"/>
      <c r="H54" s="114"/>
      <c r="I54" s="114"/>
      <c r="J54" s="114"/>
      <c r="K54" s="114"/>
      <c r="L54" s="114"/>
      <c r="M54" s="114"/>
      <c r="N54" s="114"/>
      <c r="O54" s="114"/>
      <c r="P54" s="114"/>
      <c r="Q54" s="114"/>
      <c r="R54" s="114"/>
      <c r="S54" s="114"/>
      <c r="T54" s="114"/>
      <c r="U54" s="114"/>
      <c r="V54" s="114"/>
      <c r="W54" s="114"/>
      <c r="X54" s="114"/>
      <c r="Y54" s="114">
        <v>1</v>
      </c>
      <c r="Z54" s="114"/>
      <c r="AA54" s="114"/>
      <c r="AB54" s="114"/>
      <c r="AC54" s="114"/>
      <c r="AD54" s="114"/>
      <c r="AE54" s="114"/>
      <c r="AF54" s="115"/>
      <c r="AG54" s="132">
        <f t="shared" si="2"/>
        <v>1</v>
      </c>
    </row>
    <row r="55" spans="1:33" ht="18.75" x14ac:dyDescent="0.25">
      <c r="A55" s="41" t="s">
        <v>55</v>
      </c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>
        <v>1</v>
      </c>
      <c r="P55" s="7"/>
      <c r="Q55" s="7"/>
      <c r="R55" s="7"/>
      <c r="S55" s="7"/>
      <c r="T55" s="7"/>
      <c r="U55" s="7"/>
      <c r="V55" s="7">
        <v>3</v>
      </c>
      <c r="W55" s="7"/>
      <c r="X55" s="7"/>
      <c r="Y55" s="7"/>
      <c r="Z55" s="7"/>
      <c r="AA55" s="7"/>
      <c r="AB55" s="7"/>
      <c r="AC55" s="7"/>
      <c r="AD55" s="7"/>
      <c r="AE55" s="7"/>
      <c r="AF55" s="8"/>
      <c r="AG55" s="4">
        <f t="shared" si="2"/>
        <v>4</v>
      </c>
    </row>
    <row r="56" spans="1:33" ht="18.75" x14ac:dyDescent="0.25">
      <c r="A56" s="41" t="s">
        <v>56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8"/>
      <c r="AG56" s="4">
        <f t="shared" si="2"/>
        <v>0</v>
      </c>
    </row>
    <row r="57" spans="1:33" ht="18.75" x14ac:dyDescent="0.25">
      <c r="A57" s="41" t="s">
        <v>38</v>
      </c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>
        <v>1</v>
      </c>
      <c r="AD57" s="7"/>
      <c r="AE57" s="7">
        <v>1</v>
      </c>
      <c r="AF57" s="8"/>
      <c r="AG57" s="4">
        <f t="shared" si="2"/>
        <v>2</v>
      </c>
    </row>
    <row r="58" spans="1:33" ht="18.75" x14ac:dyDescent="0.25">
      <c r="A58" s="41" t="s">
        <v>39</v>
      </c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>
        <v>1</v>
      </c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8"/>
      <c r="AG58" s="4">
        <f t="shared" si="2"/>
        <v>1</v>
      </c>
    </row>
    <row r="59" spans="1:33" ht="18.75" x14ac:dyDescent="0.25">
      <c r="A59" s="41" t="s">
        <v>40</v>
      </c>
      <c r="B59" s="7"/>
      <c r="C59" s="7"/>
      <c r="D59" s="7"/>
      <c r="E59" s="7"/>
      <c r="F59" s="7"/>
      <c r="G59" s="7"/>
      <c r="H59" s="7">
        <v>2</v>
      </c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8"/>
      <c r="AG59" s="4">
        <f t="shared" si="2"/>
        <v>2</v>
      </c>
    </row>
    <row r="60" spans="1:33" ht="18.75" x14ac:dyDescent="0.25">
      <c r="A60" s="41" t="s">
        <v>41</v>
      </c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>
        <v>1</v>
      </c>
      <c r="Q60" s="7"/>
      <c r="R60" s="7"/>
      <c r="S60" s="7"/>
      <c r="T60" s="7"/>
      <c r="U60" s="7"/>
      <c r="V60" s="7"/>
      <c r="W60" s="7">
        <v>2</v>
      </c>
      <c r="X60" s="7"/>
      <c r="Y60" s="7"/>
      <c r="Z60" s="7"/>
      <c r="AA60" s="7">
        <v>1</v>
      </c>
      <c r="AB60" s="7"/>
      <c r="AC60" s="7"/>
      <c r="AD60" s="7"/>
      <c r="AE60" s="7"/>
      <c r="AF60" s="8"/>
      <c r="AG60" s="4">
        <f t="shared" si="2"/>
        <v>4</v>
      </c>
    </row>
    <row r="61" spans="1:33" ht="18.75" x14ac:dyDescent="0.25">
      <c r="A61" s="41" t="s">
        <v>42</v>
      </c>
      <c r="B61" s="7"/>
      <c r="C61" s="7"/>
      <c r="D61" s="7"/>
      <c r="E61" s="7"/>
      <c r="F61" s="7"/>
      <c r="G61" s="7"/>
      <c r="H61" s="7">
        <v>2</v>
      </c>
      <c r="I61" s="7"/>
      <c r="J61" s="7"/>
      <c r="K61" s="7"/>
      <c r="L61" s="7"/>
      <c r="M61" s="7"/>
      <c r="N61" s="7"/>
      <c r="O61" s="7"/>
      <c r="P61" s="7">
        <v>2</v>
      </c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>
        <v>1</v>
      </c>
      <c r="AD61" s="7"/>
      <c r="AE61" s="7"/>
      <c r="AF61" s="8"/>
      <c r="AG61" s="4">
        <f t="shared" si="2"/>
        <v>5</v>
      </c>
    </row>
    <row r="62" spans="1:33" ht="18.75" x14ac:dyDescent="0.25">
      <c r="A62" s="41" t="s">
        <v>43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>
        <v>1</v>
      </c>
      <c r="W62" s="7"/>
      <c r="X62" s="7"/>
      <c r="Y62" s="7"/>
      <c r="Z62" s="7"/>
      <c r="AA62" s="7"/>
      <c r="AB62" s="7"/>
      <c r="AC62" s="7"/>
      <c r="AD62" s="7"/>
      <c r="AE62" s="7"/>
      <c r="AF62" s="8">
        <v>1</v>
      </c>
      <c r="AG62" s="4">
        <f t="shared" si="2"/>
        <v>2</v>
      </c>
    </row>
    <row r="63" spans="1:33" ht="18.75" x14ac:dyDescent="0.25">
      <c r="A63" s="41" t="s">
        <v>44</v>
      </c>
      <c r="B63" s="7"/>
      <c r="C63" s="7"/>
      <c r="D63" s="7"/>
      <c r="E63" s="7">
        <v>1</v>
      </c>
      <c r="F63" s="7">
        <v>1</v>
      </c>
      <c r="G63" s="7">
        <v>2</v>
      </c>
      <c r="H63" s="7">
        <v>1</v>
      </c>
      <c r="I63" s="7"/>
      <c r="J63" s="7"/>
      <c r="K63" s="7"/>
      <c r="L63" s="7"/>
      <c r="M63" s="7"/>
      <c r="N63" s="7"/>
      <c r="O63" s="7"/>
      <c r="P63" s="7">
        <v>1</v>
      </c>
      <c r="Q63" s="7">
        <v>1</v>
      </c>
      <c r="R63" s="7"/>
      <c r="S63" s="7"/>
      <c r="T63" s="7"/>
      <c r="U63" s="7"/>
      <c r="V63" s="7"/>
      <c r="W63" s="7"/>
      <c r="X63" s="7"/>
      <c r="Y63" s="7"/>
      <c r="Z63" s="7">
        <v>1</v>
      </c>
      <c r="AA63" s="7">
        <v>2</v>
      </c>
      <c r="AB63" s="7"/>
      <c r="AC63" s="7"/>
      <c r="AD63" s="7"/>
      <c r="AE63" s="7"/>
      <c r="AF63" s="8"/>
      <c r="AG63" s="4">
        <f t="shared" si="2"/>
        <v>10</v>
      </c>
    </row>
    <row r="64" spans="1:33" ht="18.75" x14ac:dyDescent="0.25">
      <c r="A64" s="41" t="s">
        <v>45</v>
      </c>
      <c r="B64" s="7"/>
      <c r="C64" s="7">
        <v>2</v>
      </c>
      <c r="D64" s="7"/>
      <c r="E64" s="7">
        <v>3</v>
      </c>
      <c r="F64" s="7">
        <v>3</v>
      </c>
      <c r="G64" s="7">
        <v>1</v>
      </c>
      <c r="H64" s="7"/>
      <c r="I64" s="7"/>
      <c r="J64" s="7"/>
      <c r="K64" s="7">
        <v>1</v>
      </c>
      <c r="L64" s="7">
        <v>2</v>
      </c>
      <c r="M64" s="7"/>
      <c r="N64" s="7">
        <v>3</v>
      </c>
      <c r="O64" s="7">
        <v>1</v>
      </c>
      <c r="P64" s="7"/>
      <c r="Q64" s="7">
        <v>3</v>
      </c>
      <c r="R64" s="7"/>
      <c r="S64" s="7"/>
      <c r="T64" s="7"/>
      <c r="U64" s="7"/>
      <c r="V64" s="7"/>
      <c r="W64" s="7"/>
      <c r="X64" s="7"/>
      <c r="Y64" s="7"/>
      <c r="Z64" s="7">
        <v>1</v>
      </c>
      <c r="AA64" s="7">
        <v>2</v>
      </c>
      <c r="AB64" s="7">
        <v>1</v>
      </c>
      <c r="AC64" s="7"/>
      <c r="AD64" s="7"/>
      <c r="AE64" s="7"/>
      <c r="AF64" s="8">
        <v>1</v>
      </c>
      <c r="AG64" s="4">
        <f t="shared" si="2"/>
        <v>24</v>
      </c>
    </row>
    <row r="65" spans="1:33" ht="18.75" x14ac:dyDescent="0.25">
      <c r="A65" s="41" t="s">
        <v>46</v>
      </c>
      <c r="B65" s="7"/>
      <c r="C65" s="7">
        <v>4</v>
      </c>
      <c r="D65" s="7">
        <v>6</v>
      </c>
      <c r="E65" s="7"/>
      <c r="F65" s="7">
        <v>4</v>
      </c>
      <c r="G65" s="7">
        <v>1</v>
      </c>
      <c r="H65" s="7">
        <v>2</v>
      </c>
      <c r="I65" s="7"/>
      <c r="J65" s="7">
        <v>3</v>
      </c>
      <c r="K65" s="7">
        <v>2</v>
      </c>
      <c r="L65" s="7">
        <v>6</v>
      </c>
      <c r="M65" s="7">
        <v>3</v>
      </c>
      <c r="N65" s="7">
        <v>4</v>
      </c>
      <c r="O65" s="7">
        <v>1</v>
      </c>
      <c r="P65" s="7">
        <v>1</v>
      </c>
      <c r="Q65" s="7">
        <v>13</v>
      </c>
      <c r="R65" s="7">
        <v>4</v>
      </c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>
        <v>1</v>
      </c>
      <c r="AE65" s="7"/>
      <c r="AF65" s="8"/>
      <c r="AG65" s="4">
        <f t="shared" si="2"/>
        <v>55</v>
      </c>
    </row>
    <row r="66" spans="1:33" ht="18.75" x14ac:dyDescent="0.25">
      <c r="A66" s="41" t="s">
        <v>47</v>
      </c>
      <c r="B66" s="7"/>
      <c r="C66" s="7">
        <v>3</v>
      </c>
      <c r="D66" s="7">
        <v>10</v>
      </c>
      <c r="E66" s="7"/>
      <c r="F66" s="7">
        <v>5</v>
      </c>
      <c r="G66" s="7">
        <v>2</v>
      </c>
      <c r="H66" s="7"/>
      <c r="I66" s="7"/>
      <c r="J66" s="7">
        <v>1</v>
      </c>
      <c r="K66" s="7">
        <v>3</v>
      </c>
      <c r="L66" s="7">
        <v>2</v>
      </c>
      <c r="M66" s="7"/>
      <c r="N66" s="7"/>
      <c r="O66" s="7"/>
      <c r="P66" s="7">
        <v>1</v>
      </c>
      <c r="Q66" s="7">
        <v>4</v>
      </c>
      <c r="R66" s="7">
        <v>2</v>
      </c>
      <c r="S66" s="7">
        <v>5</v>
      </c>
      <c r="T66" s="7"/>
      <c r="U66" s="7"/>
      <c r="V66" s="7"/>
      <c r="W66" s="7"/>
      <c r="X66" s="7"/>
      <c r="Y66" s="7"/>
      <c r="Z66" s="7"/>
      <c r="AA66" s="7"/>
      <c r="AB66" s="7">
        <v>2</v>
      </c>
      <c r="AC66" s="7"/>
      <c r="AD66" s="7"/>
      <c r="AE66" s="7"/>
      <c r="AF66" s="8"/>
      <c r="AG66" s="4">
        <f t="shared" si="2"/>
        <v>40</v>
      </c>
    </row>
    <row r="67" spans="1:33" ht="18.75" x14ac:dyDescent="0.25">
      <c r="A67" s="41" t="s">
        <v>48</v>
      </c>
      <c r="B67" s="7"/>
      <c r="C67" s="7">
        <v>1</v>
      </c>
      <c r="D67" s="7"/>
      <c r="E67" s="7">
        <v>2</v>
      </c>
      <c r="F67" s="7">
        <v>1</v>
      </c>
      <c r="G67" s="7">
        <v>2</v>
      </c>
      <c r="H67" s="7">
        <v>1</v>
      </c>
      <c r="I67" s="7"/>
      <c r="J67" s="7">
        <v>6</v>
      </c>
      <c r="K67" s="7">
        <v>10</v>
      </c>
      <c r="L67" s="7">
        <v>6</v>
      </c>
      <c r="M67" s="7">
        <v>4</v>
      </c>
      <c r="N67" s="7">
        <v>3</v>
      </c>
      <c r="O67" s="7"/>
      <c r="P67" s="7">
        <v>1</v>
      </c>
      <c r="Q67" s="7">
        <v>2</v>
      </c>
      <c r="R67" s="7">
        <v>4</v>
      </c>
      <c r="S67" s="7">
        <v>1</v>
      </c>
      <c r="T67" s="7"/>
      <c r="U67" s="7">
        <v>1</v>
      </c>
      <c r="V67" s="7"/>
      <c r="W67" s="7"/>
      <c r="X67" s="7"/>
      <c r="Y67" s="7"/>
      <c r="Z67" s="7"/>
      <c r="AA67" s="7">
        <v>1</v>
      </c>
      <c r="AB67" s="7">
        <v>1</v>
      </c>
      <c r="AC67" s="7">
        <v>1</v>
      </c>
      <c r="AD67" s="7"/>
      <c r="AE67" s="7"/>
      <c r="AF67" s="8"/>
      <c r="AG67" s="4">
        <f t="shared" si="2"/>
        <v>48</v>
      </c>
    </row>
    <row r="68" spans="1:33" ht="18.75" x14ac:dyDescent="0.25">
      <c r="A68" s="41" t="s">
        <v>49</v>
      </c>
      <c r="B68" s="7"/>
      <c r="C68" s="7">
        <v>2</v>
      </c>
      <c r="D68" s="7">
        <v>1</v>
      </c>
      <c r="E68" s="7">
        <v>3</v>
      </c>
      <c r="F68" s="7"/>
      <c r="G68" s="7"/>
      <c r="H68" s="7">
        <v>2</v>
      </c>
      <c r="I68" s="7"/>
      <c r="J68" s="7">
        <v>3</v>
      </c>
      <c r="K68" s="7">
        <v>4</v>
      </c>
      <c r="L68" s="7">
        <v>1</v>
      </c>
      <c r="M68" s="7">
        <v>3</v>
      </c>
      <c r="N68" s="7">
        <v>2</v>
      </c>
      <c r="O68" s="7">
        <v>1</v>
      </c>
      <c r="P68" s="7"/>
      <c r="Q68" s="7"/>
      <c r="R68" s="7">
        <v>2</v>
      </c>
      <c r="S68" s="7">
        <v>3</v>
      </c>
      <c r="T68" s="7"/>
      <c r="U68" s="7">
        <v>1</v>
      </c>
      <c r="V68" s="7"/>
      <c r="W68" s="7"/>
      <c r="X68" s="7"/>
      <c r="Y68" s="7"/>
      <c r="Z68" s="7"/>
      <c r="AA68" s="7"/>
      <c r="AB68" s="7"/>
      <c r="AC68" s="7"/>
      <c r="AD68" s="7"/>
      <c r="AE68" s="7"/>
      <c r="AF68" s="8"/>
      <c r="AG68" s="4">
        <f t="shared" si="2"/>
        <v>28</v>
      </c>
    </row>
    <row r="69" spans="1:33" ht="18.75" x14ac:dyDescent="0.25">
      <c r="A69" s="41" t="s">
        <v>50</v>
      </c>
      <c r="B69" s="7"/>
      <c r="C69" s="7">
        <v>1</v>
      </c>
      <c r="D69" s="7">
        <v>1</v>
      </c>
      <c r="E69" s="7"/>
      <c r="F69" s="7"/>
      <c r="G69" s="7">
        <v>1</v>
      </c>
      <c r="H69" s="7"/>
      <c r="I69" s="7"/>
      <c r="J69" s="7">
        <v>5</v>
      </c>
      <c r="K69" s="7">
        <v>2</v>
      </c>
      <c r="L69" s="7">
        <v>3</v>
      </c>
      <c r="M69" s="7"/>
      <c r="N69" s="7"/>
      <c r="O69" s="7"/>
      <c r="P69" s="7">
        <v>2</v>
      </c>
      <c r="Q69" s="7">
        <v>1</v>
      </c>
      <c r="R69" s="7">
        <v>2</v>
      </c>
      <c r="S69" s="7"/>
      <c r="T69" s="7">
        <v>2</v>
      </c>
      <c r="U69" s="7"/>
      <c r="V69" s="7"/>
      <c r="W69" s="7"/>
      <c r="X69" s="7"/>
      <c r="Y69" s="7"/>
      <c r="Z69" s="7"/>
      <c r="AA69" s="7"/>
      <c r="AB69" s="7"/>
      <c r="AC69" s="7"/>
      <c r="AD69" s="7">
        <v>1</v>
      </c>
      <c r="AE69" s="7"/>
      <c r="AF69" s="8"/>
      <c r="AG69" s="4">
        <f t="shared" si="2"/>
        <v>21</v>
      </c>
    </row>
    <row r="70" spans="1:33" ht="18.75" x14ac:dyDescent="0.25">
      <c r="A70" s="41" t="s">
        <v>33</v>
      </c>
      <c r="B70" s="114"/>
      <c r="C70" s="114"/>
      <c r="D70" s="7"/>
      <c r="E70" s="114"/>
      <c r="F70" s="114"/>
      <c r="G70" s="7">
        <v>1</v>
      </c>
      <c r="H70" s="114">
        <v>1</v>
      </c>
      <c r="I70" s="7">
        <v>3</v>
      </c>
      <c r="J70" s="114">
        <v>4</v>
      </c>
      <c r="K70" s="114"/>
      <c r="L70" s="114">
        <v>2</v>
      </c>
      <c r="M70" s="114"/>
      <c r="N70" s="114"/>
      <c r="O70" s="114"/>
      <c r="P70" s="114">
        <v>1</v>
      </c>
      <c r="Q70" s="114">
        <v>1</v>
      </c>
      <c r="R70" s="114"/>
      <c r="S70" s="114"/>
      <c r="T70" s="114">
        <v>1</v>
      </c>
      <c r="U70" s="114">
        <v>1</v>
      </c>
      <c r="V70" s="114">
        <v>1</v>
      </c>
      <c r="W70" s="114"/>
      <c r="X70" s="114"/>
      <c r="Y70" s="114"/>
      <c r="Z70" s="114"/>
      <c r="AA70" s="114"/>
      <c r="AB70" s="114"/>
      <c r="AC70" s="114"/>
      <c r="AD70" s="114"/>
      <c r="AE70" s="114"/>
      <c r="AF70" s="115"/>
      <c r="AG70" s="4">
        <f t="shared" si="2"/>
        <v>16</v>
      </c>
    </row>
    <row r="71" spans="1:33" ht="18.75" x14ac:dyDescent="0.25">
      <c r="A71" s="41" t="s">
        <v>34</v>
      </c>
      <c r="B71" s="114"/>
      <c r="C71" s="114"/>
      <c r="D71" s="7">
        <v>2</v>
      </c>
      <c r="E71" s="114"/>
      <c r="F71" s="114">
        <v>1</v>
      </c>
      <c r="G71" s="7">
        <v>4</v>
      </c>
      <c r="H71" s="114">
        <v>1</v>
      </c>
      <c r="I71" s="7">
        <v>2</v>
      </c>
      <c r="J71" s="114"/>
      <c r="K71" s="114">
        <v>1</v>
      </c>
      <c r="L71" s="114">
        <v>2</v>
      </c>
      <c r="M71" s="114"/>
      <c r="N71" s="114">
        <v>2</v>
      </c>
      <c r="O71" s="114"/>
      <c r="P71" s="114"/>
      <c r="Q71" s="114">
        <v>1</v>
      </c>
      <c r="R71" s="114">
        <v>2</v>
      </c>
      <c r="S71" s="114"/>
      <c r="T71" s="114"/>
      <c r="U71" s="114">
        <v>1</v>
      </c>
      <c r="V71" s="114"/>
      <c r="W71" s="114"/>
      <c r="X71" s="114"/>
      <c r="Y71" s="114"/>
      <c r="Z71" s="114"/>
      <c r="AA71" s="114"/>
      <c r="AB71" s="114"/>
      <c r="AC71" s="114"/>
      <c r="AD71" s="114"/>
      <c r="AE71" s="114"/>
      <c r="AF71" s="115"/>
      <c r="AG71" s="4">
        <f t="shared" si="2"/>
        <v>19</v>
      </c>
    </row>
    <row r="72" spans="1:33" ht="18.75" x14ac:dyDescent="0.25">
      <c r="A72" s="41" t="s">
        <v>35</v>
      </c>
      <c r="B72" s="114"/>
      <c r="C72" s="114"/>
      <c r="D72" s="7"/>
      <c r="E72" s="114"/>
      <c r="F72" s="114">
        <v>7</v>
      </c>
      <c r="G72" s="7">
        <v>1</v>
      </c>
      <c r="H72" s="114"/>
      <c r="I72" s="7"/>
      <c r="J72" s="114"/>
      <c r="K72" s="114"/>
      <c r="L72" s="114"/>
      <c r="M72" s="114"/>
      <c r="N72" s="114">
        <v>1</v>
      </c>
      <c r="O72" s="114"/>
      <c r="P72" s="114"/>
      <c r="Q72" s="114"/>
      <c r="R72" s="114">
        <v>1</v>
      </c>
      <c r="S72" s="114"/>
      <c r="T72" s="114">
        <v>1</v>
      </c>
      <c r="U72" s="114"/>
      <c r="V72" s="114"/>
      <c r="W72" s="114"/>
      <c r="X72" s="114"/>
      <c r="Y72" s="114"/>
      <c r="Z72" s="114">
        <v>1</v>
      </c>
      <c r="AA72" s="114"/>
      <c r="AB72" s="114"/>
      <c r="AC72" s="114"/>
      <c r="AD72" s="114"/>
      <c r="AE72" s="114"/>
      <c r="AF72" s="115"/>
      <c r="AG72" s="4">
        <f t="shared" si="2"/>
        <v>12</v>
      </c>
    </row>
    <row r="73" spans="1:33" ht="18.75" x14ac:dyDescent="0.25">
      <c r="A73" s="41" t="s">
        <v>36</v>
      </c>
      <c r="B73" s="114"/>
      <c r="C73" s="114"/>
      <c r="D73" s="7"/>
      <c r="E73" s="114"/>
      <c r="F73" s="114"/>
      <c r="G73" s="7"/>
      <c r="H73" s="114">
        <v>2</v>
      </c>
      <c r="I73" s="7"/>
      <c r="J73" s="114"/>
      <c r="K73" s="114">
        <v>4</v>
      </c>
      <c r="L73" s="114">
        <v>1</v>
      </c>
      <c r="M73" s="114"/>
      <c r="N73" s="114"/>
      <c r="O73" s="114"/>
      <c r="P73" s="114"/>
      <c r="Q73" s="114"/>
      <c r="R73" s="114"/>
      <c r="S73" s="114"/>
      <c r="T73" s="114"/>
      <c r="U73" s="114"/>
      <c r="V73" s="114"/>
      <c r="W73" s="114"/>
      <c r="X73" s="114"/>
      <c r="Y73" s="114"/>
      <c r="Z73" s="114"/>
      <c r="AA73" s="114"/>
      <c r="AB73" s="114"/>
      <c r="AC73" s="114"/>
      <c r="AD73" s="114"/>
      <c r="AE73" s="114"/>
      <c r="AF73" s="115"/>
      <c r="AG73" s="4">
        <f t="shared" si="2"/>
        <v>7</v>
      </c>
    </row>
    <row r="74" spans="1:33" ht="18.75" x14ac:dyDescent="0.25">
      <c r="A74" s="41" t="s">
        <v>51</v>
      </c>
      <c r="B74" s="114"/>
      <c r="C74" s="114"/>
      <c r="D74" s="7"/>
      <c r="E74" s="114"/>
      <c r="F74" s="114"/>
      <c r="G74" s="7"/>
      <c r="H74" s="114"/>
      <c r="I74" s="7"/>
      <c r="J74" s="114">
        <v>1</v>
      </c>
      <c r="K74" s="114">
        <v>7</v>
      </c>
      <c r="L74" s="114">
        <v>4</v>
      </c>
      <c r="M74" s="114"/>
      <c r="N74" s="114"/>
      <c r="O74" s="114"/>
      <c r="P74" s="114"/>
      <c r="Q74" s="114"/>
      <c r="R74" s="114"/>
      <c r="S74" s="114"/>
      <c r="T74" s="114"/>
      <c r="U74" s="114"/>
      <c r="V74" s="114"/>
      <c r="W74" s="114"/>
      <c r="X74" s="114"/>
      <c r="Y74" s="114"/>
      <c r="Z74" s="114"/>
      <c r="AA74" s="114"/>
      <c r="AB74" s="114"/>
      <c r="AC74" s="114"/>
      <c r="AD74" s="114"/>
      <c r="AE74" s="114"/>
      <c r="AF74" s="115"/>
      <c r="AG74" s="4">
        <f t="shared" si="2"/>
        <v>12</v>
      </c>
    </row>
    <row r="75" spans="1:33" ht="18.75" x14ac:dyDescent="0.25">
      <c r="A75" s="41" t="s">
        <v>52</v>
      </c>
      <c r="B75" s="114"/>
      <c r="C75" s="114"/>
      <c r="D75" s="7"/>
      <c r="E75" s="114"/>
      <c r="F75" s="114"/>
      <c r="G75" s="7"/>
      <c r="H75" s="114"/>
      <c r="I75" s="7"/>
      <c r="J75" s="114"/>
      <c r="K75" s="114"/>
      <c r="L75" s="114">
        <v>3</v>
      </c>
      <c r="M75" s="114"/>
      <c r="N75" s="114"/>
      <c r="O75" s="114"/>
      <c r="P75" s="114"/>
      <c r="Q75" s="114"/>
      <c r="R75" s="114"/>
      <c r="S75" s="114"/>
      <c r="T75" s="114"/>
      <c r="U75" s="114"/>
      <c r="V75" s="114"/>
      <c r="W75" s="114"/>
      <c r="X75" s="114"/>
      <c r="Y75" s="114"/>
      <c r="Z75" s="114"/>
      <c r="AA75" s="114"/>
      <c r="AB75" s="114"/>
      <c r="AC75" s="114"/>
      <c r="AD75" s="114"/>
      <c r="AE75" s="114"/>
      <c r="AF75" s="115"/>
      <c r="AG75" s="4">
        <f t="shared" si="2"/>
        <v>3</v>
      </c>
    </row>
    <row r="76" spans="1:33" ht="18.75" x14ac:dyDescent="0.25">
      <c r="A76" s="41" t="s">
        <v>37</v>
      </c>
      <c r="B76" s="114"/>
      <c r="C76" s="114"/>
      <c r="D76" s="7">
        <v>1</v>
      </c>
      <c r="E76" s="114"/>
      <c r="F76" s="114"/>
      <c r="G76" s="7"/>
      <c r="H76" s="114"/>
      <c r="I76" s="7">
        <v>1</v>
      </c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X76" s="114"/>
      <c r="Y76" s="114"/>
      <c r="Z76" s="114"/>
      <c r="AA76" s="114"/>
      <c r="AB76" s="114"/>
      <c r="AC76" s="114"/>
      <c r="AD76" s="114"/>
      <c r="AE76" s="114"/>
      <c r="AF76" s="115"/>
      <c r="AG76" s="4">
        <f t="shared" si="2"/>
        <v>2</v>
      </c>
    </row>
    <row r="77" spans="1:33" ht="19.5" thickBot="1" x14ac:dyDescent="0.3">
      <c r="A77" s="134" t="s">
        <v>53</v>
      </c>
      <c r="B77" s="166"/>
      <c r="C77" s="166"/>
      <c r="D77" s="9"/>
      <c r="E77" s="166"/>
      <c r="F77" s="166"/>
      <c r="G77" s="9"/>
      <c r="H77" s="166"/>
      <c r="I77" s="9"/>
      <c r="J77" s="166"/>
      <c r="K77" s="166"/>
      <c r="L77" s="166"/>
      <c r="M77" s="166"/>
      <c r="N77" s="166"/>
      <c r="O77" s="166"/>
      <c r="P77" s="166"/>
      <c r="Q77" s="166"/>
      <c r="R77" s="166"/>
      <c r="S77" s="166"/>
      <c r="T77" s="166"/>
      <c r="U77" s="166">
        <v>1</v>
      </c>
      <c r="V77" s="166"/>
      <c r="W77" s="166"/>
      <c r="X77" s="166"/>
      <c r="Y77" s="166"/>
      <c r="Z77" s="166"/>
      <c r="AA77" s="166"/>
      <c r="AB77" s="166"/>
      <c r="AC77" s="166"/>
      <c r="AD77" s="166"/>
      <c r="AE77" s="166"/>
      <c r="AF77" s="167"/>
      <c r="AG77" s="108">
        <f t="shared" si="2"/>
        <v>1</v>
      </c>
    </row>
    <row r="78" spans="1:33" ht="19.5" hidden="1" customHeight="1" thickBot="1" x14ac:dyDescent="0.3">
      <c r="A78" s="183" t="s">
        <v>99</v>
      </c>
      <c r="B78" s="185">
        <f t="shared" ref="B78:AF78" si="5">SUM(B79:B80)</f>
        <v>188</v>
      </c>
      <c r="C78" s="185">
        <f t="shared" si="5"/>
        <v>165</v>
      </c>
      <c r="D78" s="185">
        <f t="shared" si="5"/>
        <v>193</v>
      </c>
      <c r="E78" s="184">
        <f t="shared" si="5"/>
        <v>156</v>
      </c>
      <c r="F78" s="184">
        <f t="shared" si="5"/>
        <v>165</v>
      </c>
      <c r="G78" s="184">
        <f t="shared" si="5"/>
        <v>144</v>
      </c>
      <c r="H78" s="184">
        <f t="shared" si="5"/>
        <v>216</v>
      </c>
      <c r="I78" s="184">
        <f t="shared" si="5"/>
        <v>206</v>
      </c>
      <c r="J78" s="184">
        <f t="shared" si="5"/>
        <v>180</v>
      </c>
      <c r="K78" s="184">
        <f t="shared" si="5"/>
        <v>190</v>
      </c>
      <c r="L78" s="184">
        <f t="shared" si="5"/>
        <v>194</v>
      </c>
      <c r="M78" s="184">
        <f t="shared" si="5"/>
        <v>171</v>
      </c>
      <c r="N78" s="184">
        <f t="shared" si="5"/>
        <v>164</v>
      </c>
      <c r="O78" s="184">
        <f>SUM(O79:O80)</f>
        <v>236</v>
      </c>
      <c r="P78" s="184">
        <f t="shared" si="5"/>
        <v>241</v>
      </c>
      <c r="Q78" s="184">
        <f t="shared" si="5"/>
        <v>154</v>
      </c>
      <c r="R78" s="184">
        <f t="shared" si="5"/>
        <v>135</v>
      </c>
      <c r="S78" s="184">
        <f t="shared" si="5"/>
        <v>62</v>
      </c>
      <c r="T78" s="184">
        <f t="shared" si="5"/>
        <v>69</v>
      </c>
      <c r="U78" s="184">
        <f t="shared" si="5"/>
        <v>74</v>
      </c>
      <c r="V78" s="184">
        <f t="shared" si="5"/>
        <v>75</v>
      </c>
      <c r="W78" s="184">
        <f t="shared" si="5"/>
        <v>84</v>
      </c>
      <c r="X78" s="184">
        <f t="shared" si="5"/>
        <v>41</v>
      </c>
      <c r="Y78" s="184">
        <f t="shared" si="5"/>
        <v>38</v>
      </c>
      <c r="Z78" s="184">
        <f t="shared" si="5"/>
        <v>51</v>
      </c>
      <c r="AA78" s="184">
        <f t="shared" si="5"/>
        <v>62</v>
      </c>
      <c r="AB78" s="184">
        <f t="shared" si="5"/>
        <v>58</v>
      </c>
      <c r="AC78" s="184">
        <f t="shared" si="5"/>
        <v>87</v>
      </c>
      <c r="AD78" s="184">
        <f t="shared" si="5"/>
        <v>104</v>
      </c>
      <c r="AE78" s="184">
        <f t="shared" si="5"/>
        <v>55</v>
      </c>
      <c r="AF78" s="186">
        <f t="shared" si="5"/>
        <v>63</v>
      </c>
      <c r="AG78" s="116">
        <f t="shared" si="2"/>
        <v>4021</v>
      </c>
    </row>
    <row r="79" spans="1:33" ht="19.5" hidden="1" customHeight="1" thickBot="1" x14ac:dyDescent="0.3">
      <c r="A79" s="181" t="s">
        <v>58</v>
      </c>
      <c r="B79" s="114">
        <f t="shared" ref="B79:AF79" si="6">SUM(B4:B27)-B80</f>
        <v>188</v>
      </c>
      <c r="C79" s="114">
        <f t="shared" si="6"/>
        <v>165</v>
      </c>
      <c r="D79" s="114">
        <f t="shared" si="6"/>
        <v>193</v>
      </c>
      <c r="E79" s="114">
        <f t="shared" si="6"/>
        <v>156</v>
      </c>
      <c r="F79" s="114">
        <f t="shared" si="6"/>
        <v>165</v>
      </c>
      <c r="G79" s="114">
        <f t="shared" si="6"/>
        <v>144</v>
      </c>
      <c r="H79" s="114">
        <f t="shared" si="6"/>
        <v>106</v>
      </c>
      <c r="I79" s="114">
        <f t="shared" si="6"/>
        <v>206</v>
      </c>
      <c r="J79" s="114">
        <f t="shared" si="6"/>
        <v>180</v>
      </c>
      <c r="K79" s="114">
        <f t="shared" si="6"/>
        <v>190</v>
      </c>
      <c r="L79" s="114">
        <f t="shared" si="6"/>
        <v>194</v>
      </c>
      <c r="M79" s="114">
        <f t="shared" si="6"/>
        <v>170</v>
      </c>
      <c r="N79" s="114">
        <f t="shared" si="6"/>
        <v>162</v>
      </c>
      <c r="O79" s="114">
        <f t="shared" si="6"/>
        <v>107</v>
      </c>
      <c r="P79" s="114">
        <f t="shared" si="6"/>
        <v>241</v>
      </c>
      <c r="Q79" s="114">
        <f t="shared" si="6"/>
        <v>154</v>
      </c>
      <c r="R79" s="114">
        <f t="shared" si="6"/>
        <v>134</v>
      </c>
      <c r="S79" s="114">
        <f t="shared" si="6"/>
        <v>62</v>
      </c>
      <c r="T79" s="114">
        <f t="shared" si="6"/>
        <v>69</v>
      </c>
      <c r="U79" s="114">
        <f t="shared" si="6"/>
        <v>73</v>
      </c>
      <c r="V79" s="114">
        <f t="shared" si="6"/>
        <v>34</v>
      </c>
      <c r="W79" s="114">
        <f t="shared" si="6"/>
        <v>84</v>
      </c>
      <c r="X79" s="114">
        <f t="shared" si="6"/>
        <v>41</v>
      </c>
      <c r="Y79" s="114">
        <f t="shared" si="6"/>
        <v>35</v>
      </c>
      <c r="Z79" s="114">
        <f t="shared" si="6"/>
        <v>51</v>
      </c>
      <c r="AA79" s="114">
        <f t="shared" si="6"/>
        <v>57</v>
      </c>
      <c r="AB79" s="114">
        <f t="shared" si="6"/>
        <v>57</v>
      </c>
      <c r="AC79" s="114">
        <f t="shared" si="6"/>
        <v>45</v>
      </c>
      <c r="AD79" s="114">
        <f t="shared" si="6"/>
        <v>104</v>
      </c>
      <c r="AE79" s="114">
        <f t="shared" si="6"/>
        <v>55</v>
      </c>
      <c r="AF79" s="114">
        <f t="shared" si="6"/>
        <v>34</v>
      </c>
      <c r="AG79" s="132">
        <f t="shared" si="2"/>
        <v>3656</v>
      </c>
    </row>
    <row r="80" spans="1:33" ht="19.5" hidden="1" customHeight="1" thickBot="1" x14ac:dyDescent="0.3">
      <c r="A80" s="107" t="s">
        <v>57</v>
      </c>
      <c r="B80" s="11"/>
      <c r="C80" s="11"/>
      <c r="D80" s="9">
        <v>0</v>
      </c>
      <c r="E80" s="9">
        <v>0</v>
      </c>
      <c r="F80" s="9">
        <f>SUM(F4:F12)</f>
        <v>0</v>
      </c>
      <c r="G80" s="9">
        <f>SUM(G4:G12)</f>
        <v>0</v>
      </c>
      <c r="H80" s="9">
        <f>SUM(H4:H12)</f>
        <v>110</v>
      </c>
      <c r="I80" s="11"/>
      <c r="J80" s="11"/>
      <c r="K80" s="9">
        <v>0</v>
      </c>
      <c r="L80" s="9">
        <v>0</v>
      </c>
      <c r="M80" s="9">
        <f>SUM(M4:M12)</f>
        <v>1</v>
      </c>
      <c r="N80" s="9">
        <f>SUM(N4:N12)</f>
        <v>2</v>
      </c>
      <c r="O80" s="9">
        <f>SUM(O4:O12)</f>
        <v>129</v>
      </c>
      <c r="P80" s="11"/>
      <c r="Q80" s="11"/>
      <c r="R80" s="9">
        <f>SUM(R4:R12)</f>
        <v>1</v>
      </c>
      <c r="S80" s="9">
        <f>SUM(S4:S12)</f>
        <v>0</v>
      </c>
      <c r="T80" s="9">
        <f>SUM(T4:T12)</f>
        <v>0</v>
      </c>
      <c r="U80" s="9">
        <f>SUM(U4:U12)</f>
        <v>1</v>
      </c>
      <c r="V80" s="9">
        <f>SUM(V4:V12)</f>
        <v>41</v>
      </c>
      <c r="W80" s="11"/>
      <c r="X80" s="11"/>
      <c r="Y80" s="9">
        <f>SUM(Y4:Y12)</f>
        <v>3</v>
      </c>
      <c r="Z80" s="11"/>
      <c r="AA80" s="9">
        <f>SUM(AA4:AA12)</f>
        <v>5</v>
      </c>
      <c r="AB80" s="9">
        <f>SUM(AB4:AB12)</f>
        <v>1</v>
      </c>
      <c r="AC80" s="9">
        <f>SUM(AC4:AC12)</f>
        <v>42</v>
      </c>
      <c r="AD80" s="11"/>
      <c r="AE80" s="11"/>
      <c r="AF80" s="9">
        <f>SUM(AF4:AF12)</f>
        <v>29</v>
      </c>
      <c r="AG80" s="108">
        <f t="shared" si="2"/>
        <v>365</v>
      </c>
    </row>
    <row r="81" spans="1:35" ht="19.5" thickBot="1" x14ac:dyDescent="0.3">
      <c r="A81" s="183" t="s">
        <v>98</v>
      </c>
      <c r="B81" s="184">
        <f t="shared" ref="B81:AF81" si="7">SUM(B82:B83)</f>
        <v>0</v>
      </c>
      <c r="C81" s="184">
        <f t="shared" si="7"/>
        <v>13</v>
      </c>
      <c r="D81" s="184">
        <f t="shared" si="7"/>
        <v>21</v>
      </c>
      <c r="E81" s="184">
        <f t="shared" si="7"/>
        <v>9</v>
      </c>
      <c r="F81" s="184">
        <f t="shared" si="7"/>
        <v>22</v>
      </c>
      <c r="G81" s="184">
        <f t="shared" si="7"/>
        <v>15</v>
      </c>
      <c r="H81" s="184">
        <f t="shared" si="7"/>
        <v>14</v>
      </c>
      <c r="I81" s="184">
        <f t="shared" si="7"/>
        <v>6</v>
      </c>
      <c r="J81" s="184">
        <f t="shared" si="7"/>
        <v>23</v>
      </c>
      <c r="K81" s="184">
        <f t="shared" si="7"/>
        <v>34</v>
      </c>
      <c r="L81" s="184">
        <f t="shared" si="7"/>
        <v>32</v>
      </c>
      <c r="M81" s="184">
        <f t="shared" si="7"/>
        <v>10</v>
      </c>
      <c r="N81" s="184">
        <f t="shared" si="7"/>
        <v>15</v>
      </c>
      <c r="O81" s="184">
        <f t="shared" si="7"/>
        <v>4</v>
      </c>
      <c r="P81" s="184">
        <f t="shared" si="7"/>
        <v>11</v>
      </c>
      <c r="Q81" s="184">
        <f t="shared" si="7"/>
        <v>26</v>
      </c>
      <c r="R81" s="184">
        <f t="shared" si="7"/>
        <v>17</v>
      </c>
      <c r="S81" s="184">
        <f t="shared" si="7"/>
        <v>9</v>
      </c>
      <c r="T81" s="184">
        <f t="shared" si="7"/>
        <v>4</v>
      </c>
      <c r="U81" s="184">
        <f t="shared" si="7"/>
        <v>5</v>
      </c>
      <c r="V81" s="184">
        <f t="shared" si="7"/>
        <v>5</v>
      </c>
      <c r="W81" s="184">
        <f t="shared" si="7"/>
        <v>2</v>
      </c>
      <c r="X81" s="184">
        <f t="shared" si="7"/>
        <v>0</v>
      </c>
      <c r="Y81" s="184">
        <f t="shared" si="7"/>
        <v>1</v>
      </c>
      <c r="Z81" s="184">
        <f>SUM(Z82:Z83)</f>
        <v>3</v>
      </c>
      <c r="AA81" s="184">
        <f t="shared" si="7"/>
        <v>6</v>
      </c>
      <c r="AB81" s="184">
        <f t="shared" si="7"/>
        <v>4</v>
      </c>
      <c r="AC81" s="184">
        <f t="shared" si="7"/>
        <v>3</v>
      </c>
      <c r="AD81" s="184">
        <f t="shared" si="7"/>
        <v>2</v>
      </c>
      <c r="AE81" s="184">
        <f t="shared" si="7"/>
        <v>1</v>
      </c>
      <c r="AF81" s="184">
        <f t="shared" si="7"/>
        <v>2</v>
      </c>
      <c r="AG81" s="116">
        <f t="shared" si="2"/>
        <v>319</v>
      </c>
      <c r="AH81" s="180" t="str">
        <f>IF(AG81&lt;&gt;AG53,"*","")</f>
        <v/>
      </c>
    </row>
    <row r="82" spans="1:35" ht="18.75" x14ac:dyDescent="0.25">
      <c r="A82" s="181" t="s">
        <v>57</v>
      </c>
      <c r="B82" s="182"/>
      <c r="C82" s="114">
        <f t="shared" ref="C82:AF82" si="8">SUM(C54:C62)</f>
        <v>0</v>
      </c>
      <c r="D82" s="114">
        <f t="shared" si="8"/>
        <v>0</v>
      </c>
      <c r="E82" s="114">
        <f t="shared" si="8"/>
        <v>0</v>
      </c>
      <c r="F82" s="114">
        <f t="shared" si="8"/>
        <v>0</v>
      </c>
      <c r="G82" s="114">
        <f t="shared" si="8"/>
        <v>0</v>
      </c>
      <c r="H82" s="182"/>
      <c r="I82" s="182"/>
      <c r="J82" s="114">
        <f t="shared" si="8"/>
        <v>0</v>
      </c>
      <c r="K82" s="114">
        <f t="shared" si="8"/>
        <v>0</v>
      </c>
      <c r="L82" s="114">
        <f t="shared" si="8"/>
        <v>0</v>
      </c>
      <c r="M82" s="114">
        <f t="shared" si="8"/>
        <v>0</v>
      </c>
      <c r="N82" s="114">
        <f t="shared" si="8"/>
        <v>0</v>
      </c>
      <c r="O82" s="182"/>
      <c r="P82" s="182"/>
      <c r="Q82" s="114">
        <f t="shared" si="8"/>
        <v>0</v>
      </c>
      <c r="R82" s="114">
        <f t="shared" si="8"/>
        <v>0</v>
      </c>
      <c r="S82" s="114">
        <f t="shared" si="8"/>
        <v>0</v>
      </c>
      <c r="T82" s="114">
        <f t="shared" si="8"/>
        <v>0</v>
      </c>
      <c r="U82" s="114">
        <f t="shared" si="8"/>
        <v>0</v>
      </c>
      <c r="V82" s="182"/>
      <c r="W82" s="182"/>
      <c r="X82" s="114">
        <f t="shared" si="8"/>
        <v>0</v>
      </c>
      <c r="Y82" s="114">
        <f t="shared" si="8"/>
        <v>1</v>
      </c>
      <c r="Z82" s="114">
        <f t="shared" si="8"/>
        <v>0</v>
      </c>
      <c r="AA82" s="114">
        <f t="shared" si="8"/>
        <v>1</v>
      </c>
      <c r="AB82" s="114">
        <f t="shared" si="8"/>
        <v>0</v>
      </c>
      <c r="AC82" s="182"/>
      <c r="AD82" s="182"/>
      <c r="AE82" s="114">
        <f t="shared" si="8"/>
        <v>1</v>
      </c>
      <c r="AF82" s="114">
        <f t="shared" si="8"/>
        <v>1</v>
      </c>
      <c r="AG82" s="132">
        <f t="shared" si="2"/>
        <v>4</v>
      </c>
    </row>
    <row r="83" spans="1:35" ht="19.5" thickBot="1" x14ac:dyDescent="0.3">
      <c r="A83" s="107" t="s">
        <v>58</v>
      </c>
      <c r="B83" s="9">
        <f t="shared" ref="B83" si="9">SUM(B54:B77)-B82</f>
        <v>0</v>
      </c>
      <c r="C83" s="9">
        <f t="shared" ref="C83" si="10">SUM(C54:C77)-C82</f>
        <v>13</v>
      </c>
      <c r="D83" s="9">
        <f t="shared" ref="D83:AF83" si="11">SUM(D54:D77)-D82</f>
        <v>21</v>
      </c>
      <c r="E83" s="9">
        <f t="shared" si="11"/>
        <v>9</v>
      </c>
      <c r="F83" s="9">
        <f t="shared" si="11"/>
        <v>22</v>
      </c>
      <c r="G83" s="9">
        <f t="shared" si="11"/>
        <v>15</v>
      </c>
      <c r="H83" s="9">
        <f t="shared" si="11"/>
        <v>14</v>
      </c>
      <c r="I83" s="9">
        <f t="shared" si="11"/>
        <v>6</v>
      </c>
      <c r="J83" s="9">
        <f t="shared" si="11"/>
        <v>23</v>
      </c>
      <c r="K83" s="9">
        <f t="shared" si="11"/>
        <v>34</v>
      </c>
      <c r="L83" s="9">
        <f t="shared" si="11"/>
        <v>32</v>
      </c>
      <c r="M83" s="9">
        <f t="shared" si="11"/>
        <v>10</v>
      </c>
      <c r="N83" s="9">
        <f t="shared" si="11"/>
        <v>15</v>
      </c>
      <c r="O83" s="9">
        <f t="shared" si="11"/>
        <v>4</v>
      </c>
      <c r="P83" s="9">
        <f t="shared" si="11"/>
        <v>11</v>
      </c>
      <c r="Q83" s="9">
        <f t="shared" si="11"/>
        <v>26</v>
      </c>
      <c r="R83" s="9">
        <f t="shared" si="11"/>
        <v>17</v>
      </c>
      <c r="S83" s="9">
        <f t="shared" si="11"/>
        <v>9</v>
      </c>
      <c r="T83" s="9">
        <f t="shared" si="11"/>
        <v>4</v>
      </c>
      <c r="U83" s="9">
        <f t="shared" si="11"/>
        <v>5</v>
      </c>
      <c r="V83" s="9">
        <f t="shared" si="11"/>
        <v>5</v>
      </c>
      <c r="W83" s="9">
        <f t="shared" si="11"/>
        <v>2</v>
      </c>
      <c r="X83" s="9">
        <f t="shared" si="11"/>
        <v>0</v>
      </c>
      <c r="Y83" s="9">
        <f t="shared" si="11"/>
        <v>0</v>
      </c>
      <c r="Z83" s="9">
        <f t="shared" si="11"/>
        <v>3</v>
      </c>
      <c r="AA83" s="9">
        <f t="shared" si="11"/>
        <v>5</v>
      </c>
      <c r="AB83" s="9">
        <f t="shared" si="11"/>
        <v>4</v>
      </c>
      <c r="AC83" s="9">
        <f t="shared" si="11"/>
        <v>3</v>
      </c>
      <c r="AD83" s="9">
        <f t="shared" si="11"/>
        <v>2</v>
      </c>
      <c r="AE83" s="9">
        <f t="shared" si="11"/>
        <v>0</v>
      </c>
      <c r="AF83" s="9">
        <f t="shared" si="11"/>
        <v>1</v>
      </c>
      <c r="AG83" s="4">
        <f t="shared" si="2"/>
        <v>315</v>
      </c>
    </row>
    <row r="84" spans="1:35" ht="19.5" thickBot="1" x14ac:dyDescent="0.3">
      <c r="A84" s="164" t="s">
        <v>146</v>
      </c>
      <c r="B84" s="165">
        <f>SUM(B85:B86)</f>
        <v>0</v>
      </c>
      <c r="C84" s="165">
        <f t="shared" ref="C84:AF84" si="12">SUM(C85:C86)</f>
        <v>13</v>
      </c>
      <c r="D84" s="165">
        <f t="shared" si="12"/>
        <v>21</v>
      </c>
      <c r="E84" s="165">
        <f t="shared" si="12"/>
        <v>9</v>
      </c>
      <c r="F84" s="165">
        <f t="shared" si="12"/>
        <v>22</v>
      </c>
      <c r="G84" s="165">
        <f t="shared" si="12"/>
        <v>15</v>
      </c>
      <c r="H84" s="165">
        <f t="shared" si="12"/>
        <v>14</v>
      </c>
      <c r="I84" s="165">
        <f t="shared" si="12"/>
        <v>6</v>
      </c>
      <c r="J84" s="165">
        <f t="shared" si="12"/>
        <v>23</v>
      </c>
      <c r="K84" s="165">
        <f t="shared" si="12"/>
        <v>34</v>
      </c>
      <c r="L84" s="165">
        <f t="shared" si="12"/>
        <v>32</v>
      </c>
      <c r="M84" s="165">
        <f t="shared" si="12"/>
        <v>10</v>
      </c>
      <c r="N84" s="165">
        <f t="shared" si="12"/>
        <v>15</v>
      </c>
      <c r="O84" s="165">
        <f t="shared" si="12"/>
        <v>4</v>
      </c>
      <c r="P84" s="165">
        <f t="shared" si="12"/>
        <v>11</v>
      </c>
      <c r="Q84" s="165">
        <f t="shared" si="12"/>
        <v>26</v>
      </c>
      <c r="R84" s="165">
        <f t="shared" si="12"/>
        <v>17</v>
      </c>
      <c r="S84" s="165">
        <f t="shared" si="12"/>
        <v>9</v>
      </c>
      <c r="T84" s="165">
        <f t="shared" si="12"/>
        <v>4</v>
      </c>
      <c r="U84" s="165">
        <f t="shared" si="12"/>
        <v>5</v>
      </c>
      <c r="V84" s="165">
        <f t="shared" si="12"/>
        <v>5</v>
      </c>
      <c r="W84" s="165">
        <f t="shared" si="12"/>
        <v>2</v>
      </c>
      <c r="X84" s="165">
        <f t="shared" si="12"/>
        <v>0</v>
      </c>
      <c r="Y84" s="165">
        <f t="shared" si="12"/>
        <v>1</v>
      </c>
      <c r="Z84" s="165">
        <f t="shared" si="12"/>
        <v>3</v>
      </c>
      <c r="AA84" s="165">
        <f t="shared" si="12"/>
        <v>6</v>
      </c>
      <c r="AB84" s="165">
        <f t="shared" si="12"/>
        <v>4</v>
      </c>
      <c r="AC84" s="165">
        <f t="shared" si="12"/>
        <v>3</v>
      </c>
      <c r="AD84" s="165">
        <f t="shared" si="12"/>
        <v>2</v>
      </c>
      <c r="AE84" s="165">
        <f t="shared" si="12"/>
        <v>1</v>
      </c>
      <c r="AF84" s="165">
        <f t="shared" si="12"/>
        <v>2</v>
      </c>
      <c r="AG84" s="171">
        <f t="shared" ref="AG84:AG126" si="13">SUM(B84:AF84)</f>
        <v>319</v>
      </c>
      <c r="AH84" s="180" t="str">
        <f>IF(AG84&lt;&gt;AG82+AG83,"*","")</f>
        <v/>
      </c>
      <c r="AI84" s="434" t="s">
        <v>1</v>
      </c>
    </row>
    <row r="85" spans="1:35" ht="18.75" x14ac:dyDescent="0.25">
      <c r="A85" s="72" t="s">
        <v>144</v>
      </c>
      <c r="B85" s="169">
        <v>0</v>
      </c>
      <c r="C85" s="169">
        <v>2</v>
      </c>
      <c r="D85" s="169">
        <v>5</v>
      </c>
      <c r="E85" s="169">
        <v>0</v>
      </c>
      <c r="F85" s="169">
        <v>4</v>
      </c>
      <c r="G85" s="169">
        <v>2</v>
      </c>
      <c r="H85" s="169">
        <v>3</v>
      </c>
      <c r="I85" s="169">
        <v>1</v>
      </c>
      <c r="J85" s="169">
        <v>2</v>
      </c>
      <c r="K85" s="169">
        <v>6</v>
      </c>
      <c r="L85" s="169">
        <v>2</v>
      </c>
      <c r="M85" s="169">
        <v>4</v>
      </c>
      <c r="N85" s="169">
        <v>2</v>
      </c>
      <c r="O85" s="169">
        <v>0</v>
      </c>
      <c r="P85" s="169">
        <v>2</v>
      </c>
      <c r="Q85" s="169">
        <v>1</v>
      </c>
      <c r="R85" s="169">
        <v>2</v>
      </c>
      <c r="S85" s="169">
        <v>0</v>
      </c>
      <c r="T85" s="169">
        <v>0</v>
      </c>
      <c r="U85" s="169">
        <v>0</v>
      </c>
      <c r="V85" s="169">
        <v>0</v>
      </c>
      <c r="W85" s="169">
        <v>0</v>
      </c>
      <c r="X85" s="169">
        <v>0</v>
      </c>
      <c r="Y85" s="169">
        <v>0</v>
      </c>
      <c r="Z85" s="169">
        <v>0</v>
      </c>
      <c r="AA85" s="169">
        <v>1</v>
      </c>
      <c r="AB85" s="169">
        <v>1</v>
      </c>
      <c r="AC85" s="169">
        <v>1</v>
      </c>
      <c r="AD85" s="169">
        <v>0</v>
      </c>
      <c r="AE85" s="169">
        <v>0</v>
      </c>
      <c r="AF85" s="170">
        <v>0</v>
      </c>
      <c r="AG85" s="168">
        <f t="shared" si="13"/>
        <v>41</v>
      </c>
      <c r="AI85" s="435"/>
    </row>
    <row r="86" spans="1:35" ht="19.5" thickBot="1" x14ac:dyDescent="0.3">
      <c r="A86" s="172" t="s">
        <v>145</v>
      </c>
      <c r="B86" s="173">
        <v>0</v>
      </c>
      <c r="C86" s="173">
        <v>11</v>
      </c>
      <c r="D86" s="173">
        <v>16</v>
      </c>
      <c r="E86" s="173">
        <v>9</v>
      </c>
      <c r="F86" s="173">
        <v>18</v>
      </c>
      <c r="G86" s="173">
        <v>13</v>
      </c>
      <c r="H86" s="173">
        <v>11</v>
      </c>
      <c r="I86" s="173">
        <v>5</v>
      </c>
      <c r="J86" s="173">
        <v>21</v>
      </c>
      <c r="K86" s="173">
        <v>28</v>
      </c>
      <c r="L86" s="173">
        <v>30</v>
      </c>
      <c r="M86" s="173">
        <v>6</v>
      </c>
      <c r="N86" s="173">
        <v>13</v>
      </c>
      <c r="O86" s="173">
        <v>4</v>
      </c>
      <c r="P86" s="173">
        <v>9</v>
      </c>
      <c r="Q86" s="173">
        <v>25</v>
      </c>
      <c r="R86" s="173">
        <v>15</v>
      </c>
      <c r="S86" s="173">
        <v>9</v>
      </c>
      <c r="T86" s="173">
        <v>4</v>
      </c>
      <c r="U86" s="173">
        <v>5</v>
      </c>
      <c r="V86" s="173">
        <v>5</v>
      </c>
      <c r="W86" s="173">
        <v>2</v>
      </c>
      <c r="X86" s="173">
        <v>0</v>
      </c>
      <c r="Y86" s="173">
        <v>1</v>
      </c>
      <c r="Z86" s="173">
        <v>3</v>
      </c>
      <c r="AA86" s="173">
        <v>5</v>
      </c>
      <c r="AB86" s="173">
        <v>3</v>
      </c>
      <c r="AC86" s="173">
        <v>2</v>
      </c>
      <c r="AD86" s="173">
        <v>2</v>
      </c>
      <c r="AE86" s="173">
        <v>1</v>
      </c>
      <c r="AF86" s="174">
        <v>2</v>
      </c>
      <c r="AG86" s="176">
        <f t="shared" si="13"/>
        <v>278</v>
      </c>
      <c r="AI86" s="436"/>
    </row>
    <row r="87" spans="1:35" ht="19.5" thickBot="1" x14ac:dyDescent="0.3">
      <c r="A87" s="177" t="s">
        <v>147</v>
      </c>
      <c r="B87" s="178">
        <f>SUM(B88:B92)</f>
        <v>0</v>
      </c>
      <c r="C87" s="178">
        <f t="shared" ref="C87:AF87" si="14">SUM(C88:C92)</f>
        <v>13</v>
      </c>
      <c r="D87" s="178">
        <f t="shared" si="14"/>
        <v>21</v>
      </c>
      <c r="E87" s="178">
        <f t="shared" si="14"/>
        <v>9</v>
      </c>
      <c r="F87" s="178">
        <f t="shared" si="14"/>
        <v>22</v>
      </c>
      <c r="G87" s="178">
        <f t="shared" si="14"/>
        <v>15</v>
      </c>
      <c r="H87" s="178">
        <f t="shared" si="14"/>
        <v>14</v>
      </c>
      <c r="I87" s="178">
        <f t="shared" si="14"/>
        <v>6</v>
      </c>
      <c r="J87" s="178">
        <f t="shared" si="14"/>
        <v>23</v>
      </c>
      <c r="K87" s="178">
        <f t="shared" si="14"/>
        <v>34</v>
      </c>
      <c r="L87" s="178">
        <f t="shared" si="14"/>
        <v>32</v>
      </c>
      <c r="M87" s="178">
        <f t="shared" si="14"/>
        <v>10</v>
      </c>
      <c r="N87" s="178">
        <f t="shared" si="14"/>
        <v>15</v>
      </c>
      <c r="O87" s="178">
        <f t="shared" si="14"/>
        <v>4</v>
      </c>
      <c r="P87" s="178">
        <f t="shared" si="14"/>
        <v>11</v>
      </c>
      <c r="Q87" s="178">
        <f t="shared" si="14"/>
        <v>26</v>
      </c>
      <c r="R87" s="178">
        <f t="shared" si="14"/>
        <v>17</v>
      </c>
      <c r="S87" s="178">
        <f t="shared" si="14"/>
        <v>9</v>
      </c>
      <c r="T87" s="178">
        <f t="shared" si="14"/>
        <v>4</v>
      </c>
      <c r="U87" s="178">
        <f t="shared" si="14"/>
        <v>5</v>
      </c>
      <c r="V87" s="178">
        <f t="shared" si="14"/>
        <v>5</v>
      </c>
      <c r="W87" s="178">
        <f t="shared" si="14"/>
        <v>2</v>
      </c>
      <c r="X87" s="178">
        <f t="shared" si="14"/>
        <v>0</v>
      </c>
      <c r="Y87" s="178">
        <f t="shared" si="14"/>
        <v>1</v>
      </c>
      <c r="Z87" s="178">
        <f t="shared" si="14"/>
        <v>3</v>
      </c>
      <c r="AA87" s="178">
        <f t="shared" si="14"/>
        <v>6</v>
      </c>
      <c r="AB87" s="178">
        <f t="shared" si="14"/>
        <v>4</v>
      </c>
      <c r="AC87" s="178">
        <f t="shared" si="14"/>
        <v>3</v>
      </c>
      <c r="AD87" s="178">
        <f t="shared" si="14"/>
        <v>2</v>
      </c>
      <c r="AE87" s="178">
        <f t="shared" si="14"/>
        <v>1</v>
      </c>
      <c r="AF87" s="178">
        <f t="shared" si="14"/>
        <v>2</v>
      </c>
      <c r="AG87" s="179">
        <f t="shared" si="13"/>
        <v>319</v>
      </c>
      <c r="AH87" s="175" t="str">
        <f>IF(AG87&lt;&gt;AG84,"*","")</f>
        <v/>
      </c>
    </row>
    <row r="88" spans="1:35" ht="18.75" x14ac:dyDescent="0.25">
      <c r="A88" s="104" t="s">
        <v>127</v>
      </c>
      <c r="B88" s="166"/>
      <c r="C88" s="166">
        <v>6</v>
      </c>
      <c r="D88" s="166">
        <v>11</v>
      </c>
      <c r="E88" s="166">
        <v>2</v>
      </c>
      <c r="F88" s="166">
        <v>5</v>
      </c>
      <c r="G88" s="166">
        <v>6</v>
      </c>
      <c r="H88" s="166">
        <v>3</v>
      </c>
      <c r="I88" s="166">
        <v>3</v>
      </c>
      <c r="J88" s="166">
        <v>10</v>
      </c>
      <c r="K88" s="166">
        <v>11</v>
      </c>
      <c r="L88" s="166">
        <v>8</v>
      </c>
      <c r="M88" s="166">
        <v>5</v>
      </c>
      <c r="N88" s="166">
        <v>5</v>
      </c>
      <c r="O88" s="166">
        <v>2</v>
      </c>
      <c r="P88" s="166">
        <v>3</v>
      </c>
      <c r="Q88" s="166">
        <v>14</v>
      </c>
      <c r="R88" s="166">
        <v>7</v>
      </c>
      <c r="S88" s="166"/>
      <c r="T88" s="166">
        <v>2</v>
      </c>
      <c r="U88" s="166">
        <v>2</v>
      </c>
      <c r="V88" s="166"/>
      <c r="W88" s="166">
        <v>1</v>
      </c>
      <c r="X88" s="166"/>
      <c r="Y88" s="166"/>
      <c r="Z88" s="166">
        <v>3</v>
      </c>
      <c r="AA88" s="166">
        <v>5</v>
      </c>
      <c r="AB88" s="166"/>
      <c r="AC88" s="166">
        <v>2</v>
      </c>
      <c r="AD88" s="166">
        <v>1</v>
      </c>
      <c r="AE88" s="166">
        <v>1</v>
      </c>
      <c r="AF88" s="167">
        <v>2</v>
      </c>
      <c r="AG88" s="132">
        <f t="shared" si="13"/>
        <v>120</v>
      </c>
    </row>
    <row r="89" spans="1:35" ht="18.75" x14ac:dyDescent="0.25">
      <c r="A89" s="105" t="s">
        <v>73</v>
      </c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10"/>
      <c r="AG89" s="4">
        <f t="shared" si="13"/>
        <v>0</v>
      </c>
    </row>
    <row r="90" spans="1:35" ht="18.75" x14ac:dyDescent="0.25">
      <c r="A90" s="105" t="s">
        <v>74</v>
      </c>
      <c r="B90" s="9"/>
      <c r="C90" s="9"/>
      <c r="D90" s="9"/>
      <c r="E90" s="9"/>
      <c r="F90" s="9"/>
      <c r="G90" s="9"/>
      <c r="H90" s="9"/>
      <c r="I90" s="9">
        <v>1</v>
      </c>
      <c r="J90" s="9"/>
      <c r="K90" s="9"/>
      <c r="L90" s="9"/>
      <c r="M90" s="9"/>
      <c r="N90" s="9">
        <v>1</v>
      </c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>
        <v>1</v>
      </c>
      <c r="AC90" s="9"/>
      <c r="AD90" s="9"/>
      <c r="AE90" s="9"/>
      <c r="AF90" s="10"/>
      <c r="AG90" s="4">
        <f t="shared" si="13"/>
        <v>3</v>
      </c>
    </row>
    <row r="91" spans="1:35" ht="18.75" x14ac:dyDescent="0.25">
      <c r="A91" s="105" t="s">
        <v>75</v>
      </c>
      <c r="B91" s="9"/>
      <c r="C91" s="9">
        <v>3</v>
      </c>
      <c r="D91" s="9">
        <v>4</v>
      </c>
      <c r="E91" s="9">
        <v>2</v>
      </c>
      <c r="F91" s="9">
        <v>8</v>
      </c>
      <c r="G91" s="9">
        <v>2</v>
      </c>
      <c r="H91" s="9">
        <v>2</v>
      </c>
      <c r="I91" s="9">
        <v>1</v>
      </c>
      <c r="J91" s="9">
        <v>2</v>
      </c>
      <c r="K91" s="9">
        <v>19</v>
      </c>
      <c r="L91" s="9">
        <v>23</v>
      </c>
      <c r="M91" s="9">
        <v>3</v>
      </c>
      <c r="N91" s="9">
        <v>4</v>
      </c>
      <c r="O91" s="9"/>
      <c r="P91" s="9">
        <v>2</v>
      </c>
      <c r="Q91" s="9">
        <v>1</v>
      </c>
      <c r="R91" s="9">
        <v>5</v>
      </c>
      <c r="S91" s="9">
        <v>3</v>
      </c>
      <c r="T91" s="9">
        <v>1</v>
      </c>
      <c r="U91" s="9"/>
      <c r="V91" s="9">
        <v>1</v>
      </c>
      <c r="W91" s="9"/>
      <c r="X91" s="9"/>
      <c r="Y91" s="9">
        <v>1</v>
      </c>
      <c r="Z91" s="9"/>
      <c r="AA91" s="9"/>
      <c r="AB91" s="9">
        <v>1</v>
      </c>
      <c r="AC91" s="9"/>
      <c r="AD91" s="9"/>
      <c r="AE91" s="9"/>
      <c r="AF91" s="10"/>
      <c r="AG91" s="4">
        <f t="shared" si="13"/>
        <v>88</v>
      </c>
    </row>
    <row r="92" spans="1:35" ht="19.5" thickBot="1" x14ac:dyDescent="0.3">
      <c r="A92" s="105" t="s">
        <v>76</v>
      </c>
      <c r="B92" s="9"/>
      <c r="C92" s="9">
        <v>4</v>
      </c>
      <c r="D92" s="9">
        <v>6</v>
      </c>
      <c r="E92" s="9">
        <v>5</v>
      </c>
      <c r="F92" s="9">
        <v>9</v>
      </c>
      <c r="G92" s="9">
        <v>7</v>
      </c>
      <c r="H92" s="9">
        <v>9</v>
      </c>
      <c r="I92" s="9">
        <v>1</v>
      </c>
      <c r="J92" s="9">
        <v>11</v>
      </c>
      <c r="K92" s="9">
        <v>4</v>
      </c>
      <c r="L92" s="9">
        <v>1</v>
      </c>
      <c r="M92" s="9">
        <v>2</v>
      </c>
      <c r="N92" s="9">
        <v>5</v>
      </c>
      <c r="O92" s="9">
        <v>2</v>
      </c>
      <c r="P92" s="9">
        <v>6</v>
      </c>
      <c r="Q92" s="9">
        <v>11</v>
      </c>
      <c r="R92" s="9">
        <v>5</v>
      </c>
      <c r="S92" s="9">
        <v>6</v>
      </c>
      <c r="T92" s="9">
        <v>1</v>
      </c>
      <c r="U92" s="9">
        <v>3</v>
      </c>
      <c r="V92" s="9">
        <v>4</v>
      </c>
      <c r="W92" s="9">
        <v>1</v>
      </c>
      <c r="X92" s="9"/>
      <c r="Y92" s="9"/>
      <c r="Z92" s="9"/>
      <c r="AA92" s="9">
        <v>1</v>
      </c>
      <c r="AB92" s="9">
        <v>2</v>
      </c>
      <c r="AC92" s="9">
        <v>1</v>
      </c>
      <c r="AD92" s="9">
        <v>1</v>
      </c>
      <c r="AE92" s="9"/>
      <c r="AF92" s="10"/>
      <c r="AG92" s="4">
        <f t="shared" si="13"/>
        <v>108</v>
      </c>
    </row>
    <row r="93" spans="1:35" ht="18.75" x14ac:dyDescent="0.25">
      <c r="A93" s="73" t="s">
        <v>615</v>
      </c>
      <c r="B93" s="74">
        <f t="shared" ref="B93:AF93" si="15">+B94+B100</f>
        <v>188</v>
      </c>
      <c r="C93" s="74">
        <f t="shared" si="15"/>
        <v>152</v>
      </c>
      <c r="D93" s="74">
        <f t="shared" si="15"/>
        <v>172</v>
      </c>
      <c r="E93" s="74">
        <f t="shared" si="15"/>
        <v>147</v>
      </c>
      <c r="F93" s="74">
        <f t="shared" si="15"/>
        <v>143</v>
      </c>
      <c r="G93" s="74">
        <f t="shared" si="15"/>
        <v>129</v>
      </c>
      <c r="H93" s="74">
        <f t="shared" si="15"/>
        <v>202</v>
      </c>
      <c r="I93" s="74">
        <f t="shared" si="15"/>
        <v>200</v>
      </c>
      <c r="J93" s="74">
        <f t="shared" si="15"/>
        <v>157</v>
      </c>
      <c r="K93" s="74">
        <f t="shared" si="15"/>
        <v>156</v>
      </c>
      <c r="L93" s="74">
        <f t="shared" si="15"/>
        <v>162</v>
      </c>
      <c r="M93" s="74">
        <f t="shared" si="15"/>
        <v>161</v>
      </c>
      <c r="N93" s="74">
        <f t="shared" si="15"/>
        <v>149</v>
      </c>
      <c r="O93" s="74">
        <f t="shared" si="15"/>
        <v>232</v>
      </c>
      <c r="P93" s="74">
        <f t="shared" si="15"/>
        <v>230</v>
      </c>
      <c r="Q93" s="74">
        <f t="shared" si="15"/>
        <v>128</v>
      </c>
      <c r="R93" s="74">
        <f t="shared" si="15"/>
        <v>118</v>
      </c>
      <c r="S93" s="74">
        <f t="shared" si="15"/>
        <v>53</v>
      </c>
      <c r="T93" s="74">
        <f t="shared" si="15"/>
        <v>65</v>
      </c>
      <c r="U93" s="74">
        <f t="shared" si="15"/>
        <v>69</v>
      </c>
      <c r="V93" s="74">
        <f t="shared" si="15"/>
        <v>70</v>
      </c>
      <c r="W93" s="74">
        <f t="shared" si="15"/>
        <v>82</v>
      </c>
      <c r="X93" s="74">
        <f t="shared" si="15"/>
        <v>41</v>
      </c>
      <c r="Y93" s="74">
        <f t="shared" si="15"/>
        <v>37</v>
      </c>
      <c r="Z93" s="74">
        <f t="shared" si="15"/>
        <v>48</v>
      </c>
      <c r="AA93" s="74">
        <f t="shared" si="15"/>
        <v>56</v>
      </c>
      <c r="AB93" s="74">
        <f t="shared" si="15"/>
        <v>54</v>
      </c>
      <c r="AC93" s="74">
        <f t="shared" si="15"/>
        <v>84</v>
      </c>
      <c r="AD93" s="74">
        <f t="shared" si="15"/>
        <v>102</v>
      </c>
      <c r="AE93" s="74">
        <f t="shared" si="15"/>
        <v>54</v>
      </c>
      <c r="AF93" s="84">
        <f t="shared" si="15"/>
        <v>61</v>
      </c>
      <c r="AG93" s="150">
        <f t="shared" si="13"/>
        <v>3702</v>
      </c>
      <c r="AH93" s="37" t="str">
        <f>IF(AG93&lt;&gt;AG28,"*","")</f>
        <v/>
      </c>
    </row>
    <row r="94" spans="1:35" ht="18.75" x14ac:dyDescent="0.25">
      <c r="A94" s="42" t="s">
        <v>65</v>
      </c>
      <c r="B94" s="17">
        <f t="shared" ref="B94:AF94" si="16">SUM(B95:B99)</f>
        <v>26</v>
      </c>
      <c r="C94" s="17">
        <f t="shared" si="16"/>
        <v>12</v>
      </c>
      <c r="D94" s="17">
        <f t="shared" si="16"/>
        <v>14</v>
      </c>
      <c r="E94" s="17">
        <f t="shared" si="16"/>
        <v>14</v>
      </c>
      <c r="F94" s="17">
        <f t="shared" si="16"/>
        <v>15</v>
      </c>
      <c r="G94" s="17">
        <f t="shared" si="16"/>
        <v>12</v>
      </c>
      <c r="H94" s="17">
        <f t="shared" si="16"/>
        <v>28</v>
      </c>
      <c r="I94" s="17">
        <f t="shared" si="16"/>
        <v>35</v>
      </c>
      <c r="J94" s="17">
        <f t="shared" si="16"/>
        <v>24</v>
      </c>
      <c r="K94" s="17">
        <f t="shared" si="16"/>
        <v>21</v>
      </c>
      <c r="L94" s="17">
        <f t="shared" si="16"/>
        <v>23</v>
      </c>
      <c r="M94" s="17">
        <f t="shared" si="16"/>
        <v>21</v>
      </c>
      <c r="N94" s="17">
        <f t="shared" si="16"/>
        <v>22</v>
      </c>
      <c r="O94" s="17">
        <f t="shared" si="16"/>
        <v>45</v>
      </c>
      <c r="P94" s="17">
        <f t="shared" si="16"/>
        <v>45</v>
      </c>
      <c r="Q94" s="17">
        <f t="shared" si="16"/>
        <v>14</v>
      </c>
      <c r="R94" s="17">
        <f t="shared" si="16"/>
        <v>13</v>
      </c>
      <c r="S94" s="17">
        <f t="shared" si="16"/>
        <v>3</v>
      </c>
      <c r="T94" s="17">
        <f t="shared" si="16"/>
        <v>3</v>
      </c>
      <c r="U94" s="17">
        <f t="shared" si="16"/>
        <v>3</v>
      </c>
      <c r="V94" s="17">
        <f t="shared" si="16"/>
        <v>5</v>
      </c>
      <c r="W94" s="17">
        <f t="shared" si="16"/>
        <v>7</v>
      </c>
      <c r="X94" s="17">
        <f t="shared" si="16"/>
        <v>0</v>
      </c>
      <c r="Y94" s="17">
        <f t="shared" si="16"/>
        <v>1</v>
      </c>
      <c r="Z94" s="17">
        <f t="shared" si="16"/>
        <v>4</v>
      </c>
      <c r="AA94" s="17">
        <f t="shared" si="16"/>
        <v>1</v>
      </c>
      <c r="AB94" s="17">
        <f t="shared" si="16"/>
        <v>5</v>
      </c>
      <c r="AC94" s="17">
        <f t="shared" si="16"/>
        <v>3</v>
      </c>
      <c r="AD94" s="17">
        <f t="shared" si="16"/>
        <v>3</v>
      </c>
      <c r="AE94" s="17">
        <f t="shared" si="16"/>
        <v>4</v>
      </c>
      <c r="AF94" s="18">
        <f t="shared" si="16"/>
        <v>3</v>
      </c>
      <c r="AG94" s="4">
        <f t="shared" si="13"/>
        <v>429</v>
      </c>
    </row>
    <row r="95" spans="1:35" ht="18.75" x14ac:dyDescent="0.25">
      <c r="A95" s="44" t="s">
        <v>81</v>
      </c>
      <c r="B95" s="7"/>
      <c r="C95" s="7"/>
      <c r="D95" s="7">
        <v>1</v>
      </c>
      <c r="E95" s="7">
        <v>2</v>
      </c>
      <c r="F95" s="7"/>
      <c r="G95" s="7">
        <v>1</v>
      </c>
      <c r="H95" s="7">
        <v>1</v>
      </c>
      <c r="I95" s="7">
        <v>2</v>
      </c>
      <c r="J95" s="7">
        <v>2</v>
      </c>
      <c r="K95" s="7">
        <v>1</v>
      </c>
      <c r="L95" s="7">
        <v>1</v>
      </c>
      <c r="M95" s="7">
        <v>2</v>
      </c>
      <c r="N95" s="7"/>
      <c r="O95" s="7">
        <v>4</v>
      </c>
      <c r="P95" s="7">
        <v>2</v>
      </c>
      <c r="Q95" s="7">
        <v>2</v>
      </c>
      <c r="R95" s="7">
        <v>2</v>
      </c>
      <c r="S95" s="7">
        <v>3</v>
      </c>
      <c r="T95" s="7"/>
      <c r="U95" s="7">
        <v>1</v>
      </c>
      <c r="V95" s="7">
        <v>1</v>
      </c>
      <c r="W95" s="7"/>
      <c r="X95" s="7"/>
      <c r="Y95" s="7"/>
      <c r="Z95" s="7"/>
      <c r="AA95" s="7">
        <v>1</v>
      </c>
      <c r="AB95" s="7"/>
      <c r="AC95" s="7"/>
      <c r="AD95" s="7"/>
      <c r="AE95" s="7">
        <v>1</v>
      </c>
      <c r="AF95" s="8"/>
      <c r="AG95" s="4">
        <f t="shared" si="13"/>
        <v>30</v>
      </c>
    </row>
    <row r="96" spans="1:35" ht="18.75" x14ac:dyDescent="0.25">
      <c r="A96" s="45" t="s">
        <v>82</v>
      </c>
      <c r="B96" s="7">
        <v>5</v>
      </c>
      <c r="C96" s="7">
        <v>1</v>
      </c>
      <c r="D96" s="7">
        <v>2</v>
      </c>
      <c r="E96" s="7">
        <v>1</v>
      </c>
      <c r="F96" s="7">
        <v>3</v>
      </c>
      <c r="G96" s="7">
        <v>2</v>
      </c>
      <c r="H96" s="7">
        <v>4</v>
      </c>
      <c r="I96" s="7">
        <v>3</v>
      </c>
      <c r="J96" s="7">
        <v>1</v>
      </c>
      <c r="K96" s="7"/>
      <c r="L96" s="7">
        <v>2</v>
      </c>
      <c r="M96" s="7">
        <v>1</v>
      </c>
      <c r="N96" s="7">
        <v>2</v>
      </c>
      <c r="O96" s="7">
        <v>2</v>
      </c>
      <c r="P96" s="7">
        <v>1</v>
      </c>
      <c r="Q96" s="7">
        <v>2</v>
      </c>
      <c r="R96" s="7">
        <v>2</v>
      </c>
      <c r="S96" s="141"/>
      <c r="T96" s="7"/>
      <c r="U96" s="7"/>
      <c r="V96" s="7"/>
      <c r="W96" s="7">
        <v>1</v>
      </c>
      <c r="X96" s="7"/>
      <c r="Y96" s="7">
        <v>1</v>
      </c>
      <c r="Z96" s="7"/>
      <c r="AA96" s="7"/>
      <c r="AB96" s="7">
        <v>1</v>
      </c>
      <c r="AC96" s="7"/>
      <c r="AD96" s="7">
        <v>1</v>
      </c>
      <c r="AE96" s="7"/>
      <c r="AF96" s="8"/>
      <c r="AG96" s="4">
        <f t="shared" si="13"/>
        <v>38</v>
      </c>
    </row>
    <row r="97" spans="1:33" ht="18.75" x14ac:dyDescent="0.25">
      <c r="A97" s="46" t="s">
        <v>70</v>
      </c>
      <c r="B97" s="7">
        <v>7</v>
      </c>
      <c r="C97" s="7">
        <v>4</v>
      </c>
      <c r="D97" s="7">
        <v>3</v>
      </c>
      <c r="E97" s="7">
        <v>2</v>
      </c>
      <c r="F97" s="7">
        <v>2</v>
      </c>
      <c r="G97" s="7">
        <v>3</v>
      </c>
      <c r="H97" s="7">
        <v>6</v>
      </c>
      <c r="I97" s="7">
        <v>7</v>
      </c>
      <c r="J97" s="7">
        <v>6</v>
      </c>
      <c r="K97" s="7">
        <v>3</v>
      </c>
      <c r="L97" s="7">
        <v>5</v>
      </c>
      <c r="M97" s="7">
        <v>4</v>
      </c>
      <c r="N97" s="7">
        <v>4</v>
      </c>
      <c r="O97" s="7">
        <v>10</v>
      </c>
      <c r="P97" s="7">
        <v>13</v>
      </c>
      <c r="Q97" s="7">
        <v>5</v>
      </c>
      <c r="R97" s="7">
        <v>1</v>
      </c>
      <c r="S97" s="7"/>
      <c r="T97" s="7"/>
      <c r="U97" s="7"/>
      <c r="V97" s="7"/>
      <c r="W97" s="7">
        <v>1</v>
      </c>
      <c r="X97" s="7"/>
      <c r="Y97" s="7"/>
      <c r="Z97" s="7"/>
      <c r="AA97" s="7"/>
      <c r="AB97" s="7"/>
      <c r="AC97" s="7"/>
      <c r="AD97" s="7"/>
      <c r="AE97" s="7">
        <v>1</v>
      </c>
      <c r="AF97" s="8">
        <v>1</v>
      </c>
      <c r="AG97" s="4">
        <f t="shared" si="13"/>
        <v>88</v>
      </c>
    </row>
    <row r="98" spans="1:33" ht="18.75" x14ac:dyDescent="0.25">
      <c r="A98" s="47" t="s">
        <v>6</v>
      </c>
      <c r="B98" s="7">
        <v>6</v>
      </c>
      <c r="C98" s="7">
        <v>2</v>
      </c>
      <c r="D98" s="7">
        <v>3</v>
      </c>
      <c r="E98" s="7">
        <v>7</v>
      </c>
      <c r="F98" s="7">
        <v>4</v>
      </c>
      <c r="G98" s="7">
        <v>4</v>
      </c>
      <c r="H98" s="7">
        <v>7</v>
      </c>
      <c r="I98" s="7">
        <v>15</v>
      </c>
      <c r="J98" s="7">
        <v>10</v>
      </c>
      <c r="K98" s="7">
        <v>8</v>
      </c>
      <c r="L98" s="7">
        <v>5</v>
      </c>
      <c r="M98" s="7">
        <v>5</v>
      </c>
      <c r="N98" s="7">
        <v>5</v>
      </c>
      <c r="O98" s="7">
        <v>18</v>
      </c>
      <c r="P98" s="7">
        <v>16</v>
      </c>
      <c r="Q98" s="7">
        <v>2</v>
      </c>
      <c r="R98" s="7">
        <v>3</v>
      </c>
      <c r="S98" s="7"/>
      <c r="T98" s="7">
        <v>2</v>
      </c>
      <c r="U98" s="7">
        <v>1</v>
      </c>
      <c r="V98" s="7">
        <v>1</v>
      </c>
      <c r="W98" s="7">
        <v>4</v>
      </c>
      <c r="X98" s="7"/>
      <c r="Y98" s="7"/>
      <c r="Z98" s="7">
        <v>1</v>
      </c>
      <c r="AA98" s="7"/>
      <c r="AB98" s="7"/>
      <c r="AC98" s="7">
        <v>1</v>
      </c>
      <c r="AD98" s="7">
        <v>1</v>
      </c>
      <c r="AE98" s="7">
        <v>1</v>
      </c>
      <c r="AF98" s="8">
        <v>1</v>
      </c>
      <c r="AG98" s="4">
        <f t="shared" si="13"/>
        <v>133</v>
      </c>
    </row>
    <row r="99" spans="1:33" ht="18.75" x14ac:dyDescent="0.25">
      <c r="A99" s="48" t="s">
        <v>7</v>
      </c>
      <c r="B99" s="7">
        <v>8</v>
      </c>
      <c r="C99" s="7">
        <v>5</v>
      </c>
      <c r="D99" s="7">
        <v>5</v>
      </c>
      <c r="E99" s="7">
        <v>2</v>
      </c>
      <c r="F99" s="7">
        <v>6</v>
      </c>
      <c r="G99" s="7">
        <v>2</v>
      </c>
      <c r="H99" s="7">
        <v>10</v>
      </c>
      <c r="I99" s="7">
        <v>8</v>
      </c>
      <c r="J99" s="7">
        <v>5</v>
      </c>
      <c r="K99" s="7">
        <v>9</v>
      </c>
      <c r="L99" s="7">
        <v>10</v>
      </c>
      <c r="M99" s="7">
        <v>9</v>
      </c>
      <c r="N99" s="7">
        <v>11</v>
      </c>
      <c r="O99" s="7">
        <v>11</v>
      </c>
      <c r="P99" s="7">
        <v>13</v>
      </c>
      <c r="Q99" s="7">
        <v>3</v>
      </c>
      <c r="R99" s="7">
        <v>5</v>
      </c>
      <c r="S99" s="7"/>
      <c r="T99" s="7">
        <v>1</v>
      </c>
      <c r="U99" s="7">
        <v>1</v>
      </c>
      <c r="V99" s="7">
        <v>3</v>
      </c>
      <c r="W99" s="7">
        <v>1</v>
      </c>
      <c r="X99" s="7"/>
      <c r="Y99" s="7"/>
      <c r="Z99" s="7">
        <v>3</v>
      </c>
      <c r="AA99" s="7"/>
      <c r="AB99" s="7">
        <v>4</v>
      </c>
      <c r="AC99" s="7">
        <v>2</v>
      </c>
      <c r="AD99" s="7">
        <v>1</v>
      </c>
      <c r="AE99" s="7">
        <v>1</v>
      </c>
      <c r="AF99" s="8">
        <v>1</v>
      </c>
      <c r="AG99" s="4">
        <f t="shared" si="13"/>
        <v>140</v>
      </c>
    </row>
    <row r="100" spans="1:33" ht="18.75" x14ac:dyDescent="0.25">
      <c r="A100" s="42" t="s">
        <v>66</v>
      </c>
      <c r="B100" s="17">
        <f t="shared" ref="B100:AF100" si="17">SUM(B101:B115)</f>
        <v>162</v>
      </c>
      <c r="C100" s="17">
        <f t="shared" si="17"/>
        <v>140</v>
      </c>
      <c r="D100" s="17">
        <f t="shared" si="17"/>
        <v>158</v>
      </c>
      <c r="E100" s="17">
        <f t="shared" si="17"/>
        <v>133</v>
      </c>
      <c r="F100" s="17">
        <f t="shared" si="17"/>
        <v>128</v>
      </c>
      <c r="G100" s="17">
        <f t="shared" si="17"/>
        <v>117</v>
      </c>
      <c r="H100" s="17">
        <f t="shared" si="17"/>
        <v>174</v>
      </c>
      <c r="I100" s="17">
        <f t="shared" si="17"/>
        <v>165</v>
      </c>
      <c r="J100" s="17">
        <f t="shared" si="17"/>
        <v>133</v>
      </c>
      <c r="K100" s="17">
        <f t="shared" si="17"/>
        <v>135</v>
      </c>
      <c r="L100" s="17">
        <f t="shared" si="17"/>
        <v>139</v>
      </c>
      <c r="M100" s="17">
        <f t="shared" si="17"/>
        <v>140</v>
      </c>
      <c r="N100" s="17">
        <f t="shared" si="17"/>
        <v>127</v>
      </c>
      <c r="O100" s="17">
        <f t="shared" si="17"/>
        <v>187</v>
      </c>
      <c r="P100" s="17">
        <f t="shared" si="17"/>
        <v>185</v>
      </c>
      <c r="Q100" s="17">
        <f t="shared" si="17"/>
        <v>114</v>
      </c>
      <c r="R100" s="17">
        <f t="shared" si="17"/>
        <v>105</v>
      </c>
      <c r="S100" s="17">
        <f t="shared" si="17"/>
        <v>50</v>
      </c>
      <c r="T100" s="17">
        <f t="shared" si="17"/>
        <v>62</v>
      </c>
      <c r="U100" s="17">
        <f t="shared" si="17"/>
        <v>66</v>
      </c>
      <c r="V100" s="17">
        <f t="shared" si="17"/>
        <v>65</v>
      </c>
      <c r="W100" s="17">
        <f t="shared" si="17"/>
        <v>75</v>
      </c>
      <c r="X100" s="17">
        <f t="shared" si="17"/>
        <v>41</v>
      </c>
      <c r="Y100" s="17">
        <f t="shared" si="17"/>
        <v>36</v>
      </c>
      <c r="Z100" s="17">
        <f t="shared" si="17"/>
        <v>44</v>
      </c>
      <c r="AA100" s="17">
        <f t="shared" si="17"/>
        <v>55</v>
      </c>
      <c r="AB100" s="17">
        <f t="shared" si="17"/>
        <v>49</v>
      </c>
      <c r="AC100" s="17">
        <f t="shared" si="17"/>
        <v>81</v>
      </c>
      <c r="AD100" s="17">
        <f t="shared" si="17"/>
        <v>99</v>
      </c>
      <c r="AE100" s="17">
        <f t="shared" si="17"/>
        <v>50</v>
      </c>
      <c r="AF100" s="18">
        <f t="shared" si="17"/>
        <v>58</v>
      </c>
      <c r="AG100" s="4">
        <f t="shared" si="13"/>
        <v>3273</v>
      </c>
    </row>
    <row r="101" spans="1:33" ht="18.75" x14ac:dyDescent="0.25">
      <c r="A101" s="48" t="s">
        <v>8</v>
      </c>
      <c r="B101" s="7">
        <v>10</v>
      </c>
      <c r="C101" s="7">
        <v>13</v>
      </c>
      <c r="D101" s="7">
        <v>14</v>
      </c>
      <c r="E101" s="7">
        <v>11</v>
      </c>
      <c r="F101" s="7">
        <v>7</v>
      </c>
      <c r="G101" s="7">
        <v>7</v>
      </c>
      <c r="H101" s="7">
        <v>11</v>
      </c>
      <c r="I101" s="7">
        <v>16</v>
      </c>
      <c r="J101" s="7">
        <v>13</v>
      </c>
      <c r="K101" s="7">
        <v>13</v>
      </c>
      <c r="L101" s="7">
        <v>21</v>
      </c>
      <c r="M101" s="7">
        <v>28</v>
      </c>
      <c r="N101" s="7">
        <v>24</v>
      </c>
      <c r="O101" s="7">
        <v>21</v>
      </c>
      <c r="P101" s="7">
        <v>17</v>
      </c>
      <c r="Q101" s="7">
        <v>7</v>
      </c>
      <c r="R101" s="7">
        <v>13</v>
      </c>
      <c r="S101" s="7">
        <v>3</v>
      </c>
      <c r="T101" s="7">
        <v>4</v>
      </c>
      <c r="U101" s="7">
        <v>1</v>
      </c>
      <c r="V101" s="7">
        <v>5</v>
      </c>
      <c r="W101" s="7">
        <v>4</v>
      </c>
      <c r="X101" s="7">
        <v>3</v>
      </c>
      <c r="Y101" s="7">
        <v>1</v>
      </c>
      <c r="Z101" s="7">
        <v>2</v>
      </c>
      <c r="AA101" s="7">
        <v>2</v>
      </c>
      <c r="AB101" s="7">
        <v>6</v>
      </c>
      <c r="AC101" s="7">
        <v>5</v>
      </c>
      <c r="AD101" s="7">
        <v>6</v>
      </c>
      <c r="AE101" s="7">
        <v>1</v>
      </c>
      <c r="AF101" s="8">
        <v>1</v>
      </c>
      <c r="AG101" s="4">
        <f t="shared" si="13"/>
        <v>290</v>
      </c>
    </row>
    <row r="102" spans="1:33" ht="18.75" x14ac:dyDescent="0.25">
      <c r="A102" s="48" t="s">
        <v>9</v>
      </c>
      <c r="B102" s="7">
        <v>23</v>
      </c>
      <c r="C102" s="7">
        <v>17</v>
      </c>
      <c r="D102" s="7">
        <v>29</v>
      </c>
      <c r="E102" s="7">
        <v>13</v>
      </c>
      <c r="F102" s="7">
        <v>20</v>
      </c>
      <c r="G102" s="7">
        <v>14</v>
      </c>
      <c r="H102" s="7">
        <v>11</v>
      </c>
      <c r="I102" s="7">
        <v>18</v>
      </c>
      <c r="J102" s="7">
        <v>12</v>
      </c>
      <c r="K102" s="7">
        <v>22</v>
      </c>
      <c r="L102" s="7">
        <v>15</v>
      </c>
      <c r="M102" s="7">
        <v>16</v>
      </c>
      <c r="N102" s="7">
        <v>10</v>
      </c>
      <c r="O102" s="7">
        <v>27</v>
      </c>
      <c r="P102" s="7">
        <v>24</v>
      </c>
      <c r="Q102" s="7">
        <v>18</v>
      </c>
      <c r="R102" s="7">
        <v>12</v>
      </c>
      <c r="S102" s="7">
        <v>6</v>
      </c>
      <c r="T102" s="7">
        <v>12</v>
      </c>
      <c r="U102" s="7">
        <v>7</v>
      </c>
      <c r="V102" s="7">
        <v>7</v>
      </c>
      <c r="W102" s="7">
        <v>3</v>
      </c>
      <c r="X102" s="7">
        <v>5</v>
      </c>
      <c r="Y102" s="7">
        <v>6</v>
      </c>
      <c r="Z102" s="7">
        <v>2</v>
      </c>
      <c r="AA102" s="7">
        <v>4</v>
      </c>
      <c r="AB102" s="7"/>
      <c r="AC102" s="7">
        <v>9</v>
      </c>
      <c r="AD102" s="7">
        <v>10</v>
      </c>
      <c r="AE102" s="7">
        <v>7</v>
      </c>
      <c r="AF102" s="8">
        <v>9</v>
      </c>
      <c r="AG102" s="4">
        <f t="shared" si="13"/>
        <v>388</v>
      </c>
    </row>
    <row r="103" spans="1:33" ht="18.75" x14ac:dyDescent="0.25">
      <c r="A103" s="49" t="s">
        <v>10</v>
      </c>
      <c r="B103" s="7">
        <v>19</v>
      </c>
      <c r="C103" s="7">
        <v>14</v>
      </c>
      <c r="D103" s="7">
        <v>17</v>
      </c>
      <c r="E103" s="7">
        <v>10</v>
      </c>
      <c r="F103" s="7">
        <v>12</v>
      </c>
      <c r="G103" s="7">
        <v>5</v>
      </c>
      <c r="H103" s="7">
        <v>7</v>
      </c>
      <c r="I103" s="7">
        <v>19</v>
      </c>
      <c r="J103" s="7">
        <v>11</v>
      </c>
      <c r="K103" s="7">
        <v>14</v>
      </c>
      <c r="L103" s="7">
        <v>20</v>
      </c>
      <c r="M103" s="7">
        <v>13</v>
      </c>
      <c r="N103" s="7">
        <v>14</v>
      </c>
      <c r="O103" s="7">
        <v>16</v>
      </c>
      <c r="P103" s="7">
        <v>13</v>
      </c>
      <c r="Q103" s="7">
        <v>13</v>
      </c>
      <c r="R103" s="7">
        <v>17</v>
      </c>
      <c r="S103" s="7">
        <v>3</v>
      </c>
      <c r="T103" s="7">
        <v>4</v>
      </c>
      <c r="U103" s="7">
        <v>7</v>
      </c>
      <c r="V103" s="7">
        <v>2</v>
      </c>
      <c r="W103" s="7">
        <v>10</v>
      </c>
      <c r="X103" s="7">
        <v>4</v>
      </c>
      <c r="Y103" s="7">
        <v>3</v>
      </c>
      <c r="Z103" s="7">
        <v>6</v>
      </c>
      <c r="AA103" s="7">
        <v>6</v>
      </c>
      <c r="AB103" s="7">
        <v>10</v>
      </c>
      <c r="AC103" s="7">
        <v>7</v>
      </c>
      <c r="AD103" s="7">
        <v>11</v>
      </c>
      <c r="AE103" s="7">
        <v>8</v>
      </c>
      <c r="AF103" s="8">
        <v>8</v>
      </c>
      <c r="AG103" s="4">
        <f t="shared" si="13"/>
        <v>323</v>
      </c>
    </row>
    <row r="104" spans="1:33" ht="18.75" x14ac:dyDescent="0.25">
      <c r="A104" s="49" t="s">
        <v>11</v>
      </c>
      <c r="B104" s="7">
        <v>14</v>
      </c>
      <c r="C104" s="7">
        <v>6</v>
      </c>
      <c r="D104" s="7">
        <v>11</v>
      </c>
      <c r="E104" s="7">
        <v>13</v>
      </c>
      <c r="F104" s="7">
        <v>12</v>
      </c>
      <c r="G104" s="7">
        <v>7</v>
      </c>
      <c r="H104" s="7">
        <v>15</v>
      </c>
      <c r="I104" s="7">
        <v>10</v>
      </c>
      <c r="J104" s="7">
        <v>13</v>
      </c>
      <c r="K104" s="7">
        <v>6</v>
      </c>
      <c r="L104" s="7">
        <v>11</v>
      </c>
      <c r="M104" s="7">
        <v>14</v>
      </c>
      <c r="N104" s="7">
        <v>8</v>
      </c>
      <c r="O104" s="7">
        <v>16</v>
      </c>
      <c r="P104" s="7">
        <v>17</v>
      </c>
      <c r="Q104" s="7">
        <v>16</v>
      </c>
      <c r="R104" s="7">
        <v>12</v>
      </c>
      <c r="S104" s="7">
        <v>4</v>
      </c>
      <c r="T104" s="7">
        <v>9</v>
      </c>
      <c r="U104" s="7">
        <v>7</v>
      </c>
      <c r="V104" s="7">
        <v>8</v>
      </c>
      <c r="W104" s="7">
        <v>5</v>
      </c>
      <c r="X104" s="7">
        <v>11</v>
      </c>
      <c r="Y104" s="7">
        <v>3</v>
      </c>
      <c r="Z104" s="7">
        <v>2</v>
      </c>
      <c r="AA104" s="7">
        <v>12</v>
      </c>
      <c r="AB104" s="7">
        <v>6</v>
      </c>
      <c r="AC104" s="7">
        <v>11</v>
      </c>
      <c r="AD104" s="7">
        <v>11</v>
      </c>
      <c r="AE104" s="7">
        <v>6</v>
      </c>
      <c r="AF104" s="8">
        <v>4</v>
      </c>
      <c r="AG104" s="4">
        <f t="shared" si="13"/>
        <v>300</v>
      </c>
    </row>
    <row r="105" spans="1:33" ht="18.75" x14ac:dyDescent="0.25">
      <c r="A105" s="49" t="s">
        <v>12</v>
      </c>
      <c r="B105" s="7">
        <v>12</v>
      </c>
      <c r="C105" s="7">
        <v>9</v>
      </c>
      <c r="D105" s="7">
        <v>12</v>
      </c>
      <c r="E105" s="7">
        <v>9</v>
      </c>
      <c r="F105" s="7">
        <v>8</v>
      </c>
      <c r="G105" s="7">
        <v>6</v>
      </c>
      <c r="H105" s="7">
        <v>16</v>
      </c>
      <c r="I105" s="7">
        <v>10</v>
      </c>
      <c r="J105" s="7">
        <v>17</v>
      </c>
      <c r="K105" s="7">
        <v>6</v>
      </c>
      <c r="L105" s="7">
        <v>5</v>
      </c>
      <c r="M105" s="7">
        <v>4</v>
      </c>
      <c r="N105" s="7">
        <v>6</v>
      </c>
      <c r="O105" s="7">
        <v>13</v>
      </c>
      <c r="P105" s="7">
        <v>13</v>
      </c>
      <c r="Q105" s="7">
        <v>6</v>
      </c>
      <c r="R105" s="7">
        <v>6</v>
      </c>
      <c r="S105" s="7">
        <v>5</v>
      </c>
      <c r="T105" s="7">
        <v>5</v>
      </c>
      <c r="U105" s="7">
        <v>12</v>
      </c>
      <c r="V105" s="7">
        <v>10</v>
      </c>
      <c r="W105" s="7">
        <v>6</v>
      </c>
      <c r="X105" s="7">
        <v>5</v>
      </c>
      <c r="Y105" s="7">
        <v>4</v>
      </c>
      <c r="Z105" s="7">
        <v>8</v>
      </c>
      <c r="AA105" s="7">
        <v>4</v>
      </c>
      <c r="AB105" s="7">
        <v>5</v>
      </c>
      <c r="AC105" s="7">
        <v>4</v>
      </c>
      <c r="AD105" s="7">
        <v>6</v>
      </c>
      <c r="AE105" s="7">
        <v>4</v>
      </c>
      <c r="AF105" s="8">
        <v>9</v>
      </c>
      <c r="AG105" s="4">
        <f t="shared" si="13"/>
        <v>245</v>
      </c>
    </row>
    <row r="106" spans="1:33" ht="18.75" x14ac:dyDescent="0.25">
      <c r="A106" s="49" t="s">
        <v>13</v>
      </c>
      <c r="B106" s="7">
        <v>12</v>
      </c>
      <c r="C106" s="7">
        <v>7</v>
      </c>
      <c r="D106" s="7">
        <v>12</v>
      </c>
      <c r="E106" s="7">
        <v>4</v>
      </c>
      <c r="F106" s="7">
        <v>10</v>
      </c>
      <c r="G106" s="7">
        <v>13</v>
      </c>
      <c r="H106" s="7">
        <v>11</v>
      </c>
      <c r="I106" s="7">
        <v>14</v>
      </c>
      <c r="J106" s="7">
        <v>5</v>
      </c>
      <c r="K106" s="7">
        <v>11</v>
      </c>
      <c r="L106" s="7">
        <v>10</v>
      </c>
      <c r="M106" s="7">
        <v>12</v>
      </c>
      <c r="N106" s="7">
        <v>6</v>
      </c>
      <c r="O106" s="7">
        <v>12</v>
      </c>
      <c r="P106" s="7">
        <v>18</v>
      </c>
      <c r="Q106" s="7">
        <v>6</v>
      </c>
      <c r="R106" s="7">
        <v>14</v>
      </c>
      <c r="S106" s="7">
        <v>9</v>
      </c>
      <c r="T106" s="7">
        <v>7</v>
      </c>
      <c r="U106" s="7">
        <v>4</v>
      </c>
      <c r="V106" s="7">
        <v>6</v>
      </c>
      <c r="W106" s="7">
        <v>7</v>
      </c>
      <c r="X106" s="7">
        <v>3</v>
      </c>
      <c r="Y106" s="7">
        <v>4</v>
      </c>
      <c r="Z106" s="7">
        <v>5</v>
      </c>
      <c r="AA106" s="7">
        <v>5</v>
      </c>
      <c r="AB106" s="7">
        <v>5</v>
      </c>
      <c r="AC106" s="7">
        <v>12</v>
      </c>
      <c r="AD106" s="7">
        <v>8</v>
      </c>
      <c r="AE106" s="7">
        <v>3</v>
      </c>
      <c r="AF106" s="8">
        <v>4</v>
      </c>
      <c r="AG106" s="4">
        <f t="shared" si="13"/>
        <v>259</v>
      </c>
    </row>
    <row r="107" spans="1:33" ht="18.75" x14ac:dyDescent="0.25">
      <c r="A107" s="49" t="s">
        <v>14</v>
      </c>
      <c r="B107" s="7">
        <v>12</v>
      </c>
      <c r="C107" s="7">
        <v>17</v>
      </c>
      <c r="D107" s="7">
        <v>10</v>
      </c>
      <c r="E107" s="7">
        <v>13</v>
      </c>
      <c r="F107" s="7">
        <v>9</v>
      </c>
      <c r="G107" s="7">
        <v>5</v>
      </c>
      <c r="H107" s="7">
        <v>13</v>
      </c>
      <c r="I107" s="7">
        <v>8</v>
      </c>
      <c r="J107" s="7">
        <v>12</v>
      </c>
      <c r="K107" s="7">
        <v>7</v>
      </c>
      <c r="L107" s="7">
        <v>12</v>
      </c>
      <c r="M107" s="7">
        <v>8</v>
      </c>
      <c r="N107" s="7">
        <v>7</v>
      </c>
      <c r="O107" s="7">
        <v>12</v>
      </c>
      <c r="P107" s="7">
        <v>19</v>
      </c>
      <c r="Q107" s="7">
        <v>11</v>
      </c>
      <c r="R107" s="7">
        <v>5</v>
      </c>
      <c r="S107" s="7">
        <v>4</v>
      </c>
      <c r="T107" s="7">
        <v>2</v>
      </c>
      <c r="U107" s="7">
        <v>5</v>
      </c>
      <c r="V107" s="7">
        <v>3</v>
      </c>
      <c r="W107" s="7">
        <v>8</v>
      </c>
      <c r="X107" s="7">
        <v>2</v>
      </c>
      <c r="Y107" s="7">
        <v>1</v>
      </c>
      <c r="Z107" s="7">
        <v>5</v>
      </c>
      <c r="AA107" s="7">
        <v>6</v>
      </c>
      <c r="AB107" s="7">
        <v>5</v>
      </c>
      <c r="AC107" s="7">
        <v>5</v>
      </c>
      <c r="AD107" s="7">
        <v>10</v>
      </c>
      <c r="AE107" s="7">
        <v>4</v>
      </c>
      <c r="AF107" s="8">
        <v>2</v>
      </c>
      <c r="AG107" s="4">
        <f t="shared" si="13"/>
        <v>242</v>
      </c>
    </row>
    <row r="108" spans="1:33" ht="18.75" x14ac:dyDescent="0.25">
      <c r="A108" s="49" t="s">
        <v>15</v>
      </c>
      <c r="B108" s="7">
        <v>8</v>
      </c>
      <c r="C108" s="7">
        <v>6</v>
      </c>
      <c r="D108" s="7">
        <v>9</v>
      </c>
      <c r="E108" s="7">
        <v>11</v>
      </c>
      <c r="F108" s="7">
        <v>14</v>
      </c>
      <c r="G108" s="7">
        <v>13</v>
      </c>
      <c r="H108" s="7">
        <v>22</v>
      </c>
      <c r="I108" s="7">
        <v>17</v>
      </c>
      <c r="J108" s="7">
        <v>10</v>
      </c>
      <c r="K108" s="7">
        <v>16</v>
      </c>
      <c r="L108" s="7">
        <v>11</v>
      </c>
      <c r="M108" s="7">
        <v>5</v>
      </c>
      <c r="N108" s="7">
        <v>9</v>
      </c>
      <c r="O108" s="7">
        <v>10</v>
      </c>
      <c r="P108" s="7">
        <v>8</v>
      </c>
      <c r="Q108" s="7">
        <v>16</v>
      </c>
      <c r="R108" s="7">
        <v>7</v>
      </c>
      <c r="S108" s="7"/>
      <c r="T108" s="7">
        <v>4</v>
      </c>
      <c r="U108" s="7">
        <v>9</v>
      </c>
      <c r="V108" s="7">
        <v>2</v>
      </c>
      <c r="W108" s="7">
        <v>8</v>
      </c>
      <c r="X108" s="7">
        <v>4</v>
      </c>
      <c r="Y108" s="7">
        <v>2</v>
      </c>
      <c r="Z108" s="7">
        <v>1</v>
      </c>
      <c r="AA108" s="7">
        <v>4</v>
      </c>
      <c r="AB108" s="7">
        <v>2</v>
      </c>
      <c r="AC108" s="7">
        <v>4</v>
      </c>
      <c r="AD108" s="7">
        <v>12</v>
      </c>
      <c r="AE108" s="7">
        <v>6</v>
      </c>
      <c r="AF108" s="8">
        <v>6</v>
      </c>
      <c r="AG108" s="4">
        <f t="shared" si="13"/>
        <v>256</v>
      </c>
    </row>
    <row r="109" spans="1:33" ht="18.75" x14ac:dyDescent="0.25">
      <c r="A109" s="49" t="s">
        <v>16</v>
      </c>
      <c r="B109" s="7">
        <v>12</v>
      </c>
      <c r="C109" s="7">
        <v>12</v>
      </c>
      <c r="D109" s="7">
        <v>14</v>
      </c>
      <c r="E109" s="7">
        <v>15</v>
      </c>
      <c r="F109" s="7">
        <v>5</v>
      </c>
      <c r="G109" s="7">
        <v>7</v>
      </c>
      <c r="H109" s="7">
        <v>18</v>
      </c>
      <c r="I109" s="7">
        <v>13</v>
      </c>
      <c r="J109" s="7">
        <v>8</v>
      </c>
      <c r="K109" s="7">
        <v>8</v>
      </c>
      <c r="L109" s="7">
        <v>8</v>
      </c>
      <c r="M109" s="7">
        <v>13</v>
      </c>
      <c r="N109" s="7">
        <v>9</v>
      </c>
      <c r="O109" s="7">
        <v>13</v>
      </c>
      <c r="P109" s="7">
        <v>8</v>
      </c>
      <c r="Q109" s="7">
        <v>9</v>
      </c>
      <c r="R109" s="7">
        <v>4</v>
      </c>
      <c r="S109" s="7">
        <v>5</v>
      </c>
      <c r="T109" s="7">
        <v>7</v>
      </c>
      <c r="U109" s="7">
        <v>4</v>
      </c>
      <c r="V109" s="7">
        <v>3</v>
      </c>
      <c r="W109" s="7">
        <v>8</v>
      </c>
      <c r="X109" s="7">
        <v>1</v>
      </c>
      <c r="Y109" s="7">
        <v>4</v>
      </c>
      <c r="Z109" s="7">
        <v>3</v>
      </c>
      <c r="AA109" s="7">
        <v>4</v>
      </c>
      <c r="AB109" s="7">
        <v>2</v>
      </c>
      <c r="AC109" s="7">
        <v>6</v>
      </c>
      <c r="AD109" s="7">
        <v>6</v>
      </c>
      <c r="AE109" s="7">
        <v>4</v>
      </c>
      <c r="AF109" s="8">
        <v>2</v>
      </c>
      <c r="AG109" s="4">
        <f t="shared" si="13"/>
        <v>235</v>
      </c>
    </row>
    <row r="110" spans="1:33" ht="18.75" x14ac:dyDescent="0.25">
      <c r="A110" s="49" t="s">
        <v>17</v>
      </c>
      <c r="B110" s="7">
        <v>9</v>
      </c>
      <c r="C110" s="7">
        <v>11</v>
      </c>
      <c r="D110" s="7">
        <v>9</v>
      </c>
      <c r="E110" s="7">
        <v>5</v>
      </c>
      <c r="F110" s="7">
        <v>6</v>
      </c>
      <c r="G110" s="7">
        <v>12</v>
      </c>
      <c r="H110" s="7">
        <v>11</v>
      </c>
      <c r="I110" s="7">
        <v>17</v>
      </c>
      <c r="J110" s="7">
        <v>11</v>
      </c>
      <c r="K110" s="7">
        <v>11</v>
      </c>
      <c r="L110" s="7">
        <v>6</v>
      </c>
      <c r="M110" s="7">
        <v>9</v>
      </c>
      <c r="N110" s="7">
        <v>11</v>
      </c>
      <c r="O110" s="7">
        <v>18</v>
      </c>
      <c r="P110" s="7">
        <v>12</v>
      </c>
      <c r="Q110" s="7">
        <v>2</v>
      </c>
      <c r="R110" s="7">
        <v>5</v>
      </c>
      <c r="S110" s="7">
        <v>2</v>
      </c>
      <c r="T110" s="7">
        <v>2</v>
      </c>
      <c r="U110" s="7">
        <v>5</v>
      </c>
      <c r="V110" s="7">
        <v>5</v>
      </c>
      <c r="W110" s="7">
        <v>4</v>
      </c>
      <c r="X110" s="7">
        <v>1</v>
      </c>
      <c r="Y110" s="7">
        <v>3</v>
      </c>
      <c r="Z110" s="7">
        <v>5</v>
      </c>
      <c r="AA110" s="7">
        <v>4</v>
      </c>
      <c r="AB110" s="7">
        <v>2</v>
      </c>
      <c r="AC110" s="7">
        <v>7</v>
      </c>
      <c r="AD110" s="7">
        <v>7</v>
      </c>
      <c r="AE110" s="7">
        <v>4</v>
      </c>
      <c r="AF110" s="8">
        <v>6</v>
      </c>
      <c r="AG110" s="4">
        <f t="shared" si="13"/>
        <v>222</v>
      </c>
    </row>
    <row r="111" spans="1:33" ht="18.75" x14ac:dyDescent="0.25">
      <c r="A111" s="49" t="s">
        <v>18</v>
      </c>
      <c r="B111" s="7">
        <v>11</v>
      </c>
      <c r="C111" s="7">
        <v>8</v>
      </c>
      <c r="D111" s="7">
        <v>6</v>
      </c>
      <c r="E111" s="7">
        <v>7</v>
      </c>
      <c r="F111" s="7">
        <v>7</v>
      </c>
      <c r="G111" s="7">
        <v>8</v>
      </c>
      <c r="H111" s="7">
        <v>13</v>
      </c>
      <c r="I111" s="7">
        <v>8</v>
      </c>
      <c r="J111" s="7">
        <v>5</v>
      </c>
      <c r="K111" s="7">
        <v>7</v>
      </c>
      <c r="L111" s="7">
        <v>5</v>
      </c>
      <c r="M111" s="7">
        <v>6</v>
      </c>
      <c r="N111" s="7">
        <v>9</v>
      </c>
      <c r="O111" s="7">
        <v>7</v>
      </c>
      <c r="P111" s="7">
        <v>14</v>
      </c>
      <c r="Q111" s="7"/>
      <c r="R111" s="7">
        <v>5</v>
      </c>
      <c r="S111" s="7">
        <v>2</v>
      </c>
      <c r="T111" s="7">
        <v>3</v>
      </c>
      <c r="U111" s="7">
        <v>3</v>
      </c>
      <c r="V111" s="7">
        <v>5</v>
      </c>
      <c r="W111" s="7">
        <v>7</v>
      </c>
      <c r="X111" s="7"/>
      <c r="Y111" s="7">
        <v>3</v>
      </c>
      <c r="Z111" s="7">
        <v>3</v>
      </c>
      <c r="AA111" s="7">
        <v>1</v>
      </c>
      <c r="AB111" s="7">
        <v>3</v>
      </c>
      <c r="AC111" s="7">
        <v>2</v>
      </c>
      <c r="AD111" s="7">
        <v>7</v>
      </c>
      <c r="AE111" s="7">
        <v>1</v>
      </c>
      <c r="AF111" s="8">
        <v>1</v>
      </c>
      <c r="AG111" s="4">
        <f t="shared" si="13"/>
        <v>167</v>
      </c>
    </row>
    <row r="112" spans="1:33" ht="18.75" x14ac:dyDescent="0.25">
      <c r="A112" s="49" t="s">
        <v>19</v>
      </c>
      <c r="B112" s="7">
        <v>6</v>
      </c>
      <c r="C112" s="7">
        <v>6</v>
      </c>
      <c r="D112" s="7">
        <v>6</v>
      </c>
      <c r="E112" s="7">
        <v>7</v>
      </c>
      <c r="F112" s="7">
        <v>3</v>
      </c>
      <c r="G112" s="7">
        <v>9</v>
      </c>
      <c r="H112" s="7">
        <v>10</v>
      </c>
      <c r="I112" s="7">
        <v>6</v>
      </c>
      <c r="J112" s="7">
        <v>6</v>
      </c>
      <c r="K112" s="7">
        <v>3</v>
      </c>
      <c r="L112" s="7">
        <v>7</v>
      </c>
      <c r="M112" s="7">
        <v>3</v>
      </c>
      <c r="N112" s="7">
        <v>5</v>
      </c>
      <c r="O112" s="7">
        <v>6</v>
      </c>
      <c r="P112" s="7">
        <v>6</v>
      </c>
      <c r="Q112" s="7">
        <v>4</v>
      </c>
      <c r="R112" s="7">
        <v>3</v>
      </c>
      <c r="S112" s="7">
        <v>2</v>
      </c>
      <c r="T112" s="7">
        <v>2</v>
      </c>
      <c r="U112" s="7"/>
      <c r="V112" s="7">
        <v>4</v>
      </c>
      <c r="W112" s="7">
        <v>2</v>
      </c>
      <c r="X112" s="7"/>
      <c r="Y112" s="7"/>
      <c r="Z112" s="7"/>
      <c r="AA112" s="7">
        <v>1</v>
      </c>
      <c r="AB112" s="7">
        <v>1</v>
      </c>
      <c r="AC112" s="7">
        <v>3</v>
      </c>
      <c r="AD112" s="7">
        <v>1</v>
      </c>
      <c r="AE112" s="7">
        <v>1</v>
      </c>
      <c r="AF112" s="8">
        <v>2</v>
      </c>
      <c r="AG112" s="4">
        <f>SUM(B112:AF112)</f>
        <v>115</v>
      </c>
    </row>
    <row r="113" spans="1:33" ht="18.75" x14ac:dyDescent="0.25">
      <c r="A113" s="49" t="s">
        <v>20</v>
      </c>
      <c r="B113" s="7">
        <v>2</v>
      </c>
      <c r="C113" s="7">
        <v>7</v>
      </c>
      <c r="D113" s="7">
        <v>2</v>
      </c>
      <c r="E113" s="7">
        <v>2</v>
      </c>
      <c r="F113" s="7">
        <v>4</v>
      </c>
      <c r="G113" s="7">
        <v>3</v>
      </c>
      <c r="H113" s="7">
        <v>7</v>
      </c>
      <c r="I113" s="7">
        <v>6</v>
      </c>
      <c r="J113" s="7">
        <v>1</v>
      </c>
      <c r="K113" s="7">
        <v>7</v>
      </c>
      <c r="L113" s="7">
        <v>1</v>
      </c>
      <c r="M113" s="7">
        <v>3</v>
      </c>
      <c r="N113" s="7">
        <v>5</v>
      </c>
      <c r="O113" s="7">
        <v>6</v>
      </c>
      <c r="P113" s="7">
        <v>8</v>
      </c>
      <c r="Q113" s="7">
        <v>3</v>
      </c>
      <c r="R113" s="7">
        <v>1</v>
      </c>
      <c r="S113" s="7">
        <v>3</v>
      </c>
      <c r="T113" s="7">
        <v>1</v>
      </c>
      <c r="U113" s="7">
        <v>1</v>
      </c>
      <c r="V113" s="7">
        <v>2</v>
      </c>
      <c r="W113" s="7">
        <v>2</v>
      </c>
      <c r="X113" s="7">
        <v>2</v>
      </c>
      <c r="Y113" s="7">
        <v>2</v>
      </c>
      <c r="Z113" s="7">
        <v>2</v>
      </c>
      <c r="AA113" s="7">
        <v>1</v>
      </c>
      <c r="AB113" s="7"/>
      <c r="AC113" s="7">
        <v>5</v>
      </c>
      <c r="AD113" s="7">
        <v>3</v>
      </c>
      <c r="AE113" s="7">
        <v>1</v>
      </c>
      <c r="AF113" s="8">
        <v>1</v>
      </c>
      <c r="AG113" s="4">
        <f t="shared" si="13"/>
        <v>94</v>
      </c>
    </row>
    <row r="114" spans="1:33" ht="18.75" x14ac:dyDescent="0.25">
      <c r="A114" s="49" t="s">
        <v>21</v>
      </c>
      <c r="B114" s="7">
        <v>12</v>
      </c>
      <c r="C114" s="7">
        <v>7</v>
      </c>
      <c r="D114" s="7">
        <v>7</v>
      </c>
      <c r="E114" s="7">
        <v>13</v>
      </c>
      <c r="F114" s="7">
        <v>11</v>
      </c>
      <c r="G114" s="7">
        <v>8</v>
      </c>
      <c r="H114" s="7">
        <v>9</v>
      </c>
      <c r="I114" s="7">
        <v>3</v>
      </c>
      <c r="J114" s="7">
        <v>9</v>
      </c>
      <c r="K114" s="7">
        <v>4</v>
      </c>
      <c r="L114" s="7">
        <v>7</v>
      </c>
      <c r="M114" s="7">
        <v>6</v>
      </c>
      <c r="N114" s="7">
        <v>4</v>
      </c>
      <c r="O114" s="7">
        <v>10</v>
      </c>
      <c r="P114" s="7">
        <v>8</v>
      </c>
      <c r="Q114" s="7">
        <v>3</v>
      </c>
      <c r="R114" s="7">
        <v>1</v>
      </c>
      <c r="S114" s="7">
        <v>2</v>
      </c>
      <c r="T114" s="7"/>
      <c r="U114" s="7">
        <v>1</v>
      </c>
      <c r="V114" s="7">
        <v>3</v>
      </c>
      <c r="W114" s="7">
        <v>1</v>
      </c>
      <c r="X114" s="7"/>
      <c r="Y114" s="7"/>
      <c r="Z114" s="7"/>
      <c r="AA114" s="7">
        <v>1</v>
      </c>
      <c r="AB114" s="7">
        <v>2</v>
      </c>
      <c r="AC114" s="7">
        <v>1</v>
      </c>
      <c r="AD114" s="7">
        <v>1</v>
      </c>
      <c r="AE114" s="7"/>
      <c r="AF114" s="8">
        <v>3</v>
      </c>
      <c r="AG114" s="4">
        <f t="shared" si="13"/>
        <v>137</v>
      </c>
    </row>
    <row r="115" spans="1:33" ht="19.5" thickBot="1" x14ac:dyDescent="0.3">
      <c r="A115" s="76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2"/>
      <c r="AG115" s="4">
        <f t="shared" si="13"/>
        <v>0</v>
      </c>
    </row>
    <row r="116" spans="1:33" ht="18.75" x14ac:dyDescent="0.25">
      <c r="A116" s="73" t="s">
        <v>61</v>
      </c>
      <c r="B116" s="74">
        <f t="shared" ref="B116:AF116" si="18">SUM(B117:B129)</f>
        <v>85</v>
      </c>
      <c r="C116" s="74">
        <f t="shared" si="18"/>
        <v>11</v>
      </c>
      <c r="D116" s="74">
        <f t="shared" si="18"/>
        <v>78</v>
      </c>
      <c r="E116" s="74">
        <f t="shared" si="18"/>
        <v>73</v>
      </c>
      <c r="F116" s="74">
        <f t="shared" si="18"/>
        <v>76</v>
      </c>
      <c r="G116" s="74">
        <f t="shared" si="18"/>
        <v>64</v>
      </c>
      <c r="H116" s="74">
        <f t="shared" si="18"/>
        <v>85</v>
      </c>
      <c r="I116" s="74">
        <f t="shared" si="18"/>
        <v>97</v>
      </c>
      <c r="J116" s="74">
        <f t="shared" si="18"/>
        <v>67</v>
      </c>
      <c r="K116" s="74">
        <f t="shared" si="18"/>
        <v>91</v>
      </c>
      <c r="L116" s="74">
        <f t="shared" si="18"/>
        <v>85</v>
      </c>
      <c r="M116" s="74">
        <f t="shared" si="18"/>
        <v>76</v>
      </c>
      <c r="N116" s="74">
        <f t="shared" si="18"/>
        <v>68</v>
      </c>
      <c r="O116" s="74">
        <f t="shared" si="18"/>
        <v>114</v>
      </c>
      <c r="P116" s="74">
        <f t="shared" si="18"/>
        <v>101</v>
      </c>
      <c r="Q116" s="74">
        <f t="shared" si="18"/>
        <v>75</v>
      </c>
      <c r="R116" s="74">
        <f t="shared" si="18"/>
        <v>49</v>
      </c>
      <c r="S116" s="74">
        <f t="shared" si="18"/>
        <v>25</v>
      </c>
      <c r="T116" s="74">
        <f t="shared" si="18"/>
        <v>31</v>
      </c>
      <c r="U116" s="74">
        <f t="shared" si="18"/>
        <v>40</v>
      </c>
      <c r="V116" s="74">
        <f t="shared" si="18"/>
        <v>27</v>
      </c>
      <c r="W116" s="74">
        <f t="shared" si="18"/>
        <v>38</v>
      </c>
      <c r="X116" s="74">
        <f t="shared" si="18"/>
        <v>16</v>
      </c>
      <c r="Y116" s="74">
        <f t="shared" si="18"/>
        <v>20</v>
      </c>
      <c r="Z116" s="74">
        <f t="shared" si="18"/>
        <v>22</v>
      </c>
      <c r="AA116" s="74">
        <f t="shared" si="18"/>
        <v>29</v>
      </c>
      <c r="AB116" s="74">
        <f t="shared" si="18"/>
        <v>24</v>
      </c>
      <c r="AC116" s="74">
        <f t="shared" si="18"/>
        <v>32</v>
      </c>
      <c r="AD116" s="74">
        <f t="shared" si="18"/>
        <v>42</v>
      </c>
      <c r="AE116" s="74">
        <f t="shared" si="18"/>
        <v>32</v>
      </c>
      <c r="AF116" s="84">
        <f t="shared" si="18"/>
        <v>29</v>
      </c>
      <c r="AG116" s="4">
        <f t="shared" si="13"/>
        <v>1702</v>
      </c>
    </row>
    <row r="117" spans="1:33" ht="18.75" x14ac:dyDescent="0.25">
      <c r="A117" s="43" t="s">
        <v>59</v>
      </c>
      <c r="B117" s="7">
        <v>65</v>
      </c>
      <c r="C117" s="7">
        <v>3</v>
      </c>
      <c r="D117" s="7">
        <v>53</v>
      </c>
      <c r="E117" s="7">
        <v>53</v>
      </c>
      <c r="F117" s="7">
        <v>62</v>
      </c>
      <c r="G117" s="7">
        <v>51</v>
      </c>
      <c r="H117" s="7">
        <v>67</v>
      </c>
      <c r="I117" s="7">
        <v>61</v>
      </c>
      <c r="J117" s="7">
        <v>48</v>
      </c>
      <c r="K117" s="7">
        <v>68</v>
      </c>
      <c r="L117" s="7">
        <v>59</v>
      </c>
      <c r="M117" s="7">
        <v>64</v>
      </c>
      <c r="N117" s="7">
        <v>52</v>
      </c>
      <c r="O117" s="7">
        <v>82</v>
      </c>
      <c r="P117" s="7">
        <v>72</v>
      </c>
      <c r="Q117" s="7">
        <v>56</v>
      </c>
      <c r="R117" s="7">
        <v>37</v>
      </c>
      <c r="S117" s="7">
        <v>18</v>
      </c>
      <c r="T117" s="7">
        <v>23</v>
      </c>
      <c r="U117" s="7">
        <v>27</v>
      </c>
      <c r="V117" s="7">
        <v>20</v>
      </c>
      <c r="W117" s="7">
        <v>26</v>
      </c>
      <c r="X117" s="7">
        <v>11</v>
      </c>
      <c r="Y117" s="7">
        <v>15</v>
      </c>
      <c r="Z117" s="7">
        <v>18</v>
      </c>
      <c r="AA117" s="7">
        <v>13</v>
      </c>
      <c r="AB117" s="7">
        <v>19</v>
      </c>
      <c r="AC117" s="7">
        <v>24</v>
      </c>
      <c r="AD117" s="7">
        <v>27</v>
      </c>
      <c r="AE117" s="7">
        <v>17</v>
      </c>
      <c r="AF117" s="8">
        <v>25</v>
      </c>
      <c r="AG117" s="4">
        <f t="shared" si="13"/>
        <v>1236</v>
      </c>
    </row>
    <row r="118" spans="1:33" ht="19.5" hidden="1" customHeight="1" thickBot="1" x14ac:dyDescent="0.25">
      <c r="A118" s="43" t="s">
        <v>23</v>
      </c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8"/>
      <c r="AG118" s="4">
        <f t="shared" si="13"/>
        <v>0</v>
      </c>
    </row>
    <row r="119" spans="1:33" ht="19.5" hidden="1" customHeight="1" thickBot="1" x14ac:dyDescent="0.25">
      <c r="A119" s="43" t="s">
        <v>24</v>
      </c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8"/>
      <c r="AG119" s="4">
        <f t="shared" si="13"/>
        <v>0</v>
      </c>
    </row>
    <row r="120" spans="1:33" ht="19.5" hidden="1" customHeight="1" thickBot="1" x14ac:dyDescent="0.25">
      <c r="A120" s="43" t="s">
        <v>25</v>
      </c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8"/>
      <c r="AG120" s="4">
        <f t="shared" si="13"/>
        <v>0</v>
      </c>
    </row>
    <row r="121" spans="1:33" ht="19.5" hidden="1" customHeight="1" thickBot="1" x14ac:dyDescent="0.25">
      <c r="A121" s="43" t="s">
        <v>26</v>
      </c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8"/>
      <c r="AG121" s="4">
        <f t="shared" si="13"/>
        <v>0</v>
      </c>
    </row>
    <row r="122" spans="1:33" ht="19.5" hidden="1" customHeight="1" thickBot="1" x14ac:dyDescent="0.25">
      <c r="A122" s="43" t="s">
        <v>27</v>
      </c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8"/>
      <c r="AG122" s="4">
        <f t="shared" si="13"/>
        <v>0</v>
      </c>
    </row>
    <row r="123" spans="1:33" ht="19.5" hidden="1" customHeight="1" thickBot="1" x14ac:dyDescent="0.25">
      <c r="A123" s="43" t="s">
        <v>28</v>
      </c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8"/>
      <c r="AG123" s="4">
        <f t="shared" si="13"/>
        <v>0</v>
      </c>
    </row>
    <row r="124" spans="1:33" ht="19.5" hidden="1" customHeight="1" thickBot="1" x14ac:dyDescent="0.25">
      <c r="A124" s="43" t="s">
        <v>29</v>
      </c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8"/>
      <c r="AG124" s="4">
        <f t="shared" si="13"/>
        <v>0</v>
      </c>
    </row>
    <row r="125" spans="1:33" ht="19.5" hidden="1" customHeight="1" thickBot="1" x14ac:dyDescent="0.25">
      <c r="A125" s="41" t="s">
        <v>30</v>
      </c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8"/>
      <c r="AG125" s="4">
        <f t="shared" si="13"/>
        <v>0</v>
      </c>
    </row>
    <row r="126" spans="1:33" ht="19.5" hidden="1" customHeight="1" thickBot="1" x14ac:dyDescent="0.25">
      <c r="A126" s="41" t="s">
        <v>31</v>
      </c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8"/>
      <c r="AG126" s="4">
        <f t="shared" si="13"/>
        <v>0</v>
      </c>
    </row>
    <row r="127" spans="1:33" ht="19.5" hidden="1" customHeight="1" thickBot="1" x14ac:dyDescent="0.25">
      <c r="A127" s="41" t="s">
        <v>32</v>
      </c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8"/>
      <c r="AG127" s="4">
        <f t="shared" ref="AG127:AG133" si="19">SUM(B127:AF127)</f>
        <v>0</v>
      </c>
    </row>
    <row r="128" spans="1:33" ht="19.5" hidden="1" customHeight="1" thickBot="1" x14ac:dyDescent="0.25">
      <c r="A128" s="43" t="s">
        <v>60</v>
      </c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8"/>
      <c r="AG128" s="4">
        <f t="shared" si="19"/>
        <v>0</v>
      </c>
    </row>
    <row r="129" spans="1:35" ht="19.5" thickBot="1" x14ac:dyDescent="0.3">
      <c r="A129" s="75" t="s">
        <v>86</v>
      </c>
      <c r="B129" s="13">
        <f>12+8</f>
        <v>20</v>
      </c>
      <c r="C129" s="13">
        <v>8</v>
      </c>
      <c r="D129" s="13">
        <f>16+2+7</f>
        <v>25</v>
      </c>
      <c r="E129" s="13">
        <f>12+8</f>
        <v>20</v>
      </c>
      <c r="F129" s="13">
        <f>8+6</f>
        <v>14</v>
      </c>
      <c r="G129" s="13">
        <f>9+1+3</f>
        <v>13</v>
      </c>
      <c r="H129" s="13">
        <f>14+4</f>
        <v>18</v>
      </c>
      <c r="I129" s="13">
        <f>20+16</f>
        <v>36</v>
      </c>
      <c r="J129" s="13">
        <f>14+1+4</f>
        <v>19</v>
      </c>
      <c r="K129" s="13">
        <f>12+2+9</f>
        <v>23</v>
      </c>
      <c r="L129" s="13">
        <f>11+15</f>
        <v>26</v>
      </c>
      <c r="M129" s="13">
        <f>9+3</f>
        <v>12</v>
      </c>
      <c r="N129" s="13">
        <f>11+5</f>
        <v>16</v>
      </c>
      <c r="O129" s="13">
        <f>12+20</f>
        <v>32</v>
      </c>
      <c r="P129" s="13">
        <f>13+16</f>
        <v>29</v>
      </c>
      <c r="Q129" s="13">
        <f>9+10</f>
        <v>19</v>
      </c>
      <c r="R129" s="13">
        <f>7+5</f>
        <v>12</v>
      </c>
      <c r="S129" s="13">
        <f>1+3+3</f>
        <v>7</v>
      </c>
      <c r="T129" s="13">
        <f>3+5</f>
        <v>8</v>
      </c>
      <c r="U129" s="13">
        <f>9+4</f>
        <v>13</v>
      </c>
      <c r="V129" s="13">
        <f>3+4</f>
        <v>7</v>
      </c>
      <c r="W129" s="13">
        <f>7+5</f>
        <v>12</v>
      </c>
      <c r="X129" s="13">
        <f>4+1</f>
        <v>5</v>
      </c>
      <c r="Y129" s="13">
        <f>2+3</f>
        <v>5</v>
      </c>
      <c r="Z129" s="13">
        <f>2+2</f>
        <v>4</v>
      </c>
      <c r="AA129" s="13">
        <f>8+8</f>
        <v>16</v>
      </c>
      <c r="AB129" s="13">
        <v>5</v>
      </c>
      <c r="AC129" s="13">
        <f>3+5</f>
        <v>8</v>
      </c>
      <c r="AD129" s="13">
        <f>6+9</f>
        <v>15</v>
      </c>
      <c r="AE129" s="13">
        <f>3+12</f>
        <v>15</v>
      </c>
      <c r="AF129" s="14">
        <f>2+2</f>
        <v>4</v>
      </c>
      <c r="AG129" s="4">
        <f t="shared" si="19"/>
        <v>466</v>
      </c>
    </row>
    <row r="130" spans="1:35" ht="18.75" x14ac:dyDescent="0.25">
      <c r="A130" s="73" t="s">
        <v>109</v>
      </c>
      <c r="B130" s="74">
        <f t="shared" ref="B130:AF130" si="20">SUM(B131:B143)</f>
        <v>188</v>
      </c>
      <c r="C130" s="74">
        <f t="shared" si="20"/>
        <v>152</v>
      </c>
      <c r="D130" s="74">
        <f t="shared" si="20"/>
        <v>172</v>
      </c>
      <c r="E130" s="74">
        <f t="shared" si="20"/>
        <v>147</v>
      </c>
      <c r="F130" s="74">
        <f t="shared" si="20"/>
        <v>143</v>
      </c>
      <c r="G130" s="74">
        <f t="shared" si="20"/>
        <v>129</v>
      </c>
      <c r="H130" s="74">
        <f t="shared" si="20"/>
        <v>202</v>
      </c>
      <c r="I130" s="74">
        <f t="shared" si="20"/>
        <v>200</v>
      </c>
      <c r="J130" s="74">
        <f t="shared" si="20"/>
        <v>157</v>
      </c>
      <c r="K130" s="74">
        <f t="shared" si="20"/>
        <v>156</v>
      </c>
      <c r="L130" s="74">
        <f t="shared" si="20"/>
        <v>162</v>
      </c>
      <c r="M130" s="74">
        <f t="shared" si="20"/>
        <v>161</v>
      </c>
      <c r="N130" s="74">
        <f t="shared" si="20"/>
        <v>149</v>
      </c>
      <c r="O130" s="74">
        <f t="shared" si="20"/>
        <v>232</v>
      </c>
      <c r="P130" s="74">
        <f t="shared" si="20"/>
        <v>230</v>
      </c>
      <c r="Q130" s="74">
        <f t="shared" si="20"/>
        <v>128</v>
      </c>
      <c r="R130" s="74">
        <f t="shared" si="20"/>
        <v>118</v>
      </c>
      <c r="S130" s="74">
        <f t="shared" si="20"/>
        <v>53</v>
      </c>
      <c r="T130" s="74">
        <f t="shared" si="20"/>
        <v>65</v>
      </c>
      <c r="U130" s="74">
        <f t="shared" si="20"/>
        <v>69</v>
      </c>
      <c r="V130" s="74">
        <f t="shared" si="20"/>
        <v>70</v>
      </c>
      <c r="W130" s="74">
        <f t="shared" si="20"/>
        <v>82</v>
      </c>
      <c r="X130" s="74">
        <f t="shared" si="20"/>
        <v>41</v>
      </c>
      <c r="Y130" s="74">
        <f t="shared" si="20"/>
        <v>37</v>
      </c>
      <c r="Z130" s="74">
        <f t="shared" si="20"/>
        <v>48</v>
      </c>
      <c r="AA130" s="74">
        <f t="shared" si="20"/>
        <v>56</v>
      </c>
      <c r="AB130" s="74">
        <f t="shared" si="20"/>
        <v>54</v>
      </c>
      <c r="AC130" s="74">
        <f t="shared" si="20"/>
        <v>84</v>
      </c>
      <c r="AD130" s="74">
        <f t="shared" si="20"/>
        <v>102</v>
      </c>
      <c r="AE130" s="74">
        <f t="shared" si="20"/>
        <v>54</v>
      </c>
      <c r="AF130" s="84">
        <f t="shared" si="20"/>
        <v>61</v>
      </c>
      <c r="AG130" s="150">
        <f t="shared" si="19"/>
        <v>3702</v>
      </c>
      <c r="AH130" s="1" t="str">
        <f>IF(AG130&lt;&gt;AG93,"*","")</f>
        <v/>
      </c>
    </row>
    <row r="131" spans="1:35" ht="18.75" x14ac:dyDescent="0.25">
      <c r="A131" s="43" t="s">
        <v>59</v>
      </c>
      <c r="B131" s="7">
        <v>65</v>
      </c>
      <c r="C131" s="7">
        <v>51</v>
      </c>
      <c r="D131" s="7">
        <v>50</v>
      </c>
      <c r="E131" s="7">
        <v>49</v>
      </c>
      <c r="F131" s="7">
        <v>51</v>
      </c>
      <c r="G131" s="7">
        <v>47</v>
      </c>
      <c r="H131" s="7">
        <v>60</v>
      </c>
      <c r="I131" s="7">
        <v>59</v>
      </c>
      <c r="J131" s="7">
        <v>44</v>
      </c>
      <c r="K131" s="7">
        <v>57</v>
      </c>
      <c r="L131" s="7">
        <v>51</v>
      </c>
      <c r="M131" s="7">
        <v>60</v>
      </c>
      <c r="N131" s="7">
        <v>47</v>
      </c>
      <c r="O131" s="7">
        <v>79</v>
      </c>
      <c r="P131" s="7">
        <v>68</v>
      </c>
      <c r="Q131" s="7">
        <v>45</v>
      </c>
      <c r="R131" s="7">
        <v>31</v>
      </c>
      <c r="S131" s="7">
        <v>15</v>
      </c>
      <c r="T131" s="7">
        <v>22</v>
      </c>
      <c r="U131" s="7">
        <v>26</v>
      </c>
      <c r="V131" s="7">
        <v>17</v>
      </c>
      <c r="W131" s="7">
        <v>25</v>
      </c>
      <c r="X131" s="7">
        <v>11</v>
      </c>
      <c r="Y131" s="7">
        <v>14</v>
      </c>
      <c r="Z131" s="7">
        <v>18</v>
      </c>
      <c r="AA131" s="7">
        <v>13</v>
      </c>
      <c r="AB131" s="7">
        <v>18</v>
      </c>
      <c r="AC131" s="7">
        <v>23</v>
      </c>
      <c r="AD131" s="7">
        <v>27</v>
      </c>
      <c r="AE131" s="7">
        <v>16</v>
      </c>
      <c r="AF131" s="8">
        <v>25</v>
      </c>
      <c r="AG131" s="4">
        <f t="shared" si="19"/>
        <v>1184</v>
      </c>
    </row>
    <row r="132" spans="1:35" ht="18.75" x14ac:dyDescent="0.25">
      <c r="A132" s="43" t="s">
        <v>23</v>
      </c>
      <c r="B132" s="7">
        <v>11</v>
      </c>
      <c r="C132" s="7">
        <v>12</v>
      </c>
      <c r="D132" s="7">
        <v>6</v>
      </c>
      <c r="E132" s="7">
        <v>5</v>
      </c>
      <c r="F132" s="7">
        <v>11</v>
      </c>
      <c r="G132" s="7">
        <v>5</v>
      </c>
      <c r="H132" s="7">
        <v>19</v>
      </c>
      <c r="I132" s="7">
        <v>12</v>
      </c>
      <c r="J132" s="7">
        <v>4</v>
      </c>
      <c r="K132" s="7">
        <v>7</v>
      </c>
      <c r="L132" s="7">
        <v>10</v>
      </c>
      <c r="M132" s="7">
        <v>7</v>
      </c>
      <c r="N132" s="7">
        <v>13</v>
      </c>
      <c r="O132" s="7">
        <v>8</v>
      </c>
      <c r="P132" s="7">
        <v>13</v>
      </c>
      <c r="Q132" s="7">
        <v>3</v>
      </c>
      <c r="R132" s="7">
        <v>10</v>
      </c>
      <c r="S132" s="7">
        <v>2</v>
      </c>
      <c r="T132" s="7">
        <v>7</v>
      </c>
      <c r="U132" s="7">
        <v>2</v>
      </c>
      <c r="V132" s="7">
        <v>5</v>
      </c>
      <c r="W132" s="7">
        <v>5</v>
      </c>
      <c r="X132" s="7">
        <v>5</v>
      </c>
      <c r="Y132" s="7"/>
      <c r="Z132" s="7">
        <v>4</v>
      </c>
      <c r="AA132" s="7">
        <v>5</v>
      </c>
      <c r="AB132" s="7">
        <v>3</v>
      </c>
      <c r="AC132" s="7">
        <v>4</v>
      </c>
      <c r="AD132" s="7">
        <v>5</v>
      </c>
      <c r="AE132" s="7">
        <v>6</v>
      </c>
      <c r="AF132" s="8">
        <v>2</v>
      </c>
      <c r="AG132" s="4">
        <f t="shared" si="19"/>
        <v>211</v>
      </c>
    </row>
    <row r="133" spans="1:35" ht="18.75" x14ac:dyDescent="0.25">
      <c r="A133" s="43" t="s">
        <v>24</v>
      </c>
      <c r="B133" s="7">
        <v>14</v>
      </c>
      <c r="C133" s="7">
        <v>8</v>
      </c>
      <c r="D133" s="7">
        <v>14</v>
      </c>
      <c r="E133" s="7">
        <v>14</v>
      </c>
      <c r="F133" s="7">
        <v>11</v>
      </c>
      <c r="G133" s="7">
        <v>10</v>
      </c>
      <c r="H133" s="7">
        <v>12</v>
      </c>
      <c r="I133" s="7">
        <v>12</v>
      </c>
      <c r="J133" s="7">
        <v>17</v>
      </c>
      <c r="K133" s="7">
        <v>15</v>
      </c>
      <c r="L133" s="7">
        <v>11</v>
      </c>
      <c r="M133" s="7">
        <v>11</v>
      </c>
      <c r="N133" s="7">
        <v>17</v>
      </c>
      <c r="O133" s="7">
        <v>10</v>
      </c>
      <c r="P133" s="7">
        <v>18</v>
      </c>
      <c r="Q133" s="7">
        <v>11</v>
      </c>
      <c r="R133" s="7">
        <v>15</v>
      </c>
      <c r="S133" s="7">
        <v>6</v>
      </c>
      <c r="T133" s="7">
        <v>4</v>
      </c>
      <c r="U133" s="7">
        <v>6</v>
      </c>
      <c r="V133" s="7">
        <v>3</v>
      </c>
      <c r="W133" s="7">
        <v>2</v>
      </c>
      <c r="X133" s="7">
        <v>3</v>
      </c>
      <c r="Y133" s="7">
        <v>2</v>
      </c>
      <c r="Z133" s="7">
        <v>1</v>
      </c>
      <c r="AA133" s="7">
        <v>1</v>
      </c>
      <c r="AB133" s="7">
        <v>8</v>
      </c>
      <c r="AC133" s="7">
        <v>9</v>
      </c>
      <c r="AD133" s="7">
        <v>18</v>
      </c>
      <c r="AE133" s="7">
        <v>3</v>
      </c>
      <c r="AF133" s="8">
        <v>4</v>
      </c>
      <c r="AG133" s="4">
        <f t="shared" si="19"/>
        <v>290</v>
      </c>
    </row>
    <row r="134" spans="1:35" ht="18.75" x14ac:dyDescent="0.25">
      <c r="A134" s="43" t="s">
        <v>25</v>
      </c>
      <c r="B134" s="7">
        <f>1+13</f>
        <v>14</v>
      </c>
      <c r="C134" s="7">
        <v>3</v>
      </c>
      <c r="D134" s="7">
        <v>11</v>
      </c>
      <c r="E134" s="7">
        <v>5</v>
      </c>
      <c r="F134" s="7">
        <f>6+1</f>
        <v>7</v>
      </c>
      <c r="G134" s="7">
        <v>2</v>
      </c>
      <c r="H134" s="7">
        <f>1+11</f>
        <v>12</v>
      </c>
      <c r="I134" s="7">
        <v>12</v>
      </c>
      <c r="J134" s="7">
        <f>1+2</f>
        <v>3</v>
      </c>
      <c r="K134" s="7">
        <v>11</v>
      </c>
      <c r="L134" s="7">
        <f>10+1</f>
        <v>11</v>
      </c>
      <c r="M134" s="7">
        <v>6</v>
      </c>
      <c r="N134" s="7">
        <v>9</v>
      </c>
      <c r="O134" s="7">
        <f>2+16</f>
        <v>18</v>
      </c>
      <c r="P134" s="7">
        <f>1+16</f>
        <v>17</v>
      </c>
      <c r="Q134" s="7">
        <v>9</v>
      </c>
      <c r="R134" s="7">
        <f>1+5+1</f>
        <v>7</v>
      </c>
      <c r="S134" s="7">
        <v>7</v>
      </c>
      <c r="T134" s="7">
        <v>4</v>
      </c>
      <c r="U134" s="7">
        <v>3</v>
      </c>
      <c r="V134" s="7">
        <v>5</v>
      </c>
      <c r="W134" s="7">
        <v>7</v>
      </c>
      <c r="X134" s="7">
        <v>1</v>
      </c>
      <c r="Y134" s="7">
        <f>1+1</f>
        <v>2</v>
      </c>
      <c r="Z134" s="7">
        <v>4</v>
      </c>
      <c r="AA134" s="7">
        <v>4</v>
      </c>
      <c r="AB134" s="7">
        <v>7</v>
      </c>
      <c r="AC134" s="7">
        <v>7</v>
      </c>
      <c r="AD134" s="7">
        <v>4</v>
      </c>
      <c r="AE134" s="7"/>
      <c r="AF134" s="8"/>
      <c r="AG134" s="4">
        <f t="shared" ref="AG134:AG147" si="21">SUM(B134:AF134)</f>
        <v>212</v>
      </c>
    </row>
    <row r="135" spans="1:35" ht="18.75" x14ac:dyDescent="0.25">
      <c r="A135" s="43" t="s">
        <v>26</v>
      </c>
      <c r="B135" s="7">
        <v>10</v>
      </c>
      <c r="C135" s="7">
        <v>9</v>
      </c>
      <c r="D135" s="7">
        <v>13</v>
      </c>
      <c r="E135" s="7">
        <v>7</v>
      </c>
      <c r="F135" s="7">
        <v>9</v>
      </c>
      <c r="G135" s="7">
        <v>13</v>
      </c>
      <c r="H135" s="7">
        <v>18</v>
      </c>
      <c r="I135" s="7">
        <v>9</v>
      </c>
      <c r="J135" s="7">
        <v>12</v>
      </c>
      <c r="K135" s="7">
        <v>8</v>
      </c>
      <c r="L135" s="7">
        <v>12</v>
      </c>
      <c r="M135" s="7">
        <v>10</v>
      </c>
      <c r="N135" s="7">
        <v>7</v>
      </c>
      <c r="O135" s="7">
        <v>14</v>
      </c>
      <c r="P135" s="7">
        <v>13</v>
      </c>
      <c r="Q135" s="7">
        <v>11</v>
      </c>
      <c r="R135" s="7">
        <v>7</v>
      </c>
      <c r="S135" s="7">
        <v>5</v>
      </c>
      <c r="T135" s="7">
        <v>2</v>
      </c>
      <c r="U135" s="7">
        <v>2</v>
      </c>
      <c r="V135" s="7">
        <v>7</v>
      </c>
      <c r="W135" s="7">
        <v>8</v>
      </c>
      <c r="X135" s="7">
        <v>2</v>
      </c>
      <c r="Y135" s="7">
        <v>3</v>
      </c>
      <c r="Z135" s="7">
        <v>4</v>
      </c>
      <c r="AA135" s="7">
        <v>2</v>
      </c>
      <c r="AB135" s="7"/>
      <c r="AC135" s="7">
        <v>10</v>
      </c>
      <c r="AD135" s="7">
        <v>5</v>
      </c>
      <c r="AE135" s="7">
        <v>3</v>
      </c>
      <c r="AF135" s="8">
        <v>8</v>
      </c>
      <c r="AG135" s="4">
        <f t="shared" si="21"/>
        <v>243</v>
      </c>
    </row>
    <row r="136" spans="1:35" ht="18.75" x14ac:dyDescent="0.25">
      <c r="A136" s="43" t="s">
        <v>27</v>
      </c>
      <c r="B136" s="7">
        <v>31</v>
      </c>
      <c r="C136" s="7">
        <v>39</v>
      </c>
      <c r="D136" s="7">
        <v>24</v>
      </c>
      <c r="E136" s="7">
        <v>31</v>
      </c>
      <c r="F136" s="7">
        <v>24</v>
      </c>
      <c r="G136" s="7">
        <v>24</v>
      </c>
      <c r="H136" s="7">
        <v>43</v>
      </c>
      <c r="I136" s="7">
        <v>32</v>
      </c>
      <c r="J136" s="7">
        <v>40</v>
      </c>
      <c r="K136" s="7">
        <v>18</v>
      </c>
      <c r="L136" s="7">
        <v>27</v>
      </c>
      <c r="M136" s="7">
        <v>29</v>
      </c>
      <c r="N136" s="7">
        <v>20</v>
      </c>
      <c r="O136" s="7">
        <v>42</v>
      </c>
      <c r="P136" s="7">
        <v>41</v>
      </c>
      <c r="Q136" s="7">
        <v>17</v>
      </c>
      <c r="R136" s="7">
        <v>22</v>
      </c>
      <c r="S136" s="7">
        <v>6</v>
      </c>
      <c r="T136" s="7">
        <v>15</v>
      </c>
      <c r="U136" s="7">
        <v>9</v>
      </c>
      <c r="V136" s="7">
        <v>13</v>
      </c>
      <c r="W136" s="7">
        <v>9</v>
      </c>
      <c r="X136" s="7">
        <v>7</v>
      </c>
      <c r="Y136" s="7">
        <v>8</v>
      </c>
      <c r="Z136" s="7">
        <v>13</v>
      </c>
      <c r="AA136" s="7">
        <v>11</v>
      </c>
      <c r="AB136" s="7">
        <v>6</v>
      </c>
      <c r="AC136" s="7">
        <v>15</v>
      </c>
      <c r="AD136" s="7">
        <v>17</v>
      </c>
      <c r="AE136" s="7">
        <v>6</v>
      </c>
      <c r="AF136" s="8">
        <v>8</v>
      </c>
      <c r="AG136" s="4">
        <f t="shared" si="21"/>
        <v>647</v>
      </c>
    </row>
    <row r="137" spans="1:35" ht="18.75" x14ac:dyDescent="0.25">
      <c r="A137" s="43" t="s">
        <v>28</v>
      </c>
      <c r="B137" s="7">
        <v>5</v>
      </c>
      <c r="C137" s="7">
        <f>6+1</f>
        <v>7</v>
      </c>
      <c r="D137" s="7">
        <v>10</v>
      </c>
      <c r="E137" s="7">
        <v>6</v>
      </c>
      <c r="F137" s="7">
        <f>7+1</f>
        <v>8</v>
      </c>
      <c r="G137" s="7">
        <v>5</v>
      </c>
      <c r="H137" s="7">
        <v>7</v>
      </c>
      <c r="I137" s="7">
        <f>8+2</f>
        <v>10</v>
      </c>
      <c r="J137" s="7">
        <f>2+3</f>
        <v>5</v>
      </c>
      <c r="K137" s="7">
        <f>6+2</f>
        <v>8</v>
      </c>
      <c r="L137" s="7">
        <v>4</v>
      </c>
      <c r="M137" s="7">
        <v>11</v>
      </c>
      <c r="N137" s="7">
        <v>6</v>
      </c>
      <c r="O137" s="7">
        <v>13</v>
      </c>
      <c r="P137" s="7">
        <f>8+1</f>
        <v>9</v>
      </c>
      <c r="Q137" s="7">
        <f>6+2</f>
        <v>8</v>
      </c>
      <c r="R137" s="7">
        <f>5+1</f>
        <v>6</v>
      </c>
      <c r="S137" s="7">
        <v>2</v>
      </c>
      <c r="T137" s="7">
        <v>1</v>
      </c>
      <c r="U137" s="7">
        <v>5</v>
      </c>
      <c r="V137" s="7">
        <v>4</v>
      </c>
      <c r="W137" s="7">
        <v>5</v>
      </c>
      <c r="X137" s="7">
        <v>2</v>
      </c>
      <c r="Y137" s="7">
        <v>2</v>
      </c>
      <c r="Z137" s="7"/>
      <c r="AA137" s="7">
        <v>3</v>
      </c>
      <c r="AB137" s="7">
        <f>1+1</f>
        <v>2</v>
      </c>
      <c r="AC137" s="7">
        <f>4+1</f>
        <v>5</v>
      </c>
      <c r="AD137" s="7">
        <v>5</v>
      </c>
      <c r="AE137" s="7">
        <v>1</v>
      </c>
      <c r="AF137" s="8">
        <v>1</v>
      </c>
      <c r="AG137" s="4">
        <f t="shared" si="21"/>
        <v>166</v>
      </c>
    </row>
    <row r="138" spans="1:35" ht="18.75" x14ac:dyDescent="0.25">
      <c r="A138" s="43" t="s">
        <v>29</v>
      </c>
      <c r="B138" s="7">
        <v>8</v>
      </c>
      <c r="C138" s="7">
        <v>7</v>
      </c>
      <c r="D138" s="7">
        <v>13</v>
      </c>
      <c r="E138" s="7">
        <v>5</v>
      </c>
      <c r="F138" s="7">
        <v>5</v>
      </c>
      <c r="G138" s="7">
        <v>5</v>
      </c>
      <c r="H138" s="7">
        <v>7</v>
      </c>
      <c r="I138" s="7">
        <v>8</v>
      </c>
      <c r="J138" s="7">
        <v>7</v>
      </c>
      <c r="K138" s="7">
        <v>5</v>
      </c>
      <c r="L138" s="7">
        <v>2</v>
      </c>
      <c r="M138" s="7">
        <v>6</v>
      </c>
      <c r="N138" s="7">
        <v>4</v>
      </c>
      <c r="O138" s="7">
        <v>7</v>
      </c>
      <c r="P138" s="7">
        <v>6</v>
      </c>
      <c r="Q138" s="7">
        <v>3</v>
      </c>
      <c r="R138" s="7">
        <v>4</v>
      </c>
      <c r="S138" s="7"/>
      <c r="T138" s="7"/>
      <c r="U138" s="7">
        <v>2</v>
      </c>
      <c r="V138" s="7">
        <v>5</v>
      </c>
      <c r="W138" s="7">
        <v>5</v>
      </c>
      <c r="X138" s="7">
        <v>1</v>
      </c>
      <c r="Y138" s="7">
        <v>1</v>
      </c>
      <c r="Z138" s="7"/>
      <c r="AA138" s="7"/>
      <c r="AB138" s="7">
        <v>1</v>
      </c>
      <c r="AC138" s="7">
        <v>2</v>
      </c>
      <c r="AD138" s="7">
        <v>5</v>
      </c>
      <c r="AE138" s="7">
        <v>2</v>
      </c>
      <c r="AF138" s="8">
        <v>4</v>
      </c>
      <c r="AG138" s="4">
        <f t="shared" si="21"/>
        <v>130</v>
      </c>
    </row>
    <row r="139" spans="1:35" ht="18.75" x14ac:dyDescent="0.25">
      <c r="A139" s="41" t="s">
        <v>30</v>
      </c>
      <c r="B139" s="7">
        <v>1</v>
      </c>
      <c r="C139" s="7"/>
      <c r="D139" s="7">
        <v>2</v>
      </c>
      <c r="E139" s="7">
        <v>3</v>
      </c>
      <c r="F139" s="7">
        <v>1</v>
      </c>
      <c r="G139" s="7">
        <v>3</v>
      </c>
      <c r="H139" s="7">
        <f>3+1</f>
        <v>4</v>
      </c>
      <c r="I139" s="7">
        <v>2</v>
      </c>
      <c r="J139" s="7">
        <f>1+1</f>
        <v>2</v>
      </c>
      <c r="K139" s="7">
        <f>2+1</f>
        <v>3</v>
      </c>
      <c r="L139" s="7"/>
      <c r="M139" s="7">
        <v>3</v>
      </c>
      <c r="N139" s="7">
        <v>5</v>
      </c>
      <c r="O139" s="7">
        <v>4</v>
      </c>
      <c r="P139" s="7">
        <v>1</v>
      </c>
      <c r="Q139" s="7"/>
      <c r="R139" s="7">
        <f>1</f>
        <v>1</v>
      </c>
      <c r="S139" s="7"/>
      <c r="T139" s="7">
        <v>1</v>
      </c>
      <c r="U139" s="7"/>
      <c r="V139" s="7"/>
      <c r="W139" s="7">
        <v>1</v>
      </c>
      <c r="X139" s="7">
        <v>3</v>
      </c>
      <c r="Y139" s="7"/>
      <c r="Z139" s="7"/>
      <c r="AA139" s="7">
        <v>1</v>
      </c>
      <c r="AB139" s="7">
        <v>1</v>
      </c>
      <c r="AC139" s="7"/>
      <c r="AD139" s="7">
        <v>1</v>
      </c>
      <c r="AE139" s="7"/>
      <c r="AF139" s="8">
        <v>1</v>
      </c>
      <c r="AG139" s="4">
        <f t="shared" si="21"/>
        <v>44</v>
      </c>
    </row>
    <row r="140" spans="1:35" ht="18.75" x14ac:dyDescent="0.25">
      <c r="A140" s="41" t="s">
        <v>31</v>
      </c>
      <c r="B140" s="7">
        <v>4</v>
      </c>
      <c r="C140" s="7">
        <v>1</v>
      </c>
      <c r="D140" s="7">
        <v>1</v>
      </c>
      <c r="E140" s="7">
        <v>1</v>
      </c>
      <c r="F140" s="7">
        <v>1</v>
      </c>
      <c r="G140" s="7">
        <v>1</v>
      </c>
      <c r="H140" s="7">
        <v>1</v>
      </c>
      <c r="I140" s="7">
        <v>5</v>
      </c>
      <c r="J140" s="7">
        <v>2</v>
      </c>
      <c r="K140" s="7">
        <v>1</v>
      </c>
      <c r="L140" s="7">
        <v>5</v>
      </c>
      <c r="M140" s="7">
        <v>4</v>
      </c>
      <c r="N140" s="7">
        <v>2</v>
      </c>
      <c r="O140" s="7"/>
      <c r="P140" s="7">
        <v>5</v>
      </c>
      <c r="Q140" s="7">
        <v>1</v>
      </c>
      <c r="R140" s="7">
        <v>2</v>
      </c>
      <c r="S140" s="7"/>
      <c r="T140" s="7"/>
      <c r="U140" s="7"/>
      <c r="V140" s="7">
        <v>1</v>
      </c>
      <c r="W140" s="7">
        <v>2</v>
      </c>
      <c r="X140" s="7">
        <v>1</v>
      </c>
      <c r="Y140" s="7"/>
      <c r="Z140" s="7">
        <v>1</v>
      </c>
      <c r="AA140" s="7">
        <v>1</v>
      </c>
      <c r="AB140" s="7"/>
      <c r="AC140" s="7">
        <v>1</v>
      </c>
      <c r="AD140" s="7">
        <v>1</v>
      </c>
      <c r="AE140" s="7">
        <v>1</v>
      </c>
      <c r="AF140" s="8">
        <v>1</v>
      </c>
      <c r="AG140" s="4">
        <f t="shared" si="21"/>
        <v>47</v>
      </c>
    </row>
    <row r="141" spans="1:35" ht="18.75" x14ac:dyDescent="0.25">
      <c r="A141" s="41" t="s">
        <v>32</v>
      </c>
      <c r="B141" s="7"/>
      <c r="C141" s="7"/>
      <c r="D141" s="7"/>
      <c r="E141" s="7"/>
      <c r="F141" s="7"/>
      <c r="G141" s="7"/>
      <c r="H141" s="7"/>
      <c r="I141" s="7"/>
      <c r="J141" s="7">
        <v>2</v>
      </c>
      <c r="K141" s="7"/>
      <c r="L141" s="7"/>
      <c r="M141" s="7"/>
      <c r="N141" s="7">
        <v>1</v>
      </c>
      <c r="O141" s="7">
        <v>1</v>
      </c>
      <c r="P141" s="7"/>
      <c r="Q141" s="7"/>
      <c r="R141" s="7"/>
      <c r="S141" s="7">
        <v>1</v>
      </c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8"/>
      <c r="AG141" s="4">
        <f t="shared" si="21"/>
        <v>5</v>
      </c>
    </row>
    <row r="142" spans="1:35" ht="18.75" x14ac:dyDescent="0.25">
      <c r="A142" s="43" t="s">
        <v>60</v>
      </c>
      <c r="B142" s="7">
        <f>1+1+1+1+1</f>
        <v>5</v>
      </c>
      <c r="C142" s="7">
        <f>1+1+1+2+1</f>
        <v>6</v>
      </c>
      <c r="D142" s="7">
        <f>1+1+1+2+1+1+2</f>
        <v>9</v>
      </c>
      <c r="E142" s="7">
        <f>1+1</f>
        <v>2</v>
      </c>
      <c r="F142" s="7">
        <f>2+1</f>
        <v>3</v>
      </c>
      <c r="G142" s="7">
        <f>1+1+1</f>
        <v>3</v>
      </c>
      <c r="H142" s="7">
        <f>1+1+1</f>
        <v>3</v>
      </c>
      <c r="I142" s="7">
        <f>1+1+1</f>
        <v>3</v>
      </c>
      <c r="J142" s="7">
        <f>1+1+1+1</f>
        <v>4</v>
      </c>
      <c r="K142" s="7">
        <f>1+1+1+1+1</f>
        <v>5</v>
      </c>
      <c r="L142" s="7">
        <f>1+2+1+1+1+1</f>
        <v>7</v>
      </c>
      <c r="M142" s="7">
        <f>1+1+1+1</f>
        <v>4</v>
      </c>
      <c r="N142" s="7">
        <f>1+1+1+1</f>
        <v>4</v>
      </c>
      <c r="O142" s="7">
        <f>1+1+2</f>
        <v>4</v>
      </c>
      <c r="P142" s="7">
        <f>1+2+2+1+1+2+2</f>
        <v>11</v>
      </c>
      <c r="Q142" s="7">
        <f>1+2</f>
        <v>3</v>
      </c>
      <c r="R142" s="7">
        <f>1+1</f>
        <v>2</v>
      </c>
      <c r="S142" s="7">
        <v>3</v>
      </c>
      <c r="T142" s="7">
        <f>1+1</f>
        <v>2</v>
      </c>
      <c r="U142" s="7">
        <f>7+1+2</f>
        <v>10</v>
      </c>
      <c r="V142" s="7">
        <f>2+1</f>
        <v>3</v>
      </c>
      <c r="W142" s="7">
        <v>1</v>
      </c>
      <c r="X142" s="7">
        <v>1</v>
      </c>
      <c r="Y142" s="7">
        <v>3</v>
      </c>
      <c r="Z142" s="7"/>
      <c r="AA142" s="7">
        <v>1</v>
      </c>
      <c r="AB142" s="7">
        <f>1+1+1</f>
        <v>3</v>
      </c>
      <c r="AC142" s="7">
        <f>1+5</f>
        <v>6</v>
      </c>
      <c r="AD142" s="7">
        <v>8</v>
      </c>
      <c r="AE142" s="7">
        <f>1</f>
        <v>1</v>
      </c>
      <c r="AF142" s="8">
        <f>1+1+1</f>
        <v>3</v>
      </c>
      <c r="AG142" s="4">
        <f t="shared" si="21"/>
        <v>123</v>
      </c>
    </row>
    <row r="143" spans="1:35" ht="19.5" thickBot="1" x14ac:dyDescent="0.3">
      <c r="A143" s="75" t="s">
        <v>86</v>
      </c>
      <c r="B143" s="13">
        <f>12+8</f>
        <v>20</v>
      </c>
      <c r="C143" s="13">
        <f>6+3</f>
        <v>9</v>
      </c>
      <c r="D143" s="13">
        <f>12+2+5</f>
        <v>19</v>
      </c>
      <c r="E143" s="13">
        <f>12+7</f>
        <v>19</v>
      </c>
      <c r="F143" s="13">
        <f>6+6</f>
        <v>12</v>
      </c>
      <c r="G143" s="13">
        <f>7+1+3</f>
        <v>11</v>
      </c>
      <c r="H143" s="13">
        <f>12+4</f>
        <v>16</v>
      </c>
      <c r="I143" s="13">
        <f>20+16</f>
        <v>36</v>
      </c>
      <c r="J143" s="13">
        <f>11+1+3</f>
        <v>15</v>
      </c>
      <c r="K143" s="13">
        <f>9+2+7</f>
        <v>18</v>
      </c>
      <c r="L143" s="13">
        <f>9+13</f>
        <v>22</v>
      </c>
      <c r="M143" s="13">
        <f>8+2</f>
        <v>10</v>
      </c>
      <c r="N143" s="13">
        <f>9+5</f>
        <v>14</v>
      </c>
      <c r="O143" s="13">
        <f>12+20</f>
        <v>32</v>
      </c>
      <c r="P143" s="13">
        <f>13+15</f>
        <v>28</v>
      </c>
      <c r="Q143" s="13">
        <f>8+9</f>
        <v>17</v>
      </c>
      <c r="R143" s="13">
        <f>6+5</f>
        <v>11</v>
      </c>
      <c r="S143" s="13">
        <f>1+3+2</f>
        <v>6</v>
      </c>
      <c r="T143" s="13">
        <f>2+5</f>
        <v>7</v>
      </c>
      <c r="U143" s="13">
        <v>4</v>
      </c>
      <c r="V143" s="13">
        <f>3+4</f>
        <v>7</v>
      </c>
      <c r="W143" s="13">
        <f>7+5</f>
        <v>12</v>
      </c>
      <c r="X143" s="13">
        <v>4</v>
      </c>
      <c r="Y143" s="13">
        <v>2</v>
      </c>
      <c r="Z143" s="13">
        <f>1+2</f>
        <v>3</v>
      </c>
      <c r="AA143" s="13">
        <f>8+6</f>
        <v>14</v>
      </c>
      <c r="AB143" s="13">
        <v>5</v>
      </c>
      <c r="AC143" s="13">
        <v>2</v>
      </c>
      <c r="AD143" s="13">
        <v>6</v>
      </c>
      <c r="AE143" s="13">
        <f>3+12</f>
        <v>15</v>
      </c>
      <c r="AF143" s="14">
        <f>2+2</f>
        <v>4</v>
      </c>
      <c r="AG143" s="108">
        <f t="shared" si="21"/>
        <v>400</v>
      </c>
    </row>
    <row r="144" spans="1:35" ht="19.5" thickBot="1" x14ac:dyDescent="0.3">
      <c r="A144" s="164" t="s">
        <v>89</v>
      </c>
      <c r="B144" s="165">
        <f t="shared" ref="B144:AD144" si="22">+B146+B156+B158+B167</f>
        <v>188</v>
      </c>
      <c r="C144" s="165">
        <f t="shared" si="22"/>
        <v>152</v>
      </c>
      <c r="D144" s="165">
        <f t="shared" si="22"/>
        <v>172</v>
      </c>
      <c r="E144" s="165">
        <f t="shared" si="22"/>
        <v>147</v>
      </c>
      <c r="F144" s="165">
        <f t="shared" si="22"/>
        <v>143</v>
      </c>
      <c r="G144" s="165">
        <f t="shared" si="22"/>
        <v>129</v>
      </c>
      <c r="H144" s="165">
        <f t="shared" si="22"/>
        <v>202</v>
      </c>
      <c r="I144" s="165">
        <f t="shared" si="22"/>
        <v>200</v>
      </c>
      <c r="J144" s="165">
        <f t="shared" si="22"/>
        <v>157</v>
      </c>
      <c r="K144" s="165">
        <f t="shared" si="22"/>
        <v>156</v>
      </c>
      <c r="L144" s="165">
        <f t="shared" si="22"/>
        <v>162</v>
      </c>
      <c r="M144" s="165">
        <f t="shared" si="22"/>
        <v>161</v>
      </c>
      <c r="N144" s="165">
        <f t="shared" si="22"/>
        <v>149</v>
      </c>
      <c r="O144" s="165">
        <f t="shared" si="22"/>
        <v>232</v>
      </c>
      <c r="P144" s="165">
        <f t="shared" si="22"/>
        <v>230</v>
      </c>
      <c r="Q144" s="165">
        <f t="shared" si="22"/>
        <v>128</v>
      </c>
      <c r="R144" s="165">
        <f t="shared" si="22"/>
        <v>118</v>
      </c>
      <c r="S144" s="165">
        <f t="shared" si="22"/>
        <v>53</v>
      </c>
      <c r="T144" s="165">
        <f t="shared" si="22"/>
        <v>65</v>
      </c>
      <c r="U144" s="165">
        <f t="shared" si="22"/>
        <v>69</v>
      </c>
      <c r="V144" s="165">
        <f t="shared" si="22"/>
        <v>70</v>
      </c>
      <c r="W144" s="165">
        <f t="shared" si="22"/>
        <v>82</v>
      </c>
      <c r="X144" s="165">
        <f t="shared" si="22"/>
        <v>41</v>
      </c>
      <c r="Y144" s="165">
        <f t="shared" si="22"/>
        <v>37</v>
      </c>
      <c r="Z144" s="165">
        <f t="shared" si="22"/>
        <v>48</v>
      </c>
      <c r="AA144" s="165">
        <f t="shared" si="22"/>
        <v>56</v>
      </c>
      <c r="AB144" s="165">
        <f t="shared" si="22"/>
        <v>54</v>
      </c>
      <c r="AC144" s="165">
        <f t="shared" si="22"/>
        <v>84</v>
      </c>
      <c r="AD144" s="165">
        <f t="shared" si="22"/>
        <v>102</v>
      </c>
      <c r="AE144" s="165">
        <f>+AE146+AE156+AE158+AE167</f>
        <v>54</v>
      </c>
      <c r="AF144" s="165">
        <f t="shared" ref="AF144" si="23">+AF146+AF156+AF158+AF167</f>
        <v>61</v>
      </c>
      <c r="AG144" s="116">
        <f t="shared" si="21"/>
        <v>3702</v>
      </c>
      <c r="AH144" s="38" t="str">
        <f>IF(AG144&lt;&gt;AG93,"*","")</f>
        <v/>
      </c>
      <c r="AI144" t="s">
        <v>140</v>
      </c>
    </row>
    <row r="145" spans="1:34" ht="19.5" thickBot="1" x14ac:dyDescent="0.3">
      <c r="A145" s="160" t="s">
        <v>98</v>
      </c>
      <c r="B145" s="161">
        <f t="shared" ref="B145:AD145" si="24">+B149+B155+B157+B172</f>
        <v>0</v>
      </c>
      <c r="C145" s="161">
        <f t="shared" si="24"/>
        <v>13</v>
      </c>
      <c r="D145" s="161">
        <f t="shared" si="24"/>
        <v>21</v>
      </c>
      <c r="E145" s="161">
        <f t="shared" si="24"/>
        <v>9</v>
      </c>
      <c r="F145" s="161">
        <f t="shared" si="24"/>
        <v>22</v>
      </c>
      <c r="G145" s="161">
        <f t="shared" si="24"/>
        <v>15</v>
      </c>
      <c r="H145" s="161">
        <f t="shared" si="24"/>
        <v>14</v>
      </c>
      <c r="I145" s="161">
        <f t="shared" si="24"/>
        <v>6</v>
      </c>
      <c r="J145" s="161">
        <f t="shared" si="24"/>
        <v>23</v>
      </c>
      <c r="K145" s="161">
        <f t="shared" si="24"/>
        <v>34</v>
      </c>
      <c r="L145" s="161">
        <f t="shared" si="24"/>
        <v>32</v>
      </c>
      <c r="M145" s="161">
        <f t="shared" si="24"/>
        <v>10</v>
      </c>
      <c r="N145" s="161">
        <f t="shared" si="24"/>
        <v>15</v>
      </c>
      <c r="O145" s="161">
        <f t="shared" si="24"/>
        <v>4</v>
      </c>
      <c r="P145" s="161">
        <f t="shared" si="24"/>
        <v>11</v>
      </c>
      <c r="Q145" s="161">
        <f t="shared" si="24"/>
        <v>26</v>
      </c>
      <c r="R145" s="161">
        <f t="shared" si="24"/>
        <v>17</v>
      </c>
      <c r="S145" s="161">
        <f t="shared" si="24"/>
        <v>9</v>
      </c>
      <c r="T145" s="161">
        <f t="shared" si="24"/>
        <v>4</v>
      </c>
      <c r="U145" s="161">
        <f t="shared" si="24"/>
        <v>5</v>
      </c>
      <c r="V145" s="161">
        <f t="shared" si="24"/>
        <v>5</v>
      </c>
      <c r="W145" s="161">
        <f t="shared" si="24"/>
        <v>2</v>
      </c>
      <c r="X145" s="161">
        <f t="shared" si="24"/>
        <v>0</v>
      </c>
      <c r="Y145" s="161">
        <f t="shared" si="24"/>
        <v>1</v>
      </c>
      <c r="Z145" s="161">
        <f t="shared" si="24"/>
        <v>3</v>
      </c>
      <c r="AA145" s="161">
        <f t="shared" si="24"/>
        <v>6</v>
      </c>
      <c r="AB145" s="161">
        <f t="shared" si="24"/>
        <v>4</v>
      </c>
      <c r="AC145" s="161">
        <f t="shared" si="24"/>
        <v>3</v>
      </c>
      <c r="AD145" s="161">
        <f t="shared" si="24"/>
        <v>2</v>
      </c>
      <c r="AE145" s="161">
        <f>+AE149+AE155+AE157+AE172</f>
        <v>1</v>
      </c>
      <c r="AF145" s="162">
        <f t="shared" ref="AF145" si="25">+AF149+AF155+AF157+AF172</f>
        <v>2</v>
      </c>
      <c r="AG145" s="163">
        <f t="shared" si="21"/>
        <v>319</v>
      </c>
      <c r="AH145" s="1"/>
    </row>
    <row r="146" spans="1:34" ht="19.5" thickBot="1" x14ac:dyDescent="0.3">
      <c r="A146" s="117" t="s">
        <v>69</v>
      </c>
      <c r="B146" s="118">
        <f t="shared" ref="B146:AG147" si="26">+B148+B154</f>
        <v>0</v>
      </c>
      <c r="C146" s="118">
        <f t="shared" si="26"/>
        <v>0</v>
      </c>
      <c r="D146" s="118">
        <f t="shared" si="26"/>
        <v>0</v>
      </c>
      <c r="E146" s="118">
        <f t="shared" si="26"/>
        <v>0</v>
      </c>
      <c r="F146" s="118">
        <f t="shared" si="26"/>
        <v>0</v>
      </c>
      <c r="G146" s="118">
        <f t="shared" si="26"/>
        <v>0</v>
      </c>
      <c r="H146" s="118">
        <f t="shared" si="26"/>
        <v>0</v>
      </c>
      <c r="I146" s="118">
        <f t="shared" si="26"/>
        <v>0</v>
      </c>
      <c r="J146" s="118">
        <f t="shared" si="26"/>
        <v>0</v>
      </c>
      <c r="K146" s="118">
        <f t="shared" si="26"/>
        <v>0</v>
      </c>
      <c r="L146" s="118">
        <f t="shared" si="26"/>
        <v>0</v>
      </c>
      <c r="M146" s="118">
        <f t="shared" si="26"/>
        <v>0</v>
      </c>
      <c r="N146" s="118">
        <f t="shared" si="26"/>
        <v>0</v>
      </c>
      <c r="O146" s="118">
        <f t="shared" si="26"/>
        <v>0</v>
      </c>
      <c r="P146" s="118">
        <f t="shared" si="26"/>
        <v>0</v>
      </c>
      <c r="Q146" s="118">
        <f t="shared" si="26"/>
        <v>0</v>
      </c>
      <c r="R146" s="118">
        <f t="shared" si="26"/>
        <v>0</v>
      </c>
      <c r="S146" s="118">
        <f t="shared" si="26"/>
        <v>0</v>
      </c>
      <c r="T146" s="118">
        <f t="shared" si="26"/>
        <v>0</v>
      </c>
      <c r="U146" s="118">
        <f t="shared" si="26"/>
        <v>0</v>
      </c>
      <c r="V146" s="118">
        <f t="shared" si="26"/>
        <v>0</v>
      </c>
      <c r="W146" s="118">
        <f t="shared" si="26"/>
        <v>0</v>
      </c>
      <c r="X146" s="118">
        <f t="shared" si="26"/>
        <v>0</v>
      </c>
      <c r="Y146" s="118">
        <f t="shared" si="26"/>
        <v>0</v>
      </c>
      <c r="Z146" s="118">
        <f t="shared" si="26"/>
        <v>0</v>
      </c>
      <c r="AA146" s="118">
        <f t="shared" si="26"/>
        <v>0</v>
      </c>
      <c r="AB146" s="118">
        <f t="shared" si="26"/>
        <v>0</v>
      </c>
      <c r="AC146" s="118">
        <f t="shared" si="26"/>
        <v>0</v>
      </c>
      <c r="AD146" s="118">
        <f t="shared" si="26"/>
        <v>0</v>
      </c>
      <c r="AE146" s="118">
        <f t="shared" si="26"/>
        <v>0</v>
      </c>
      <c r="AF146" s="119">
        <f t="shared" si="26"/>
        <v>0</v>
      </c>
      <c r="AG146" s="120">
        <f t="shared" si="26"/>
        <v>0</v>
      </c>
    </row>
    <row r="147" spans="1:34" ht="19.5" thickBot="1" x14ac:dyDescent="0.3">
      <c r="A147" s="153" t="s">
        <v>130</v>
      </c>
      <c r="B147" s="154">
        <f t="shared" si="26"/>
        <v>0</v>
      </c>
      <c r="C147" s="154">
        <f t="shared" si="26"/>
        <v>0</v>
      </c>
      <c r="D147" s="154">
        <f t="shared" si="26"/>
        <v>0</v>
      </c>
      <c r="E147" s="154">
        <f t="shared" si="26"/>
        <v>0</v>
      </c>
      <c r="F147" s="154">
        <f t="shared" si="26"/>
        <v>0</v>
      </c>
      <c r="G147" s="154">
        <f t="shared" si="26"/>
        <v>0</v>
      </c>
      <c r="H147" s="154">
        <f t="shared" si="26"/>
        <v>0</v>
      </c>
      <c r="I147" s="154">
        <f t="shared" si="26"/>
        <v>0</v>
      </c>
      <c r="J147" s="154">
        <f t="shared" si="26"/>
        <v>0</v>
      </c>
      <c r="K147" s="154">
        <f t="shared" si="26"/>
        <v>0</v>
      </c>
      <c r="L147" s="154">
        <f t="shared" si="26"/>
        <v>1</v>
      </c>
      <c r="M147" s="154">
        <f t="shared" si="26"/>
        <v>0</v>
      </c>
      <c r="N147" s="154">
        <f t="shared" si="26"/>
        <v>0</v>
      </c>
      <c r="O147" s="154">
        <f t="shared" si="26"/>
        <v>0</v>
      </c>
      <c r="P147" s="154">
        <f t="shared" si="26"/>
        <v>0</v>
      </c>
      <c r="Q147" s="154">
        <f t="shared" si="26"/>
        <v>0</v>
      </c>
      <c r="R147" s="154">
        <f t="shared" si="26"/>
        <v>0</v>
      </c>
      <c r="S147" s="154">
        <f t="shared" si="26"/>
        <v>0</v>
      </c>
      <c r="T147" s="154">
        <f t="shared" si="26"/>
        <v>0</v>
      </c>
      <c r="U147" s="154">
        <f t="shared" si="26"/>
        <v>0</v>
      </c>
      <c r="V147" s="154">
        <f t="shared" si="26"/>
        <v>0</v>
      </c>
      <c r="W147" s="154">
        <f t="shared" si="26"/>
        <v>0</v>
      </c>
      <c r="X147" s="154">
        <f t="shared" si="26"/>
        <v>0</v>
      </c>
      <c r="Y147" s="154">
        <f t="shared" si="26"/>
        <v>0</v>
      </c>
      <c r="Z147" s="154">
        <f t="shared" si="26"/>
        <v>0</v>
      </c>
      <c r="AA147" s="154">
        <f t="shared" si="26"/>
        <v>0</v>
      </c>
      <c r="AB147" s="154">
        <f>+AB149+AB155</f>
        <v>0</v>
      </c>
      <c r="AC147" s="154">
        <f t="shared" si="26"/>
        <v>0</v>
      </c>
      <c r="AD147" s="154">
        <f t="shared" si="26"/>
        <v>0</v>
      </c>
      <c r="AE147" s="154">
        <f t="shared" si="26"/>
        <v>0</v>
      </c>
      <c r="AF147" s="155"/>
      <c r="AG147" s="156">
        <f t="shared" si="21"/>
        <v>1</v>
      </c>
    </row>
    <row r="148" spans="1:34" ht="19.5" thickBot="1" x14ac:dyDescent="0.3">
      <c r="A148" s="125" t="s">
        <v>68</v>
      </c>
      <c r="B148" s="126">
        <f>SUM(B150:B153)</f>
        <v>0</v>
      </c>
      <c r="C148" s="126">
        <f t="shared" ref="C148:AF148" si="27">SUM(C150:C153)</f>
        <v>0</v>
      </c>
      <c r="D148" s="126">
        <f t="shared" si="27"/>
        <v>0</v>
      </c>
      <c r="E148" s="126">
        <f t="shared" si="27"/>
        <v>0</v>
      </c>
      <c r="F148" s="126">
        <f t="shared" si="27"/>
        <v>0</v>
      </c>
      <c r="G148" s="126">
        <f t="shared" si="27"/>
        <v>0</v>
      </c>
      <c r="H148" s="126">
        <f t="shared" si="27"/>
        <v>0</v>
      </c>
      <c r="I148" s="126">
        <f t="shared" si="27"/>
        <v>0</v>
      </c>
      <c r="J148" s="126">
        <f t="shared" si="27"/>
        <v>0</v>
      </c>
      <c r="K148" s="126">
        <f t="shared" si="27"/>
        <v>0</v>
      </c>
      <c r="L148" s="126">
        <f t="shared" si="27"/>
        <v>0</v>
      </c>
      <c r="M148" s="126">
        <f t="shared" si="27"/>
        <v>0</v>
      </c>
      <c r="N148" s="126">
        <f t="shared" si="27"/>
        <v>0</v>
      </c>
      <c r="O148" s="126">
        <f t="shared" si="27"/>
        <v>0</v>
      </c>
      <c r="P148" s="126">
        <f t="shared" si="27"/>
        <v>0</v>
      </c>
      <c r="Q148" s="126">
        <f t="shared" si="27"/>
        <v>0</v>
      </c>
      <c r="R148" s="126">
        <f t="shared" si="27"/>
        <v>0</v>
      </c>
      <c r="S148" s="126">
        <f t="shared" si="27"/>
        <v>0</v>
      </c>
      <c r="T148" s="126">
        <f t="shared" si="27"/>
        <v>0</v>
      </c>
      <c r="U148" s="126">
        <f t="shared" si="27"/>
        <v>0</v>
      </c>
      <c r="V148" s="126">
        <f t="shared" si="27"/>
        <v>0</v>
      </c>
      <c r="W148" s="126">
        <f t="shared" si="27"/>
        <v>0</v>
      </c>
      <c r="X148" s="126">
        <f t="shared" si="27"/>
        <v>0</v>
      </c>
      <c r="Y148" s="126">
        <f t="shared" si="27"/>
        <v>0</v>
      </c>
      <c r="Z148" s="126">
        <f t="shared" si="27"/>
        <v>0</v>
      </c>
      <c r="AA148" s="126">
        <f t="shared" si="27"/>
        <v>0</v>
      </c>
      <c r="AB148" s="126">
        <f t="shared" si="27"/>
        <v>0</v>
      </c>
      <c r="AC148" s="126">
        <f t="shared" si="27"/>
        <v>0</v>
      </c>
      <c r="AD148" s="126">
        <f t="shared" si="27"/>
        <v>0</v>
      </c>
      <c r="AE148" s="126">
        <f t="shared" si="27"/>
        <v>0</v>
      </c>
      <c r="AF148" s="127">
        <f t="shared" si="27"/>
        <v>0</v>
      </c>
      <c r="AG148" s="128">
        <f t="shared" ref="AG148:AG232" si="28">SUM(B148:AF148)</f>
        <v>0</v>
      </c>
    </row>
    <row r="149" spans="1:34" ht="19.5" thickBot="1" x14ac:dyDescent="0.3">
      <c r="A149" s="153" t="s">
        <v>131</v>
      </c>
      <c r="B149" s="154"/>
      <c r="C149" s="154"/>
      <c r="D149" s="154"/>
      <c r="E149" s="154"/>
      <c r="F149" s="154"/>
      <c r="G149" s="154"/>
      <c r="H149" s="154"/>
      <c r="I149" s="154"/>
      <c r="J149" s="154"/>
      <c r="K149" s="154"/>
      <c r="L149" s="154"/>
      <c r="M149" s="154"/>
      <c r="N149" s="154"/>
      <c r="O149" s="154"/>
      <c r="P149" s="154"/>
      <c r="Q149" s="154"/>
      <c r="R149" s="154"/>
      <c r="S149" s="154"/>
      <c r="T149" s="154"/>
      <c r="U149" s="154"/>
      <c r="V149" s="154"/>
      <c r="W149" s="154"/>
      <c r="X149" s="154"/>
      <c r="Y149" s="154"/>
      <c r="Z149" s="154"/>
      <c r="AA149" s="154"/>
      <c r="AB149" s="154"/>
      <c r="AC149" s="154"/>
      <c r="AD149" s="154"/>
      <c r="AE149" s="154"/>
      <c r="AF149" s="155"/>
      <c r="AG149" s="156">
        <f t="shared" si="28"/>
        <v>0</v>
      </c>
    </row>
    <row r="150" spans="1:34" ht="18.75" x14ac:dyDescent="0.25">
      <c r="A150" s="129" t="s">
        <v>100</v>
      </c>
      <c r="B150" s="130"/>
      <c r="C150" s="130"/>
      <c r="D150" s="130"/>
      <c r="E150" s="130"/>
      <c r="F150" s="130"/>
      <c r="G150" s="130"/>
      <c r="H150" s="130"/>
      <c r="I150" s="130"/>
      <c r="J150" s="130"/>
      <c r="K150" s="130"/>
      <c r="L150" s="130"/>
      <c r="M150" s="130"/>
      <c r="N150" s="130"/>
      <c r="O150" s="130"/>
      <c r="P150" s="130"/>
      <c r="Q150" s="130"/>
      <c r="R150" s="130"/>
      <c r="S150" s="130"/>
      <c r="T150" s="130"/>
      <c r="U150" s="130"/>
      <c r="V150" s="130"/>
      <c r="W150" s="130"/>
      <c r="X150" s="130"/>
      <c r="Y150" s="130"/>
      <c r="Z150" s="130"/>
      <c r="AA150" s="130"/>
      <c r="AB150" s="130"/>
      <c r="AC150" s="130"/>
      <c r="AD150" s="130"/>
      <c r="AE150" s="130"/>
      <c r="AF150" s="131"/>
      <c r="AG150" s="132">
        <f t="shared" si="28"/>
        <v>0</v>
      </c>
    </row>
    <row r="151" spans="1:34" ht="18.75" x14ac:dyDescent="0.25">
      <c r="A151" s="50" t="s">
        <v>101</v>
      </c>
      <c r="B151" s="29"/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  <c r="AA151" s="29"/>
      <c r="AB151" s="29"/>
      <c r="AC151" s="29"/>
      <c r="AD151" s="29"/>
      <c r="AE151" s="29"/>
      <c r="AF151" s="21"/>
      <c r="AG151" s="4">
        <f t="shared" si="28"/>
        <v>0</v>
      </c>
    </row>
    <row r="152" spans="1:34" ht="18.75" x14ac:dyDescent="0.25">
      <c r="A152" s="50" t="s">
        <v>102</v>
      </c>
      <c r="B152" s="29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  <c r="AA152" s="29"/>
      <c r="AB152" s="29"/>
      <c r="AC152" s="29"/>
      <c r="AD152" s="29"/>
      <c r="AE152" s="29"/>
      <c r="AF152" s="21"/>
      <c r="AG152" s="4">
        <f t="shared" si="28"/>
        <v>0</v>
      </c>
    </row>
    <row r="153" spans="1:34" ht="19.5" thickBot="1" x14ac:dyDescent="0.3">
      <c r="A153" s="71" t="s">
        <v>103</v>
      </c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  <c r="AA153" s="30"/>
      <c r="AB153" s="30"/>
      <c r="AC153" s="30"/>
      <c r="AD153" s="30"/>
      <c r="AE153" s="30"/>
      <c r="AF153" s="22"/>
      <c r="AG153" s="28">
        <f t="shared" si="28"/>
        <v>0</v>
      </c>
    </row>
    <row r="154" spans="1:34" ht="19.5" thickBot="1" x14ac:dyDescent="0.3">
      <c r="A154" s="125" t="s">
        <v>67</v>
      </c>
      <c r="B154" s="126"/>
      <c r="C154" s="126"/>
      <c r="D154" s="126"/>
      <c r="E154" s="126"/>
      <c r="F154" s="126"/>
      <c r="G154" s="126"/>
      <c r="H154" s="126"/>
      <c r="I154" s="126"/>
      <c r="J154" s="126"/>
      <c r="K154" s="126"/>
      <c r="L154" s="126"/>
      <c r="M154" s="126"/>
      <c r="N154" s="126"/>
      <c r="O154" s="126"/>
      <c r="P154" s="126"/>
      <c r="Q154" s="126"/>
      <c r="R154" s="126"/>
      <c r="S154" s="126"/>
      <c r="T154" s="126"/>
      <c r="U154" s="126"/>
      <c r="V154" s="126"/>
      <c r="W154" s="126"/>
      <c r="X154" s="126"/>
      <c r="Y154" s="126"/>
      <c r="Z154" s="126"/>
      <c r="AA154" s="126"/>
      <c r="AB154" s="126"/>
      <c r="AC154" s="126"/>
      <c r="AD154" s="126"/>
      <c r="AE154" s="126"/>
      <c r="AF154" s="127"/>
      <c r="AG154" s="128">
        <f t="shared" si="28"/>
        <v>0</v>
      </c>
    </row>
    <row r="155" spans="1:34" ht="19.5" thickBot="1" x14ac:dyDescent="0.3">
      <c r="A155" s="153" t="s">
        <v>132</v>
      </c>
      <c r="B155" s="154"/>
      <c r="C155" s="154"/>
      <c r="D155" s="154"/>
      <c r="E155" s="154"/>
      <c r="F155" s="154"/>
      <c r="G155" s="154"/>
      <c r="H155" s="154"/>
      <c r="I155" s="154"/>
      <c r="J155" s="154"/>
      <c r="K155" s="154"/>
      <c r="L155" s="154">
        <v>1</v>
      </c>
      <c r="M155" s="154"/>
      <c r="N155" s="154"/>
      <c r="O155" s="154"/>
      <c r="P155" s="154"/>
      <c r="Q155" s="154"/>
      <c r="R155" s="154"/>
      <c r="S155" s="154"/>
      <c r="T155" s="154"/>
      <c r="U155" s="154"/>
      <c r="V155" s="154"/>
      <c r="W155" s="154"/>
      <c r="X155" s="154"/>
      <c r="Y155" s="154"/>
      <c r="Z155" s="154"/>
      <c r="AA155" s="154"/>
      <c r="AB155" s="154"/>
      <c r="AC155" s="154"/>
      <c r="AD155" s="154"/>
      <c r="AE155" s="154"/>
      <c r="AF155" s="155"/>
      <c r="AG155" s="156">
        <f t="shared" si="28"/>
        <v>1</v>
      </c>
    </row>
    <row r="156" spans="1:34" ht="18.75" x14ac:dyDescent="0.25">
      <c r="A156" s="69" t="s">
        <v>62</v>
      </c>
      <c r="B156" s="56">
        <v>187</v>
      </c>
      <c r="C156" s="56">
        <v>152</v>
      </c>
      <c r="D156" s="56">
        <v>172</v>
      </c>
      <c r="E156" s="56">
        <v>147</v>
      </c>
      <c r="F156" s="56">
        <v>143</v>
      </c>
      <c r="G156" s="56">
        <v>129</v>
      </c>
      <c r="H156" s="56">
        <v>200</v>
      </c>
      <c r="I156" s="56">
        <v>197</v>
      </c>
      <c r="J156" s="56">
        <v>153</v>
      </c>
      <c r="K156" s="56">
        <v>156</v>
      </c>
      <c r="L156" s="56">
        <v>161</v>
      </c>
      <c r="M156" s="56">
        <v>161</v>
      </c>
      <c r="N156" s="56">
        <v>148</v>
      </c>
      <c r="O156" s="56">
        <v>230</v>
      </c>
      <c r="P156" s="56">
        <v>230</v>
      </c>
      <c r="Q156" s="56">
        <v>128</v>
      </c>
      <c r="R156" s="56">
        <v>116</v>
      </c>
      <c r="S156" s="56">
        <v>52</v>
      </c>
      <c r="T156" s="56">
        <v>65</v>
      </c>
      <c r="U156" s="56">
        <v>69</v>
      </c>
      <c r="V156" s="56">
        <v>70</v>
      </c>
      <c r="W156" s="56">
        <v>82</v>
      </c>
      <c r="X156" s="56">
        <v>41</v>
      </c>
      <c r="Y156" s="56">
        <v>37</v>
      </c>
      <c r="Z156" s="56">
        <v>44</v>
      </c>
      <c r="AA156" s="56">
        <v>55</v>
      </c>
      <c r="AB156" s="56">
        <v>53</v>
      </c>
      <c r="AC156" s="56">
        <v>80</v>
      </c>
      <c r="AD156" s="56">
        <v>99</v>
      </c>
      <c r="AE156" s="56">
        <v>52</v>
      </c>
      <c r="AF156" s="85">
        <v>61</v>
      </c>
      <c r="AG156" s="95">
        <f t="shared" si="28"/>
        <v>3670</v>
      </c>
      <c r="AH156" s="2" t="s">
        <v>84</v>
      </c>
    </row>
    <row r="157" spans="1:34" ht="19.5" thickBot="1" x14ac:dyDescent="0.3">
      <c r="A157" s="75" t="s">
        <v>1</v>
      </c>
      <c r="B157" s="13">
        <v>0</v>
      </c>
      <c r="C157" s="13">
        <v>13</v>
      </c>
      <c r="D157" s="13">
        <v>21</v>
      </c>
      <c r="E157" s="13">
        <v>9</v>
      </c>
      <c r="F157" s="13">
        <v>22</v>
      </c>
      <c r="G157" s="13">
        <v>15</v>
      </c>
      <c r="H157" s="13">
        <v>14</v>
      </c>
      <c r="I157" s="13">
        <v>6</v>
      </c>
      <c r="J157" s="13">
        <v>23</v>
      </c>
      <c r="K157" s="13">
        <v>34</v>
      </c>
      <c r="L157" s="13">
        <v>31</v>
      </c>
      <c r="M157" s="13">
        <v>10</v>
      </c>
      <c r="N157" s="13">
        <v>15</v>
      </c>
      <c r="O157" s="13">
        <v>4</v>
      </c>
      <c r="P157" s="13">
        <v>11</v>
      </c>
      <c r="Q157" s="13">
        <v>26</v>
      </c>
      <c r="R157" s="13">
        <v>17</v>
      </c>
      <c r="S157" s="13">
        <v>9</v>
      </c>
      <c r="T157" s="13">
        <v>4</v>
      </c>
      <c r="U157" s="13">
        <v>5</v>
      </c>
      <c r="V157" s="13">
        <v>5</v>
      </c>
      <c r="W157" s="13">
        <v>1</v>
      </c>
      <c r="X157" s="13">
        <v>0</v>
      </c>
      <c r="Y157" s="13">
        <v>1</v>
      </c>
      <c r="Z157" s="13">
        <v>3</v>
      </c>
      <c r="AA157" s="13">
        <v>6</v>
      </c>
      <c r="AB157" s="13">
        <v>4</v>
      </c>
      <c r="AC157" s="13">
        <v>3</v>
      </c>
      <c r="AD157" s="13">
        <v>2</v>
      </c>
      <c r="AE157" s="13">
        <v>1</v>
      </c>
      <c r="AF157" s="14">
        <v>1</v>
      </c>
      <c r="AG157" s="157">
        <f t="shared" si="28"/>
        <v>316</v>
      </c>
      <c r="AH157" s="2"/>
    </row>
    <row r="158" spans="1:34" ht="19.5" thickBot="1" x14ac:dyDescent="0.3">
      <c r="A158" s="121" t="s">
        <v>22</v>
      </c>
      <c r="B158" s="122">
        <f t="shared" ref="B158:AF158" si="29">SUM(B159:B166)</f>
        <v>1</v>
      </c>
      <c r="C158" s="122">
        <f t="shared" si="29"/>
        <v>0</v>
      </c>
      <c r="D158" s="122">
        <f t="shared" si="29"/>
        <v>0</v>
      </c>
      <c r="E158" s="122">
        <f t="shared" si="29"/>
        <v>0</v>
      </c>
      <c r="F158" s="122">
        <f t="shared" si="29"/>
        <v>0</v>
      </c>
      <c r="G158" s="122">
        <f t="shared" si="29"/>
        <v>0</v>
      </c>
      <c r="H158" s="122">
        <f t="shared" si="29"/>
        <v>2</v>
      </c>
      <c r="I158" s="122">
        <f t="shared" si="29"/>
        <v>2</v>
      </c>
      <c r="J158" s="122">
        <f t="shared" si="29"/>
        <v>3</v>
      </c>
      <c r="K158" s="122">
        <f t="shared" si="29"/>
        <v>0</v>
      </c>
      <c r="L158" s="122">
        <f t="shared" si="29"/>
        <v>0</v>
      </c>
      <c r="M158" s="122">
        <f t="shared" si="29"/>
        <v>0</v>
      </c>
      <c r="N158" s="122">
        <f t="shared" si="29"/>
        <v>0</v>
      </c>
      <c r="O158" s="122">
        <f t="shared" si="29"/>
        <v>2</v>
      </c>
      <c r="P158" s="122">
        <f t="shared" si="29"/>
        <v>0</v>
      </c>
      <c r="Q158" s="122">
        <f t="shared" si="29"/>
        <v>0</v>
      </c>
      <c r="R158" s="122">
        <f t="shared" si="29"/>
        <v>0</v>
      </c>
      <c r="S158" s="122">
        <f t="shared" si="29"/>
        <v>1</v>
      </c>
      <c r="T158" s="122">
        <f t="shared" si="29"/>
        <v>0</v>
      </c>
      <c r="U158" s="122">
        <f t="shared" si="29"/>
        <v>0</v>
      </c>
      <c r="V158" s="122">
        <f t="shared" si="29"/>
        <v>0</v>
      </c>
      <c r="W158" s="122">
        <f t="shared" si="29"/>
        <v>0</v>
      </c>
      <c r="X158" s="122">
        <f t="shared" si="29"/>
        <v>0</v>
      </c>
      <c r="Y158" s="122">
        <f t="shared" si="29"/>
        <v>0</v>
      </c>
      <c r="Z158" s="122">
        <f t="shared" si="29"/>
        <v>3</v>
      </c>
      <c r="AA158" s="122">
        <f t="shared" si="29"/>
        <v>1</v>
      </c>
      <c r="AB158" s="122">
        <f t="shared" si="29"/>
        <v>1</v>
      </c>
      <c r="AC158" s="122">
        <f t="shared" si="29"/>
        <v>3</v>
      </c>
      <c r="AD158" s="122">
        <f t="shared" si="29"/>
        <v>2</v>
      </c>
      <c r="AE158" s="122">
        <f t="shared" si="29"/>
        <v>2</v>
      </c>
      <c r="AF158" s="123">
        <f t="shared" si="29"/>
        <v>0</v>
      </c>
      <c r="AG158" s="124">
        <f t="shared" si="28"/>
        <v>23</v>
      </c>
    </row>
    <row r="159" spans="1:34" ht="18.75" x14ac:dyDescent="0.25">
      <c r="A159" s="129" t="s">
        <v>23</v>
      </c>
      <c r="B159" s="130"/>
      <c r="C159" s="130"/>
      <c r="D159" s="130"/>
      <c r="E159" s="130"/>
      <c r="F159" s="130"/>
      <c r="G159" s="130"/>
      <c r="H159" s="130">
        <v>1</v>
      </c>
      <c r="I159" s="130"/>
      <c r="J159" s="130"/>
      <c r="K159" s="130"/>
      <c r="L159" s="130"/>
      <c r="M159" s="130"/>
      <c r="N159" s="130"/>
      <c r="O159" s="130"/>
      <c r="P159" s="130"/>
      <c r="Q159" s="130"/>
      <c r="R159" s="130"/>
      <c r="S159" s="130"/>
      <c r="T159" s="130"/>
      <c r="U159" s="130"/>
      <c r="V159" s="130"/>
      <c r="W159" s="130"/>
      <c r="X159" s="130"/>
      <c r="Y159" s="130"/>
      <c r="Z159" s="130">
        <v>2</v>
      </c>
      <c r="AA159" s="130"/>
      <c r="AB159" s="130"/>
      <c r="AC159" s="130">
        <v>1</v>
      </c>
      <c r="AD159" s="130">
        <v>1</v>
      </c>
      <c r="AE159" s="130">
        <v>2</v>
      </c>
      <c r="AF159" s="131"/>
      <c r="AG159" s="132">
        <f t="shared" si="28"/>
        <v>7</v>
      </c>
    </row>
    <row r="160" spans="1:34" ht="18.75" x14ac:dyDescent="0.25">
      <c r="A160" s="50" t="s">
        <v>24</v>
      </c>
      <c r="B160" s="29"/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  <c r="AA160" s="29"/>
      <c r="AB160" s="29">
        <v>1</v>
      </c>
      <c r="AC160" s="29">
        <v>1</v>
      </c>
      <c r="AD160" s="29"/>
      <c r="AE160" s="29"/>
      <c r="AF160" s="21"/>
      <c r="AG160" s="4">
        <f t="shared" si="28"/>
        <v>2</v>
      </c>
    </row>
    <row r="161" spans="1:34" ht="18.75" x14ac:dyDescent="0.25">
      <c r="A161" s="50" t="s">
        <v>59</v>
      </c>
      <c r="B161" s="29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>
        <v>1</v>
      </c>
      <c r="T161" s="29"/>
      <c r="U161" s="29"/>
      <c r="V161" s="29"/>
      <c r="W161" s="29"/>
      <c r="X161" s="29"/>
      <c r="Y161" s="29"/>
      <c r="Z161" s="29"/>
      <c r="AA161" s="29">
        <v>1</v>
      </c>
      <c r="AB161" s="29"/>
      <c r="AC161" s="29"/>
      <c r="AD161" s="29"/>
      <c r="AE161" s="29"/>
      <c r="AF161" s="21"/>
      <c r="AG161" s="4">
        <f t="shared" si="28"/>
        <v>2</v>
      </c>
    </row>
    <row r="162" spans="1:34" ht="18.75" x14ac:dyDescent="0.25">
      <c r="A162" s="50" t="s">
        <v>25</v>
      </c>
      <c r="B162" s="29"/>
      <c r="C162" s="29"/>
      <c r="D162" s="29"/>
      <c r="E162" s="29"/>
      <c r="F162" s="29"/>
      <c r="G162" s="29"/>
      <c r="H162" s="29"/>
      <c r="I162" s="29">
        <v>2</v>
      </c>
      <c r="J162" s="29">
        <v>2</v>
      </c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  <c r="AF162" s="21"/>
      <c r="AG162" s="4">
        <f t="shared" si="28"/>
        <v>4</v>
      </c>
    </row>
    <row r="163" spans="1:34" ht="18.75" x14ac:dyDescent="0.25">
      <c r="A163" s="50" t="s">
        <v>26</v>
      </c>
      <c r="B163" s="29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  <c r="AA163" s="29"/>
      <c r="AB163" s="29"/>
      <c r="AC163" s="29"/>
      <c r="AD163" s="29"/>
      <c r="AE163" s="29"/>
      <c r="AF163" s="21"/>
      <c r="AG163" s="4">
        <f t="shared" si="28"/>
        <v>0</v>
      </c>
    </row>
    <row r="164" spans="1:34" ht="18.75" x14ac:dyDescent="0.25">
      <c r="A164" s="50" t="s">
        <v>27</v>
      </c>
      <c r="B164" s="29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>
        <v>1</v>
      </c>
      <c r="AA164" s="29"/>
      <c r="AB164" s="29"/>
      <c r="AC164" s="29">
        <v>1</v>
      </c>
      <c r="AD164" s="29"/>
      <c r="AE164" s="29"/>
      <c r="AF164" s="21"/>
      <c r="AG164" s="4">
        <f t="shared" si="28"/>
        <v>2</v>
      </c>
    </row>
    <row r="165" spans="1:34" ht="18.75" x14ac:dyDescent="0.25">
      <c r="A165" s="50" t="s">
        <v>28</v>
      </c>
      <c r="B165" s="29">
        <v>1</v>
      </c>
      <c r="C165" s="29"/>
      <c r="D165" s="29"/>
      <c r="E165" s="29"/>
      <c r="F165" s="29"/>
      <c r="G165" s="29"/>
      <c r="H165" s="29">
        <v>1</v>
      </c>
      <c r="I165" s="29"/>
      <c r="J165" s="29">
        <v>1</v>
      </c>
      <c r="K165" s="29"/>
      <c r="L165" s="29"/>
      <c r="M165" s="29"/>
      <c r="N165" s="29"/>
      <c r="O165" s="29">
        <v>2</v>
      </c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>
        <v>1</v>
      </c>
      <c r="AE165" s="29"/>
      <c r="AF165" s="21"/>
      <c r="AG165" s="4">
        <f t="shared" si="28"/>
        <v>6</v>
      </c>
    </row>
    <row r="166" spans="1:34" ht="19.5" thickBot="1" x14ac:dyDescent="0.3">
      <c r="A166" s="71" t="s">
        <v>29</v>
      </c>
      <c r="B166" s="30"/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  <c r="AA166" s="30"/>
      <c r="AB166" s="30"/>
      <c r="AC166" s="30"/>
      <c r="AD166" s="30"/>
      <c r="AE166" s="30"/>
      <c r="AF166" s="22"/>
      <c r="AG166" s="28">
        <f t="shared" si="28"/>
        <v>0</v>
      </c>
    </row>
    <row r="167" spans="1:34" ht="18.75" x14ac:dyDescent="0.25">
      <c r="A167" s="69" t="s">
        <v>71</v>
      </c>
      <c r="B167" s="56">
        <f t="shared" ref="B167:AF167" si="30">SUM(B168:B171)</f>
        <v>0</v>
      </c>
      <c r="C167" s="56">
        <f t="shared" si="30"/>
        <v>0</v>
      </c>
      <c r="D167" s="56">
        <f t="shared" si="30"/>
        <v>0</v>
      </c>
      <c r="E167" s="56">
        <f t="shared" si="30"/>
        <v>0</v>
      </c>
      <c r="F167" s="56">
        <f t="shared" si="30"/>
        <v>0</v>
      </c>
      <c r="G167" s="56">
        <f t="shared" si="30"/>
        <v>0</v>
      </c>
      <c r="H167" s="56">
        <f t="shared" si="30"/>
        <v>0</v>
      </c>
      <c r="I167" s="56">
        <f t="shared" si="30"/>
        <v>1</v>
      </c>
      <c r="J167" s="56">
        <f t="shared" si="30"/>
        <v>1</v>
      </c>
      <c r="K167" s="56">
        <f t="shared" si="30"/>
        <v>0</v>
      </c>
      <c r="L167" s="56">
        <f t="shared" si="30"/>
        <v>1</v>
      </c>
      <c r="M167" s="56">
        <f t="shared" si="30"/>
        <v>0</v>
      </c>
      <c r="N167" s="56">
        <f t="shared" si="30"/>
        <v>1</v>
      </c>
      <c r="O167" s="56">
        <f t="shared" si="30"/>
        <v>0</v>
      </c>
      <c r="P167" s="56">
        <f t="shared" si="30"/>
        <v>0</v>
      </c>
      <c r="Q167" s="56">
        <f t="shared" si="30"/>
        <v>0</v>
      </c>
      <c r="R167" s="56">
        <f t="shared" si="30"/>
        <v>2</v>
      </c>
      <c r="S167" s="56">
        <f t="shared" si="30"/>
        <v>0</v>
      </c>
      <c r="T167" s="56">
        <f t="shared" si="30"/>
        <v>0</v>
      </c>
      <c r="U167" s="56">
        <f t="shared" si="30"/>
        <v>0</v>
      </c>
      <c r="V167" s="56">
        <f t="shared" si="30"/>
        <v>0</v>
      </c>
      <c r="W167" s="56">
        <f t="shared" si="30"/>
        <v>0</v>
      </c>
      <c r="X167" s="56">
        <f t="shared" si="30"/>
        <v>0</v>
      </c>
      <c r="Y167" s="56">
        <f t="shared" si="30"/>
        <v>0</v>
      </c>
      <c r="Z167" s="56">
        <f t="shared" si="30"/>
        <v>1</v>
      </c>
      <c r="AA167" s="56">
        <f t="shared" si="30"/>
        <v>0</v>
      </c>
      <c r="AB167" s="56">
        <f t="shared" si="30"/>
        <v>0</v>
      </c>
      <c r="AC167" s="56">
        <f t="shared" si="30"/>
        <v>1</v>
      </c>
      <c r="AD167" s="56">
        <f t="shared" si="30"/>
        <v>1</v>
      </c>
      <c r="AE167" s="56">
        <f t="shared" si="30"/>
        <v>0</v>
      </c>
      <c r="AF167" s="85">
        <f t="shared" si="30"/>
        <v>0</v>
      </c>
      <c r="AG167" s="95">
        <f t="shared" si="28"/>
        <v>9</v>
      </c>
    </row>
    <row r="168" spans="1:34" ht="18.75" x14ac:dyDescent="0.25">
      <c r="A168" s="51" t="s">
        <v>30</v>
      </c>
      <c r="B168" s="29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  <c r="AA168" s="29"/>
      <c r="AB168" s="29"/>
      <c r="AC168" s="29"/>
      <c r="AD168" s="29"/>
      <c r="AE168" s="29"/>
      <c r="AF168" s="21"/>
      <c r="AG168" s="4">
        <f t="shared" si="28"/>
        <v>0</v>
      </c>
    </row>
    <row r="169" spans="1:34" ht="18.75" x14ac:dyDescent="0.25">
      <c r="A169" s="51" t="s">
        <v>31</v>
      </c>
      <c r="B169" s="29"/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>
        <v>1</v>
      </c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>
        <v>1</v>
      </c>
      <c r="AA169" s="29"/>
      <c r="AB169" s="29"/>
      <c r="AC169" s="29">
        <v>1</v>
      </c>
      <c r="AD169" s="29">
        <v>1</v>
      </c>
      <c r="AE169" s="29"/>
      <c r="AF169" s="21"/>
      <c r="AG169" s="4">
        <f t="shared" si="28"/>
        <v>4</v>
      </c>
    </row>
    <row r="170" spans="1:34" ht="18.75" x14ac:dyDescent="0.25">
      <c r="A170" s="51" t="s">
        <v>32</v>
      </c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>
        <v>1</v>
      </c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1"/>
      <c r="AG170" s="4">
        <f t="shared" si="28"/>
        <v>1</v>
      </c>
    </row>
    <row r="171" spans="1:34" ht="19.5" thickBot="1" x14ac:dyDescent="0.3">
      <c r="A171" s="70" t="s">
        <v>87</v>
      </c>
      <c r="B171" s="30"/>
      <c r="C171" s="30"/>
      <c r="D171" s="30"/>
      <c r="E171" s="30"/>
      <c r="F171" s="30"/>
      <c r="G171" s="30"/>
      <c r="H171" s="30"/>
      <c r="I171" s="30">
        <v>1</v>
      </c>
      <c r="J171" s="30">
        <v>1</v>
      </c>
      <c r="K171" s="30"/>
      <c r="L171" s="30"/>
      <c r="M171" s="30"/>
      <c r="N171" s="30"/>
      <c r="O171" s="30"/>
      <c r="P171" s="30"/>
      <c r="Q171" s="30"/>
      <c r="R171" s="30">
        <v>2</v>
      </c>
      <c r="S171" s="30"/>
      <c r="T171" s="30"/>
      <c r="U171" s="30"/>
      <c r="V171" s="30"/>
      <c r="W171" s="30"/>
      <c r="X171" s="30"/>
      <c r="Y171" s="30"/>
      <c r="Z171" s="30"/>
      <c r="AA171" s="30"/>
      <c r="AB171" s="30"/>
      <c r="AC171" s="30"/>
      <c r="AD171" s="30"/>
      <c r="AE171" s="30"/>
      <c r="AF171" s="22"/>
      <c r="AG171" s="28">
        <f t="shared" si="28"/>
        <v>4</v>
      </c>
    </row>
    <row r="172" spans="1:34" ht="19.5" thickBot="1" x14ac:dyDescent="0.3">
      <c r="A172" s="158" t="s">
        <v>128</v>
      </c>
      <c r="B172" s="151"/>
      <c r="C172" s="151"/>
      <c r="D172" s="151"/>
      <c r="E172" s="151"/>
      <c r="F172" s="151"/>
      <c r="G172" s="151"/>
      <c r="H172" s="151"/>
      <c r="I172" s="151"/>
      <c r="J172" s="151"/>
      <c r="K172" s="151"/>
      <c r="L172" s="151"/>
      <c r="M172" s="151"/>
      <c r="N172" s="151"/>
      <c r="O172" s="151"/>
      <c r="P172" s="151"/>
      <c r="Q172" s="151"/>
      <c r="R172" s="151"/>
      <c r="S172" s="151"/>
      <c r="T172" s="151"/>
      <c r="U172" s="151"/>
      <c r="V172" s="151"/>
      <c r="W172" s="151">
        <v>1</v>
      </c>
      <c r="X172" s="151"/>
      <c r="Y172" s="151"/>
      <c r="Z172" s="151"/>
      <c r="AA172" s="151"/>
      <c r="AB172" s="151"/>
      <c r="AC172" s="151"/>
      <c r="AD172" s="151"/>
      <c r="AE172" s="151"/>
      <c r="AF172" s="152">
        <v>1</v>
      </c>
      <c r="AG172" s="159">
        <f t="shared" si="28"/>
        <v>2</v>
      </c>
    </row>
    <row r="173" spans="1:34" ht="18.75" x14ac:dyDescent="0.25">
      <c r="A173" s="68" t="s">
        <v>2</v>
      </c>
      <c r="B173" s="15"/>
      <c r="C173" s="15">
        <v>0</v>
      </c>
      <c r="D173" s="15">
        <v>0</v>
      </c>
      <c r="E173" s="15">
        <v>0</v>
      </c>
      <c r="F173" s="15">
        <v>0</v>
      </c>
      <c r="G173" s="15">
        <v>0</v>
      </c>
      <c r="H173" s="15">
        <v>1</v>
      </c>
      <c r="I173" s="15">
        <v>0</v>
      </c>
      <c r="J173" s="15">
        <v>0</v>
      </c>
      <c r="K173" s="15">
        <v>1</v>
      </c>
      <c r="L173" s="15">
        <v>0</v>
      </c>
      <c r="M173" s="15">
        <v>0</v>
      </c>
      <c r="N173" s="15">
        <v>0</v>
      </c>
      <c r="O173" s="15">
        <v>0</v>
      </c>
      <c r="P173" s="15">
        <v>1</v>
      </c>
      <c r="Q173" s="15">
        <v>0</v>
      </c>
      <c r="R173" s="15">
        <v>0</v>
      </c>
      <c r="S173" s="15">
        <v>0</v>
      </c>
      <c r="T173" s="15">
        <v>0</v>
      </c>
      <c r="U173" s="15">
        <v>0</v>
      </c>
      <c r="V173" s="15">
        <v>2</v>
      </c>
      <c r="W173" s="15">
        <v>0</v>
      </c>
      <c r="X173" s="15">
        <v>1</v>
      </c>
      <c r="Y173" s="15">
        <v>1</v>
      </c>
      <c r="Z173" s="15">
        <v>1</v>
      </c>
      <c r="AA173" s="15">
        <v>0</v>
      </c>
      <c r="AB173" s="15">
        <v>0</v>
      </c>
      <c r="AC173" s="15">
        <v>0</v>
      </c>
      <c r="AD173" s="15">
        <v>0</v>
      </c>
      <c r="AE173" s="15">
        <v>1</v>
      </c>
      <c r="AF173" s="23">
        <v>0</v>
      </c>
      <c r="AG173" s="5">
        <f t="shared" si="28"/>
        <v>9</v>
      </c>
      <c r="AH173" s="2" t="s">
        <v>137</v>
      </c>
    </row>
    <row r="174" spans="1:34" ht="19.5" thickBot="1" x14ac:dyDescent="0.3">
      <c r="A174" s="146" t="s">
        <v>3</v>
      </c>
      <c r="B174" s="16">
        <f>SUM(B175:B176)</f>
        <v>0</v>
      </c>
      <c r="C174" s="16">
        <f t="shared" ref="C174:AF174" si="31">SUM(C175:C176)</f>
        <v>8</v>
      </c>
      <c r="D174" s="16">
        <f t="shared" si="31"/>
        <v>4</v>
      </c>
      <c r="E174" s="16">
        <f t="shared" si="31"/>
        <v>6</v>
      </c>
      <c r="F174" s="16">
        <f t="shared" si="31"/>
        <v>4</v>
      </c>
      <c r="G174" s="16">
        <f t="shared" si="31"/>
        <v>7</v>
      </c>
      <c r="H174" s="16">
        <f t="shared" si="31"/>
        <v>6</v>
      </c>
      <c r="I174" s="16">
        <f t="shared" si="31"/>
        <v>12</v>
      </c>
      <c r="J174" s="16">
        <f t="shared" si="31"/>
        <v>10</v>
      </c>
      <c r="K174" s="16">
        <f t="shared" si="31"/>
        <v>6</v>
      </c>
      <c r="L174" s="16">
        <f t="shared" si="31"/>
        <v>7</v>
      </c>
      <c r="M174" s="16">
        <f t="shared" si="31"/>
        <v>1</v>
      </c>
      <c r="N174" s="16">
        <f t="shared" si="31"/>
        <v>4</v>
      </c>
      <c r="O174" s="16">
        <f t="shared" si="31"/>
        <v>9</v>
      </c>
      <c r="P174" s="16">
        <f t="shared" si="31"/>
        <v>11</v>
      </c>
      <c r="Q174" s="16">
        <f t="shared" si="31"/>
        <v>10</v>
      </c>
      <c r="R174" s="16">
        <f t="shared" si="31"/>
        <v>6</v>
      </c>
      <c r="S174" s="16">
        <f t="shared" si="31"/>
        <v>1</v>
      </c>
      <c r="T174" s="16">
        <f t="shared" si="31"/>
        <v>1</v>
      </c>
      <c r="U174" s="16">
        <f t="shared" si="31"/>
        <v>4</v>
      </c>
      <c r="V174" s="16">
        <f t="shared" si="31"/>
        <v>3</v>
      </c>
      <c r="W174" s="16">
        <f t="shared" si="31"/>
        <v>1</v>
      </c>
      <c r="X174" s="16">
        <f t="shared" si="31"/>
        <v>1</v>
      </c>
      <c r="Y174" s="16">
        <f t="shared" si="31"/>
        <v>1</v>
      </c>
      <c r="Z174" s="16">
        <f t="shared" si="31"/>
        <v>3</v>
      </c>
      <c r="AA174" s="16">
        <f t="shared" si="31"/>
        <v>0</v>
      </c>
      <c r="AB174" s="16">
        <f t="shared" si="31"/>
        <v>0</v>
      </c>
      <c r="AC174" s="16">
        <f t="shared" si="31"/>
        <v>1</v>
      </c>
      <c r="AD174" s="16">
        <f t="shared" si="31"/>
        <v>8</v>
      </c>
      <c r="AE174" s="16">
        <f t="shared" si="31"/>
        <v>3</v>
      </c>
      <c r="AF174" s="24">
        <f t="shared" si="31"/>
        <v>3</v>
      </c>
      <c r="AG174" s="6">
        <f t="shared" si="28"/>
        <v>141</v>
      </c>
      <c r="AH174" s="2" t="s">
        <v>138</v>
      </c>
    </row>
    <row r="175" spans="1:34" ht="18.75" x14ac:dyDescent="0.25">
      <c r="A175" s="133" t="s">
        <v>120</v>
      </c>
      <c r="B175" s="15"/>
      <c r="C175" s="15">
        <v>0</v>
      </c>
      <c r="D175" s="15">
        <v>3</v>
      </c>
      <c r="E175" s="15">
        <v>1</v>
      </c>
      <c r="F175" s="15">
        <v>0</v>
      </c>
      <c r="G175" s="15">
        <v>0</v>
      </c>
      <c r="H175" s="15">
        <v>0</v>
      </c>
      <c r="I175" s="15">
        <v>2</v>
      </c>
      <c r="J175" s="15">
        <v>2</v>
      </c>
      <c r="K175" s="15">
        <v>0</v>
      </c>
      <c r="L175" s="15">
        <v>0</v>
      </c>
      <c r="M175" s="15">
        <v>1</v>
      </c>
      <c r="N175" s="15">
        <v>1</v>
      </c>
      <c r="O175" s="15">
        <v>0</v>
      </c>
      <c r="P175" s="15">
        <v>3</v>
      </c>
      <c r="Q175" s="15">
        <v>2</v>
      </c>
      <c r="R175" s="15">
        <v>1</v>
      </c>
      <c r="S175" s="15">
        <v>0</v>
      </c>
      <c r="T175" s="15">
        <v>0</v>
      </c>
      <c r="U175" s="15">
        <v>0</v>
      </c>
      <c r="V175" s="15">
        <v>0</v>
      </c>
      <c r="W175" s="15">
        <v>0</v>
      </c>
      <c r="X175" s="15">
        <v>0</v>
      </c>
      <c r="Y175" s="15">
        <v>0</v>
      </c>
      <c r="Z175" s="15">
        <v>0</v>
      </c>
      <c r="AA175" s="15">
        <v>0</v>
      </c>
      <c r="AB175" s="15">
        <v>0</v>
      </c>
      <c r="AC175" s="15">
        <v>0</v>
      </c>
      <c r="AD175" s="15">
        <v>0</v>
      </c>
      <c r="AE175" s="15">
        <v>0</v>
      </c>
      <c r="AF175" s="23">
        <v>0</v>
      </c>
      <c r="AG175" s="5">
        <f t="shared" si="28"/>
        <v>16</v>
      </c>
      <c r="AH175" s="2" t="s">
        <v>138</v>
      </c>
    </row>
    <row r="176" spans="1:34" ht="19.5" thickBot="1" x14ac:dyDescent="0.3">
      <c r="A176" s="104" t="s">
        <v>119</v>
      </c>
      <c r="B176" s="101"/>
      <c r="C176" s="101">
        <v>8</v>
      </c>
      <c r="D176" s="101">
        <v>1</v>
      </c>
      <c r="E176" s="101">
        <v>5</v>
      </c>
      <c r="F176" s="101">
        <v>4</v>
      </c>
      <c r="G176" s="101">
        <v>7</v>
      </c>
      <c r="H176" s="101">
        <v>6</v>
      </c>
      <c r="I176" s="101">
        <v>10</v>
      </c>
      <c r="J176" s="101">
        <v>8</v>
      </c>
      <c r="K176" s="101">
        <v>6</v>
      </c>
      <c r="L176" s="101">
        <v>7</v>
      </c>
      <c r="M176" s="101">
        <v>0</v>
      </c>
      <c r="N176" s="101">
        <v>3</v>
      </c>
      <c r="O176" s="101">
        <v>9</v>
      </c>
      <c r="P176" s="101">
        <v>8</v>
      </c>
      <c r="Q176" s="101">
        <v>8</v>
      </c>
      <c r="R176" s="101">
        <v>5</v>
      </c>
      <c r="S176" s="101">
        <v>1</v>
      </c>
      <c r="T176" s="101">
        <v>1</v>
      </c>
      <c r="U176" s="101">
        <v>4</v>
      </c>
      <c r="V176" s="101">
        <v>3</v>
      </c>
      <c r="W176" s="101">
        <v>1</v>
      </c>
      <c r="X176" s="101">
        <v>1</v>
      </c>
      <c r="Y176" s="101">
        <v>1</v>
      </c>
      <c r="Z176" s="101">
        <v>3</v>
      </c>
      <c r="AA176" s="101">
        <v>0</v>
      </c>
      <c r="AB176" s="101">
        <v>0</v>
      </c>
      <c r="AC176" s="101">
        <v>1</v>
      </c>
      <c r="AD176" s="101">
        <v>8</v>
      </c>
      <c r="AE176" s="101">
        <v>3</v>
      </c>
      <c r="AF176" s="102">
        <v>3</v>
      </c>
      <c r="AG176" s="103">
        <f t="shared" si="28"/>
        <v>125</v>
      </c>
      <c r="AH176" s="2" t="s">
        <v>138</v>
      </c>
    </row>
    <row r="177" spans="1:34" ht="18.75" x14ac:dyDescent="0.25">
      <c r="A177" s="64" t="s">
        <v>105</v>
      </c>
      <c r="B177" s="65"/>
      <c r="C177" s="65"/>
      <c r="D177" s="65"/>
      <c r="E177" s="65"/>
      <c r="F177" s="65"/>
      <c r="G177" s="65"/>
      <c r="H177" s="65"/>
      <c r="I177" s="65"/>
      <c r="J177" s="65"/>
      <c r="K177" s="65"/>
      <c r="L177" s="65"/>
      <c r="M177" s="65"/>
      <c r="N177" s="65"/>
      <c r="O177" s="65"/>
      <c r="P177" s="65"/>
      <c r="Q177" s="65"/>
      <c r="R177" s="65"/>
      <c r="S177" s="65"/>
      <c r="T177" s="65"/>
      <c r="U177" s="65"/>
      <c r="V177" s="65"/>
      <c r="W177" s="65"/>
      <c r="X177" s="65"/>
      <c r="Y177" s="65"/>
      <c r="Z177" s="65"/>
      <c r="AA177" s="65"/>
      <c r="AB177" s="65"/>
      <c r="AC177" s="65"/>
      <c r="AD177" s="65"/>
      <c r="AE177" s="65"/>
      <c r="AF177" s="86"/>
      <c r="AG177" s="96">
        <f t="shared" si="28"/>
        <v>0</v>
      </c>
    </row>
    <row r="178" spans="1:34" ht="19.5" thickBot="1" x14ac:dyDescent="0.3">
      <c r="A178" s="66" t="s">
        <v>104</v>
      </c>
      <c r="B178" s="67"/>
      <c r="C178" s="67"/>
      <c r="D178" s="67"/>
      <c r="E178" s="67"/>
      <c r="F178" s="67"/>
      <c r="G178" s="67"/>
      <c r="H178" s="67"/>
      <c r="I178" s="67"/>
      <c r="J178" s="67"/>
      <c r="K178" s="67"/>
      <c r="L178" s="67"/>
      <c r="M178" s="67"/>
      <c r="N178" s="67"/>
      <c r="O178" s="67"/>
      <c r="P178" s="67"/>
      <c r="Q178" s="67"/>
      <c r="R178" s="67"/>
      <c r="S178" s="67"/>
      <c r="T178" s="67"/>
      <c r="U178" s="67"/>
      <c r="V178" s="67"/>
      <c r="W178" s="67"/>
      <c r="X178" s="67"/>
      <c r="Y178" s="67"/>
      <c r="Z178" s="67"/>
      <c r="AA178" s="67"/>
      <c r="AB178" s="67"/>
      <c r="AC178" s="67"/>
      <c r="AD178" s="67"/>
      <c r="AE178" s="67"/>
      <c r="AF178" s="87"/>
      <c r="AG178" s="32">
        <f t="shared" si="28"/>
        <v>0</v>
      </c>
    </row>
    <row r="179" spans="1:34" ht="19.5" thickBot="1" x14ac:dyDescent="0.3">
      <c r="A179" s="219" t="s">
        <v>149</v>
      </c>
      <c r="B179" s="220">
        <f t="shared" ref="B179:AF179" si="32">SUM(B180:B205)</f>
        <v>23</v>
      </c>
      <c r="C179" s="220">
        <f t="shared" si="32"/>
        <v>15</v>
      </c>
      <c r="D179" s="220">
        <f t="shared" si="32"/>
        <v>35</v>
      </c>
      <c r="E179" s="220">
        <f t="shared" si="32"/>
        <v>13</v>
      </c>
      <c r="F179" s="220">
        <f t="shared" si="32"/>
        <v>26</v>
      </c>
      <c r="G179" s="220">
        <f t="shared" si="32"/>
        <v>8</v>
      </c>
      <c r="H179" s="220">
        <f t="shared" si="32"/>
        <v>18</v>
      </c>
      <c r="I179" s="220">
        <f t="shared" si="32"/>
        <v>16</v>
      </c>
      <c r="J179" s="220">
        <f t="shared" si="32"/>
        <v>11</v>
      </c>
      <c r="K179" s="220">
        <f t="shared" si="32"/>
        <v>19</v>
      </c>
      <c r="L179" s="220">
        <f t="shared" si="32"/>
        <v>33</v>
      </c>
      <c r="M179" s="220">
        <f t="shared" si="32"/>
        <v>31</v>
      </c>
      <c r="N179" s="220">
        <f t="shared" si="32"/>
        <v>23</v>
      </c>
      <c r="O179" s="220">
        <f t="shared" si="32"/>
        <v>16</v>
      </c>
      <c r="P179" s="220">
        <f t="shared" si="32"/>
        <v>10</v>
      </c>
      <c r="Q179" s="220">
        <f t="shared" si="32"/>
        <v>10</v>
      </c>
      <c r="R179" s="220">
        <f t="shared" si="32"/>
        <v>10</v>
      </c>
      <c r="S179" s="220">
        <f t="shared" si="32"/>
        <v>4</v>
      </c>
      <c r="T179" s="220">
        <f t="shared" si="32"/>
        <v>6</v>
      </c>
      <c r="U179" s="220">
        <f t="shared" si="32"/>
        <v>1</v>
      </c>
      <c r="V179" s="220">
        <f t="shared" si="32"/>
        <v>3</v>
      </c>
      <c r="W179" s="220">
        <f t="shared" si="32"/>
        <v>3</v>
      </c>
      <c r="X179" s="220">
        <f t="shared" si="32"/>
        <v>3</v>
      </c>
      <c r="Y179" s="220">
        <f t="shared" si="32"/>
        <v>0</v>
      </c>
      <c r="Z179" s="220">
        <f t="shared" si="32"/>
        <v>0</v>
      </c>
      <c r="AA179" s="220">
        <f t="shared" si="32"/>
        <v>4</v>
      </c>
      <c r="AB179" s="220">
        <f t="shared" si="32"/>
        <v>6</v>
      </c>
      <c r="AC179" s="220">
        <f t="shared" si="32"/>
        <v>5</v>
      </c>
      <c r="AD179" s="220">
        <f t="shared" si="32"/>
        <v>5</v>
      </c>
      <c r="AE179" s="220">
        <f t="shared" si="32"/>
        <v>8</v>
      </c>
      <c r="AF179" s="221">
        <f t="shared" si="32"/>
        <v>4</v>
      </c>
      <c r="AG179" s="156">
        <f t="shared" si="28"/>
        <v>369</v>
      </c>
      <c r="AH179" s="38"/>
    </row>
    <row r="180" spans="1:34" ht="18.75" x14ac:dyDescent="0.25">
      <c r="A180" s="109" t="s">
        <v>4</v>
      </c>
      <c r="B180" s="216">
        <v>10</v>
      </c>
      <c r="C180" s="216">
        <v>3</v>
      </c>
      <c r="D180" s="216">
        <v>10</v>
      </c>
      <c r="E180" s="216"/>
      <c r="F180" s="216">
        <v>5</v>
      </c>
      <c r="G180" s="216">
        <v>4</v>
      </c>
      <c r="H180" s="216">
        <v>3</v>
      </c>
      <c r="I180" s="216">
        <v>11</v>
      </c>
      <c r="J180" s="216">
        <v>4</v>
      </c>
      <c r="K180" s="216">
        <v>1</v>
      </c>
      <c r="L180" s="216">
        <v>15</v>
      </c>
      <c r="M180" s="216">
        <v>13</v>
      </c>
      <c r="N180" s="217">
        <v>18</v>
      </c>
      <c r="O180" s="217">
        <v>6</v>
      </c>
      <c r="P180" s="217">
        <v>1</v>
      </c>
      <c r="Q180" s="217">
        <v>1</v>
      </c>
      <c r="R180" s="217">
        <v>1</v>
      </c>
      <c r="S180" s="217">
        <v>4</v>
      </c>
      <c r="T180" s="217">
        <v>4</v>
      </c>
      <c r="U180" s="217">
        <v>1</v>
      </c>
      <c r="V180" s="217">
        <v>2</v>
      </c>
      <c r="W180" s="217">
        <v>2</v>
      </c>
      <c r="X180" s="217">
        <v>3</v>
      </c>
      <c r="Y180" s="217"/>
      <c r="Z180" s="217"/>
      <c r="AA180" s="217">
        <v>3</v>
      </c>
      <c r="AB180" s="217">
        <v>6</v>
      </c>
      <c r="AC180" s="217"/>
      <c r="AD180" s="217">
        <v>4</v>
      </c>
      <c r="AE180" s="217">
        <v>7</v>
      </c>
      <c r="AF180" s="218">
        <v>2</v>
      </c>
      <c r="AG180" s="31">
        <f t="shared" si="28"/>
        <v>144</v>
      </c>
    </row>
    <row r="181" spans="1:34" ht="18.75" x14ac:dyDescent="0.25">
      <c r="A181" s="109" t="s">
        <v>122</v>
      </c>
      <c r="B181" s="147"/>
      <c r="C181" s="147"/>
      <c r="D181" s="147"/>
      <c r="E181" s="147"/>
      <c r="F181" s="147">
        <v>1</v>
      </c>
      <c r="G181" s="147"/>
      <c r="H181" s="147"/>
      <c r="I181" s="147">
        <v>1</v>
      </c>
      <c r="J181" s="147"/>
      <c r="K181" s="147"/>
      <c r="L181" s="147"/>
      <c r="M181" s="14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  <c r="AE181" s="17"/>
      <c r="AF181" s="18"/>
      <c r="AG181" s="4">
        <f t="shared" si="28"/>
        <v>2</v>
      </c>
    </row>
    <row r="182" spans="1:34" ht="18.75" x14ac:dyDescent="0.25">
      <c r="A182" s="109" t="s">
        <v>123</v>
      </c>
      <c r="B182" s="147">
        <v>9</v>
      </c>
      <c r="C182" s="147">
        <v>11</v>
      </c>
      <c r="D182" s="147">
        <v>21</v>
      </c>
      <c r="E182" s="147">
        <v>11</v>
      </c>
      <c r="F182" s="147">
        <v>6</v>
      </c>
      <c r="G182" s="147">
        <v>2</v>
      </c>
      <c r="H182" s="147">
        <v>4</v>
      </c>
      <c r="I182" s="147"/>
      <c r="J182" s="147"/>
      <c r="K182" s="147">
        <v>5</v>
      </c>
      <c r="L182" s="147">
        <v>9</v>
      </c>
      <c r="M182" s="147">
        <v>6</v>
      </c>
      <c r="N182" s="17">
        <v>3</v>
      </c>
      <c r="O182" s="17">
        <v>3</v>
      </c>
      <c r="P182" s="17">
        <v>7</v>
      </c>
      <c r="Q182" s="17">
        <v>7</v>
      </c>
      <c r="R182" s="17">
        <v>3</v>
      </c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>
        <v>2</v>
      </c>
      <c r="AD182" s="17">
        <v>1</v>
      </c>
      <c r="AE182" s="17"/>
      <c r="AF182" s="18">
        <v>1</v>
      </c>
      <c r="AG182" s="4">
        <f t="shared" si="28"/>
        <v>111</v>
      </c>
    </row>
    <row r="183" spans="1:34" ht="18.75" x14ac:dyDescent="0.25">
      <c r="A183" s="109" t="s">
        <v>614</v>
      </c>
      <c r="B183" s="147"/>
      <c r="C183" s="147"/>
      <c r="D183" s="147"/>
      <c r="E183" s="147"/>
      <c r="F183" s="147"/>
      <c r="G183" s="147"/>
      <c r="H183" s="147"/>
      <c r="I183" s="147"/>
      <c r="J183" s="147"/>
      <c r="K183" s="147"/>
      <c r="L183" s="147"/>
      <c r="M183" s="14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  <c r="AE183" s="17"/>
      <c r="AF183" s="18"/>
      <c r="AG183" s="4">
        <f t="shared" si="28"/>
        <v>0</v>
      </c>
    </row>
    <row r="184" spans="1:34" s="398" customFormat="1" ht="18.75" x14ac:dyDescent="0.25">
      <c r="A184" s="393" t="s">
        <v>621</v>
      </c>
      <c r="B184" s="394"/>
      <c r="C184" s="394"/>
      <c r="D184" s="394"/>
      <c r="E184" s="394"/>
      <c r="F184" s="394"/>
      <c r="G184" s="394"/>
      <c r="H184" s="394"/>
      <c r="I184" s="394"/>
      <c r="J184" s="394"/>
      <c r="K184" s="394"/>
      <c r="L184" s="394"/>
      <c r="M184" s="394"/>
      <c r="N184" s="395"/>
      <c r="O184" s="395"/>
      <c r="P184" s="395"/>
      <c r="Q184" s="395"/>
      <c r="R184" s="395"/>
      <c r="S184" s="395"/>
      <c r="T184" s="395"/>
      <c r="U184" s="395"/>
      <c r="V184" s="395"/>
      <c r="W184" s="395"/>
      <c r="X184" s="395"/>
      <c r="Y184" s="395"/>
      <c r="Z184" s="395"/>
      <c r="AA184" s="395"/>
      <c r="AB184" s="395"/>
      <c r="AC184" s="395"/>
      <c r="AD184" s="395"/>
      <c r="AE184" s="395"/>
      <c r="AF184" s="396"/>
      <c r="AG184" s="397">
        <f t="shared" ref="AG184" si="33">SUM(B184:AF184)</f>
        <v>0</v>
      </c>
    </row>
    <row r="185" spans="1:34" ht="18.75" x14ac:dyDescent="0.25">
      <c r="A185" s="109" t="s">
        <v>165</v>
      </c>
      <c r="B185" s="147"/>
      <c r="C185" s="147"/>
      <c r="D185" s="147"/>
      <c r="E185" s="147"/>
      <c r="F185" s="147">
        <v>1</v>
      </c>
      <c r="G185" s="147"/>
      <c r="H185" s="147"/>
      <c r="I185" s="147"/>
      <c r="J185" s="147"/>
      <c r="K185" s="147"/>
      <c r="L185" s="147"/>
      <c r="M185" s="14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  <c r="AF185" s="18"/>
      <c r="AG185" s="4">
        <f t="shared" si="28"/>
        <v>1</v>
      </c>
    </row>
    <row r="186" spans="1:34" ht="18.75" x14ac:dyDescent="0.25">
      <c r="A186" s="109" t="s">
        <v>141</v>
      </c>
      <c r="B186" s="147"/>
      <c r="C186" s="147"/>
      <c r="D186" s="147"/>
      <c r="E186" s="147"/>
      <c r="F186" s="147">
        <v>1</v>
      </c>
      <c r="G186" s="147"/>
      <c r="H186" s="147"/>
      <c r="I186" s="147"/>
      <c r="J186" s="147"/>
      <c r="K186" s="147">
        <v>1</v>
      </c>
      <c r="L186" s="147"/>
      <c r="M186" s="147"/>
      <c r="N186" s="17"/>
      <c r="O186" s="17"/>
      <c r="P186" s="17"/>
      <c r="Q186" s="17"/>
      <c r="R186" s="17">
        <v>2</v>
      </c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  <c r="AF186" s="18"/>
      <c r="AG186" s="4">
        <f t="shared" si="28"/>
        <v>4</v>
      </c>
    </row>
    <row r="187" spans="1:34" ht="18.75" x14ac:dyDescent="0.25">
      <c r="A187" s="109" t="s">
        <v>613</v>
      </c>
      <c r="B187" s="147"/>
      <c r="C187" s="147"/>
      <c r="D187" s="147"/>
      <c r="E187" s="147"/>
      <c r="F187" s="147"/>
      <c r="G187" s="147"/>
      <c r="H187" s="147"/>
      <c r="I187" s="147"/>
      <c r="J187" s="147"/>
      <c r="K187" s="147"/>
      <c r="L187" s="147"/>
      <c r="M187" s="14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  <c r="AF187" s="18"/>
      <c r="AG187" s="4">
        <f t="shared" si="28"/>
        <v>0</v>
      </c>
    </row>
    <row r="188" spans="1:34" ht="18.75" x14ac:dyDescent="0.25">
      <c r="A188" s="109" t="s">
        <v>139</v>
      </c>
      <c r="B188" s="147"/>
      <c r="C188" s="147"/>
      <c r="D188" s="147"/>
      <c r="E188" s="147"/>
      <c r="F188" s="147">
        <v>8</v>
      </c>
      <c r="G188" s="147"/>
      <c r="H188" s="147">
        <v>4</v>
      </c>
      <c r="I188" s="147"/>
      <c r="J188" s="147"/>
      <c r="K188" s="147">
        <v>3</v>
      </c>
      <c r="L188" s="147"/>
      <c r="M188" s="147">
        <v>4</v>
      </c>
      <c r="N188" s="17">
        <v>1</v>
      </c>
      <c r="O188" s="17">
        <v>5</v>
      </c>
      <c r="P188" s="17"/>
      <c r="Q188" s="17"/>
      <c r="R188" s="17">
        <v>2</v>
      </c>
      <c r="S188" s="17"/>
      <c r="T188" s="17">
        <v>1</v>
      </c>
      <c r="U188" s="17"/>
      <c r="V188" s="17"/>
      <c r="W188" s="17"/>
      <c r="X188" s="17"/>
      <c r="Y188" s="17"/>
      <c r="Z188" s="17"/>
      <c r="AA188" s="17"/>
      <c r="AB188" s="17"/>
      <c r="AC188" s="17"/>
      <c r="AD188" s="17"/>
      <c r="AE188" s="17"/>
      <c r="AF188" s="18"/>
      <c r="AG188" s="4">
        <f t="shared" si="28"/>
        <v>28</v>
      </c>
    </row>
    <row r="189" spans="1:34" ht="18.75" x14ac:dyDescent="0.25">
      <c r="A189" s="110" t="s">
        <v>63</v>
      </c>
      <c r="B189" s="147"/>
      <c r="C189" s="147"/>
      <c r="D189" s="147"/>
      <c r="E189" s="147"/>
      <c r="F189" s="147"/>
      <c r="G189" s="147"/>
      <c r="H189" s="147"/>
      <c r="I189" s="147"/>
      <c r="J189" s="147">
        <v>1</v>
      </c>
      <c r="K189" s="147"/>
      <c r="L189" s="147">
        <v>1</v>
      </c>
      <c r="M189" s="147">
        <v>1</v>
      </c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  <c r="AE189" s="17"/>
      <c r="AF189" s="18"/>
      <c r="AG189" s="4">
        <f t="shared" si="28"/>
        <v>3</v>
      </c>
    </row>
    <row r="190" spans="1:34" ht="18.75" x14ac:dyDescent="0.25">
      <c r="A190" s="110" t="s">
        <v>142</v>
      </c>
      <c r="B190" s="147"/>
      <c r="C190" s="147"/>
      <c r="D190" s="147"/>
      <c r="E190" s="147"/>
      <c r="F190" s="147"/>
      <c r="G190" s="147"/>
      <c r="H190" s="147"/>
      <c r="I190" s="147"/>
      <c r="J190" s="147"/>
      <c r="K190" s="147"/>
      <c r="L190" s="147"/>
      <c r="M190" s="14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  <c r="AE190" s="17"/>
      <c r="AF190" s="18"/>
      <c r="AG190" s="4">
        <f t="shared" si="28"/>
        <v>0</v>
      </c>
    </row>
    <row r="191" spans="1:34" ht="18.75" x14ac:dyDescent="0.25">
      <c r="A191" s="110" t="s">
        <v>168</v>
      </c>
      <c r="B191" s="147"/>
      <c r="C191" s="147"/>
      <c r="D191" s="147"/>
      <c r="E191" s="147"/>
      <c r="F191" s="147"/>
      <c r="G191" s="147"/>
      <c r="H191" s="147"/>
      <c r="I191" s="147"/>
      <c r="J191" s="147"/>
      <c r="K191" s="147"/>
      <c r="L191" s="147"/>
      <c r="M191" s="14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  <c r="AE191" s="17"/>
      <c r="AF191" s="18"/>
      <c r="AG191" s="4">
        <f t="shared" si="28"/>
        <v>0</v>
      </c>
    </row>
    <row r="192" spans="1:34" ht="18.75" x14ac:dyDescent="0.25">
      <c r="A192" s="110" t="s">
        <v>169</v>
      </c>
      <c r="B192" s="147"/>
      <c r="C192" s="147"/>
      <c r="D192" s="147"/>
      <c r="E192" s="147"/>
      <c r="F192" s="147"/>
      <c r="G192" s="147"/>
      <c r="H192" s="147"/>
      <c r="I192" s="147"/>
      <c r="J192" s="147"/>
      <c r="K192" s="147">
        <v>1</v>
      </c>
      <c r="L192" s="147"/>
      <c r="M192" s="14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  <c r="AE192" s="17"/>
      <c r="AF192" s="18"/>
      <c r="AG192" s="4">
        <f t="shared" si="28"/>
        <v>1</v>
      </c>
    </row>
    <row r="193" spans="1:34" ht="18.75" x14ac:dyDescent="0.25">
      <c r="A193" s="236" t="s">
        <v>5</v>
      </c>
      <c r="B193" s="237">
        <v>1</v>
      </c>
      <c r="C193" s="237"/>
      <c r="D193" s="237">
        <v>1</v>
      </c>
      <c r="E193" s="237"/>
      <c r="F193" s="237">
        <v>1</v>
      </c>
      <c r="G193" s="237"/>
      <c r="H193" s="237">
        <v>4</v>
      </c>
      <c r="I193" s="237"/>
      <c r="J193" s="237">
        <v>2</v>
      </c>
      <c r="K193" s="237">
        <v>2</v>
      </c>
      <c r="L193" s="237">
        <v>2</v>
      </c>
      <c r="M193" s="237">
        <v>2</v>
      </c>
      <c r="N193" s="238">
        <v>1</v>
      </c>
      <c r="O193" s="238"/>
      <c r="P193" s="238">
        <v>1</v>
      </c>
      <c r="Q193" s="238">
        <v>1</v>
      </c>
      <c r="R193" s="238"/>
      <c r="S193" s="238"/>
      <c r="T193" s="238"/>
      <c r="U193" s="238"/>
      <c r="V193" s="238">
        <v>1</v>
      </c>
      <c r="W193" s="238"/>
      <c r="X193" s="238"/>
      <c r="Y193" s="238"/>
      <c r="Z193" s="238"/>
      <c r="AA193" s="238">
        <v>1</v>
      </c>
      <c r="AB193" s="238"/>
      <c r="AC193" s="238">
        <v>3</v>
      </c>
      <c r="AD193" s="238"/>
      <c r="AE193" s="238"/>
      <c r="AF193" s="239"/>
      <c r="AG193" s="240">
        <f t="shared" si="28"/>
        <v>23</v>
      </c>
    </row>
    <row r="194" spans="1:34" ht="18.75" x14ac:dyDescent="0.25">
      <c r="A194" s="111" t="s">
        <v>174</v>
      </c>
      <c r="B194" s="147"/>
      <c r="C194" s="147"/>
      <c r="D194" s="147"/>
      <c r="E194" s="147"/>
      <c r="F194" s="147"/>
      <c r="G194" s="147"/>
      <c r="H194" s="147"/>
      <c r="I194" s="147"/>
      <c r="J194" s="147"/>
      <c r="K194" s="147"/>
      <c r="L194" s="147"/>
      <c r="M194" s="14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  <c r="AE194" s="17"/>
      <c r="AF194" s="18"/>
      <c r="AG194" s="4">
        <f t="shared" si="28"/>
        <v>0</v>
      </c>
    </row>
    <row r="195" spans="1:34" ht="18.75" x14ac:dyDescent="0.25">
      <c r="A195" s="111" t="s">
        <v>171</v>
      </c>
      <c r="B195" s="147"/>
      <c r="C195" s="147"/>
      <c r="D195" s="147"/>
      <c r="E195" s="147"/>
      <c r="F195" s="147"/>
      <c r="G195" s="147"/>
      <c r="H195" s="147"/>
      <c r="I195" s="147"/>
      <c r="J195" s="147"/>
      <c r="K195" s="147"/>
      <c r="L195" s="147"/>
      <c r="M195" s="14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  <c r="AE195" s="17"/>
      <c r="AF195" s="18"/>
      <c r="AG195" s="4">
        <f t="shared" si="28"/>
        <v>0</v>
      </c>
    </row>
    <row r="196" spans="1:34" ht="18.75" x14ac:dyDescent="0.25">
      <c r="A196" s="111" t="s">
        <v>173</v>
      </c>
      <c r="B196" s="147"/>
      <c r="C196" s="147"/>
      <c r="D196" s="147"/>
      <c r="E196" s="147"/>
      <c r="F196" s="147"/>
      <c r="G196" s="147"/>
      <c r="H196" s="147"/>
      <c r="I196" s="147"/>
      <c r="J196" s="147"/>
      <c r="K196" s="147"/>
      <c r="L196" s="147"/>
      <c r="M196" s="14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  <c r="AE196" s="17"/>
      <c r="AF196" s="18"/>
      <c r="AG196" s="4">
        <f t="shared" si="28"/>
        <v>0</v>
      </c>
    </row>
    <row r="197" spans="1:34" ht="18.75" x14ac:dyDescent="0.25">
      <c r="A197" s="111" t="s">
        <v>88</v>
      </c>
      <c r="B197" s="147"/>
      <c r="C197" s="147"/>
      <c r="D197" s="147"/>
      <c r="E197" s="147"/>
      <c r="F197" s="147"/>
      <c r="G197" s="147"/>
      <c r="H197" s="147"/>
      <c r="I197" s="147"/>
      <c r="J197" s="147"/>
      <c r="K197" s="147"/>
      <c r="L197" s="147"/>
      <c r="M197" s="147"/>
      <c r="N197" s="17"/>
      <c r="O197" s="17"/>
      <c r="P197" s="17"/>
      <c r="Q197" s="17"/>
      <c r="R197" s="17"/>
      <c r="S197" s="17"/>
      <c r="T197" s="17"/>
      <c r="U197" s="17"/>
      <c r="V197" s="17"/>
      <c r="W197" s="17">
        <v>1</v>
      </c>
      <c r="X197" s="17"/>
      <c r="Y197" s="17"/>
      <c r="Z197" s="17"/>
      <c r="AA197" s="17"/>
      <c r="AB197" s="17"/>
      <c r="AC197" s="17"/>
      <c r="AD197" s="17"/>
      <c r="AE197" s="17"/>
      <c r="AF197" s="18"/>
      <c r="AG197" s="4">
        <f t="shared" si="28"/>
        <v>1</v>
      </c>
    </row>
    <row r="198" spans="1:34" ht="18.75" x14ac:dyDescent="0.25">
      <c r="A198" s="111" t="s">
        <v>617</v>
      </c>
      <c r="B198" s="147"/>
      <c r="C198" s="147"/>
      <c r="D198" s="147"/>
      <c r="E198" s="147"/>
      <c r="F198" s="147"/>
      <c r="G198" s="147"/>
      <c r="H198" s="147"/>
      <c r="I198" s="147"/>
      <c r="J198" s="147"/>
      <c r="K198" s="147"/>
      <c r="L198" s="147"/>
      <c r="M198" s="14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  <c r="AE198" s="17"/>
      <c r="AF198" s="18"/>
      <c r="AG198" s="4">
        <f t="shared" si="28"/>
        <v>0</v>
      </c>
    </row>
    <row r="199" spans="1:34" ht="18.75" x14ac:dyDescent="0.25">
      <c r="A199" s="111" t="s">
        <v>143</v>
      </c>
      <c r="B199" s="147">
        <v>1</v>
      </c>
      <c r="C199" s="147"/>
      <c r="D199" s="147">
        <v>2</v>
      </c>
      <c r="E199" s="147"/>
      <c r="F199" s="147"/>
      <c r="G199" s="147"/>
      <c r="H199" s="147">
        <v>1</v>
      </c>
      <c r="I199" s="147"/>
      <c r="J199" s="147"/>
      <c r="K199" s="147">
        <v>1</v>
      </c>
      <c r="L199" s="147"/>
      <c r="M199" s="14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  <c r="AE199" s="17"/>
      <c r="AF199" s="18"/>
      <c r="AG199" s="4">
        <f t="shared" si="28"/>
        <v>5</v>
      </c>
    </row>
    <row r="200" spans="1:34" ht="18.75" x14ac:dyDescent="0.25">
      <c r="A200" s="110" t="s">
        <v>124</v>
      </c>
      <c r="B200" s="147">
        <v>1</v>
      </c>
      <c r="C200" s="147"/>
      <c r="D200" s="147"/>
      <c r="E200" s="147"/>
      <c r="F200" s="147">
        <v>1</v>
      </c>
      <c r="G200" s="147"/>
      <c r="H200" s="147"/>
      <c r="I200" s="147">
        <v>1</v>
      </c>
      <c r="J200" s="147"/>
      <c r="K200" s="147">
        <v>3</v>
      </c>
      <c r="L200" s="147">
        <v>1</v>
      </c>
      <c r="M200" s="14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  <c r="AE200" s="17"/>
      <c r="AF200" s="18">
        <v>1</v>
      </c>
      <c r="AG200" s="4">
        <f t="shared" si="28"/>
        <v>8</v>
      </c>
    </row>
    <row r="201" spans="1:34" ht="18.75" x14ac:dyDescent="0.25">
      <c r="A201" s="110" t="s">
        <v>167</v>
      </c>
      <c r="B201" s="147"/>
      <c r="C201" s="147"/>
      <c r="D201" s="147"/>
      <c r="E201" s="147"/>
      <c r="F201" s="147"/>
      <c r="G201" s="147"/>
      <c r="H201" s="147"/>
      <c r="I201" s="147"/>
      <c r="J201" s="147"/>
      <c r="K201" s="147"/>
      <c r="L201" s="147"/>
      <c r="M201" s="147">
        <v>2</v>
      </c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  <c r="AD201" s="17"/>
      <c r="AE201" s="17"/>
      <c r="AF201" s="18"/>
      <c r="AG201" s="4">
        <f t="shared" si="28"/>
        <v>2</v>
      </c>
    </row>
    <row r="202" spans="1:34" ht="18.75" x14ac:dyDescent="0.25">
      <c r="A202" s="110" t="s">
        <v>125</v>
      </c>
      <c r="B202" s="147"/>
      <c r="C202" s="147"/>
      <c r="D202" s="147"/>
      <c r="E202" s="147"/>
      <c r="F202" s="147"/>
      <c r="G202" s="147"/>
      <c r="H202" s="147"/>
      <c r="I202" s="147">
        <v>1</v>
      </c>
      <c r="J202" s="147"/>
      <c r="K202" s="147">
        <v>1</v>
      </c>
      <c r="L202" s="147"/>
      <c r="M202" s="147"/>
      <c r="N202" s="17"/>
      <c r="O202" s="17"/>
      <c r="P202" s="17"/>
      <c r="Q202" s="17"/>
      <c r="R202" s="17"/>
      <c r="S202" s="17"/>
      <c r="T202" s="17">
        <v>1</v>
      </c>
      <c r="U202" s="17"/>
      <c r="V202" s="17"/>
      <c r="W202" s="17"/>
      <c r="X202" s="17"/>
      <c r="Y202" s="17"/>
      <c r="Z202" s="17"/>
      <c r="AA202" s="17"/>
      <c r="AB202" s="17"/>
      <c r="AC202" s="17"/>
      <c r="AD202" s="17"/>
      <c r="AE202" s="17"/>
      <c r="AF202" s="18"/>
      <c r="AG202" s="4">
        <f t="shared" si="28"/>
        <v>3</v>
      </c>
    </row>
    <row r="203" spans="1:34" ht="18.75" x14ac:dyDescent="0.25">
      <c r="A203" s="110" t="s">
        <v>126</v>
      </c>
      <c r="B203" s="202">
        <v>1</v>
      </c>
      <c r="C203" s="202">
        <v>1</v>
      </c>
      <c r="D203" s="202">
        <v>1</v>
      </c>
      <c r="E203" s="202">
        <v>2</v>
      </c>
      <c r="F203" s="202">
        <v>1</v>
      </c>
      <c r="G203" s="202">
        <v>2</v>
      </c>
      <c r="H203" s="202">
        <v>2</v>
      </c>
      <c r="I203" s="202">
        <v>1</v>
      </c>
      <c r="J203" s="202">
        <v>2</v>
      </c>
      <c r="K203" s="202">
        <v>1</v>
      </c>
      <c r="L203" s="202">
        <v>4</v>
      </c>
      <c r="M203" s="202">
        <v>1</v>
      </c>
      <c r="N203" s="203"/>
      <c r="O203" s="203">
        <v>1</v>
      </c>
      <c r="P203" s="203"/>
      <c r="Q203" s="203"/>
      <c r="R203" s="203">
        <v>2</v>
      </c>
      <c r="S203" s="203"/>
      <c r="T203" s="203"/>
      <c r="U203" s="203"/>
      <c r="V203" s="203"/>
      <c r="W203" s="203"/>
      <c r="X203" s="203"/>
      <c r="Y203" s="203"/>
      <c r="Z203" s="203"/>
      <c r="AA203" s="203"/>
      <c r="AB203" s="203"/>
      <c r="AC203" s="203"/>
      <c r="AD203" s="203"/>
      <c r="AE203" s="203">
        <v>1</v>
      </c>
      <c r="AF203" s="204"/>
      <c r="AG203" s="4">
        <f t="shared" si="28"/>
        <v>23</v>
      </c>
    </row>
    <row r="204" spans="1:34" ht="18.75" x14ac:dyDescent="0.25">
      <c r="A204" s="112" t="s">
        <v>170</v>
      </c>
      <c r="B204" s="202"/>
      <c r="C204" s="202"/>
      <c r="D204" s="202"/>
      <c r="E204" s="202"/>
      <c r="F204" s="202">
        <v>1</v>
      </c>
      <c r="G204" s="202"/>
      <c r="H204" s="202"/>
      <c r="I204" s="202">
        <v>1</v>
      </c>
      <c r="J204" s="202">
        <v>2</v>
      </c>
      <c r="K204" s="202"/>
      <c r="L204" s="202">
        <v>1</v>
      </c>
      <c r="M204" s="202">
        <v>2</v>
      </c>
      <c r="N204" s="203"/>
      <c r="O204" s="203">
        <v>1</v>
      </c>
      <c r="P204" s="203">
        <v>1</v>
      </c>
      <c r="Q204" s="203">
        <v>1</v>
      </c>
      <c r="R204" s="203"/>
      <c r="S204" s="203"/>
      <c r="T204" s="203"/>
      <c r="U204" s="203"/>
      <c r="V204" s="203"/>
      <c r="W204" s="203"/>
      <c r="X204" s="203"/>
      <c r="Y204" s="203"/>
      <c r="Z204" s="203"/>
      <c r="AA204" s="203"/>
      <c r="AB204" s="203"/>
      <c r="AC204" s="203"/>
      <c r="AD204" s="203"/>
      <c r="AE204" s="203"/>
      <c r="AF204" s="204"/>
      <c r="AG204" s="4">
        <f t="shared" si="28"/>
        <v>10</v>
      </c>
    </row>
    <row r="205" spans="1:34" ht="19.5" thickBot="1" x14ac:dyDescent="0.3">
      <c r="A205" s="231" t="s">
        <v>166</v>
      </c>
      <c r="B205" s="202"/>
      <c r="C205" s="202"/>
      <c r="D205" s="202"/>
      <c r="E205" s="202"/>
      <c r="F205" s="202"/>
      <c r="G205" s="202"/>
      <c r="H205" s="202"/>
      <c r="I205" s="202"/>
      <c r="J205" s="202"/>
      <c r="K205" s="202"/>
      <c r="L205" s="202"/>
      <c r="M205" s="202"/>
      <c r="N205" s="203"/>
      <c r="O205" s="203"/>
      <c r="P205" s="203"/>
      <c r="Q205" s="203"/>
      <c r="R205" s="203"/>
      <c r="S205" s="203"/>
      <c r="T205" s="203"/>
      <c r="U205" s="203"/>
      <c r="V205" s="203"/>
      <c r="W205" s="203"/>
      <c r="X205" s="203"/>
      <c r="Y205" s="203"/>
      <c r="Z205" s="203"/>
      <c r="AA205" s="203"/>
      <c r="AB205" s="203"/>
      <c r="AC205" s="203"/>
      <c r="AD205" s="203"/>
      <c r="AE205" s="203"/>
      <c r="AF205" s="204"/>
      <c r="AG205" s="28">
        <f t="shared" si="28"/>
        <v>0</v>
      </c>
    </row>
    <row r="206" spans="1:34" ht="19.5" thickBot="1" x14ac:dyDescent="0.3">
      <c r="A206" s="215" t="s">
        <v>83</v>
      </c>
      <c r="B206" s="209">
        <f>SUM(B207:B211)</f>
        <v>188</v>
      </c>
      <c r="C206" s="210">
        <f t="shared" ref="C206:AF206" si="34">SUM(C207:C211)</f>
        <v>152</v>
      </c>
      <c r="D206" s="210">
        <f t="shared" si="34"/>
        <v>172</v>
      </c>
      <c r="E206" s="210">
        <f t="shared" si="34"/>
        <v>147</v>
      </c>
      <c r="F206" s="210">
        <f t="shared" si="34"/>
        <v>143</v>
      </c>
      <c r="G206" s="210">
        <f t="shared" si="34"/>
        <v>129</v>
      </c>
      <c r="H206" s="210">
        <f t="shared" si="34"/>
        <v>202</v>
      </c>
      <c r="I206" s="210">
        <f t="shared" si="34"/>
        <v>200</v>
      </c>
      <c r="J206" s="210">
        <f t="shared" si="34"/>
        <v>157</v>
      </c>
      <c r="K206" s="210">
        <f t="shared" si="34"/>
        <v>156</v>
      </c>
      <c r="L206" s="210">
        <f t="shared" si="34"/>
        <v>162</v>
      </c>
      <c r="M206" s="210">
        <f t="shared" si="34"/>
        <v>161</v>
      </c>
      <c r="N206" s="211">
        <f t="shared" si="34"/>
        <v>149</v>
      </c>
      <c r="O206" s="211">
        <f t="shared" si="34"/>
        <v>232</v>
      </c>
      <c r="P206" s="211">
        <f t="shared" si="34"/>
        <v>230</v>
      </c>
      <c r="Q206" s="211">
        <f t="shared" si="34"/>
        <v>128</v>
      </c>
      <c r="R206" s="211">
        <f t="shared" si="34"/>
        <v>118</v>
      </c>
      <c r="S206" s="211">
        <f t="shared" si="34"/>
        <v>53</v>
      </c>
      <c r="T206" s="211">
        <f t="shared" si="34"/>
        <v>65</v>
      </c>
      <c r="U206" s="211">
        <f t="shared" si="34"/>
        <v>69</v>
      </c>
      <c r="V206" s="211">
        <f t="shared" si="34"/>
        <v>70</v>
      </c>
      <c r="W206" s="211">
        <f t="shared" si="34"/>
        <v>82</v>
      </c>
      <c r="X206" s="211">
        <f t="shared" si="34"/>
        <v>41</v>
      </c>
      <c r="Y206" s="211">
        <f t="shared" si="34"/>
        <v>37</v>
      </c>
      <c r="Z206" s="211">
        <f t="shared" si="34"/>
        <v>48</v>
      </c>
      <c r="AA206" s="211">
        <f t="shared" si="34"/>
        <v>56</v>
      </c>
      <c r="AB206" s="211">
        <f t="shared" si="34"/>
        <v>54</v>
      </c>
      <c r="AC206" s="211">
        <f t="shared" si="34"/>
        <v>84</v>
      </c>
      <c r="AD206" s="211">
        <f t="shared" si="34"/>
        <v>102</v>
      </c>
      <c r="AE206" s="211">
        <f t="shared" si="34"/>
        <v>54</v>
      </c>
      <c r="AF206" s="212">
        <f t="shared" si="34"/>
        <v>61</v>
      </c>
      <c r="AG206" s="213">
        <f t="shared" si="28"/>
        <v>3702</v>
      </c>
      <c r="AH206" s="180" t="str">
        <f>IF(AG206&lt;&gt;AG93,"X","")</f>
        <v/>
      </c>
    </row>
    <row r="207" spans="1:34" ht="18.75" x14ac:dyDescent="0.25">
      <c r="A207" s="214" t="s">
        <v>72</v>
      </c>
      <c r="B207" s="205"/>
      <c r="C207" s="205"/>
      <c r="D207" s="205">
        <v>1</v>
      </c>
      <c r="E207" s="205"/>
      <c r="F207" s="205"/>
      <c r="G207" s="205"/>
      <c r="H207" s="205"/>
      <c r="I207" s="205"/>
      <c r="J207" s="205"/>
      <c r="K207" s="205"/>
      <c r="L207" s="205"/>
      <c r="M207" s="205"/>
      <c r="N207" s="206"/>
      <c r="O207" s="206"/>
      <c r="P207" s="206"/>
      <c r="Q207" s="206"/>
      <c r="R207" s="206"/>
      <c r="S207" s="206"/>
      <c r="T207" s="206"/>
      <c r="U207" s="206"/>
      <c r="V207" s="206"/>
      <c r="W207" s="206"/>
      <c r="X207" s="206"/>
      <c r="Y207" s="206"/>
      <c r="Z207" s="206"/>
      <c r="AA207" s="206"/>
      <c r="AB207" s="206"/>
      <c r="AC207" s="206"/>
      <c r="AD207" s="206"/>
      <c r="AE207" s="206"/>
      <c r="AF207" s="207"/>
      <c r="AG207" s="208">
        <f t="shared" si="28"/>
        <v>1</v>
      </c>
    </row>
    <row r="208" spans="1:34" ht="18.75" x14ac:dyDescent="0.25">
      <c r="A208" s="52" t="s">
        <v>73</v>
      </c>
      <c r="B208" s="148"/>
      <c r="C208" s="148">
        <v>2</v>
      </c>
      <c r="D208" s="148">
        <v>1</v>
      </c>
      <c r="E208" s="148">
        <v>4</v>
      </c>
      <c r="F208" s="148">
        <v>1</v>
      </c>
      <c r="G208" s="148"/>
      <c r="H208" s="148">
        <v>3</v>
      </c>
      <c r="I208" s="148">
        <v>7</v>
      </c>
      <c r="J208" s="148">
        <v>2</v>
      </c>
      <c r="K208" s="148"/>
      <c r="L208" s="148"/>
      <c r="M208" s="148">
        <v>1</v>
      </c>
      <c r="N208" s="33">
        <v>2</v>
      </c>
      <c r="O208" s="33"/>
      <c r="P208" s="33">
        <v>2</v>
      </c>
      <c r="Q208" s="33"/>
      <c r="R208" s="33"/>
      <c r="S208" s="33"/>
      <c r="T208" s="33"/>
      <c r="U208" s="33"/>
      <c r="V208" s="33"/>
      <c r="W208" s="33"/>
      <c r="X208" s="33"/>
      <c r="Y208" s="33"/>
      <c r="Z208" s="33"/>
      <c r="AA208" s="33"/>
      <c r="AB208" s="33"/>
      <c r="AC208" s="33"/>
      <c r="AD208" s="33">
        <v>1</v>
      </c>
      <c r="AE208" s="33"/>
      <c r="AF208" s="88">
        <v>1</v>
      </c>
      <c r="AG208" s="97">
        <f t="shared" si="28"/>
        <v>27</v>
      </c>
    </row>
    <row r="209" spans="1:34" ht="18.75" x14ac:dyDescent="0.25">
      <c r="A209" s="52" t="s">
        <v>74</v>
      </c>
      <c r="B209" s="148">
        <v>15</v>
      </c>
      <c r="C209" s="148">
        <v>11</v>
      </c>
      <c r="D209" s="148">
        <v>28</v>
      </c>
      <c r="E209" s="148">
        <v>6</v>
      </c>
      <c r="F209" s="148">
        <v>16</v>
      </c>
      <c r="G209" s="148">
        <v>11</v>
      </c>
      <c r="H209" s="148">
        <v>21</v>
      </c>
      <c r="I209" s="148">
        <v>20</v>
      </c>
      <c r="J209" s="148">
        <v>15</v>
      </c>
      <c r="K209" s="148">
        <v>14</v>
      </c>
      <c r="L209" s="148">
        <v>32</v>
      </c>
      <c r="M209" s="148">
        <v>25</v>
      </c>
      <c r="N209" s="33">
        <v>29</v>
      </c>
      <c r="O209" s="33">
        <v>22</v>
      </c>
      <c r="P209" s="33">
        <v>23</v>
      </c>
      <c r="Q209" s="33">
        <v>6</v>
      </c>
      <c r="R209" s="33">
        <v>7</v>
      </c>
      <c r="S209" s="33">
        <v>8</v>
      </c>
      <c r="T209" s="33">
        <v>7</v>
      </c>
      <c r="U209" s="33">
        <v>5</v>
      </c>
      <c r="V209" s="33">
        <v>3</v>
      </c>
      <c r="W209" s="33">
        <v>5</v>
      </c>
      <c r="X209" s="33">
        <v>4</v>
      </c>
      <c r="Y209" s="33"/>
      <c r="Z209" s="33">
        <v>1</v>
      </c>
      <c r="AA209" s="33">
        <v>2</v>
      </c>
      <c r="AB209" s="33">
        <v>8</v>
      </c>
      <c r="AC209" s="33">
        <v>6</v>
      </c>
      <c r="AD209" s="33">
        <v>6</v>
      </c>
      <c r="AE209" s="33">
        <v>8</v>
      </c>
      <c r="AF209" s="88">
        <v>3</v>
      </c>
      <c r="AG209" s="97">
        <f t="shared" si="28"/>
        <v>367</v>
      </c>
    </row>
    <row r="210" spans="1:34" ht="18.75" x14ac:dyDescent="0.25">
      <c r="A210" s="52" t="s">
        <v>75</v>
      </c>
      <c r="B210" s="148">
        <v>116</v>
      </c>
      <c r="C210" s="148">
        <v>98</v>
      </c>
      <c r="D210" s="148">
        <v>92</v>
      </c>
      <c r="E210" s="148">
        <v>118</v>
      </c>
      <c r="F210" s="148">
        <v>88</v>
      </c>
      <c r="G210" s="148">
        <v>78</v>
      </c>
      <c r="H210" s="148">
        <v>117</v>
      </c>
      <c r="I210" s="148">
        <v>113</v>
      </c>
      <c r="J210" s="148">
        <v>98</v>
      </c>
      <c r="K210" s="148">
        <v>129</v>
      </c>
      <c r="L210" s="148">
        <v>115</v>
      </c>
      <c r="M210" s="148">
        <v>105</v>
      </c>
      <c r="N210" s="33">
        <v>85</v>
      </c>
      <c r="O210" s="33">
        <v>120</v>
      </c>
      <c r="P210" s="33">
        <v>137</v>
      </c>
      <c r="Q210" s="33">
        <v>59</v>
      </c>
      <c r="R210" s="33">
        <v>84</v>
      </c>
      <c r="S210" s="33">
        <v>33</v>
      </c>
      <c r="T210" s="33">
        <v>28</v>
      </c>
      <c r="U210" s="33">
        <v>23</v>
      </c>
      <c r="V210" s="33">
        <v>33</v>
      </c>
      <c r="W210" s="33">
        <v>39</v>
      </c>
      <c r="X210" s="33">
        <v>24</v>
      </c>
      <c r="Y210" s="33">
        <v>14</v>
      </c>
      <c r="Z210" s="33">
        <v>13</v>
      </c>
      <c r="AA210" s="33">
        <v>21</v>
      </c>
      <c r="AB210" s="33">
        <v>23</v>
      </c>
      <c r="AC210" s="33">
        <v>22</v>
      </c>
      <c r="AD210" s="33">
        <v>45</v>
      </c>
      <c r="AE210" s="33">
        <v>6</v>
      </c>
      <c r="AF210" s="88">
        <v>19</v>
      </c>
      <c r="AG210" s="97">
        <f t="shared" si="28"/>
        <v>2095</v>
      </c>
    </row>
    <row r="211" spans="1:34" ht="19.5" thickBot="1" x14ac:dyDescent="0.3">
      <c r="A211" s="63" t="s">
        <v>76</v>
      </c>
      <c r="B211" s="149">
        <v>57</v>
      </c>
      <c r="C211" s="149">
        <v>41</v>
      </c>
      <c r="D211" s="149">
        <v>50</v>
      </c>
      <c r="E211" s="149">
        <v>19</v>
      </c>
      <c r="F211" s="149">
        <v>38</v>
      </c>
      <c r="G211" s="149">
        <v>40</v>
      </c>
      <c r="H211" s="149">
        <v>61</v>
      </c>
      <c r="I211" s="149">
        <v>60</v>
      </c>
      <c r="J211" s="149">
        <v>42</v>
      </c>
      <c r="K211" s="149">
        <v>13</v>
      </c>
      <c r="L211" s="149">
        <v>15</v>
      </c>
      <c r="M211" s="149">
        <v>30</v>
      </c>
      <c r="N211" s="34">
        <v>33</v>
      </c>
      <c r="O211" s="34">
        <v>90</v>
      </c>
      <c r="P211" s="34">
        <v>68</v>
      </c>
      <c r="Q211" s="34">
        <v>63</v>
      </c>
      <c r="R211" s="34">
        <v>27</v>
      </c>
      <c r="S211" s="34">
        <v>12</v>
      </c>
      <c r="T211" s="34">
        <v>30</v>
      </c>
      <c r="U211" s="34">
        <v>41</v>
      </c>
      <c r="V211" s="34">
        <v>34</v>
      </c>
      <c r="W211" s="34">
        <v>38</v>
      </c>
      <c r="X211" s="34">
        <v>13</v>
      </c>
      <c r="Y211" s="34">
        <v>23</v>
      </c>
      <c r="Z211" s="34">
        <v>34</v>
      </c>
      <c r="AA211" s="34">
        <v>33</v>
      </c>
      <c r="AB211" s="34">
        <v>23</v>
      </c>
      <c r="AC211" s="34">
        <v>56</v>
      </c>
      <c r="AD211" s="34">
        <v>50</v>
      </c>
      <c r="AE211" s="34">
        <v>40</v>
      </c>
      <c r="AF211" s="89">
        <v>38</v>
      </c>
      <c r="AG211" s="35">
        <f t="shared" si="28"/>
        <v>1212</v>
      </c>
    </row>
    <row r="212" spans="1:34" ht="19.5" thickBot="1" x14ac:dyDescent="0.3">
      <c r="A212" s="121" t="s">
        <v>622</v>
      </c>
      <c r="B212" s="404"/>
      <c r="C212" s="404"/>
      <c r="D212" s="404"/>
      <c r="E212" s="404"/>
      <c r="F212" s="404"/>
      <c r="G212" s="404"/>
      <c r="H212" s="404"/>
      <c r="I212" s="404"/>
      <c r="J212" s="404"/>
      <c r="K212" s="404"/>
      <c r="L212" s="404"/>
      <c r="M212" s="404"/>
      <c r="N212" s="122"/>
      <c r="O212" s="122"/>
      <c r="P212" s="122"/>
      <c r="Q212" s="122">
        <v>6</v>
      </c>
      <c r="R212" s="122">
        <v>9</v>
      </c>
      <c r="S212" s="122">
        <v>3</v>
      </c>
      <c r="T212" s="122">
        <v>3</v>
      </c>
      <c r="U212" s="122">
        <v>7</v>
      </c>
      <c r="V212" s="122">
        <v>4</v>
      </c>
      <c r="W212" s="122">
        <v>6</v>
      </c>
      <c r="X212" s="122">
        <v>7</v>
      </c>
      <c r="Y212" s="122">
        <v>1</v>
      </c>
      <c r="Z212" s="122">
        <v>14</v>
      </c>
      <c r="AA212" s="122">
        <v>10</v>
      </c>
      <c r="AB212" s="122">
        <v>4</v>
      </c>
      <c r="AC212" s="122">
        <v>16</v>
      </c>
      <c r="AD212" s="122">
        <v>24</v>
      </c>
      <c r="AE212" s="122">
        <v>14</v>
      </c>
      <c r="AF212" s="123">
        <v>9</v>
      </c>
      <c r="AG212" s="124">
        <f t="shared" si="28"/>
        <v>137</v>
      </c>
    </row>
    <row r="213" spans="1:34" ht="18.75" x14ac:dyDescent="0.25">
      <c r="A213" s="414" t="s">
        <v>624</v>
      </c>
      <c r="B213" s="415"/>
      <c r="C213" s="415"/>
      <c r="D213" s="415"/>
      <c r="E213" s="415"/>
      <c r="F213" s="415"/>
      <c r="G213" s="415"/>
      <c r="H213" s="415"/>
      <c r="I213" s="415"/>
      <c r="J213" s="415"/>
      <c r="K213" s="415"/>
      <c r="L213" s="415"/>
      <c r="M213" s="415"/>
      <c r="N213" s="416"/>
      <c r="O213" s="416"/>
      <c r="P213" s="416"/>
      <c r="Q213" s="416">
        <v>2</v>
      </c>
      <c r="R213" s="416">
        <v>7</v>
      </c>
      <c r="S213" s="416">
        <v>2</v>
      </c>
      <c r="T213" s="416">
        <v>3</v>
      </c>
      <c r="U213" s="416">
        <v>3</v>
      </c>
      <c r="V213" s="416">
        <v>4</v>
      </c>
      <c r="W213" s="416">
        <v>4</v>
      </c>
      <c r="X213" s="416">
        <v>5</v>
      </c>
      <c r="Y213" s="416">
        <v>1</v>
      </c>
      <c r="Z213" s="416">
        <v>11</v>
      </c>
      <c r="AA213" s="416">
        <v>6</v>
      </c>
      <c r="AB213" s="416">
        <v>4</v>
      </c>
      <c r="AC213" s="416">
        <v>16</v>
      </c>
      <c r="AD213" s="416">
        <v>20</v>
      </c>
      <c r="AE213" s="416">
        <v>14</v>
      </c>
      <c r="AF213" s="417">
        <v>7</v>
      </c>
      <c r="AG213" s="418">
        <f t="shared" si="28"/>
        <v>109</v>
      </c>
    </row>
    <row r="214" spans="1:34" ht="18.75" x14ac:dyDescent="0.25">
      <c r="A214" s="419" t="s">
        <v>626</v>
      </c>
      <c r="B214" s="420"/>
      <c r="C214" s="420"/>
      <c r="D214" s="420"/>
      <c r="E214" s="420"/>
      <c r="F214" s="420"/>
      <c r="G214" s="420"/>
      <c r="H214" s="420"/>
      <c r="I214" s="420"/>
      <c r="J214" s="420"/>
      <c r="K214" s="420"/>
      <c r="L214" s="420"/>
      <c r="M214" s="420"/>
      <c r="N214" s="421"/>
      <c r="O214" s="421"/>
      <c r="P214" s="421"/>
      <c r="Q214" s="421"/>
      <c r="R214" s="421"/>
      <c r="S214" s="421"/>
      <c r="T214" s="421"/>
      <c r="U214" s="421"/>
      <c r="V214" s="421"/>
      <c r="W214" s="421"/>
      <c r="X214" s="421"/>
      <c r="Y214" s="421"/>
      <c r="Z214" s="421"/>
      <c r="AA214" s="421"/>
      <c r="AB214" s="421"/>
      <c r="AC214" s="421"/>
      <c r="AD214" s="421"/>
      <c r="AE214" s="421"/>
      <c r="AF214" s="422">
        <v>1</v>
      </c>
      <c r="AG214" s="397">
        <f t="shared" si="28"/>
        <v>1</v>
      </c>
    </row>
    <row r="215" spans="1:34" ht="18.75" x14ac:dyDescent="0.25">
      <c r="A215" s="423" t="s">
        <v>627</v>
      </c>
      <c r="B215" s="420"/>
      <c r="C215" s="420"/>
      <c r="D215" s="420"/>
      <c r="E215" s="420"/>
      <c r="F215" s="420"/>
      <c r="G215" s="420"/>
      <c r="H215" s="420"/>
      <c r="I215" s="420"/>
      <c r="J215" s="420"/>
      <c r="K215" s="420"/>
      <c r="L215" s="420"/>
      <c r="M215" s="420"/>
      <c r="N215" s="421"/>
      <c r="O215" s="421"/>
      <c r="P215" s="421"/>
      <c r="Q215" s="421"/>
      <c r="R215" s="421"/>
      <c r="S215" s="421"/>
      <c r="T215" s="421"/>
      <c r="U215" s="421"/>
      <c r="V215" s="421"/>
      <c r="W215" s="421"/>
      <c r="X215" s="421"/>
      <c r="Y215" s="421"/>
      <c r="Z215" s="421"/>
      <c r="AA215" s="421"/>
      <c r="AB215" s="421"/>
      <c r="AC215" s="421"/>
      <c r="AD215" s="421"/>
      <c r="AE215" s="421"/>
      <c r="AF215" s="422"/>
      <c r="AG215" s="397">
        <f t="shared" si="28"/>
        <v>0</v>
      </c>
    </row>
    <row r="216" spans="1:34" ht="19.5" thickBot="1" x14ac:dyDescent="0.3">
      <c r="A216" s="424" t="s">
        <v>623</v>
      </c>
      <c r="B216" s="412"/>
      <c r="C216" s="412"/>
      <c r="D216" s="412"/>
      <c r="E216" s="412"/>
      <c r="F216" s="412"/>
      <c r="G216" s="412"/>
      <c r="H216" s="412"/>
      <c r="I216" s="412"/>
      <c r="J216" s="412"/>
      <c r="K216" s="412"/>
      <c r="L216" s="412"/>
      <c r="M216" s="412"/>
      <c r="N216" s="425"/>
      <c r="O216" s="425"/>
      <c r="P216" s="425"/>
      <c r="Q216" s="425" t="s">
        <v>625</v>
      </c>
      <c r="R216" s="425" t="s">
        <v>625</v>
      </c>
      <c r="S216" s="425"/>
      <c r="T216" s="425"/>
      <c r="U216" s="425">
        <v>4</v>
      </c>
      <c r="V216" s="425"/>
      <c r="W216" s="425">
        <v>2</v>
      </c>
      <c r="X216" s="425">
        <v>2</v>
      </c>
      <c r="Y216" s="425"/>
      <c r="Z216" s="425">
        <v>3</v>
      </c>
      <c r="AA216" s="425">
        <v>4</v>
      </c>
      <c r="AB216" s="425"/>
      <c r="AC216" s="425"/>
      <c r="AD216" s="425">
        <v>4</v>
      </c>
      <c r="AE216" s="425"/>
      <c r="AF216" s="426">
        <v>1</v>
      </c>
      <c r="AG216" s="397">
        <f>SUM(B216:AF216)</f>
        <v>20</v>
      </c>
    </row>
    <row r="217" spans="1:34" ht="18.75" x14ac:dyDescent="0.25">
      <c r="A217" s="69" t="s">
        <v>628</v>
      </c>
      <c r="B217" s="407"/>
      <c r="C217" s="407"/>
      <c r="D217" s="407"/>
      <c r="E217" s="407"/>
      <c r="F217" s="407"/>
      <c r="G217" s="407"/>
      <c r="H217" s="407"/>
      <c r="I217" s="407"/>
      <c r="J217" s="407"/>
      <c r="K217" s="407"/>
      <c r="L217" s="407"/>
      <c r="M217" s="407"/>
      <c r="N217" s="56"/>
      <c r="O217" s="56"/>
      <c r="P217" s="56"/>
      <c r="Q217" s="56"/>
      <c r="R217" s="56"/>
      <c r="S217" s="56"/>
      <c r="T217" s="56"/>
      <c r="U217" s="56"/>
      <c r="V217" s="56"/>
      <c r="W217" s="56"/>
      <c r="X217" s="56"/>
      <c r="Y217" s="56"/>
      <c r="Z217" s="56"/>
      <c r="AA217" s="56"/>
      <c r="AB217" s="56"/>
      <c r="AC217" s="56"/>
      <c r="AD217" s="56"/>
      <c r="AE217" s="56"/>
      <c r="AF217" s="85"/>
      <c r="AG217" s="95">
        <f>SUM(B217:AF217)</f>
        <v>0</v>
      </c>
    </row>
    <row r="218" spans="1:34" ht="19.5" thickBot="1" x14ac:dyDescent="0.3">
      <c r="A218" s="424" t="s">
        <v>629</v>
      </c>
      <c r="B218" s="412">
        <f>+B212-B217</f>
        <v>0</v>
      </c>
      <c r="C218" s="412">
        <f t="shared" ref="C218:AF218" si="35">+C212-C217</f>
        <v>0</v>
      </c>
      <c r="D218" s="412">
        <f t="shared" si="35"/>
        <v>0</v>
      </c>
      <c r="E218" s="412">
        <f t="shared" si="35"/>
        <v>0</v>
      </c>
      <c r="F218" s="412">
        <f t="shared" si="35"/>
        <v>0</v>
      </c>
      <c r="G218" s="412">
        <f t="shared" si="35"/>
        <v>0</v>
      </c>
      <c r="H218" s="412">
        <f t="shared" si="35"/>
        <v>0</v>
      </c>
      <c r="I218" s="412">
        <f t="shared" si="35"/>
        <v>0</v>
      </c>
      <c r="J218" s="412">
        <f t="shared" si="35"/>
        <v>0</v>
      </c>
      <c r="K218" s="412">
        <f t="shared" si="35"/>
        <v>0</v>
      </c>
      <c r="L218" s="412">
        <f t="shared" si="35"/>
        <v>0</v>
      </c>
      <c r="M218" s="412">
        <f t="shared" si="35"/>
        <v>0</v>
      </c>
      <c r="N218" s="425">
        <f t="shared" si="35"/>
        <v>0</v>
      </c>
      <c r="O218" s="425">
        <f t="shared" si="35"/>
        <v>0</v>
      </c>
      <c r="P218" s="425">
        <f t="shared" si="35"/>
        <v>0</v>
      </c>
      <c r="Q218" s="425">
        <f t="shared" si="35"/>
        <v>6</v>
      </c>
      <c r="R218" s="425">
        <f t="shared" si="35"/>
        <v>9</v>
      </c>
      <c r="S218" s="425">
        <f t="shared" si="35"/>
        <v>3</v>
      </c>
      <c r="T218" s="425">
        <f t="shared" si="35"/>
        <v>3</v>
      </c>
      <c r="U218" s="425">
        <f t="shared" si="35"/>
        <v>7</v>
      </c>
      <c r="V218" s="425">
        <f t="shared" si="35"/>
        <v>4</v>
      </c>
      <c r="W218" s="425">
        <f t="shared" si="35"/>
        <v>6</v>
      </c>
      <c r="X218" s="425">
        <f t="shared" si="35"/>
        <v>7</v>
      </c>
      <c r="Y218" s="425">
        <f t="shared" si="35"/>
        <v>1</v>
      </c>
      <c r="Z218" s="425">
        <f t="shared" si="35"/>
        <v>14</v>
      </c>
      <c r="AA218" s="425">
        <f t="shared" si="35"/>
        <v>10</v>
      </c>
      <c r="AB218" s="425">
        <f t="shared" si="35"/>
        <v>4</v>
      </c>
      <c r="AC218" s="425">
        <f t="shared" si="35"/>
        <v>16</v>
      </c>
      <c r="AD218" s="425">
        <f t="shared" si="35"/>
        <v>24</v>
      </c>
      <c r="AE218" s="425">
        <f t="shared" si="35"/>
        <v>14</v>
      </c>
      <c r="AF218" s="428">
        <f t="shared" si="35"/>
        <v>9</v>
      </c>
      <c r="AG218" s="413">
        <f>SUM(B218:AF218)</f>
        <v>137</v>
      </c>
    </row>
    <row r="219" spans="1:34" ht="19.5" thickBot="1" x14ac:dyDescent="0.3">
      <c r="A219" s="60" t="s">
        <v>64</v>
      </c>
      <c r="B219" s="61"/>
      <c r="C219" s="61"/>
      <c r="D219" s="61"/>
      <c r="E219" s="61"/>
      <c r="F219" s="61"/>
      <c r="G219" s="61"/>
      <c r="H219" s="61"/>
      <c r="I219" s="61"/>
      <c r="J219" s="61"/>
      <c r="K219" s="61"/>
      <c r="L219" s="61"/>
      <c r="M219" s="61"/>
      <c r="N219" s="61"/>
      <c r="O219" s="61"/>
      <c r="P219" s="61"/>
      <c r="Q219" s="61"/>
      <c r="R219" s="61"/>
      <c r="S219" s="61"/>
      <c r="T219" s="61"/>
      <c r="U219" s="61"/>
      <c r="V219" s="61"/>
      <c r="W219" s="61"/>
      <c r="X219" s="61"/>
      <c r="Y219" s="61"/>
      <c r="Z219" s="61"/>
      <c r="AA219" s="61"/>
      <c r="AB219" s="61"/>
      <c r="AC219" s="61"/>
      <c r="AD219" s="61"/>
      <c r="AE219" s="61"/>
      <c r="AF219" s="90"/>
      <c r="AG219" s="98"/>
    </row>
    <row r="220" spans="1:34" ht="18.75" x14ac:dyDescent="0.25">
      <c r="A220" s="43" t="s">
        <v>77</v>
      </c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  <c r="AC220" s="19"/>
      <c r="AD220" s="19"/>
      <c r="AE220" s="19"/>
      <c r="AF220" s="25"/>
      <c r="AG220" s="99">
        <f t="shared" si="28"/>
        <v>0</v>
      </c>
      <c r="AH220" s="437" t="s">
        <v>85</v>
      </c>
    </row>
    <row r="221" spans="1:34" ht="18.75" x14ac:dyDescent="0.25">
      <c r="A221" s="53" t="s">
        <v>110</v>
      </c>
      <c r="B221" s="39"/>
      <c r="C221" s="39"/>
      <c r="D221" s="39"/>
      <c r="E221" s="39"/>
      <c r="F221" s="39"/>
      <c r="G221" s="39"/>
      <c r="H221" s="39"/>
      <c r="I221" s="39"/>
      <c r="J221" s="39"/>
      <c r="K221" s="39"/>
      <c r="L221" s="39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  <c r="Y221" s="39"/>
      <c r="Z221" s="39"/>
      <c r="AA221" s="39"/>
      <c r="AB221" s="39"/>
      <c r="AC221" s="39"/>
      <c r="AD221" s="39"/>
      <c r="AE221" s="39"/>
      <c r="AF221" s="91"/>
      <c r="AG221" s="100">
        <f t="shared" si="28"/>
        <v>0</v>
      </c>
      <c r="AH221" s="438"/>
    </row>
    <row r="222" spans="1:34" ht="18.75" x14ac:dyDescent="0.25">
      <c r="A222" s="53" t="s">
        <v>111</v>
      </c>
      <c r="B222" s="39"/>
      <c r="C222" s="39"/>
      <c r="D222" s="39"/>
      <c r="E222" s="39"/>
      <c r="F222" s="39"/>
      <c r="G222" s="39"/>
      <c r="H222" s="39"/>
      <c r="I222" s="39"/>
      <c r="J222" s="39"/>
      <c r="K222" s="39"/>
      <c r="L222" s="39"/>
      <c r="M222" s="39"/>
      <c r="N222" s="39"/>
      <c r="O222" s="39"/>
      <c r="P222" s="39"/>
      <c r="Q222" s="39"/>
      <c r="R222" s="39"/>
      <c r="S222" s="39"/>
      <c r="T222" s="39"/>
      <c r="U222" s="39"/>
      <c r="V222" s="39"/>
      <c r="W222" s="39"/>
      <c r="X222" s="39"/>
      <c r="Y222" s="39"/>
      <c r="Z222" s="39"/>
      <c r="AA222" s="39"/>
      <c r="AB222" s="39"/>
      <c r="AC222" s="39"/>
      <c r="AD222" s="39"/>
      <c r="AE222" s="39"/>
      <c r="AF222" s="91"/>
      <c r="AG222" s="100">
        <f t="shared" si="28"/>
        <v>0</v>
      </c>
      <c r="AH222" s="438"/>
    </row>
    <row r="223" spans="1:34" ht="18.75" x14ac:dyDescent="0.25">
      <c r="A223" s="53" t="s">
        <v>112</v>
      </c>
      <c r="B223" s="39"/>
      <c r="C223" s="39"/>
      <c r="D223" s="39"/>
      <c r="E223" s="39"/>
      <c r="F223" s="39"/>
      <c r="G223" s="39"/>
      <c r="H223" s="39"/>
      <c r="I223" s="39"/>
      <c r="J223" s="39"/>
      <c r="K223" s="39"/>
      <c r="L223" s="39"/>
      <c r="M223" s="39"/>
      <c r="N223" s="39"/>
      <c r="O223" s="39"/>
      <c r="P223" s="39"/>
      <c r="Q223" s="39"/>
      <c r="R223" s="39"/>
      <c r="S223" s="39"/>
      <c r="T223" s="39"/>
      <c r="U223" s="39"/>
      <c r="V223" s="39"/>
      <c r="W223" s="39"/>
      <c r="X223" s="39"/>
      <c r="Y223" s="39"/>
      <c r="Z223" s="39"/>
      <c r="AA223" s="39"/>
      <c r="AB223" s="39"/>
      <c r="AC223" s="39"/>
      <c r="AD223" s="39"/>
      <c r="AE223" s="39"/>
      <c r="AF223" s="91"/>
      <c r="AG223" s="100">
        <f t="shared" si="28"/>
        <v>0</v>
      </c>
      <c r="AH223" s="438"/>
    </row>
    <row r="224" spans="1:34" ht="18.75" x14ac:dyDescent="0.25">
      <c r="A224" s="53" t="s">
        <v>113</v>
      </c>
      <c r="B224" s="39"/>
      <c r="C224" s="39"/>
      <c r="D224" s="39"/>
      <c r="E224" s="39"/>
      <c r="F224" s="39"/>
      <c r="G224" s="39"/>
      <c r="H224" s="39"/>
      <c r="I224" s="39"/>
      <c r="J224" s="39"/>
      <c r="K224" s="39"/>
      <c r="L224" s="39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  <c r="Y224" s="39"/>
      <c r="Z224" s="39"/>
      <c r="AA224" s="39"/>
      <c r="AB224" s="39"/>
      <c r="AC224" s="39"/>
      <c r="AD224" s="39"/>
      <c r="AE224" s="39"/>
      <c r="AF224" s="91"/>
      <c r="AG224" s="100">
        <f t="shared" si="28"/>
        <v>0</v>
      </c>
      <c r="AH224" s="438"/>
    </row>
    <row r="225" spans="1:34" ht="18.75" x14ac:dyDescent="0.25">
      <c r="A225" s="53" t="s">
        <v>114</v>
      </c>
      <c r="B225" s="39"/>
      <c r="C225" s="39"/>
      <c r="D225" s="39"/>
      <c r="E225" s="39"/>
      <c r="F225" s="39"/>
      <c r="G225" s="39"/>
      <c r="H225" s="39"/>
      <c r="I225" s="39"/>
      <c r="J225" s="39"/>
      <c r="K225" s="39"/>
      <c r="L225" s="39"/>
      <c r="M225" s="39"/>
      <c r="N225" s="39"/>
      <c r="O225" s="39"/>
      <c r="P225" s="39"/>
      <c r="Q225" s="39"/>
      <c r="R225" s="39"/>
      <c r="S225" s="39"/>
      <c r="T225" s="39"/>
      <c r="U225" s="39"/>
      <c r="V225" s="39"/>
      <c r="W225" s="39"/>
      <c r="X225" s="39"/>
      <c r="Y225" s="39"/>
      <c r="Z225" s="39"/>
      <c r="AA225" s="39"/>
      <c r="AB225" s="39"/>
      <c r="AC225" s="39"/>
      <c r="AD225" s="39"/>
      <c r="AE225" s="39"/>
      <c r="AF225" s="91"/>
      <c r="AG225" s="100">
        <f t="shared" ref="AG225:AG227" si="36">SUM(B225:AF225)</f>
        <v>0</v>
      </c>
      <c r="AH225" s="438"/>
    </row>
    <row r="226" spans="1:34" ht="18.75" x14ac:dyDescent="0.25">
      <c r="A226" s="53" t="s">
        <v>115</v>
      </c>
      <c r="B226" s="39"/>
      <c r="C226" s="39"/>
      <c r="D226" s="39"/>
      <c r="E226" s="39"/>
      <c r="F226" s="39"/>
      <c r="G226" s="39"/>
      <c r="H226" s="39"/>
      <c r="I226" s="39"/>
      <c r="J226" s="39"/>
      <c r="K226" s="39"/>
      <c r="L226" s="39"/>
      <c r="M226" s="39"/>
      <c r="N226" s="39"/>
      <c r="O226" s="39"/>
      <c r="P226" s="39"/>
      <c r="Q226" s="39"/>
      <c r="R226" s="39"/>
      <c r="S226" s="39"/>
      <c r="T226" s="39"/>
      <c r="U226" s="39"/>
      <c r="V226" s="39"/>
      <c r="W226" s="39"/>
      <c r="X226" s="39"/>
      <c r="Y226" s="39"/>
      <c r="Z226" s="39"/>
      <c r="AA226" s="39"/>
      <c r="AB226" s="39"/>
      <c r="AC226" s="39"/>
      <c r="AD226" s="39"/>
      <c r="AE226" s="39"/>
      <c r="AF226" s="91"/>
      <c r="AG226" s="100">
        <f t="shared" si="36"/>
        <v>0</v>
      </c>
      <c r="AH226" s="438"/>
    </row>
    <row r="227" spans="1:34" ht="18.75" x14ac:dyDescent="0.25">
      <c r="A227" s="53" t="s">
        <v>116</v>
      </c>
      <c r="B227" s="39"/>
      <c r="C227" s="39"/>
      <c r="D227" s="39"/>
      <c r="E227" s="39"/>
      <c r="F227" s="39"/>
      <c r="G227" s="39"/>
      <c r="H227" s="39"/>
      <c r="I227" s="39"/>
      <c r="J227" s="39"/>
      <c r="K227" s="39"/>
      <c r="L227" s="39"/>
      <c r="M227" s="39"/>
      <c r="N227" s="39"/>
      <c r="O227" s="39"/>
      <c r="P227" s="39"/>
      <c r="Q227" s="39"/>
      <c r="R227" s="39"/>
      <c r="S227" s="39"/>
      <c r="T227" s="39"/>
      <c r="U227" s="39"/>
      <c r="V227" s="39"/>
      <c r="W227" s="39"/>
      <c r="X227" s="39"/>
      <c r="Y227" s="39"/>
      <c r="Z227" s="39"/>
      <c r="AA227" s="39"/>
      <c r="AB227" s="39"/>
      <c r="AC227" s="39"/>
      <c r="AD227" s="39"/>
      <c r="AE227" s="39"/>
      <c r="AF227" s="91"/>
      <c r="AG227" s="100">
        <f t="shared" si="36"/>
        <v>0</v>
      </c>
      <c r="AH227" s="438"/>
    </row>
    <row r="228" spans="1:34" ht="18.75" x14ac:dyDescent="0.25">
      <c r="A228" s="53" t="s">
        <v>117</v>
      </c>
      <c r="B228" s="39"/>
      <c r="C228" s="39"/>
      <c r="D228" s="39"/>
      <c r="E228" s="39"/>
      <c r="F228" s="39"/>
      <c r="G228" s="39"/>
      <c r="H228" s="39"/>
      <c r="I228" s="39"/>
      <c r="J228" s="39"/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39"/>
      <c r="AA228" s="39"/>
      <c r="AB228" s="39"/>
      <c r="AC228" s="39"/>
      <c r="AD228" s="39"/>
      <c r="AE228" s="39"/>
      <c r="AF228" s="91"/>
      <c r="AG228" s="100">
        <f t="shared" si="28"/>
        <v>0</v>
      </c>
      <c r="AH228" s="438"/>
    </row>
    <row r="229" spans="1:34" ht="18.75" x14ac:dyDescent="0.25">
      <c r="A229" s="43" t="s">
        <v>150</v>
      </c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  <c r="AB229" s="19"/>
      <c r="AC229" s="19"/>
      <c r="AD229" s="19"/>
      <c r="AE229" s="19"/>
      <c r="AF229" s="25"/>
      <c r="AG229" s="99">
        <f t="shared" si="28"/>
        <v>0</v>
      </c>
      <c r="AH229" s="438"/>
    </row>
    <row r="230" spans="1:34" ht="18.75" x14ac:dyDescent="0.25">
      <c r="A230" s="43" t="s">
        <v>78</v>
      </c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  <c r="AC230" s="19"/>
      <c r="AD230" s="19"/>
      <c r="AE230" s="19"/>
      <c r="AF230" s="25"/>
      <c r="AG230" s="99">
        <f t="shared" si="28"/>
        <v>0</v>
      </c>
      <c r="AH230" s="438"/>
    </row>
    <row r="231" spans="1:34" ht="19.5" thickBot="1" x14ac:dyDescent="0.3">
      <c r="A231" s="43" t="s">
        <v>79</v>
      </c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19"/>
      <c r="AD231" s="19"/>
      <c r="AE231" s="19"/>
      <c r="AF231" s="25"/>
      <c r="AG231" s="99">
        <f t="shared" si="28"/>
        <v>0</v>
      </c>
      <c r="AH231" s="439"/>
    </row>
    <row r="232" spans="1:34" ht="24" thickBot="1" x14ac:dyDescent="0.3">
      <c r="A232" s="62" t="s">
        <v>118</v>
      </c>
      <c r="B232" s="20">
        <f>+B231+B230+B220+B229</f>
        <v>0</v>
      </c>
      <c r="C232" s="20">
        <f t="shared" ref="C232:AF232" si="37">+C231+C230+C220+C229</f>
        <v>0</v>
      </c>
      <c r="D232" s="20">
        <f t="shared" si="37"/>
        <v>0</v>
      </c>
      <c r="E232" s="20">
        <f t="shared" si="37"/>
        <v>0</v>
      </c>
      <c r="F232" s="20">
        <f t="shared" si="37"/>
        <v>0</v>
      </c>
      <c r="G232" s="20">
        <f t="shared" si="37"/>
        <v>0</v>
      </c>
      <c r="H232" s="20">
        <f t="shared" si="37"/>
        <v>0</v>
      </c>
      <c r="I232" s="20">
        <f t="shared" si="37"/>
        <v>0</v>
      </c>
      <c r="J232" s="20">
        <f t="shared" si="37"/>
        <v>0</v>
      </c>
      <c r="K232" s="20">
        <f t="shared" si="37"/>
        <v>0</v>
      </c>
      <c r="L232" s="20">
        <f t="shared" si="37"/>
        <v>0</v>
      </c>
      <c r="M232" s="20">
        <f t="shared" si="37"/>
        <v>0</v>
      </c>
      <c r="N232" s="20">
        <f t="shared" si="37"/>
        <v>0</v>
      </c>
      <c r="O232" s="20">
        <f t="shared" si="37"/>
        <v>0</v>
      </c>
      <c r="P232" s="20">
        <f t="shared" si="37"/>
        <v>0</v>
      </c>
      <c r="Q232" s="20">
        <f t="shared" si="37"/>
        <v>0</v>
      </c>
      <c r="R232" s="20">
        <f t="shared" si="37"/>
        <v>0</v>
      </c>
      <c r="S232" s="20">
        <f t="shared" si="37"/>
        <v>0</v>
      </c>
      <c r="T232" s="20">
        <f t="shared" si="37"/>
        <v>0</v>
      </c>
      <c r="U232" s="20">
        <f t="shared" si="37"/>
        <v>0</v>
      </c>
      <c r="V232" s="20">
        <f t="shared" si="37"/>
        <v>0</v>
      </c>
      <c r="W232" s="20">
        <f t="shared" si="37"/>
        <v>0</v>
      </c>
      <c r="X232" s="20">
        <f t="shared" si="37"/>
        <v>0</v>
      </c>
      <c r="Y232" s="20">
        <f t="shared" si="37"/>
        <v>0</v>
      </c>
      <c r="Z232" s="20">
        <f t="shared" si="37"/>
        <v>0</v>
      </c>
      <c r="AA232" s="20">
        <f t="shared" si="37"/>
        <v>0</v>
      </c>
      <c r="AB232" s="20">
        <f t="shared" si="37"/>
        <v>0</v>
      </c>
      <c r="AC232" s="20">
        <f t="shared" si="37"/>
        <v>0</v>
      </c>
      <c r="AD232" s="20">
        <f t="shared" si="37"/>
        <v>0</v>
      </c>
      <c r="AE232" s="20">
        <f t="shared" si="37"/>
        <v>0</v>
      </c>
      <c r="AF232" s="26">
        <f t="shared" si="37"/>
        <v>0</v>
      </c>
      <c r="AG232" s="99">
        <f t="shared" si="28"/>
        <v>0</v>
      </c>
      <c r="AH232" s="36"/>
    </row>
    <row r="233" spans="1:34" ht="18.75" x14ac:dyDescent="0.25">
      <c r="A233" s="57" t="s">
        <v>90</v>
      </c>
      <c r="B233" s="27"/>
      <c r="C233" s="27"/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  <c r="AA233" s="27"/>
      <c r="AB233" s="27"/>
      <c r="AC233" s="27"/>
      <c r="AD233" s="27"/>
      <c r="AE233" s="27"/>
      <c r="AF233" s="92"/>
      <c r="AG233" s="31">
        <f t="shared" ref="AG233:AG246" si="38">SUM(B233:AF233)</f>
        <v>0</v>
      </c>
      <c r="AH233" s="440" t="s">
        <v>96</v>
      </c>
    </row>
    <row r="234" spans="1:34" ht="18.75" x14ac:dyDescent="0.25">
      <c r="A234" s="54" t="s">
        <v>91</v>
      </c>
      <c r="B234" s="40"/>
      <c r="C234" s="40"/>
      <c r="D234" s="40"/>
      <c r="E234" s="40"/>
      <c r="F234" s="40"/>
      <c r="G234" s="40"/>
      <c r="H234" s="40"/>
      <c r="I234" s="40"/>
      <c r="J234" s="40"/>
      <c r="K234" s="40"/>
      <c r="L234" s="40"/>
      <c r="M234" s="40"/>
      <c r="N234" s="40"/>
      <c r="O234" s="40"/>
      <c r="P234" s="40"/>
      <c r="Q234" s="40"/>
      <c r="R234" s="40"/>
      <c r="S234" s="40"/>
      <c r="T234" s="40"/>
      <c r="U234" s="40"/>
      <c r="V234" s="40"/>
      <c r="W234" s="40"/>
      <c r="X234" s="40"/>
      <c r="Y234" s="40"/>
      <c r="Z234" s="40"/>
      <c r="AA234" s="40"/>
      <c r="AB234" s="40"/>
      <c r="AC234" s="40"/>
      <c r="AD234" s="40"/>
      <c r="AE234" s="40"/>
      <c r="AF234" s="93"/>
      <c r="AG234" s="99">
        <f t="shared" si="38"/>
        <v>0</v>
      </c>
      <c r="AH234" s="441"/>
    </row>
    <row r="235" spans="1:34" ht="19.5" thickBot="1" x14ac:dyDescent="0.3">
      <c r="A235" s="58" t="s">
        <v>97</v>
      </c>
      <c r="B235" s="59"/>
      <c r="C235" s="59"/>
      <c r="D235" s="59"/>
      <c r="E235" s="59"/>
      <c r="F235" s="59"/>
      <c r="G235" s="59"/>
      <c r="H235" s="59"/>
      <c r="I235" s="59"/>
      <c r="J235" s="59"/>
      <c r="K235" s="59"/>
      <c r="L235" s="59"/>
      <c r="M235" s="59"/>
      <c r="N235" s="59"/>
      <c r="O235" s="59"/>
      <c r="P235" s="59"/>
      <c r="Q235" s="59"/>
      <c r="R235" s="59"/>
      <c r="S235" s="59"/>
      <c r="T235" s="59"/>
      <c r="U235" s="59"/>
      <c r="V235" s="59"/>
      <c r="W235" s="59"/>
      <c r="X235" s="59"/>
      <c r="Y235" s="59"/>
      <c r="Z235" s="59"/>
      <c r="AA235" s="59"/>
      <c r="AB235" s="59"/>
      <c r="AC235" s="59"/>
      <c r="AD235" s="59"/>
      <c r="AE235" s="59"/>
      <c r="AF235" s="94"/>
      <c r="AG235" s="28">
        <f t="shared" si="38"/>
        <v>0</v>
      </c>
      <c r="AH235" s="442"/>
    </row>
    <row r="236" spans="1:34" ht="18.75" x14ac:dyDescent="0.25">
      <c r="A236" s="55" t="s">
        <v>92</v>
      </c>
      <c r="B236" s="118">
        <f>SUM(B237:B239)</f>
        <v>0</v>
      </c>
      <c r="C236" s="118">
        <f t="shared" ref="C236:AF236" si="39">SUM(C237:C239)</f>
        <v>0</v>
      </c>
      <c r="D236" s="118">
        <f t="shared" si="39"/>
        <v>0</v>
      </c>
      <c r="E236" s="118">
        <f t="shared" si="39"/>
        <v>0</v>
      </c>
      <c r="F236" s="118">
        <f t="shared" si="39"/>
        <v>0</v>
      </c>
      <c r="G236" s="118">
        <f t="shared" si="39"/>
        <v>0</v>
      </c>
      <c r="H236" s="118">
        <f t="shared" si="39"/>
        <v>0</v>
      </c>
      <c r="I236" s="118">
        <f t="shared" si="39"/>
        <v>0</v>
      </c>
      <c r="J236" s="118">
        <f t="shared" si="39"/>
        <v>0</v>
      </c>
      <c r="K236" s="118">
        <f t="shared" si="39"/>
        <v>0</v>
      </c>
      <c r="L236" s="118">
        <f t="shared" si="39"/>
        <v>0</v>
      </c>
      <c r="M236" s="118">
        <f t="shared" si="39"/>
        <v>0</v>
      </c>
      <c r="N236" s="118">
        <f t="shared" si="39"/>
        <v>0</v>
      </c>
      <c r="O236" s="118">
        <f t="shared" si="39"/>
        <v>0</v>
      </c>
      <c r="P236" s="118">
        <f t="shared" si="39"/>
        <v>0</v>
      </c>
      <c r="Q236" s="118">
        <f t="shared" si="39"/>
        <v>0</v>
      </c>
      <c r="R236" s="118">
        <f t="shared" si="39"/>
        <v>0</v>
      </c>
      <c r="S236" s="118">
        <f t="shared" si="39"/>
        <v>0</v>
      </c>
      <c r="T236" s="118">
        <f t="shared" si="39"/>
        <v>0</v>
      </c>
      <c r="U236" s="118">
        <f t="shared" si="39"/>
        <v>0</v>
      </c>
      <c r="V236" s="118">
        <f t="shared" si="39"/>
        <v>0</v>
      </c>
      <c r="W236" s="118">
        <f t="shared" si="39"/>
        <v>0</v>
      </c>
      <c r="X236" s="118">
        <f t="shared" si="39"/>
        <v>0</v>
      </c>
      <c r="Y236" s="118">
        <f t="shared" si="39"/>
        <v>0</v>
      </c>
      <c r="Z236" s="118">
        <f t="shared" si="39"/>
        <v>0</v>
      </c>
      <c r="AA236" s="118">
        <f t="shared" si="39"/>
        <v>0</v>
      </c>
      <c r="AB236" s="118">
        <f t="shared" si="39"/>
        <v>0</v>
      </c>
      <c r="AC236" s="118">
        <f t="shared" si="39"/>
        <v>0</v>
      </c>
      <c r="AD236" s="118">
        <f t="shared" si="39"/>
        <v>0</v>
      </c>
      <c r="AE236" s="118">
        <f t="shared" si="39"/>
        <v>0</v>
      </c>
      <c r="AF236" s="118">
        <f t="shared" si="39"/>
        <v>0</v>
      </c>
      <c r="AG236" s="95">
        <f t="shared" si="38"/>
        <v>0</v>
      </c>
      <c r="AH236" s="440" t="s">
        <v>93</v>
      </c>
    </row>
    <row r="237" spans="1:34" ht="18.75" x14ac:dyDescent="0.25">
      <c r="A237" s="139" t="s">
        <v>94</v>
      </c>
      <c r="B237" s="140"/>
      <c r="C237" s="140"/>
      <c r="D237" s="140"/>
      <c r="E237" s="140"/>
      <c r="F237" s="140"/>
      <c r="G237" s="140"/>
      <c r="H237" s="140"/>
      <c r="I237" s="140"/>
      <c r="J237" s="140"/>
      <c r="K237" s="140"/>
      <c r="L237" s="140"/>
      <c r="M237" s="140"/>
      <c r="N237" s="145"/>
      <c r="O237" s="140"/>
      <c r="P237" s="140"/>
      <c r="Q237" s="140"/>
      <c r="R237" s="140"/>
      <c r="S237" s="140"/>
      <c r="T237" s="140"/>
      <c r="U237" s="140"/>
      <c r="V237" s="140"/>
      <c r="W237" s="140"/>
      <c r="X237" s="140"/>
      <c r="Y237" s="140"/>
      <c r="Z237" s="142"/>
      <c r="AA237" s="140"/>
      <c r="AB237" s="140"/>
      <c r="AC237" s="140"/>
      <c r="AD237" s="140"/>
      <c r="AE237" s="140"/>
      <c r="AF237" s="144"/>
      <c r="AG237" s="143">
        <f t="shared" si="38"/>
        <v>0</v>
      </c>
      <c r="AH237" s="441"/>
    </row>
    <row r="238" spans="1:34" ht="18.75" x14ac:dyDescent="0.25">
      <c r="A238" s="139" t="s">
        <v>95</v>
      </c>
      <c r="B238" s="140"/>
      <c r="C238" s="140"/>
      <c r="D238" s="140"/>
      <c r="E238" s="140"/>
      <c r="F238" s="140"/>
      <c r="G238" s="140"/>
      <c r="H238" s="140"/>
      <c r="I238" s="140"/>
      <c r="J238" s="140"/>
      <c r="K238" s="140"/>
      <c r="L238" s="140"/>
      <c r="M238" s="140"/>
      <c r="N238" s="145"/>
      <c r="O238" s="140"/>
      <c r="P238" s="140"/>
      <c r="Q238" s="140"/>
      <c r="R238" s="140"/>
      <c r="S238" s="140"/>
      <c r="T238" s="140"/>
      <c r="U238" s="140"/>
      <c r="V238" s="140"/>
      <c r="W238" s="140"/>
      <c r="X238" s="140"/>
      <c r="Y238" s="140"/>
      <c r="Z238" s="142"/>
      <c r="AA238" s="140"/>
      <c r="AB238" s="140"/>
      <c r="AC238" s="140"/>
      <c r="AD238" s="140"/>
      <c r="AE238" s="140"/>
      <c r="AF238" s="144"/>
      <c r="AG238" s="143">
        <f t="shared" si="38"/>
        <v>0</v>
      </c>
      <c r="AH238" s="441"/>
    </row>
    <row r="239" spans="1:34" ht="19.5" thickBot="1" x14ac:dyDescent="0.3">
      <c r="A239" s="190" t="s">
        <v>106</v>
      </c>
      <c r="B239" s="191"/>
      <c r="C239" s="191"/>
      <c r="D239" s="191"/>
      <c r="E239" s="191"/>
      <c r="F239" s="191"/>
      <c r="G239" s="191"/>
      <c r="H239" s="191"/>
      <c r="I239" s="191"/>
      <c r="J239" s="191"/>
      <c r="K239" s="192"/>
      <c r="L239" s="192"/>
      <c r="M239" s="192"/>
      <c r="N239" s="193"/>
      <c r="O239" s="194"/>
      <c r="P239" s="194"/>
      <c r="Q239" s="194"/>
      <c r="R239" s="194"/>
      <c r="S239" s="194"/>
      <c r="T239" s="194"/>
      <c r="U239" s="194"/>
      <c r="V239" s="194"/>
      <c r="W239" s="194"/>
      <c r="X239" s="194"/>
      <c r="Y239" s="194"/>
      <c r="Z239" s="194"/>
      <c r="AA239" s="194"/>
      <c r="AB239" s="194"/>
      <c r="AC239" s="194"/>
      <c r="AD239" s="194"/>
      <c r="AE239" s="194"/>
      <c r="AF239" s="195"/>
      <c r="AG239" s="108">
        <f t="shared" si="38"/>
        <v>0</v>
      </c>
      <c r="AH239" s="442"/>
    </row>
    <row r="240" spans="1:34" ht="24" hidden="1" thickBot="1" x14ac:dyDescent="0.3">
      <c r="A240" s="198" t="s">
        <v>148</v>
      </c>
      <c r="B240" s="199">
        <f>SUM(B241:B246)</f>
        <v>0</v>
      </c>
      <c r="C240" s="199">
        <f t="shared" ref="C240:AF240" si="40">SUM(C241:C246)</f>
        <v>0</v>
      </c>
      <c r="D240" s="199">
        <f t="shared" si="40"/>
        <v>0</v>
      </c>
      <c r="E240" s="199">
        <f t="shared" si="40"/>
        <v>0</v>
      </c>
      <c r="F240" s="199">
        <f t="shared" si="40"/>
        <v>0</v>
      </c>
      <c r="G240" s="199">
        <f t="shared" si="40"/>
        <v>0</v>
      </c>
      <c r="H240" s="199">
        <f t="shared" si="40"/>
        <v>0</v>
      </c>
      <c r="I240" s="199">
        <f t="shared" si="40"/>
        <v>0</v>
      </c>
      <c r="J240" s="199">
        <f t="shared" si="40"/>
        <v>0</v>
      </c>
      <c r="K240" s="199">
        <f t="shared" si="40"/>
        <v>0</v>
      </c>
      <c r="L240" s="199">
        <f t="shared" si="40"/>
        <v>0</v>
      </c>
      <c r="M240" s="199">
        <f t="shared" si="40"/>
        <v>0</v>
      </c>
      <c r="N240" s="199">
        <f t="shared" si="40"/>
        <v>0</v>
      </c>
      <c r="O240" s="199">
        <f t="shared" si="40"/>
        <v>0</v>
      </c>
      <c r="P240" s="199">
        <f t="shared" si="40"/>
        <v>0</v>
      </c>
      <c r="Q240" s="199">
        <f t="shared" si="40"/>
        <v>0</v>
      </c>
      <c r="R240" s="199">
        <f t="shared" si="40"/>
        <v>0</v>
      </c>
      <c r="S240" s="199">
        <f t="shared" si="40"/>
        <v>0</v>
      </c>
      <c r="T240" s="199">
        <f t="shared" si="40"/>
        <v>0</v>
      </c>
      <c r="U240" s="199">
        <f t="shared" si="40"/>
        <v>0</v>
      </c>
      <c r="V240" s="199">
        <f t="shared" si="40"/>
        <v>0</v>
      </c>
      <c r="W240" s="199">
        <f t="shared" si="40"/>
        <v>0</v>
      </c>
      <c r="X240" s="199">
        <f t="shared" si="40"/>
        <v>0</v>
      </c>
      <c r="Y240" s="199">
        <f t="shared" si="40"/>
        <v>0</v>
      </c>
      <c r="Z240" s="199">
        <f t="shared" si="40"/>
        <v>0</v>
      </c>
      <c r="AA240" s="199">
        <f t="shared" si="40"/>
        <v>0</v>
      </c>
      <c r="AB240" s="199">
        <f t="shared" si="40"/>
        <v>0</v>
      </c>
      <c r="AC240" s="199">
        <f t="shared" si="40"/>
        <v>0</v>
      </c>
      <c r="AD240" s="199">
        <f t="shared" si="40"/>
        <v>0</v>
      </c>
      <c r="AE240" s="199">
        <f t="shared" si="40"/>
        <v>0</v>
      </c>
      <c r="AF240" s="200">
        <f t="shared" si="40"/>
        <v>0</v>
      </c>
      <c r="AG240" s="201">
        <f t="shared" si="38"/>
        <v>0</v>
      </c>
    </row>
    <row r="241" spans="1:33" ht="38.25" hidden="1" customHeight="1" x14ac:dyDescent="0.3">
      <c r="A241" s="227" t="s">
        <v>159</v>
      </c>
      <c r="B241" s="189"/>
      <c r="C241" s="189"/>
      <c r="D241" s="189"/>
      <c r="E241" s="189"/>
      <c r="F241" s="189"/>
      <c r="G241" s="189"/>
      <c r="H241" s="189"/>
      <c r="I241" s="189"/>
      <c r="J241" s="189"/>
      <c r="K241" s="189"/>
      <c r="L241" s="189"/>
      <c r="M241" s="189"/>
      <c r="N241" s="189"/>
      <c r="O241" s="189"/>
      <c r="P241" s="189"/>
      <c r="Q241" s="189"/>
      <c r="R241" s="189"/>
      <c r="S241" s="189"/>
      <c r="T241" s="189"/>
      <c r="U241" s="189"/>
      <c r="V241" s="189"/>
      <c r="W241" s="189"/>
      <c r="X241" s="189"/>
      <c r="Y241" s="189"/>
      <c r="Z241" s="189"/>
      <c r="AA241" s="189"/>
      <c r="AB241" s="189"/>
      <c r="AC241" s="189"/>
      <c r="AD241" s="189"/>
      <c r="AE241" s="189"/>
      <c r="AF241" s="196"/>
      <c r="AG241" s="197">
        <f t="shared" si="38"/>
        <v>0</v>
      </c>
    </row>
    <row r="242" spans="1:33" ht="40.5" hidden="1" customHeight="1" x14ac:dyDescent="0.3">
      <c r="A242" s="227" t="s">
        <v>160</v>
      </c>
      <c r="B242" s="189"/>
      <c r="C242" s="189"/>
      <c r="D242" s="189"/>
      <c r="E242" s="189"/>
      <c r="F242" s="189"/>
      <c r="G242" s="189"/>
      <c r="H242" s="189"/>
      <c r="I242" s="189"/>
      <c r="J242" s="189"/>
      <c r="K242" s="189"/>
      <c r="L242" s="189"/>
      <c r="M242" s="189"/>
      <c r="N242" s="189"/>
      <c r="O242" s="189"/>
      <c r="P242" s="189"/>
      <c r="Q242" s="189"/>
      <c r="R242" s="189"/>
      <c r="S242" s="189"/>
      <c r="T242" s="189"/>
      <c r="U242" s="189"/>
      <c r="V242" s="189"/>
      <c r="W242" s="189"/>
      <c r="X242" s="189"/>
      <c r="Y242" s="189"/>
      <c r="Z242" s="189"/>
      <c r="AA242" s="189"/>
      <c r="AB242" s="189"/>
      <c r="AC242" s="189"/>
      <c r="AD242" s="189"/>
      <c r="AE242" s="189"/>
      <c r="AF242" s="196"/>
      <c r="AG242" s="197"/>
    </row>
    <row r="243" spans="1:33" ht="40.5" hidden="1" customHeight="1" x14ac:dyDescent="0.3">
      <c r="A243" s="227" t="s">
        <v>161</v>
      </c>
      <c r="B243" s="189"/>
      <c r="C243" s="189"/>
      <c r="D243" s="189"/>
      <c r="E243" s="189"/>
      <c r="F243" s="189"/>
      <c r="G243" s="189"/>
      <c r="H243" s="189"/>
      <c r="I243" s="189"/>
      <c r="J243" s="189"/>
      <c r="K243" s="189"/>
      <c r="L243" s="189"/>
      <c r="M243" s="189"/>
      <c r="N243" s="189"/>
      <c r="O243" s="189"/>
      <c r="P243" s="189"/>
      <c r="Q243" s="189"/>
      <c r="R243" s="189"/>
      <c r="S243" s="189"/>
      <c r="T243" s="189"/>
      <c r="U243" s="189"/>
      <c r="V243" s="189"/>
      <c r="W243" s="189"/>
      <c r="X243" s="189"/>
      <c r="Y243" s="189"/>
      <c r="Z243" s="189"/>
      <c r="AA243" s="189"/>
      <c r="AB243" s="189"/>
      <c r="AC243" s="189"/>
      <c r="AD243" s="189"/>
      <c r="AE243" s="189"/>
      <c r="AF243" s="196"/>
      <c r="AG243" s="197"/>
    </row>
    <row r="244" spans="1:33" ht="40.5" hidden="1" customHeight="1" x14ac:dyDescent="0.3">
      <c r="A244" s="227" t="s">
        <v>162</v>
      </c>
      <c r="B244" s="189"/>
      <c r="C244" s="189"/>
      <c r="D244" s="189"/>
      <c r="E244" s="189"/>
      <c r="F244" s="189"/>
      <c r="G244" s="189"/>
      <c r="H244" s="189"/>
      <c r="I244" s="189"/>
      <c r="J244" s="189"/>
      <c r="K244" s="189"/>
      <c r="L244" s="189"/>
      <c r="M244" s="189"/>
      <c r="N244" s="189"/>
      <c r="O244" s="189"/>
      <c r="P244" s="189"/>
      <c r="Q244" s="189"/>
      <c r="R244" s="189"/>
      <c r="S244" s="189"/>
      <c r="T244" s="189"/>
      <c r="U244" s="189"/>
      <c r="V244" s="189"/>
      <c r="W244" s="189"/>
      <c r="X244" s="189"/>
      <c r="Y244" s="189"/>
      <c r="Z244" s="189"/>
      <c r="AA244" s="189"/>
      <c r="AB244" s="189"/>
      <c r="AC244" s="189"/>
      <c r="AD244" s="189"/>
      <c r="AE244" s="189"/>
      <c r="AF244" s="196"/>
      <c r="AG244" s="197"/>
    </row>
    <row r="245" spans="1:33" ht="40.5" hidden="1" customHeight="1" x14ac:dyDescent="0.3">
      <c r="A245" s="228" t="s">
        <v>163</v>
      </c>
      <c r="B245" s="137"/>
      <c r="C245" s="137"/>
      <c r="D245" s="137"/>
      <c r="E245" s="137"/>
      <c r="F245" s="137"/>
      <c r="G245" s="137"/>
      <c r="H245" s="137"/>
      <c r="I245" s="137"/>
      <c r="J245" s="137"/>
      <c r="K245" s="137"/>
      <c r="L245" s="137"/>
      <c r="M245" s="137"/>
      <c r="N245" s="137"/>
      <c r="O245" s="137"/>
      <c r="P245" s="137"/>
      <c r="Q245" s="137"/>
      <c r="R245" s="137"/>
      <c r="S245" s="137"/>
      <c r="T245" s="137"/>
      <c r="U245" s="137"/>
      <c r="V245" s="137"/>
      <c r="W245" s="137"/>
      <c r="X245" s="137"/>
      <c r="Y245" s="137"/>
      <c r="Z245" s="137"/>
      <c r="AA245" s="137"/>
      <c r="AB245" s="137"/>
      <c r="AC245" s="137"/>
      <c r="AD245" s="137"/>
      <c r="AE245" s="137"/>
      <c r="AF245" s="188"/>
      <c r="AG245" s="138">
        <f t="shared" si="38"/>
        <v>0</v>
      </c>
    </row>
    <row r="246" spans="1:33" ht="39.75" hidden="1" customHeight="1" thickBot="1" x14ac:dyDescent="0.3">
      <c r="A246" s="229" t="s">
        <v>164</v>
      </c>
      <c r="B246" s="222"/>
      <c r="C246" s="222"/>
      <c r="D246" s="222"/>
      <c r="E246" s="222"/>
      <c r="F246" s="222"/>
      <c r="G246" s="222"/>
      <c r="H246" s="222"/>
      <c r="I246" s="222"/>
      <c r="J246" s="222"/>
      <c r="K246" s="222"/>
      <c r="L246" s="222"/>
      <c r="M246" s="222"/>
      <c r="N246" s="222"/>
      <c r="O246" s="222"/>
      <c r="P246" s="222"/>
      <c r="Q246" s="222"/>
      <c r="R246" s="222"/>
      <c r="S246" s="222"/>
      <c r="T246" s="222"/>
      <c r="U246" s="222"/>
      <c r="V246" s="222"/>
      <c r="W246" s="222"/>
      <c r="X246" s="222"/>
      <c r="Y246" s="222"/>
      <c r="Z246" s="222"/>
      <c r="AA246" s="222"/>
      <c r="AB246" s="222"/>
      <c r="AC246" s="222"/>
      <c r="AD246" s="222"/>
      <c r="AE246" s="222"/>
      <c r="AF246" s="223"/>
      <c r="AG246" s="224">
        <f t="shared" si="38"/>
        <v>0</v>
      </c>
    </row>
    <row r="247" spans="1:33" ht="21.75" x14ac:dyDescent="0.25">
      <c r="A247" s="225" t="s">
        <v>151</v>
      </c>
      <c r="B247" s="363"/>
      <c r="C247" s="363"/>
      <c r="D247" s="363"/>
      <c r="E247" s="363"/>
      <c r="F247" s="363"/>
      <c r="G247" s="363"/>
      <c r="H247" s="363"/>
      <c r="I247" s="363"/>
      <c r="J247" s="363"/>
      <c r="K247" s="363"/>
      <c r="L247" s="363"/>
      <c r="M247" s="363"/>
      <c r="N247" s="363"/>
      <c r="O247" s="363"/>
      <c r="P247" s="363"/>
      <c r="Q247" s="363"/>
      <c r="R247" s="363"/>
      <c r="S247" s="363"/>
      <c r="T247" s="363"/>
      <c r="U247" s="363"/>
      <c r="V247" s="363"/>
      <c r="W247" s="363"/>
      <c r="X247" s="363"/>
      <c r="Y247" s="363"/>
      <c r="Z247" s="363"/>
      <c r="AA247" s="363"/>
      <c r="AB247" s="363"/>
      <c r="AC247" s="363"/>
      <c r="AD247" s="363"/>
      <c r="AE247" s="363"/>
      <c r="AF247" s="367"/>
      <c r="AG247" s="369">
        <f>SUM(B247:AF247)</f>
        <v>0</v>
      </c>
    </row>
    <row r="248" spans="1:33" ht="22.5" thickBot="1" x14ac:dyDescent="0.3">
      <c r="A248" s="226" t="s">
        <v>152</v>
      </c>
      <c r="B248" s="364"/>
      <c r="C248" s="364"/>
      <c r="D248" s="364"/>
      <c r="E248" s="364"/>
      <c r="F248" s="364"/>
      <c r="G248" s="364"/>
      <c r="H248" s="364"/>
      <c r="I248" s="364"/>
      <c r="J248" s="364"/>
      <c r="K248" s="364"/>
      <c r="L248" s="364"/>
      <c r="M248" s="364"/>
      <c r="N248" s="364"/>
      <c r="O248" s="364"/>
      <c r="P248" s="364"/>
      <c r="Q248" s="364"/>
      <c r="R248" s="364"/>
      <c r="S248" s="364"/>
      <c r="T248" s="364"/>
      <c r="U248" s="364"/>
      <c r="V248" s="364"/>
      <c r="W248" s="364"/>
      <c r="X248" s="364"/>
      <c r="Y248" s="364"/>
      <c r="Z248" s="364"/>
      <c r="AA248" s="364"/>
      <c r="AB248" s="364"/>
      <c r="AC248" s="364"/>
      <c r="AD248" s="364"/>
      <c r="AE248" s="364"/>
      <c r="AF248" s="368"/>
      <c r="AG248" s="370">
        <f>SUM(B248:AF248)</f>
        <v>0</v>
      </c>
    </row>
    <row r="268" ht="18.75" customHeight="1" x14ac:dyDescent="0.25"/>
    <row r="269" ht="18.75" customHeight="1" x14ac:dyDescent="0.25"/>
    <row r="270" ht="18.75" customHeight="1" x14ac:dyDescent="0.25"/>
    <row r="271" ht="18.75" customHeight="1" x14ac:dyDescent="0.25"/>
    <row r="272" ht="18.75" customHeight="1" x14ac:dyDescent="0.25"/>
    <row r="273" ht="18.75" customHeight="1" x14ac:dyDescent="0.25"/>
    <row r="274" ht="18.75" customHeight="1" x14ac:dyDescent="0.25"/>
    <row r="275" ht="18.75" customHeight="1" x14ac:dyDescent="0.25"/>
    <row r="276" ht="18.75" customHeight="1" x14ac:dyDescent="0.25"/>
    <row r="277" ht="18.75" customHeight="1" x14ac:dyDescent="0.25"/>
    <row r="278" ht="18.75" customHeight="1" x14ac:dyDescent="0.25"/>
    <row r="279" ht="19.5" customHeight="1" x14ac:dyDescent="0.25"/>
    <row r="281" ht="18.75" customHeight="1" x14ac:dyDescent="0.25"/>
    <row r="284" ht="18.75" customHeight="1" x14ac:dyDescent="0.25"/>
  </sheetData>
  <dataConsolidate/>
  <mergeCells count="5">
    <mergeCell ref="A1:AG1"/>
    <mergeCell ref="AI84:AI86"/>
    <mergeCell ref="AH220:AH231"/>
    <mergeCell ref="AH233:AH235"/>
    <mergeCell ref="AH236:AH239"/>
  </mergeCells>
  <conditionalFormatting sqref="B29:P52 R29:AF52">
    <cfRule type="cellIs" dxfId="102" priority="6" operator="lessThan">
      <formula>0</formula>
    </cfRule>
  </conditionalFormatting>
  <conditionalFormatting sqref="D54:D77">
    <cfRule type="cellIs" dxfId="101" priority="2" operator="lessThan">
      <formula>0</formula>
    </cfRule>
  </conditionalFormatting>
  <conditionalFormatting sqref="G54:G77">
    <cfRule type="cellIs" dxfId="100" priority="1" operator="lessThan">
      <formula>0</formula>
    </cfRule>
  </conditionalFormatting>
  <conditionalFormatting sqref="AH81">
    <cfRule type="cellIs" dxfId="99" priority="4" operator="equal">
      <formula>"*"</formula>
    </cfRule>
  </conditionalFormatting>
  <conditionalFormatting sqref="AH84 AH87">
    <cfRule type="cellIs" dxfId="98" priority="5" operator="equal">
      <formula>"*"</formula>
    </cfRule>
  </conditionalFormatting>
  <conditionalFormatting sqref="AH93">
    <cfRule type="cellIs" dxfId="97" priority="10" operator="equal">
      <formula>"*"</formula>
    </cfRule>
  </conditionalFormatting>
  <conditionalFormatting sqref="AH130">
    <cfRule type="cellIs" dxfId="96" priority="8" operator="equal">
      <formula>"*"</formula>
    </cfRule>
  </conditionalFormatting>
  <conditionalFormatting sqref="AH144:AH145">
    <cfRule type="cellIs" dxfId="95" priority="9" operator="equal">
      <formula>"*"</formula>
    </cfRule>
  </conditionalFormatting>
  <conditionalFormatting sqref="AH179">
    <cfRule type="cellIs" dxfId="94" priority="7" operator="equal">
      <formula>"*"</formula>
    </cfRule>
  </conditionalFormatting>
  <conditionalFormatting sqref="AH206">
    <cfRule type="cellIs" dxfId="93" priority="3" operator="equal">
      <formula>"X"</formula>
    </cfRule>
  </conditionalFormatting>
  <dataValidations disablePrompts="1" count="1">
    <dataValidation type="whole" allowBlank="1" showInputMessage="1" showErrorMessage="1" errorTitle="ERROR" error="Por favor ingrese solo Números" sqref="A98:A99 A101:A115" xr:uid="{00000000-0002-0000-0500-000000000000}">
      <formula1>0</formula1>
      <formula2>1000000000</formula2>
    </dataValidation>
  </dataValidations>
  <pageMargins left="0.7" right="0.7" top="0.75" bottom="0.75" header="0.3" footer="0.3"/>
  <pageSetup orientation="portrait" horizontalDpi="0" verticalDpi="0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7"/>
  <dimension ref="A1:AI284"/>
  <sheetViews>
    <sheetView zoomScale="80" zoomScaleNormal="80" workbookViewId="0">
      <pane xSplit="1" ySplit="3" topLeftCell="B202" activePane="bottomRight" state="frozen"/>
      <selection activeCell="AG3" sqref="AG3"/>
      <selection pane="topRight" activeCell="AG3" sqref="AG3"/>
      <selection pane="bottomLeft" activeCell="AG3" sqref="AG3"/>
      <selection pane="bottomRight" activeCell="B218" sqref="B218"/>
    </sheetView>
  </sheetViews>
  <sheetFormatPr baseColWidth="10" defaultRowHeight="15" x14ac:dyDescent="0.25"/>
  <cols>
    <col min="1" max="1" width="34.7109375" customWidth="1"/>
    <col min="2" max="13" width="8.28515625" customWidth="1"/>
    <col min="14" max="14" width="10.140625" customWidth="1"/>
    <col min="15" max="27" width="8.28515625" customWidth="1"/>
    <col min="28" max="28" width="9.7109375" customWidth="1"/>
    <col min="29" max="32" width="8.28515625" customWidth="1"/>
    <col min="33" max="33" width="11.140625" customWidth="1"/>
    <col min="34" max="34" width="12.42578125" customWidth="1"/>
  </cols>
  <sheetData>
    <row r="1" spans="1:33" ht="21.75" thickBot="1" x14ac:dyDescent="0.3">
      <c r="A1" s="431"/>
      <c r="B1" s="432"/>
      <c r="C1" s="432"/>
      <c r="D1" s="432"/>
      <c r="E1" s="432"/>
      <c r="F1" s="432"/>
      <c r="G1" s="432"/>
      <c r="H1" s="432"/>
      <c r="I1" s="432"/>
      <c r="J1" s="432"/>
      <c r="K1" s="432"/>
      <c r="L1" s="432"/>
      <c r="M1" s="432"/>
      <c r="N1" s="432"/>
      <c r="O1" s="432"/>
      <c r="P1" s="432"/>
      <c r="Q1" s="432"/>
      <c r="R1" s="432"/>
      <c r="S1" s="432"/>
      <c r="T1" s="432"/>
      <c r="U1" s="432"/>
      <c r="V1" s="432"/>
      <c r="W1" s="432"/>
      <c r="X1" s="432"/>
      <c r="Y1" s="432"/>
      <c r="Z1" s="432"/>
      <c r="AA1" s="432"/>
      <c r="AB1" s="432"/>
      <c r="AC1" s="432"/>
      <c r="AD1" s="432"/>
      <c r="AE1" s="432"/>
      <c r="AF1" s="432"/>
      <c r="AG1" s="433"/>
    </row>
    <row r="2" spans="1:33" ht="21.75" thickBot="1" x14ac:dyDescent="0.3">
      <c r="A2" s="82" t="s">
        <v>156</v>
      </c>
      <c r="B2" s="230">
        <v>1</v>
      </c>
      <c r="C2" s="230">
        <f t="shared" ref="C2:AA2" si="0">+B2+1</f>
        <v>2</v>
      </c>
      <c r="D2" s="230">
        <f t="shared" si="0"/>
        <v>3</v>
      </c>
      <c r="E2" s="106">
        <f t="shared" si="0"/>
        <v>4</v>
      </c>
      <c r="F2" s="106">
        <f t="shared" si="0"/>
        <v>5</v>
      </c>
      <c r="G2" s="230">
        <f t="shared" si="0"/>
        <v>6</v>
      </c>
      <c r="H2" s="230">
        <f t="shared" si="0"/>
        <v>7</v>
      </c>
      <c r="I2" s="230">
        <f t="shared" si="0"/>
        <v>8</v>
      </c>
      <c r="J2" s="230">
        <f t="shared" si="0"/>
        <v>9</v>
      </c>
      <c r="K2" s="106">
        <f t="shared" si="0"/>
        <v>10</v>
      </c>
      <c r="L2" s="106">
        <f t="shared" si="0"/>
        <v>11</v>
      </c>
      <c r="M2" s="106">
        <f t="shared" si="0"/>
        <v>12</v>
      </c>
      <c r="N2" s="230">
        <f t="shared" si="0"/>
        <v>13</v>
      </c>
      <c r="O2" s="230">
        <f t="shared" si="0"/>
        <v>14</v>
      </c>
      <c r="P2" s="230">
        <f t="shared" si="0"/>
        <v>15</v>
      </c>
      <c r="Q2" s="230">
        <f t="shared" si="0"/>
        <v>16</v>
      </c>
      <c r="R2" s="230">
        <f t="shared" si="0"/>
        <v>17</v>
      </c>
      <c r="S2" s="106">
        <f t="shared" si="0"/>
        <v>18</v>
      </c>
      <c r="T2" s="106">
        <f t="shared" si="0"/>
        <v>19</v>
      </c>
      <c r="U2" s="230">
        <f t="shared" si="0"/>
        <v>20</v>
      </c>
      <c r="V2" s="230">
        <f t="shared" si="0"/>
        <v>21</v>
      </c>
      <c r="W2" s="230">
        <f t="shared" si="0"/>
        <v>22</v>
      </c>
      <c r="X2" s="230">
        <f t="shared" si="0"/>
        <v>23</v>
      </c>
      <c r="Y2" s="230">
        <f t="shared" si="0"/>
        <v>24</v>
      </c>
      <c r="Z2" s="106">
        <f t="shared" si="0"/>
        <v>25</v>
      </c>
      <c r="AA2" s="106">
        <f t="shared" si="0"/>
        <v>26</v>
      </c>
      <c r="AB2" s="230">
        <v>27</v>
      </c>
      <c r="AC2" s="373">
        <f>+AB2+1</f>
        <v>28</v>
      </c>
      <c r="AD2" s="230">
        <v>29</v>
      </c>
      <c r="AE2" s="230">
        <v>30</v>
      </c>
      <c r="AF2" s="230">
        <v>31</v>
      </c>
      <c r="AG2" s="3" t="s">
        <v>80</v>
      </c>
    </row>
    <row r="3" spans="1:33" ht="19.5" thickBot="1" x14ac:dyDescent="0.3">
      <c r="A3" s="136" t="s">
        <v>0</v>
      </c>
      <c r="B3" s="135">
        <f t="shared" ref="B3:AF3" si="1">SUM(B4:B27)</f>
        <v>79</v>
      </c>
      <c r="C3" s="135">
        <f t="shared" si="1"/>
        <v>75</v>
      </c>
      <c r="D3" s="135">
        <f t="shared" si="1"/>
        <v>78</v>
      </c>
      <c r="E3" s="135">
        <f t="shared" si="1"/>
        <v>65</v>
      </c>
      <c r="F3" s="135">
        <f t="shared" si="1"/>
        <v>75</v>
      </c>
      <c r="G3" s="135">
        <f t="shared" si="1"/>
        <v>94</v>
      </c>
      <c r="H3" s="135">
        <f t="shared" si="1"/>
        <v>73</v>
      </c>
      <c r="I3" s="135">
        <f t="shared" si="1"/>
        <v>63</v>
      </c>
      <c r="J3" s="135">
        <f t="shared" si="1"/>
        <v>52</v>
      </c>
      <c r="K3" s="135">
        <f t="shared" si="1"/>
        <v>44</v>
      </c>
      <c r="L3" s="135">
        <f t="shared" si="1"/>
        <v>65</v>
      </c>
      <c r="M3" s="135">
        <f t="shared" si="1"/>
        <v>45</v>
      </c>
      <c r="N3" s="135">
        <f t="shared" si="1"/>
        <v>84</v>
      </c>
      <c r="O3" s="135">
        <f t="shared" si="1"/>
        <v>62</v>
      </c>
      <c r="P3" s="135">
        <f t="shared" si="1"/>
        <v>55</v>
      </c>
      <c r="Q3" s="135">
        <f t="shared" si="1"/>
        <v>62</v>
      </c>
      <c r="R3" s="135">
        <f t="shared" si="1"/>
        <v>79</v>
      </c>
      <c r="S3" s="135">
        <f t="shared" si="1"/>
        <v>78</v>
      </c>
      <c r="T3" s="135">
        <f t="shared" si="1"/>
        <v>80</v>
      </c>
      <c r="U3" s="135">
        <f t="shared" si="1"/>
        <v>74</v>
      </c>
      <c r="V3" s="135">
        <f t="shared" si="1"/>
        <v>66</v>
      </c>
      <c r="W3" s="135">
        <f t="shared" si="1"/>
        <v>59</v>
      </c>
      <c r="X3" s="135">
        <f t="shared" si="1"/>
        <v>82</v>
      </c>
      <c r="Y3" s="135">
        <f t="shared" si="1"/>
        <v>68</v>
      </c>
      <c r="Z3" s="135">
        <f t="shared" si="1"/>
        <v>69</v>
      </c>
      <c r="AA3" s="135">
        <f t="shared" si="1"/>
        <v>79</v>
      </c>
      <c r="AB3" s="135">
        <f t="shared" si="1"/>
        <v>47</v>
      </c>
      <c r="AC3" s="374">
        <f t="shared" si="1"/>
        <v>0</v>
      </c>
      <c r="AD3" s="135">
        <f t="shared" si="1"/>
        <v>54</v>
      </c>
      <c r="AE3" s="135">
        <f t="shared" si="1"/>
        <v>86</v>
      </c>
      <c r="AF3" s="135">
        <f t="shared" si="1"/>
        <v>0</v>
      </c>
      <c r="AG3" s="187">
        <f>SUM(B3:AF3)</f>
        <v>1992</v>
      </c>
    </row>
    <row r="4" spans="1:33" ht="18.75" x14ac:dyDescent="0.25">
      <c r="A4" s="113" t="s">
        <v>54</v>
      </c>
      <c r="B4" s="114">
        <v>4</v>
      </c>
      <c r="C4" s="114">
        <v>5</v>
      </c>
      <c r="D4" s="114">
        <v>2</v>
      </c>
      <c r="E4" s="114">
        <v>1</v>
      </c>
      <c r="F4" s="114">
        <v>4</v>
      </c>
      <c r="G4" s="114">
        <v>8</v>
      </c>
      <c r="H4" s="114">
        <v>7</v>
      </c>
      <c r="I4" s="114"/>
      <c r="J4" s="114"/>
      <c r="K4" s="114">
        <v>2</v>
      </c>
      <c r="L4" s="114">
        <v>2</v>
      </c>
      <c r="M4" s="114">
        <v>3</v>
      </c>
      <c r="N4" s="114">
        <v>3</v>
      </c>
      <c r="O4" s="114">
        <v>1</v>
      </c>
      <c r="P4" s="114">
        <v>3</v>
      </c>
      <c r="Q4" s="114">
        <v>4</v>
      </c>
      <c r="R4" s="114">
        <v>3</v>
      </c>
      <c r="S4" s="114">
        <v>2</v>
      </c>
      <c r="T4" s="114"/>
      <c r="U4" s="114">
        <v>2</v>
      </c>
      <c r="V4" s="114">
        <v>3</v>
      </c>
      <c r="W4" s="114">
        <v>2</v>
      </c>
      <c r="X4" s="114">
        <v>2</v>
      </c>
      <c r="Y4" s="114">
        <v>3</v>
      </c>
      <c r="Z4" s="114">
        <v>2</v>
      </c>
      <c r="AA4" s="114">
        <v>3</v>
      </c>
      <c r="AB4" s="114">
        <v>5</v>
      </c>
      <c r="AC4" s="375"/>
      <c r="AD4" s="114"/>
      <c r="AE4" s="114">
        <v>1</v>
      </c>
      <c r="AF4" s="115"/>
      <c r="AG4" s="132">
        <f t="shared" ref="AG4:AG83" si="2">SUM(B4:AF4)</f>
        <v>77</v>
      </c>
    </row>
    <row r="5" spans="1:33" ht="18.75" x14ac:dyDescent="0.25">
      <c r="A5" s="41" t="s">
        <v>55</v>
      </c>
      <c r="B5" s="7">
        <v>8</v>
      </c>
      <c r="C5" s="7">
        <v>2</v>
      </c>
      <c r="D5" s="7">
        <v>3</v>
      </c>
      <c r="E5" s="7">
        <v>2</v>
      </c>
      <c r="F5" s="7">
        <v>3</v>
      </c>
      <c r="G5" s="7">
        <v>5</v>
      </c>
      <c r="H5" s="7">
        <v>4</v>
      </c>
      <c r="I5" s="7">
        <v>5</v>
      </c>
      <c r="J5" s="7">
        <v>4</v>
      </c>
      <c r="K5" s="7">
        <v>1</v>
      </c>
      <c r="L5" s="7">
        <v>2</v>
      </c>
      <c r="M5" s="7">
        <v>4</v>
      </c>
      <c r="N5" s="7">
        <v>4</v>
      </c>
      <c r="O5" s="7">
        <v>3</v>
      </c>
      <c r="P5" s="7">
        <v>1</v>
      </c>
      <c r="Q5" s="7">
        <v>3</v>
      </c>
      <c r="R5" s="7">
        <v>4</v>
      </c>
      <c r="S5" s="7">
        <v>2</v>
      </c>
      <c r="T5" s="7">
        <v>3</v>
      </c>
      <c r="U5" s="7">
        <v>5</v>
      </c>
      <c r="V5" s="7">
        <v>4</v>
      </c>
      <c r="W5" s="7">
        <v>3</v>
      </c>
      <c r="X5" s="7">
        <v>5</v>
      </c>
      <c r="Y5" s="7">
        <v>6</v>
      </c>
      <c r="Z5" s="7">
        <v>2</v>
      </c>
      <c r="AA5" s="7">
        <v>6</v>
      </c>
      <c r="AB5" s="7">
        <v>12</v>
      </c>
      <c r="AC5" s="376"/>
      <c r="AD5" s="7"/>
      <c r="AE5" s="7">
        <v>2</v>
      </c>
      <c r="AF5" s="8"/>
      <c r="AG5" s="4">
        <f t="shared" si="2"/>
        <v>108</v>
      </c>
    </row>
    <row r="6" spans="1:33" ht="18.75" x14ac:dyDescent="0.25">
      <c r="A6" s="41" t="s">
        <v>56</v>
      </c>
      <c r="B6" s="7">
        <v>4</v>
      </c>
      <c r="C6" s="7">
        <v>6</v>
      </c>
      <c r="D6" s="7">
        <v>6</v>
      </c>
      <c r="E6" s="7">
        <v>3</v>
      </c>
      <c r="F6" s="7">
        <v>3</v>
      </c>
      <c r="G6" s="7">
        <v>7</v>
      </c>
      <c r="H6" s="7">
        <v>3</v>
      </c>
      <c r="I6" s="7">
        <v>4</v>
      </c>
      <c r="J6" s="7">
        <v>2</v>
      </c>
      <c r="K6" s="7">
        <v>3</v>
      </c>
      <c r="L6" s="7">
        <v>5</v>
      </c>
      <c r="M6" s="7">
        <v>3</v>
      </c>
      <c r="N6" s="7">
        <v>4</v>
      </c>
      <c r="O6" s="7">
        <v>6</v>
      </c>
      <c r="P6" s="7">
        <v>3</v>
      </c>
      <c r="Q6" s="7">
        <v>2</v>
      </c>
      <c r="R6" s="7">
        <v>5</v>
      </c>
      <c r="S6" s="7">
        <v>1</v>
      </c>
      <c r="T6" s="7">
        <v>2</v>
      </c>
      <c r="U6" s="7">
        <v>5</v>
      </c>
      <c r="V6" s="7">
        <v>2</v>
      </c>
      <c r="W6" s="7">
        <v>3</v>
      </c>
      <c r="X6" s="7">
        <v>2</v>
      </c>
      <c r="Y6" s="7">
        <v>2</v>
      </c>
      <c r="Z6" s="7">
        <v>6</v>
      </c>
      <c r="AA6" s="7">
        <v>6</v>
      </c>
      <c r="AB6" s="7">
        <v>3</v>
      </c>
      <c r="AC6" s="376"/>
      <c r="AD6" s="7"/>
      <c r="AE6" s="7">
        <v>9</v>
      </c>
      <c r="AF6" s="8"/>
      <c r="AG6" s="4">
        <f t="shared" si="2"/>
        <v>110</v>
      </c>
    </row>
    <row r="7" spans="1:33" ht="18.75" x14ac:dyDescent="0.25">
      <c r="A7" s="41" t="s">
        <v>38</v>
      </c>
      <c r="B7" s="7">
        <v>6</v>
      </c>
      <c r="C7" s="7">
        <v>7</v>
      </c>
      <c r="D7" s="7">
        <v>3</v>
      </c>
      <c r="E7" s="7">
        <v>4</v>
      </c>
      <c r="F7" s="7">
        <v>4</v>
      </c>
      <c r="G7" s="7">
        <v>8</v>
      </c>
      <c r="H7" s="7">
        <v>3</v>
      </c>
      <c r="I7" s="7">
        <v>4</v>
      </c>
      <c r="J7" s="7">
        <v>2</v>
      </c>
      <c r="K7" s="7">
        <v>6</v>
      </c>
      <c r="L7" s="7">
        <v>2</v>
      </c>
      <c r="M7" s="7">
        <v>1</v>
      </c>
      <c r="N7" s="7">
        <v>11</v>
      </c>
      <c r="O7" s="7">
        <v>4</v>
      </c>
      <c r="P7" s="7">
        <v>5</v>
      </c>
      <c r="Q7" s="7">
        <v>2</v>
      </c>
      <c r="R7" s="7">
        <v>1</v>
      </c>
      <c r="S7" s="7">
        <v>4</v>
      </c>
      <c r="T7" s="7">
        <v>6</v>
      </c>
      <c r="U7" s="7">
        <v>3</v>
      </c>
      <c r="V7" s="7">
        <v>3</v>
      </c>
      <c r="W7" s="7">
        <v>3</v>
      </c>
      <c r="X7" s="7">
        <v>7</v>
      </c>
      <c r="Y7" s="7">
        <v>2</v>
      </c>
      <c r="Z7" s="7">
        <v>2</v>
      </c>
      <c r="AA7" s="7">
        <v>6</v>
      </c>
      <c r="AB7" s="7">
        <v>4</v>
      </c>
      <c r="AC7" s="376"/>
      <c r="AD7" s="7"/>
      <c r="AE7" s="7">
        <v>4</v>
      </c>
      <c r="AF7" s="8"/>
      <c r="AG7" s="4">
        <f t="shared" si="2"/>
        <v>117</v>
      </c>
    </row>
    <row r="8" spans="1:33" ht="18.75" x14ac:dyDescent="0.25">
      <c r="A8" s="41" t="s">
        <v>39</v>
      </c>
      <c r="B8" s="7">
        <v>2</v>
      </c>
      <c r="C8" s="7">
        <v>6</v>
      </c>
      <c r="D8" s="7">
        <v>4</v>
      </c>
      <c r="E8" s="7">
        <v>7</v>
      </c>
      <c r="F8" s="7">
        <v>9</v>
      </c>
      <c r="G8" s="7">
        <v>5</v>
      </c>
      <c r="H8" s="7">
        <v>2</v>
      </c>
      <c r="I8" s="7">
        <v>5</v>
      </c>
      <c r="J8" s="7">
        <v>5</v>
      </c>
      <c r="K8" s="7">
        <v>3</v>
      </c>
      <c r="L8" s="7">
        <v>5</v>
      </c>
      <c r="M8" s="7">
        <v>2</v>
      </c>
      <c r="N8" s="7">
        <v>5</v>
      </c>
      <c r="O8" s="7">
        <v>5</v>
      </c>
      <c r="P8" s="7">
        <v>3</v>
      </c>
      <c r="Q8" s="7">
        <v>1</v>
      </c>
      <c r="R8" s="7">
        <v>4</v>
      </c>
      <c r="S8" s="7">
        <v>15</v>
      </c>
      <c r="T8" s="7">
        <v>8</v>
      </c>
      <c r="U8" s="7">
        <v>3</v>
      </c>
      <c r="V8" s="7">
        <v>3</v>
      </c>
      <c r="W8" s="7">
        <v>2</v>
      </c>
      <c r="X8" s="7">
        <v>6</v>
      </c>
      <c r="Y8" s="7">
        <v>5</v>
      </c>
      <c r="Z8" s="7">
        <v>5</v>
      </c>
      <c r="AA8" s="7">
        <v>7</v>
      </c>
      <c r="AB8" s="7">
        <v>8</v>
      </c>
      <c r="AC8" s="376"/>
      <c r="AD8" s="7"/>
      <c r="AE8" s="7">
        <v>2</v>
      </c>
      <c r="AF8" s="8"/>
      <c r="AG8" s="4">
        <f t="shared" si="2"/>
        <v>137</v>
      </c>
    </row>
    <row r="9" spans="1:33" ht="18.75" x14ac:dyDescent="0.25">
      <c r="A9" s="41" t="s">
        <v>40</v>
      </c>
      <c r="B9" s="7">
        <v>4</v>
      </c>
      <c r="C9" s="7">
        <v>4</v>
      </c>
      <c r="D9" s="7">
        <v>2</v>
      </c>
      <c r="E9" s="7">
        <v>4</v>
      </c>
      <c r="F9" s="7">
        <v>7</v>
      </c>
      <c r="G9" s="7">
        <v>4</v>
      </c>
      <c r="H9" s="7">
        <v>4</v>
      </c>
      <c r="I9" s="7">
        <v>5</v>
      </c>
      <c r="J9" s="7">
        <v>3</v>
      </c>
      <c r="K9" s="7">
        <v>4</v>
      </c>
      <c r="L9" s="7">
        <v>8</v>
      </c>
      <c r="M9" s="7">
        <v>3</v>
      </c>
      <c r="N9" s="7">
        <v>8</v>
      </c>
      <c r="O9" s="7">
        <v>3</v>
      </c>
      <c r="P9" s="7">
        <v>3</v>
      </c>
      <c r="Q9" s="7">
        <v>3</v>
      </c>
      <c r="R9" s="7">
        <v>4</v>
      </c>
      <c r="S9" s="7">
        <v>5</v>
      </c>
      <c r="T9" s="7">
        <v>1</v>
      </c>
      <c r="U9" s="7">
        <v>1</v>
      </c>
      <c r="V9" s="7">
        <v>3</v>
      </c>
      <c r="W9" s="7">
        <v>3</v>
      </c>
      <c r="X9" s="7">
        <v>3</v>
      </c>
      <c r="Y9" s="7">
        <v>1</v>
      </c>
      <c r="Z9" s="7">
        <v>2</v>
      </c>
      <c r="AA9" s="7">
        <v>8</v>
      </c>
      <c r="AB9" s="7">
        <v>1</v>
      </c>
      <c r="AC9" s="376"/>
      <c r="AD9" s="7"/>
      <c r="AE9" s="7">
        <v>5</v>
      </c>
      <c r="AF9" s="8"/>
      <c r="AG9" s="4">
        <f t="shared" si="2"/>
        <v>106</v>
      </c>
    </row>
    <row r="10" spans="1:33" ht="18.75" x14ac:dyDescent="0.25">
      <c r="A10" s="41" t="s">
        <v>41</v>
      </c>
      <c r="B10" s="7">
        <v>5</v>
      </c>
      <c r="C10" s="7">
        <v>3</v>
      </c>
      <c r="D10" s="7">
        <v>7</v>
      </c>
      <c r="E10" s="7">
        <v>5</v>
      </c>
      <c r="F10" s="7">
        <v>4</v>
      </c>
      <c r="G10" s="7">
        <v>10</v>
      </c>
      <c r="H10" s="7">
        <v>8</v>
      </c>
      <c r="I10" s="7">
        <v>3</v>
      </c>
      <c r="J10" s="7">
        <v>3</v>
      </c>
      <c r="K10" s="7">
        <v>4</v>
      </c>
      <c r="L10" s="7">
        <v>7</v>
      </c>
      <c r="M10" s="7">
        <v>5</v>
      </c>
      <c r="N10" s="7">
        <v>4</v>
      </c>
      <c r="O10" s="7">
        <v>2</v>
      </c>
      <c r="P10" s="7">
        <v>1</v>
      </c>
      <c r="Q10" s="7"/>
      <c r="R10" s="7">
        <v>4</v>
      </c>
      <c r="S10" s="7">
        <v>6</v>
      </c>
      <c r="T10" s="7">
        <v>2</v>
      </c>
      <c r="U10" s="7">
        <v>4</v>
      </c>
      <c r="V10" s="7">
        <v>3</v>
      </c>
      <c r="W10" s="7">
        <v>4</v>
      </c>
      <c r="X10" s="7">
        <v>2</v>
      </c>
      <c r="Y10" s="7">
        <v>3</v>
      </c>
      <c r="Z10" s="7">
        <v>3</v>
      </c>
      <c r="AA10" s="7">
        <v>4</v>
      </c>
      <c r="AB10" s="7">
        <v>7</v>
      </c>
      <c r="AC10" s="376"/>
      <c r="AD10" s="7">
        <v>5</v>
      </c>
      <c r="AE10" s="7">
        <v>6</v>
      </c>
      <c r="AF10" s="8"/>
      <c r="AG10" s="4">
        <f t="shared" si="2"/>
        <v>124</v>
      </c>
    </row>
    <row r="11" spans="1:33" ht="18.75" x14ac:dyDescent="0.25">
      <c r="A11" s="41" t="s">
        <v>42</v>
      </c>
      <c r="B11" s="7">
        <v>6</v>
      </c>
      <c r="C11" s="7">
        <v>4</v>
      </c>
      <c r="D11" s="7">
        <v>5</v>
      </c>
      <c r="E11" s="7">
        <v>7</v>
      </c>
      <c r="F11" s="7">
        <v>5</v>
      </c>
      <c r="G11" s="7">
        <v>11</v>
      </c>
      <c r="H11" s="7">
        <v>7</v>
      </c>
      <c r="I11" s="7"/>
      <c r="J11" s="7">
        <v>1</v>
      </c>
      <c r="K11" s="7">
        <v>2</v>
      </c>
      <c r="L11" s="7">
        <v>4</v>
      </c>
      <c r="M11" s="7">
        <v>3</v>
      </c>
      <c r="N11" s="7"/>
      <c r="O11" s="7">
        <v>3</v>
      </c>
      <c r="P11" s="7">
        <v>3</v>
      </c>
      <c r="Q11" s="7">
        <v>3</v>
      </c>
      <c r="R11" s="7">
        <v>6</v>
      </c>
      <c r="S11" s="7">
        <v>6</v>
      </c>
      <c r="T11" s="7">
        <v>6</v>
      </c>
      <c r="U11" s="7">
        <v>3</v>
      </c>
      <c r="V11" s="7">
        <v>2</v>
      </c>
      <c r="W11" s="7">
        <v>3</v>
      </c>
      <c r="X11" s="7">
        <v>4</v>
      </c>
      <c r="Y11" s="7">
        <v>3</v>
      </c>
      <c r="Z11" s="7">
        <v>7</v>
      </c>
      <c r="AA11" s="7">
        <v>5</v>
      </c>
      <c r="AB11" s="7">
        <v>3</v>
      </c>
      <c r="AC11" s="376"/>
      <c r="AD11" s="7">
        <v>5</v>
      </c>
      <c r="AE11" s="7">
        <v>6</v>
      </c>
      <c r="AF11" s="8"/>
      <c r="AG11" s="4">
        <f t="shared" si="2"/>
        <v>123</v>
      </c>
    </row>
    <row r="12" spans="1:33" ht="18.75" x14ac:dyDescent="0.25">
      <c r="A12" s="41" t="s">
        <v>43</v>
      </c>
      <c r="B12" s="7">
        <v>6</v>
      </c>
      <c r="C12" s="7">
        <v>11</v>
      </c>
      <c r="D12" s="7">
        <v>3</v>
      </c>
      <c r="E12" s="7">
        <v>5</v>
      </c>
      <c r="F12" s="7">
        <v>5</v>
      </c>
      <c r="G12" s="7">
        <v>4</v>
      </c>
      <c r="H12" s="7">
        <v>5</v>
      </c>
      <c r="I12" s="7">
        <v>1</v>
      </c>
      <c r="J12" s="7">
        <v>1</v>
      </c>
      <c r="K12" s="7">
        <v>3</v>
      </c>
      <c r="L12" s="7">
        <v>4</v>
      </c>
      <c r="M12" s="7">
        <v>3</v>
      </c>
      <c r="N12" s="7">
        <v>8</v>
      </c>
      <c r="O12" s="7">
        <v>4</v>
      </c>
      <c r="P12" s="7">
        <v>5</v>
      </c>
      <c r="Q12" s="7">
        <v>8</v>
      </c>
      <c r="R12" s="7">
        <v>6</v>
      </c>
      <c r="S12" s="7">
        <v>6</v>
      </c>
      <c r="T12" s="7">
        <v>4</v>
      </c>
      <c r="U12" s="7">
        <v>5</v>
      </c>
      <c r="V12" s="7">
        <v>4</v>
      </c>
      <c r="W12" s="7">
        <v>6</v>
      </c>
      <c r="X12" s="7">
        <v>6</v>
      </c>
      <c r="Y12" s="7">
        <v>4</v>
      </c>
      <c r="Z12" s="7">
        <v>2</v>
      </c>
      <c r="AA12" s="7">
        <v>5</v>
      </c>
      <c r="AB12" s="7">
        <v>4</v>
      </c>
      <c r="AC12" s="376"/>
      <c r="AD12" s="7">
        <v>9</v>
      </c>
      <c r="AE12" s="7">
        <v>8</v>
      </c>
      <c r="AF12" s="8"/>
      <c r="AG12" s="4">
        <f t="shared" si="2"/>
        <v>145</v>
      </c>
    </row>
    <row r="13" spans="1:33" ht="18.75" x14ac:dyDescent="0.25">
      <c r="A13" s="41" t="s">
        <v>44</v>
      </c>
      <c r="B13" s="7">
        <v>8</v>
      </c>
      <c r="C13" s="7">
        <v>7</v>
      </c>
      <c r="D13" s="7">
        <v>6</v>
      </c>
      <c r="E13" s="7">
        <v>4</v>
      </c>
      <c r="F13" s="7">
        <v>7</v>
      </c>
      <c r="G13" s="7">
        <v>5</v>
      </c>
      <c r="H13" s="7">
        <v>8</v>
      </c>
      <c r="I13" s="7">
        <v>10</v>
      </c>
      <c r="J13" s="7">
        <v>9</v>
      </c>
      <c r="K13" s="7">
        <v>2</v>
      </c>
      <c r="L13" s="7">
        <v>6</v>
      </c>
      <c r="M13" s="7">
        <v>5</v>
      </c>
      <c r="N13" s="7">
        <v>8</v>
      </c>
      <c r="O13" s="7">
        <v>5</v>
      </c>
      <c r="P13" s="7">
        <v>3</v>
      </c>
      <c r="Q13" s="7">
        <v>3</v>
      </c>
      <c r="R13" s="7">
        <v>7</v>
      </c>
      <c r="S13" s="7">
        <v>7</v>
      </c>
      <c r="T13" s="7">
        <v>5</v>
      </c>
      <c r="U13" s="7">
        <v>8</v>
      </c>
      <c r="V13" s="7">
        <v>6</v>
      </c>
      <c r="W13" s="7">
        <v>4</v>
      </c>
      <c r="X13" s="7">
        <v>8</v>
      </c>
      <c r="Y13" s="7">
        <v>12</v>
      </c>
      <c r="Z13" s="7">
        <v>8</v>
      </c>
      <c r="AA13" s="7">
        <v>6</v>
      </c>
      <c r="AB13" s="7"/>
      <c r="AC13" s="376"/>
      <c r="AD13" s="7">
        <v>8</v>
      </c>
      <c r="AE13" s="7">
        <v>12</v>
      </c>
      <c r="AF13" s="8"/>
      <c r="AG13" s="4">
        <f t="shared" si="2"/>
        <v>187</v>
      </c>
    </row>
    <row r="14" spans="1:33" ht="18.75" x14ac:dyDescent="0.25">
      <c r="A14" s="41" t="s">
        <v>45</v>
      </c>
      <c r="B14" s="7">
        <v>4</v>
      </c>
      <c r="C14" s="7">
        <v>4</v>
      </c>
      <c r="D14" s="7">
        <v>8</v>
      </c>
      <c r="E14" s="7">
        <v>8</v>
      </c>
      <c r="F14" s="7">
        <v>2</v>
      </c>
      <c r="G14" s="7">
        <v>6</v>
      </c>
      <c r="H14" s="7">
        <v>4</v>
      </c>
      <c r="I14" s="7">
        <v>4</v>
      </c>
      <c r="J14" s="7">
        <v>4</v>
      </c>
      <c r="K14" s="7">
        <v>2</v>
      </c>
      <c r="L14" s="7">
        <v>6</v>
      </c>
      <c r="M14" s="7">
        <v>3</v>
      </c>
      <c r="N14" s="7">
        <v>7</v>
      </c>
      <c r="O14" s="7">
        <v>5</v>
      </c>
      <c r="P14" s="7">
        <v>5</v>
      </c>
      <c r="Q14" s="7">
        <v>4</v>
      </c>
      <c r="R14" s="7">
        <v>3</v>
      </c>
      <c r="S14" s="7">
        <v>5</v>
      </c>
      <c r="T14" s="7">
        <v>5</v>
      </c>
      <c r="U14" s="7">
        <v>9</v>
      </c>
      <c r="V14" s="7">
        <v>4</v>
      </c>
      <c r="W14" s="7">
        <v>7</v>
      </c>
      <c r="X14" s="7">
        <v>8</v>
      </c>
      <c r="Y14" s="7">
        <v>3</v>
      </c>
      <c r="Z14" s="7">
        <v>5</v>
      </c>
      <c r="AA14" s="7">
        <v>7</v>
      </c>
      <c r="AB14" s="7"/>
      <c r="AC14" s="376"/>
      <c r="AD14" s="7">
        <v>3</v>
      </c>
      <c r="AE14" s="7">
        <v>6</v>
      </c>
      <c r="AF14" s="8"/>
      <c r="AG14" s="4">
        <f t="shared" si="2"/>
        <v>141</v>
      </c>
    </row>
    <row r="15" spans="1:33" ht="18.75" x14ac:dyDescent="0.25">
      <c r="A15" s="41" t="s">
        <v>46</v>
      </c>
      <c r="B15" s="7"/>
      <c r="C15" s="7">
        <v>3</v>
      </c>
      <c r="D15" s="7">
        <v>2</v>
      </c>
      <c r="E15" s="7">
        <v>1</v>
      </c>
      <c r="F15" s="7"/>
      <c r="G15" s="7">
        <v>4</v>
      </c>
      <c r="H15" s="7">
        <v>3</v>
      </c>
      <c r="I15" s="7">
        <v>6</v>
      </c>
      <c r="J15" s="7">
        <v>4</v>
      </c>
      <c r="K15" s="7">
        <v>1</v>
      </c>
      <c r="L15" s="7">
        <v>1</v>
      </c>
      <c r="M15" s="7">
        <v>3</v>
      </c>
      <c r="N15" s="7">
        <v>6</v>
      </c>
      <c r="O15" s="7">
        <v>2</v>
      </c>
      <c r="P15" s="7">
        <v>5</v>
      </c>
      <c r="Q15" s="7">
        <v>2</v>
      </c>
      <c r="R15" s="7">
        <v>2</v>
      </c>
      <c r="S15" s="7">
        <v>1</v>
      </c>
      <c r="T15" s="7">
        <v>3</v>
      </c>
      <c r="U15" s="7">
        <v>6</v>
      </c>
      <c r="V15" s="7">
        <v>6</v>
      </c>
      <c r="W15" s="7">
        <v>3</v>
      </c>
      <c r="X15" s="7">
        <v>5</v>
      </c>
      <c r="Y15" s="7">
        <v>4</v>
      </c>
      <c r="Z15" s="7">
        <v>7</v>
      </c>
      <c r="AA15" s="7">
        <v>4</v>
      </c>
      <c r="AB15" s="7"/>
      <c r="AC15" s="376"/>
      <c r="AD15" s="7">
        <v>3</v>
      </c>
      <c r="AE15" s="7">
        <v>7</v>
      </c>
      <c r="AF15" s="8"/>
      <c r="AG15" s="4">
        <f t="shared" si="2"/>
        <v>94</v>
      </c>
    </row>
    <row r="16" spans="1:33" ht="18.75" x14ac:dyDescent="0.25">
      <c r="A16" s="41" t="s">
        <v>47</v>
      </c>
      <c r="B16" s="7">
        <v>3</v>
      </c>
      <c r="C16" s="7">
        <v>5</v>
      </c>
      <c r="D16" s="7">
        <v>3</v>
      </c>
      <c r="E16" s="7">
        <v>1</v>
      </c>
      <c r="F16" s="7">
        <v>4</v>
      </c>
      <c r="G16" s="7">
        <v>8</v>
      </c>
      <c r="H16" s="7">
        <v>10</v>
      </c>
      <c r="I16" s="7">
        <v>2</v>
      </c>
      <c r="J16" s="7">
        <v>4</v>
      </c>
      <c r="K16" s="7">
        <v>2</v>
      </c>
      <c r="L16" s="7">
        <v>2</v>
      </c>
      <c r="M16" s="7">
        <v>3</v>
      </c>
      <c r="N16" s="7">
        <v>3</v>
      </c>
      <c r="O16" s="7">
        <v>4</v>
      </c>
      <c r="P16" s="7">
        <v>3</v>
      </c>
      <c r="Q16" s="7">
        <v>1</v>
      </c>
      <c r="R16" s="7">
        <v>6</v>
      </c>
      <c r="S16" s="7">
        <v>1</v>
      </c>
      <c r="T16" s="7">
        <v>6</v>
      </c>
      <c r="U16" s="7">
        <v>7</v>
      </c>
      <c r="V16" s="7">
        <v>4</v>
      </c>
      <c r="W16" s="7">
        <v>3</v>
      </c>
      <c r="X16" s="7">
        <v>6</v>
      </c>
      <c r="Y16" s="7">
        <v>3</v>
      </c>
      <c r="Z16" s="7">
        <v>1</v>
      </c>
      <c r="AA16" s="7">
        <v>2</v>
      </c>
      <c r="AB16" s="7"/>
      <c r="AC16" s="376"/>
      <c r="AD16" s="7">
        <v>4</v>
      </c>
      <c r="AE16" s="7">
        <v>3</v>
      </c>
      <c r="AF16" s="8"/>
      <c r="AG16" s="4">
        <f t="shared" si="2"/>
        <v>104</v>
      </c>
    </row>
    <row r="17" spans="1:33" ht="18.75" x14ac:dyDescent="0.25">
      <c r="A17" s="41" t="s">
        <v>48</v>
      </c>
      <c r="B17" s="7">
        <v>7</v>
      </c>
      <c r="C17" s="7">
        <v>2</v>
      </c>
      <c r="D17" s="7">
        <v>4</v>
      </c>
      <c r="E17" s="7">
        <v>3</v>
      </c>
      <c r="F17" s="7">
        <v>4</v>
      </c>
      <c r="G17" s="7">
        <v>3</v>
      </c>
      <c r="H17" s="7">
        <v>4</v>
      </c>
      <c r="I17" s="7">
        <v>4</v>
      </c>
      <c r="J17" s="7">
        <v>2</v>
      </c>
      <c r="K17" s="7">
        <v>4</v>
      </c>
      <c r="L17" s="7"/>
      <c r="M17" s="7">
        <v>1</v>
      </c>
      <c r="N17" s="7">
        <v>5</v>
      </c>
      <c r="O17" s="7">
        <v>6</v>
      </c>
      <c r="P17" s="7">
        <v>1</v>
      </c>
      <c r="Q17" s="7">
        <v>8</v>
      </c>
      <c r="R17" s="7">
        <v>2</v>
      </c>
      <c r="S17" s="7">
        <v>5</v>
      </c>
      <c r="T17" s="7">
        <v>6</v>
      </c>
      <c r="U17" s="7">
        <v>2</v>
      </c>
      <c r="V17" s="7">
        <v>1</v>
      </c>
      <c r="W17" s="7">
        <v>5</v>
      </c>
      <c r="X17" s="7">
        <v>2</v>
      </c>
      <c r="Y17" s="7">
        <v>6</v>
      </c>
      <c r="Z17" s="7">
        <v>2</v>
      </c>
      <c r="AA17" s="7">
        <v>2</v>
      </c>
      <c r="AB17" s="7"/>
      <c r="AC17" s="376"/>
      <c r="AD17" s="7">
        <v>3</v>
      </c>
      <c r="AE17" s="7">
        <v>4</v>
      </c>
      <c r="AF17" s="8"/>
      <c r="AG17" s="4">
        <f t="shared" si="2"/>
        <v>98</v>
      </c>
    </row>
    <row r="18" spans="1:33" ht="18.75" x14ac:dyDescent="0.25">
      <c r="A18" s="41" t="s">
        <v>49</v>
      </c>
      <c r="B18" s="7"/>
      <c r="C18" s="7">
        <v>2</v>
      </c>
      <c r="D18" s="7">
        <v>2</v>
      </c>
      <c r="E18" s="7">
        <v>3</v>
      </c>
      <c r="F18" s="7">
        <v>4</v>
      </c>
      <c r="G18" s="7">
        <v>2</v>
      </c>
      <c r="H18" s="7">
        <v>1</v>
      </c>
      <c r="I18" s="7">
        <v>3</v>
      </c>
      <c r="J18" s="7">
        <v>2</v>
      </c>
      <c r="K18" s="7">
        <v>1</v>
      </c>
      <c r="L18" s="7">
        <v>4</v>
      </c>
      <c r="M18" s="7">
        <v>1</v>
      </c>
      <c r="N18" s="7">
        <v>1</v>
      </c>
      <c r="O18" s="7">
        <v>2</v>
      </c>
      <c r="P18" s="7">
        <v>1</v>
      </c>
      <c r="Q18" s="7">
        <v>2</v>
      </c>
      <c r="R18" s="7">
        <v>1</v>
      </c>
      <c r="S18" s="7">
        <v>5</v>
      </c>
      <c r="T18" s="7">
        <v>6</v>
      </c>
      <c r="U18" s="7">
        <v>3</v>
      </c>
      <c r="V18" s="7">
        <v>2</v>
      </c>
      <c r="W18" s="7"/>
      <c r="X18" s="7">
        <v>4</v>
      </c>
      <c r="Y18" s="7">
        <v>5</v>
      </c>
      <c r="Z18" s="7">
        <v>3</v>
      </c>
      <c r="AA18" s="7"/>
      <c r="AB18" s="7"/>
      <c r="AC18" s="376"/>
      <c r="AD18" s="7"/>
      <c r="AE18" s="7">
        <v>1</v>
      </c>
      <c r="AF18" s="8"/>
      <c r="AG18" s="4">
        <f t="shared" si="2"/>
        <v>61</v>
      </c>
    </row>
    <row r="19" spans="1:33" ht="18.75" x14ac:dyDescent="0.25">
      <c r="A19" s="41" t="s">
        <v>50</v>
      </c>
      <c r="B19" s="7"/>
      <c r="C19" s="7">
        <v>1</v>
      </c>
      <c r="D19" s="7">
        <v>3</v>
      </c>
      <c r="E19" s="7">
        <v>1</v>
      </c>
      <c r="F19" s="7">
        <v>1</v>
      </c>
      <c r="G19" s="7">
        <v>1</v>
      </c>
      <c r="H19" s="7"/>
      <c r="I19" s="7">
        <v>2</v>
      </c>
      <c r="J19" s="7">
        <v>1</v>
      </c>
      <c r="K19" s="7"/>
      <c r="L19" s="7">
        <v>1</v>
      </c>
      <c r="M19" s="7">
        <v>1</v>
      </c>
      <c r="N19" s="7">
        <v>1</v>
      </c>
      <c r="O19" s="7">
        <v>1</v>
      </c>
      <c r="P19" s="7">
        <v>3</v>
      </c>
      <c r="Q19" s="7">
        <v>1</v>
      </c>
      <c r="R19" s="7">
        <v>3</v>
      </c>
      <c r="S19" s="7">
        <v>1</v>
      </c>
      <c r="T19" s="7">
        <v>7</v>
      </c>
      <c r="U19" s="7">
        <v>1</v>
      </c>
      <c r="V19" s="7">
        <v>3</v>
      </c>
      <c r="W19" s="7">
        <v>2</v>
      </c>
      <c r="X19" s="7">
        <v>3</v>
      </c>
      <c r="Y19" s="7">
        <v>1</v>
      </c>
      <c r="Z19" s="7"/>
      <c r="AA19" s="7">
        <v>2</v>
      </c>
      <c r="AB19" s="7"/>
      <c r="AC19" s="376"/>
      <c r="AD19" s="7"/>
      <c r="AE19" s="7">
        <v>3</v>
      </c>
      <c r="AF19" s="8"/>
      <c r="AG19" s="4">
        <f t="shared" si="2"/>
        <v>44</v>
      </c>
    </row>
    <row r="20" spans="1:33" ht="18.75" x14ac:dyDescent="0.25">
      <c r="A20" s="41" t="s">
        <v>33</v>
      </c>
      <c r="B20" s="7"/>
      <c r="C20" s="7">
        <v>1</v>
      </c>
      <c r="D20" s="7">
        <v>5</v>
      </c>
      <c r="E20" s="7">
        <v>2</v>
      </c>
      <c r="F20" s="7">
        <v>3</v>
      </c>
      <c r="G20" s="7"/>
      <c r="H20" s="7"/>
      <c r="I20" s="7">
        <v>2</v>
      </c>
      <c r="J20" s="7">
        <v>3</v>
      </c>
      <c r="K20" s="7">
        <v>2</v>
      </c>
      <c r="L20" s="7">
        <v>1</v>
      </c>
      <c r="M20" s="7"/>
      <c r="N20" s="7"/>
      <c r="O20" s="7"/>
      <c r="P20" s="7"/>
      <c r="Q20" s="7">
        <v>2</v>
      </c>
      <c r="R20" s="7">
        <v>6</v>
      </c>
      <c r="S20" s="7">
        <v>1</v>
      </c>
      <c r="T20" s="7">
        <v>2</v>
      </c>
      <c r="U20" s="7">
        <v>2</v>
      </c>
      <c r="V20" s="7">
        <v>2</v>
      </c>
      <c r="W20" s="7">
        <v>2</v>
      </c>
      <c r="X20" s="7"/>
      <c r="Y20" s="7">
        <v>2</v>
      </c>
      <c r="Z20" s="7">
        <v>4</v>
      </c>
      <c r="AA20" s="7"/>
      <c r="AB20" s="7"/>
      <c r="AC20" s="376"/>
      <c r="AD20" s="7">
        <v>1</v>
      </c>
      <c r="AE20" s="7">
        <v>1</v>
      </c>
      <c r="AF20" s="8"/>
      <c r="AG20" s="4">
        <f t="shared" si="2"/>
        <v>44</v>
      </c>
    </row>
    <row r="21" spans="1:33" ht="18.75" x14ac:dyDescent="0.25">
      <c r="A21" s="41" t="s">
        <v>34</v>
      </c>
      <c r="B21" s="7">
        <v>6</v>
      </c>
      <c r="C21" s="7">
        <v>1</v>
      </c>
      <c r="D21" s="7">
        <v>2</v>
      </c>
      <c r="E21" s="7">
        <v>2</v>
      </c>
      <c r="F21" s="7">
        <v>3</v>
      </c>
      <c r="G21" s="7"/>
      <c r="H21" s="7"/>
      <c r="I21" s="7"/>
      <c r="J21" s="7"/>
      <c r="K21" s="7">
        <v>1</v>
      </c>
      <c r="L21" s="7"/>
      <c r="M21" s="7"/>
      <c r="N21" s="7">
        <v>1</v>
      </c>
      <c r="O21" s="7">
        <v>1</v>
      </c>
      <c r="P21" s="7">
        <v>1</v>
      </c>
      <c r="Q21" s="7">
        <v>10</v>
      </c>
      <c r="R21" s="7">
        <v>1</v>
      </c>
      <c r="S21" s="7">
        <v>1</v>
      </c>
      <c r="T21" s="7">
        <v>4</v>
      </c>
      <c r="U21" s="7">
        <v>2</v>
      </c>
      <c r="V21" s="7"/>
      <c r="W21" s="7">
        <v>1</v>
      </c>
      <c r="X21" s="7">
        <v>2</v>
      </c>
      <c r="Y21" s="7">
        <v>1</v>
      </c>
      <c r="Z21" s="7">
        <v>3</v>
      </c>
      <c r="AA21" s="7"/>
      <c r="AB21" s="7"/>
      <c r="AC21" s="376"/>
      <c r="AD21" s="7">
        <v>3</v>
      </c>
      <c r="AE21" s="7">
        <v>1</v>
      </c>
      <c r="AF21" s="8"/>
      <c r="AG21" s="4">
        <f t="shared" si="2"/>
        <v>47</v>
      </c>
    </row>
    <row r="22" spans="1:33" ht="18.75" x14ac:dyDescent="0.25">
      <c r="A22" s="41" t="s">
        <v>35</v>
      </c>
      <c r="B22" s="7">
        <v>2</v>
      </c>
      <c r="C22" s="7"/>
      <c r="D22" s="7">
        <v>1</v>
      </c>
      <c r="E22" s="7"/>
      <c r="F22" s="7">
        <v>1</v>
      </c>
      <c r="G22" s="7">
        <v>1</v>
      </c>
      <c r="H22" s="7"/>
      <c r="I22" s="7">
        <v>2</v>
      </c>
      <c r="J22" s="7"/>
      <c r="K22" s="7"/>
      <c r="L22" s="7">
        <v>1</v>
      </c>
      <c r="M22" s="7"/>
      <c r="N22" s="7">
        <v>1</v>
      </c>
      <c r="O22" s="7">
        <v>4</v>
      </c>
      <c r="P22" s="7">
        <v>3</v>
      </c>
      <c r="Q22" s="7">
        <v>1</v>
      </c>
      <c r="R22" s="7">
        <v>4</v>
      </c>
      <c r="S22" s="7">
        <v>2</v>
      </c>
      <c r="T22" s="7">
        <v>3</v>
      </c>
      <c r="U22" s="7"/>
      <c r="V22" s="7">
        <v>4</v>
      </c>
      <c r="W22" s="7"/>
      <c r="X22" s="7">
        <v>6</v>
      </c>
      <c r="Y22" s="7">
        <v>1</v>
      </c>
      <c r="Z22" s="7">
        <v>2</v>
      </c>
      <c r="AA22" s="7">
        <v>2</v>
      </c>
      <c r="AB22" s="7"/>
      <c r="AC22" s="376"/>
      <c r="AD22" s="7">
        <v>4</v>
      </c>
      <c r="AE22" s="7">
        <v>2</v>
      </c>
      <c r="AF22" s="8"/>
      <c r="AG22" s="4">
        <f t="shared" si="2"/>
        <v>47</v>
      </c>
    </row>
    <row r="23" spans="1:33" ht="18.75" x14ac:dyDescent="0.25">
      <c r="A23" s="41" t="s">
        <v>36</v>
      </c>
      <c r="B23" s="7">
        <v>2</v>
      </c>
      <c r="C23" s="7"/>
      <c r="D23" s="7">
        <v>4</v>
      </c>
      <c r="E23" s="7"/>
      <c r="F23" s="7"/>
      <c r="G23" s="7"/>
      <c r="H23" s="7"/>
      <c r="I23" s="7"/>
      <c r="J23" s="7">
        <v>2</v>
      </c>
      <c r="K23" s="7"/>
      <c r="L23" s="7"/>
      <c r="M23" s="7"/>
      <c r="N23" s="7"/>
      <c r="O23" s="7">
        <v>1</v>
      </c>
      <c r="P23" s="7">
        <v>2</v>
      </c>
      <c r="Q23" s="7"/>
      <c r="R23" s="7">
        <v>1</v>
      </c>
      <c r="S23" s="7"/>
      <c r="T23" s="7"/>
      <c r="U23" s="7"/>
      <c r="V23" s="7">
        <v>2</v>
      </c>
      <c r="W23" s="7"/>
      <c r="X23" s="7"/>
      <c r="Y23" s="7"/>
      <c r="Z23" s="7"/>
      <c r="AA23" s="7"/>
      <c r="AB23" s="7"/>
      <c r="AC23" s="376"/>
      <c r="AD23" s="7">
        <v>3</v>
      </c>
      <c r="AE23" s="7"/>
      <c r="AF23" s="8"/>
      <c r="AG23" s="4">
        <f t="shared" si="2"/>
        <v>17</v>
      </c>
    </row>
    <row r="24" spans="1:33" ht="18.75" x14ac:dyDescent="0.25">
      <c r="A24" s="41" t="s">
        <v>51</v>
      </c>
      <c r="B24" s="7"/>
      <c r="C24" s="7"/>
      <c r="D24" s="7">
        <v>1</v>
      </c>
      <c r="E24" s="7">
        <v>1</v>
      </c>
      <c r="F24" s="7"/>
      <c r="G24" s="7"/>
      <c r="H24" s="7"/>
      <c r="I24" s="7"/>
      <c r="J24" s="7"/>
      <c r="K24" s="7"/>
      <c r="L24" s="7">
        <v>3</v>
      </c>
      <c r="M24" s="7"/>
      <c r="N24" s="7">
        <v>1</v>
      </c>
      <c r="O24" s="7"/>
      <c r="P24" s="7"/>
      <c r="Q24" s="7">
        <v>2</v>
      </c>
      <c r="R24" s="7">
        <v>2</v>
      </c>
      <c r="S24" s="7"/>
      <c r="T24" s="7"/>
      <c r="U24" s="7">
        <v>3</v>
      </c>
      <c r="V24" s="7">
        <v>3</v>
      </c>
      <c r="W24" s="7">
        <v>2</v>
      </c>
      <c r="X24" s="7"/>
      <c r="Y24" s="7">
        <v>1</v>
      </c>
      <c r="Z24" s="7"/>
      <c r="AA24" s="7">
        <v>1</v>
      </c>
      <c r="AB24" s="7"/>
      <c r="AC24" s="376"/>
      <c r="AD24" s="7">
        <v>1</v>
      </c>
      <c r="AE24" s="7">
        <v>1</v>
      </c>
      <c r="AF24" s="8"/>
      <c r="AG24" s="4">
        <f t="shared" si="2"/>
        <v>22</v>
      </c>
    </row>
    <row r="25" spans="1:33" ht="18.75" x14ac:dyDescent="0.25">
      <c r="A25" s="41" t="s">
        <v>52</v>
      </c>
      <c r="B25" s="7">
        <v>1</v>
      </c>
      <c r="C25" s="7"/>
      <c r="D25" s="7"/>
      <c r="E25" s="7">
        <v>1</v>
      </c>
      <c r="F25" s="7">
        <v>1</v>
      </c>
      <c r="G25" s="7">
        <v>1</v>
      </c>
      <c r="H25" s="7"/>
      <c r="I25" s="7"/>
      <c r="J25" s="7"/>
      <c r="K25" s="7">
        <v>1</v>
      </c>
      <c r="L25" s="7">
        <v>1</v>
      </c>
      <c r="M25" s="7">
        <v>1</v>
      </c>
      <c r="N25" s="7">
        <v>1</v>
      </c>
      <c r="O25" s="7"/>
      <c r="P25" s="7"/>
      <c r="Q25" s="7"/>
      <c r="R25" s="7">
        <v>1</v>
      </c>
      <c r="S25" s="7">
        <v>1</v>
      </c>
      <c r="T25" s="7"/>
      <c r="U25" s="7"/>
      <c r="V25" s="7">
        <v>1</v>
      </c>
      <c r="W25" s="7"/>
      <c r="X25" s="7"/>
      <c r="Y25" s="7"/>
      <c r="Z25" s="7">
        <v>1</v>
      </c>
      <c r="AA25" s="7"/>
      <c r="AB25" s="7"/>
      <c r="AC25" s="376"/>
      <c r="AD25" s="7">
        <v>2</v>
      </c>
      <c r="AE25" s="7">
        <v>2</v>
      </c>
      <c r="AF25" s="8"/>
      <c r="AG25" s="4">
        <f t="shared" si="2"/>
        <v>16</v>
      </c>
    </row>
    <row r="26" spans="1:33" ht="18.75" x14ac:dyDescent="0.25">
      <c r="A26" s="41" t="s">
        <v>37</v>
      </c>
      <c r="B26" s="7"/>
      <c r="C26" s="7">
        <v>1</v>
      </c>
      <c r="D26" s="7">
        <v>1</v>
      </c>
      <c r="E26" s="7"/>
      <c r="F26" s="7">
        <v>1</v>
      </c>
      <c r="G26" s="7">
        <v>1</v>
      </c>
      <c r="H26" s="7"/>
      <c r="I26" s="7"/>
      <c r="J26" s="7"/>
      <c r="K26" s="7"/>
      <c r="L26" s="7"/>
      <c r="M26" s="7"/>
      <c r="N26" s="7">
        <v>2</v>
      </c>
      <c r="O26" s="7"/>
      <c r="P26" s="7">
        <v>1</v>
      </c>
      <c r="Q26" s="7"/>
      <c r="R26" s="7">
        <v>3</v>
      </c>
      <c r="S26" s="7"/>
      <c r="T26" s="7"/>
      <c r="U26" s="7"/>
      <c r="V26" s="7"/>
      <c r="W26" s="7"/>
      <c r="X26" s="7"/>
      <c r="Y26" s="7"/>
      <c r="Z26" s="7">
        <v>1</v>
      </c>
      <c r="AA26" s="7"/>
      <c r="AB26" s="7"/>
      <c r="AC26" s="376"/>
      <c r="AD26" s="7"/>
      <c r="AE26" s="7"/>
      <c r="AF26" s="8"/>
      <c r="AG26" s="4">
        <f t="shared" si="2"/>
        <v>11</v>
      </c>
    </row>
    <row r="27" spans="1:33" ht="19.5" thickBot="1" x14ac:dyDescent="0.3">
      <c r="A27" s="81" t="s">
        <v>53</v>
      </c>
      <c r="B27" s="78">
        <v>1</v>
      </c>
      <c r="C27" s="78"/>
      <c r="D27" s="78">
        <v>1</v>
      </c>
      <c r="E27" s="78"/>
      <c r="F27" s="78"/>
      <c r="G27" s="78"/>
      <c r="H27" s="78"/>
      <c r="I27" s="78">
        <v>1</v>
      </c>
      <c r="J27" s="78"/>
      <c r="K27" s="78"/>
      <c r="L27" s="78"/>
      <c r="M27" s="78"/>
      <c r="N27" s="78"/>
      <c r="O27" s="78"/>
      <c r="P27" s="78"/>
      <c r="Q27" s="78"/>
      <c r="R27" s="78"/>
      <c r="S27" s="78">
        <v>1</v>
      </c>
      <c r="T27" s="78">
        <v>1</v>
      </c>
      <c r="U27" s="78"/>
      <c r="V27" s="78">
        <v>1</v>
      </c>
      <c r="W27" s="78">
        <v>1</v>
      </c>
      <c r="X27" s="78">
        <v>1</v>
      </c>
      <c r="Y27" s="78"/>
      <c r="Z27" s="78">
        <v>1</v>
      </c>
      <c r="AA27" s="78">
        <v>3</v>
      </c>
      <c r="AB27" s="78"/>
      <c r="AC27" s="377"/>
      <c r="AD27" s="78"/>
      <c r="AE27" s="78"/>
      <c r="AF27" s="83"/>
      <c r="AG27" s="4">
        <f t="shared" si="2"/>
        <v>12</v>
      </c>
    </row>
    <row r="28" spans="1:33" ht="18.75" x14ac:dyDescent="0.25">
      <c r="A28" s="79" t="s">
        <v>107</v>
      </c>
      <c r="B28" s="80">
        <f>SUM(B29:B52)</f>
        <v>75</v>
      </c>
      <c r="C28" s="80">
        <f t="shared" ref="C28:AF28" si="3">SUM(C29:C52)</f>
        <v>73</v>
      </c>
      <c r="D28" s="80">
        <f t="shared" si="3"/>
        <v>75</v>
      </c>
      <c r="E28" s="80">
        <f t="shared" si="3"/>
        <v>65</v>
      </c>
      <c r="F28" s="80">
        <f t="shared" si="3"/>
        <v>74</v>
      </c>
      <c r="G28" s="80">
        <f t="shared" si="3"/>
        <v>83</v>
      </c>
      <c r="H28" s="80">
        <f t="shared" si="3"/>
        <v>63</v>
      </c>
      <c r="I28" s="80">
        <f t="shared" si="3"/>
        <v>58</v>
      </c>
      <c r="J28" s="80">
        <f t="shared" si="3"/>
        <v>50</v>
      </c>
      <c r="K28" s="80">
        <f t="shared" si="3"/>
        <v>43</v>
      </c>
      <c r="L28" s="80">
        <f t="shared" si="3"/>
        <v>61</v>
      </c>
      <c r="M28" s="80">
        <f t="shared" si="3"/>
        <v>45</v>
      </c>
      <c r="N28" s="80">
        <f t="shared" si="3"/>
        <v>81</v>
      </c>
      <c r="O28" s="80">
        <f t="shared" si="3"/>
        <v>62</v>
      </c>
      <c r="P28" s="80">
        <f t="shared" si="3"/>
        <v>53</v>
      </c>
      <c r="Q28" s="80">
        <f t="shared" si="3"/>
        <v>58</v>
      </c>
      <c r="R28" s="80">
        <f t="shared" si="3"/>
        <v>79</v>
      </c>
      <c r="S28" s="80">
        <f t="shared" si="3"/>
        <v>78</v>
      </c>
      <c r="T28" s="80">
        <f t="shared" si="3"/>
        <v>77</v>
      </c>
      <c r="U28" s="80">
        <f t="shared" si="3"/>
        <v>70</v>
      </c>
      <c r="V28" s="80">
        <f t="shared" si="3"/>
        <v>61</v>
      </c>
      <c r="W28" s="80">
        <f t="shared" si="3"/>
        <v>55</v>
      </c>
      <c r="X28" s="80">
        <f t="shared" si="3"/>
        <v>77</v>
      </c>
      <c r="Y28" s="80">
        <f t="shared" si="3"/>
        <v>65</v>
      </c>
      <c r="Z28" s="80">
        <f t="shared" si="3"/>
        <v>65</v>
      </c>
      <c r="AA28" s="80">
        <f t="shared" si="3"/>
        <v>72</v>
      </c>
      <c r="AB28" s="80">
        <f t="shared" si="3"/>
        <v>41</v>
      </c>
      <c r="AC28" s="378">
        <f t="shared" si="3"/>
        <v>0</v>
      </c>
      <c r="AD28" s="80">
        <f t="shared" si="3"/>
        <v>52</v>
      </c>
      <c r="AE28" s="80">
        <f>SUM(AE29:AE52)</f>
        <v>84</v>
      </c>
      <c r="AF28" s="80">
        <f t="shared" si="3"/>
        <v>0</v>
      </c>
      <c r="AG28" s="150">
        <f t="shared" si="2"/>
        <v>1895</v>
      </c>
    </row>
    <row r="29" spans="1:33" ht="18.75" x14ac:dyDescent="0.25">
      <c r="A29" s="41" t="s">
        <v>54</v>
      </c>
      <c r="B29" s="7">
        <v>2</v>
      </c>
      <c r="C29" s="7"/>
      <c r="D29" s="7"/>
      <c r="E29" s="7">
        <v>1</v>
      </c>
      <c r="F29" s="7">
        <v>1</v>
      </c>
      <c r="G29" s="7">
        <v>3</v>
      </c>
      <c r="H29" s="7">
        <v>2</v>
      </c>
      <c r="I29" s="7"/>
      <c r="J29" s="7"/>
      <c r="K29" s="7">
        <v>2</v>
      </c>
      <c r="L29" s="7">
        <v>1</v>
      </c>
      <c r="M29" s="7"/>
      <c r="N29" s="7">
        <v>1</v>
      </c>
      <c r="O29" s="7">
        <v>1</v>
      </c>
      <c r="P29" s="7"/>
      <c r="Q29" s="7"/>
      <c r="R29" s="7"/>
      <c r="S29" s="7">
        <v>3</v>
      </c>
      <c r="T29" s="7"/>
      <c r="U29" s="7"/>
      <c r="V29" s="7"/>
      <c r="W29" s="7">
        <v>1</v>
      </c>
      <c r="X29" s="7">
        <v>2</v>
      </c>
      <c r="Y29" s="7">
        <v>1</v>
      </c>
      <c r="Z29" s="7">
        <v>2</v>
      </c>
      <c r="AA29" s="7">
        <v>2</v>
      </c>
      <c r="AB29" s="7"/>
      <c r="AC29" s="376"/>
      <c r="AD29" s="7"/>
      <c r="AE29" s="7"/>
      <c r="AF29" s="8"/>
      <c r="AG29" s="4">
        <f t="shared" si="2"/>
        <v>25</v>
      </c>
    </row>
    <row r="30" spans="1:33" ht="18.75" x14ac:dyDescent="0.25">
      <c r="A30" s="41" t="s">
        <v>55</v>
      </c>
      <c r="B30" s="7">
        <v>4</v>
      </c>
      <c r="C30" s="7">
        <v>7</v>
      </c>
      <c r="D30" s="7">
        <v>4</v>
      </c>
      <c r="E30" s="7">
        <v>2</v>
      </c>
      <c r="F30" s="7">
        <v>5</v>
      </c>
      <c r="G30" s="7">
        <v>2</v>
      </c>
      <c r="H30" s="7">
        <v>8</v>
      </c>
      <c r="I30" s="7">
        <v>3</v>
      </c>
      <c r="J30" s="7">
        <v>4</v>
      </c>
      <c r="K30" s="7">
        <v>1</v>
      </c>
      <c r="L30" s="7">
        <v>2</v>
      </c>
      <c r="M30" s="7">
        <v>6</v>
      </c>
      <c r="N30" s="7">
        <v>5</v>
      </c>
      <c r="O30" s="7">
        <v>2</v>
      </c>
      <c r="P30" s="7">
        <v>3</v>
      </c>
      <c r="Q30" s="7">
        <v>5</v>
      </c>
      <c r="R30" s="7">
        <v>4</v>
      </c>
      <c r="S30" s="7">
        <v>2</v>
      </c>
      <c r="T30" s="7">
        <v>2</v>
      </c>
      <c r="U30" s="7">
        <v>2</v>
      </c>
      <c r="V30" s="7">
        <v>4</v>
      </c>
      <c r="W30" s="7">
        <v>2</v>
      </c>
      <c r="X30" s="7">
        <v>1</v>
      </c>
      <c r="Y30" s="7">
        <v>6</v>
      </c>
      <c r="Z30" s="7">
        <v>2</v>
      </c>
      <c r="AA30" s="7">
        <v>5</v>
      </c>
      <c r="AB30" s="7">
        <v>7</v>
      </c>
      <c r="AC30" s="376"/>
      <c r="AD30" s="7"/>
      <c r="AE30" s="7">
        <v>2</v>
      </c>
      <c r="AF30" s="8"/>
      <c r="AG30" s="4">
        <f t="shared" si="2"/>
        <v>102</v>
      </c>
    </row>
    <row r="31" spans="1:33" ht="18.75" x14ac:dyDescent="0.25">
      <c r="A31" s="41" t="s">
        <v>56</v>
      </c>
      <c r="B31" s="7">
        <v>5</v>
      </c>
      <c r="C31" s="7">
        <v>2</v>
      </c>
      <c r="D31" s="7">
        <v>2</v>
      </c>
      <c r="E31" s="7">
        <v>2</v>
      </c>
      <c r="F31" s="7">
        <v>3</v>
      </c>
      <c r="G31" s="7">
        <v>7</v>
      </c>
      <c r="H31" s="7">
        <v>2</v>
      </c>
      <c r="I31" s="7">
        <v>3</v>
      </c>
      <c r="J31" s="7">
        <v>2</v>
      </c>
      <c r="K31" s="7">
        <v>1</v>
      </c>
      <c r="L31" s="7">
        <v>4</v>
      </c>
      <c r="M31" s="7">
        <v>3</v>
      </c>
      <c r="N31" s="7">
        <v>2</v>
      </c>
      <c r="O31" s="7">
        <v>3</v>
      </c>
      <c r="P31" s="7">
        <v>2</v>
      </c>
      <c r="Q31" s="7">
        <v>3</v>
      </c>
      <c r="R31" s="7">
        <v>6</v>
      </c>
      <c r="S31" s="7">
        <v>1</v>
      </c>
      <c r="T31" s="7">
        <v>3</v>
      </c>
      <c r="U31" s="7">
        <v>8</v>
      </c>
      <c r="V31" s="7">
        <v>2</v>
      </c>
      <c r="W31" s="7">
        <v>4</v>
      </c>
      <c r="X31" s="7">
        <v>5</v>
      </c>
      <c r="Y31" s="7">
        <v>2</v>
      </c>
      <c r="Z31" s="7">
        <v>4</v>
      </c>
      <c r="AA31" s="7">
        <v>4</v>
      </c>
      <c r="AB31" s="7">
        <v>6</v>
      </c>
      <c r="AC31" s="376"/>
      <c r="AD31" s="7"/>
      <c r="AE31" s="7">
        <v>6</v>
      </c>
      <c r="AF31" s="8"/>
      <c r="AG31" s="4">
        <f t="shared" si="2"/>
        <v>97</v>
      </c>
    </row>
    <row r="32" spans="1:33" ht="18.75" x14ac:dyDescent="0.25">
      <c r="A32" s="41" t="s">
        <v>38</v>
      </c>
      <c r="B32" s="7">
        <v>2</v>
      </c>
      <c r="C32" s="7">
        <v>7</v>
      </c>
      <c r="D32" s="7">
        <v>6</v>
      </c>
      <c r="E32" s="7">
        <v>4</v>
      </c>
      <c r="F32" s="7">
        <v>4</v>
      </c>
      <c r="G32" s="7">
        <v>5</v>
      </c>
      <c r="H32" s="7">
        <v>4</v>
      </c>
      <c r="I32" s="7">
        <v>3</v>
      </c>
      <c r="J32" s="7"/>
      <c r="K32" s="7">
        <v>6</v>
      </c>
      <c r="L32" s="7">
        <v>3</v>
      </c>
      <c r="M32" s="7">
        <v>2</v>
      </c>
      <c r="N32" s="7">
        <v>9</v>
      </c>
      <c r="O32" s="7">
        <v>5</v>
      </c>
      <c r="P32" s="7">
        <v>5</v>
      </c>
      <c r="Q32" s="7">
        <v>1</v>
      </c>
      <c r="R32" s="7">
        <v>3</v>
      </c>
      <c r="S32" s="7">
        <v>2</v>
      </c>
      <c r="T32" s="7">
        <v>4</v>
      </c>
      <c r="U32" s="7">
        <v>3</v>
      </c>
      <c r="V32" s="7">
        <v>1</v>
      </c>
      <c r="W32" s="7">
        <v>1</v>
      </c>
      <c r="X32" s="7">
        <v>6</v>
      </c>
      <c r="Y32" s="7">
        <v>2</v>
      </c>
      <c r="Z32" s="7">
        <v>5</v>
      </c>
      <c r="AA32" s="7">
        <v>5</v>
      </c>
      <c r="AB32" s="7">
        <v>6</v>
      </c>
      <c r="AC32" s="376"/>
      <c r="AD32" s="7"/>
      <c r="AE32" s="7">
        <v>6</v>
      </c>
      <c r="AF32" s="8"/>
      <c r="AG32" s="4">
        <f t="shared" si="2"/>
        <v>110</v>
      </c>
    </row>
    <row r="33" spans="1:33" ht="18.75" x14ac:dyDescent="0.25">
      <c r="A33" s="41" t="s">
        <v>39</v>
      </c>
      <c r="B33" s="7">
        <v>6</v>
      </c>
      <c r="C33" s="7">
        <v>7</v>
      </c>
      <c r="D33" s="7">
        <v>5</v>
      </c>
      <c r="E33" s="7">
        <v>7</v>
      </c>
      <c r="F33" s="7">
        <v>7</v>
      </c>
      <c r="G33" s="7">
        <v>8</v>
      </c>
      <c r="H33" s="7">
        <v>2</v>
      </c>
      <c r="I33" s="7">
        <v>5</v>
      </c>
      <c r="J33" s="7">
        <v>5</v>
      </c>
      <c r="K33" s="7">
        <v>5</v>
      </c>
      <c r="L33" s="7">
        <v>4</v>
      </c>
      <c r="M33" s="7">
        <v>2</v>
      </c>
      <c r="N33" s="7">
        <v>7</v>
      </c>
      <c r="O33" s="7">
        <v>4</v>
      </c>
      <c r="P33" s="7">
        <v>2</v>
      </c>
      <c r="Q33" s="7">
        <v>2</v>
      </c>
      <c r="R33" s="7">
        <v>3</v>
      </c>
      <c r="S33" s="7">
        <v>7</v>
      </c>
      <c r="T33" s="7">
        <v>4</v>
      </c>
      <c r="U33" s="7">
        <v>1</v>
      </c>
      <c r="V33" s="7">
        <v>2</v>
      </c>
      <c r="W33" s="7">
        <v>2</v>
      </c>
      <c r="X33" s="7">
        <v>6</v>
      </c>
      <c r="Y33" s="7">
        <v>4</v>
      </c>
      <c r="Z33" s="7">
        <v>3</v>
      </c>
      <c r="AA33" s="7">
        <v>8</v>
      </c>
      <c r="AB33" s="7">
        <v>5</v>
      </c>
      <c r="AC33" s="376"/>
      <c r="AD33" s="7"/>
      <c r="AE33" s="7">
        <v>2</v>
      </c>
      <c r="AF33" s="8"/>
      <c r="AG33" s="4">
        <f t="shared" si="2"/>
        <v>125</v>
      </c>
    </row>
    <row r="34" spans="1:33" ht="18.75" x14ac:dyDescent="0.25">
      <c r="A34" s="41" t="s">
        <v>40</v>
      </c>
      <c r="B34" s="7">
        <v>3</v>
      </c>
      <c r="C34" s="7">
        <v>5</v>
      </c>
      <c r="D34" s="7">
        <v>1</v>
      </c>
      <c r="E34" s="7">
        <v>3</v>
      </c>
      <c r="F34" s="7">
        <v>6</v>
      </c>
      <c r="G34" s="7">
        <v>4</v>
      </c>
      <c r="H34" s="7">
        <v>3</v>
      </c>
      <c r="I34" s="7">
        <v>4</v>
      </c>
      <c r="J34" s="7">
        <v>5</v>
      </c>
      <c r="K34" s="7"/>
      <c r="L34" s="7">
        <v>4</v>
      </c>
      <c r="M34" s="7">
        <v>3</v>
      </c>
      <c r="N34" s="7">
        <v>4</v>
      </c>
      <c r="O34" s="7">
        <v>4</v>
      </c>
      <c r="P34" s="7">
        <v>2</v>
      </c>
      <c r="Q34" s="7">
        <v>2</v>
      </c>
      <c r="R34" s="7">
        <v>5</v>
      </c>
      <c r="S34" s="7">
        <v>8</v>
      </c>
      <c r="T34" s="7">
        <v>6</v>
      </c>
      <c r="U34" s="7">
        <v>2</v>
      </c>
      <c r="V34" s="7">
        <v>1</v>
      </c>
      <c r="W34" s="7">
        <v>3</v>
      </c>
      <c r="X34" s="7">
        <v>4</v>
      </c>
      <c r="Y34" s="7">
        <v>2</v>
      </c>
      <c r="Z34" s="7">
        <v>3</v>
      </c>
      <c r="AA34" s="7">
        <v>8</v>
      </c>
      <c r="AB34" s="7">
        <v>4</v>
      </c>
      <c r="AC34" s="376"/>
      <c r="AD34" s="7"/>
      <c r="AE34" s="7">
        <v>2</v>
      </c>
      <c r="AF34" s="8"/>
      <c r="AG34" s="4">
        <f t="shared" si="2"/>
        <v>101</v>
      </c>
    </row>
    <row r="35" spans="1:33" ht="18.75" x14ac:dyDescent="0.25">
      <c r="A35" s="41" t="s">
        <v>41</v>
      </c>
      <c r="B35" s="7">
        <v>4</v>
      </c>
      <c r="C35" s="7">
        <v>3</v>
      </c>
      <c r="D35" s="7">
        <v>4</v>
      </c>
      <c r="E35" s="7">
        <v>5</v>
      </c>
      <c r="F35" s="7">
        <v>7</v>
      </c>
      <c r="G35" s="7">
        <v>5</v>
      </c>
      <c r="H35" s="7">
        <v>3</v>
      </c>
      <c r="I35" s="7">
        <v>4</v>
      </c>
      <c r="J35" s="7">
        <v>2</v>
      </c>
      <c r="K35" s="7">
        <v>7</v>
      </c>
      <c r="L35" s="7">
        <v>5</v>
      </c>
      <c r="M35" s="7">
        <v>2</v>
      </c>
      <c r="N35" s="7">
        <v>5</v>
      </c>
      <c r="O35" s="7">
        <v>3</v>
      </c>
      <c r="P35" s="7">
        <v>1</v>
      </c>
      <c r="Q35" s="7"/>
      <c r="R35" s="7">
        <v>3</v>
      </c>
      <c r="S35" s="7">
        <v>8</v>
      </c>
      <c r="T35" s="7">
        <v>1</v>
      </c>
      <c r="U35" s="7">
        <v>4</v>
      </c>
      <c r="V35" s="7">
        <v>4</v>
      </c>
      <c r="W35" s="7">
        <v>2</v>
      </c>
      <c r="X35" s="7"/>
      <c r="Y35" s="7">
        <v>2</v>
      </c>
      <c r="Z35" s="7">
        <v>2</v>
      </c>
      <c r="AA35" s="7">
        <v>5</v>
      </c>
      <c r="AB35" s="7">
        <v>3</v>
      </c>
      <c r="AC35" s="376"/>
      <c r="AD35" s="7">
        <v>4</v>
      </c>
      <c r="AE35" s="7">
        <v>8</v>
      </c>
      <c r="AF35" s="8"/>
      <c r="AG35" s="4">
        <f t="shared" si="2"/>
        <v>106</v>
      </c>
    </row>
    <row r="36" spans="1:33" ht="18.75" x14ac:dyDescent="0.25">
      <c r="A36" s="41" t="s">
        <v>42</v>
      </c>
      <c r="B36" s="7">
        <v>6</v>
      </c>
      <c r="C36" s="7">
        <v>2</v>
      </c>
      <c r="D36" s="7">
        <v>5</v>
      </c>
      <c r="E36" s="7">
        <v>5</v>
      </c>
      <c r="F36" s="7">
        <v>4</v>
      </c>
      <c r="G36" s="7">
        <v>7</v>
      </c>
      <c r="H36" s="7">
        <v>4</v>
      </c>
      <c r="I36" s="7">
        <v>1</v>
      </c>
      <c r="J36" s="7">
        <v>1</v>
      </c>
      <c r="K36" s="7">
        <v>1</v>
      </c>
      <c r="L36" s="7">
        <v>7</v>
      </c>
      <c r="M36" s="7">
        <v>4</v>
      </c>
      <c r="N36" s="7">
        <v>4</v>
      </c>
      <c r="O36" s="7">
        <v>4</v>
      </c>
      <c r="P36" s="7">
        <v>4</v>
      </c>
      <c r="Q36" s="7">
        <v>2</v>
      </c>
      <c r="R36" s="7">
        <v>4</v>
      </c>
      <c r="S36" s="7">
        <v>6</v>
      </c>
      <c r="T36" s="7">
        <v>4</v>
      </c>
      <c r="U36" s="7">
        <v>4</v>
      </c>
      <c r="V36" s="7">
        <v>3</v>
      </c>
      <c r="W36" s="7">
        <v>7</v>
      </c>
      <c r="X36" s="7">
        <v>4</v>
      </c>
      <c r="Y36" s="7">
        <v>2</v>
      </c>
      <c r="Z36" s="7">
        <v>5</v>
      </c>
      <c r="AA36" s="7">
        <v>3</v>
      </c>
      <c r="AB36" s="7">
        <v>4</v>
      </c>
      <c r="AC36" s="376"/>
      <c r="AD36" s="7">
        <v>6</v>
      </c>
      <c r="AE36" s="7">
        <v>5</v>
      </c>
      <c r="AF36" s="8"/>
      <c r="AG36" s="4">
        <f t="shared" si="2"/>
        <v>118</v>
      </c>
    </row>
    <row r="37" spans="1:33" ht="18.75" x14ac:dyDescent="0.25">
      <c r="A37" s="41" t="s">
        <v>43</v>
      </c>
      <c r="B37" s="7">
        <v>7</v>
      </c>
      <c r="C37" s="7">
        <v>7</v>
      </c>
      <c r="D37" s="7">
        <v>2</v>
      </c>
      <c r="E37" s="7">
        <v>4</v>
      </c>
      <c r="F37" s="7">
        <v>5</v>
      </c>
      <c r="G37" s="7">
        <v>9</v>
      </c>
      <c r="H37" s="7">
        <v>7</v>
      </c>
      <c r="I37" s="7"/>
      <c r="J37" s="7">
        <v>1</v>
      </c>
      <c r="K37" s="7">
        <v>3</v>
      </c>
      <c r="L37" s="7">
        <v>4</v>
      </c>
      <c r="M37" s="7"/>
      <c r="N37" s="7">
        <v>7</v>
      </c>
      <c r="O37" s="7">
        <v>3</v>
      </c>
      <c r="P37" s="7">
        <v>1</v>
      </c>
      <c r="Q37" s="7">
        <v>6</v>
      </c>
      <c r="R37" s="7">
        <v>4</v>
      </c>
      <c r="S37" s="7">
        <v>7</v>
      </c>
      <c r="T37" s="7">
        <v>5</v>
      </c>
      <c r="U37" s="7">
        <v>5</v>
      </c>
      <c r="V37" s="7">
        <v>4</v>
      </c>
      <c r="W37" s="7">
        <v>3</v>
      </c>
      <c r="X37" s="7">
        <v>8</v>
      </c>
      <c r="Y37" s="7">
        <v>5</v>
      </c>
      <c r="Z37" s="7">
        <v>5</v>
      </c>
      <c r="AA37" s="7">
        <v>2</v>
      </c>
      <c r="AB37" s="7">
        <v>6</v>
      </c>
      <c r="AC37" s="376"/>
      <c r="AD37" s="7">
        <v>7</v>
      </c>
      <c r="AE37" s="7">
        <v>8</v>
      </c>
      <c r="AF37" s="8"/>
      <c r="AG37" s="4">
        <f t="shared" si="2"/>
        <v>135</v>
      </c>
    </row>
    <row r="38" spans="1:33" ht="18.75" x14ac:dyDescent="0.25">
      <c r="A38" s="41" t="s">
        <v>44</v>
      </c>
      <c r="B38" s="7">
        <v>4</v>
      </c>
      <c r="C38" s="7">
        <v>4</v>
      </c>
      <c r="D38" s="7">
        <v>3</v>
      </c>
      <c r="E38" s="7">
        <v>6</v>
      </c>
      <c r="F38" s="7">
        <v>6</v>
      </c>
      <c r="G38" s="7">
        <v>2</v>
      </c>
      <c r="H38" s="7">
        <v>6</v>
      </c>
      <c r="I38" s="7">
        <v>4</v>
      </c>
      <c r="J38" s="7">
        <v>5</v>
      </c>
      <c r="K38" s="7">
        <v>3</v>
      </c>
      <c r="L38" s="7">
        <v>4</v>
      </c>
      <c r="M38" s="7">
        <v>8</v>
      </c>
      <c r="N38" s="7">
        <v>3</v>
      </c>
      <c r="O38" s="7">
        <v>5</v>
      </c>
      <c r="P38" s="7">
        <v>2</v>
      </c>
      <c r="Q38" s="7">
        <v>4</v>
      </c>
      <c r="R38" s="7">
        <v>7</v>
      </c>
      <c r="S38" s="7">
        <v>7</v>
      </c>
      <c r="T38" s="7">
        <v>6</v>
      </c>
      <c r="U38" s="7">
        <v>5</v>
      </c>
      <c r="V38" s="7">
        <v>3</v>
      </c>
      <c r="W38" s="7">
        <v>4</v>
      </c>
      <c r="X38" s="7">
        <v>3</v>
      </c>
      <c r="Y38" s="7">
        <v>6</v>
      </c>
      <c r="Z38" s="7">
        <v>3</v>
      </c>
      <c r="AA38" s="7">
        <v>5</v>
      </c>
      <c r="AB38" s="7"/>
      <c r="AC38" s="376"/>
      <c r="AD38" s="7">
        <v>5</v>
      </c>
      <c r="AE38" s="7">
        <v>9</v>
      </c>
      <c r="AF38" s="8"/>
      <c r="AG38" s="4">
        <f t="shared" si="2"/>
        <v>132</v>
      </c>
    </row>
    <row r="39" spans="1:33" ht="18.75" x14ac:dyDescent="0.25">
      <c r="A39" s="41" t="s">
        <v>45</v>
      </c>
      <c r="B39" s="7">
        <v>7</v>
      </c>
      <c r="C39" s="7">
        <v>11</v>
      </c>
      <c r="D39" s="7">
        <v>7</v>
      </c>
      <c r="E39" s="7">
        <v>6</v>
      </c>
      <c r="F39" s="7">
        <v>4</v>
      </c>
      <c r="G39" s="7">
        <v>6</v>
      </c>
      <c r="H39" s="7">
        <v>6</v>
      </c>
      <c r="I39" s="7">
        <v>5</v>
      </c>
      <c r="J39" s="7">
        <v>8</v>
      </c>
      <c r="K39" s="7">
        <v>2</v>
      </c>
      <c r="L39" s="7">
        <v>6</v>
      </c>
      <c r="M39" s="7">
        <v>3</v>
      </c>
      <c r="N39" s="7">
        <v>8</v>
      </c>
      <c r="O39" s="7">
        <v>4</v>
      </c>
      <c r="P39" s="7">
        <v>6</v>
      </c>
      <c r="Q39" s="7">
        <v>4</v>
      </c>
      <c r="R39" s="7">
        <v>6</v>
      </c>
      <c r="S39" s="7">
        <v>6</v>
      </c>
      <c r="T39" s="7">
        <v>4</v>
      </c>
      <c r="U39" s="7">
        <v>9</v>
      </c>
      <c r="V39" s="7">
        <v>6</v>
      </c>
      <c r="W39" s="7">
        <v>3</v>
      </c>
      <c r="X39" s="7">
        <v>9</v>
      </c>
      <c r="Y39" s="7">
        <v>9</v>
      </c>
      <c r="Z39" s="7">
        <v>4</v>
      </c>
      <c r="AA39" s="7">
        <v>6</v>
      </c>
      <c r="AB39" s="7"/>
      <c r="AC39" s="376"/>
      <c r="AD39" s="7">
        <v>6</v>
      </c>
      <c r="AE39" s="7">
        <v>6</v>
      </c>
      <c r="AF39" s="8"/>
      <c r="AG39" s="4">
        <f t="shared" si="2"/>
        <v>167</v>
      </c>
    </row>
    <row r="40" spans="1:33" ht="18.75" x14ac:dyDescent="0.25">
      <c r="A40" s="41" t="s">
        <v>46</v>
      </c>
      <c r="B40" s="7">
        <v>3</v>
      </c>
      <c r="C40" s="7">
        <v>3</v>
      </c>
      <c r="D40" s="7">
        <v>5</v>
      </c>
      <c r="E40" s="7">
        <v>5</v>
      </c>
      <c r="F40" s="7">
        <v>1</v>
      </c>
      <c r="G40" s="7">
        <v>6</v>
      </c>
      <c r="H40" s="7">
        <v>2</v>
      </c>
      <c r="I40" s="7">
        <v>6</v>
      </c>
      <c r="J40" s="7">
        <v>3</v>
      </c>
      <c r="K40" s="7">
        <v>1</v>
      </c>
      <c r="L40" s="7">
        <v>2</v>
      </c>
      <c r="M40" s="7">
        <v>5</v>
      </c>
      <c r="N40" s="7">
        <v>6</v>
      </c>
      <c r="O40" s="7">
        <v>3</v>
      </c>
      <c r="P40" s="7">
        <v>7</v>
      </c>
      <c r="Q40" s="7">
        <v>3</v>
      </c>
      <c r="R40" s="7">
        <v>3</v>
      </c>
      <c r="S40" s="7">
        <v>4</v>
      </c>
      <c r="T40" s="7">
        <v>2</v>
      </c>
      <c r="U40" s="7">
        <v>7</v>
      </c>
      <c r="V40" s="7">
        <v>5</v>
      </c>
      <c r="W40" s="7">
        <v>7</v>
      </c>
      <c r="X40" s="7">
        <v>7</v>
      </c>
      <c r="Y40" s="7">
        <v>3</v>
      </c>
      <c r="Z40" s="7">
        <v>5</v>
      </c>
      <c r="AA40" s="7">
        <v>6</v>
      </c>
      <c r="AB40" s="7"/>
      <c r="AC40" s="376"/>
      <c r="AD40" s="7">
        <v>4</v>
      </c>
      <c r="AE40" s="7">
        <v>7</v>
      </c>
      <c r="AF40" s="8"/>
      <c r="AG40" s="4">
        <f t="shared" si="2"/>
        <v>121</v>
      </c>
    </row>
    <row r="41" spans="1:33" ht="18.75" x14ac:dyDescent="0.25">
      <c r="A41" s="41" t="s">
        <v>47</v>
      </c>
      <c r="B41" s="7">
        <v>3</v>
      </c>
      <c r="C41" s="7">
        <v>5</v>
      </c>
      <c r="D41" s="7">
        <v>6</v>
      </c>
      <c r="E41" s="7">
        <v>1</v>
      </c>
      <c r="F41" s="7">
        <v>2</v>
      </c>
      <c r="G41" s="7">
        <v>5</v>
      </c>
      <c r="H41" s="7">
        <v>7</v>
      </c>
      <c r="I41" s="7">
        <v>5</v>
      </c>
      <c r="J41" s="7">
        <v>3</v>
      </c>
      <c r="K41" s="7">
        <v>1</v>
      </c>
      <c r="L41" s="7">
        <v>4</v>
      </c>
      <c r="M41" s="7">
        <v>1</v>
      </c>
      <c r="N41" s="7">
        <v>2</v>
      </c>
      <c r="O41" s="7">
        <v>4</v>
      </c>
      <c r="P41" s="7">
        <v>5</v>
      </c>
      <c r="Q41" s="7">
        <v>2</v>
      </c>
      <c r="R41" s="7">
        <v>4</v>
      </c>
      <c r="S41" s="7">
        <v>1</v>
      </c>
      <c r="T41" s="7">
        <v>5</v>
      </c>
      <c r="U41" s="7">
        <v>4</v>
      </c>
      <c r="V41" s="7">
        <v>6</v>
      </c>
      <c r="W41" s="7">
        <v>4</v>
      </c>
      <c r="X41" s="7">
        <v>5</v>
      </c>
      <c r="Y41" s="7">
        <v>4</v>
      </c>
      <c r="Z41" s="7">
        <v>6</v>
      </c>
      <c r="AA41" s="7">
        <v>1</v>
      </c>
      <c r="AB41" s="7"/>
      <c r="AC41" s="376"/>
      <c r="AD41" s="7"/>
      <c r="AE41" s="7">
        <v>4</v>
      </c>
      <c r="AF41" s="8"/>
      <c r="AG41" s="4">
        <f t="shared" si="2"/>
        <v>100</v>
      </c>
    </row>
    <row r="42" spans="1:33" ht="18.75" x14ac:dyDescent="0.25">
      <c r="A42" s="41" t="s">
        <v>48</v>
      </c>
      <c r="B42" s="7">
        <v>5</v>
      </c>
      <c r="C42" s="7">
        <v>4</v>
      </c>
      <c r="D42" s="7">
        <v>3</v>
      </c>
      <c r="E42" s="7">
        <v>3</v>
      </c>
      <c r="F42" s="7">
        <v>3</v>
      </c>
      <c r="G42" s="7">
        <v>8</v>
      </c>
      <c r="H42" s="7">
        <v>6</v>
      </c>
      <c r="I42" s="7">
        <v>2</v>
      </c>
      <c r="J42" s="7">
        <v>2</v>
      </c>
      <c r="K42" s="7">
        <v>3</v>
      </c>
      <c r="L42" s="7">
        <v>1</v>
      </c>
      <c r="M42" s="7">
        <v>2</v>
      </c>
      <c r="N42" s="7">
        <v>4</v>
      </c>
      <c r="O42" s="7">
        <v>4</v>
      </c>
      <c r="P42" s="7">
        <v>2</v>
      </c>
      <c r="Q42" s="7">
        <v>6</v>
      </c>
      <c r="R42" s="7">
        <v>5</v>
      </c>
      <c r="S42" s="7">
        <v>4</v>
      </c>
      <c r="T42" s="7">
        <v>6</v>
      </c>
      <c r="U42" s="7">
        <v>5</v>
      </c>
      <c r="V42" s="7">
        <v>2</v>
      </c>
      <c r="W42" s="7">
        <v>5</v>
      </c>
      <c r="X42" s="7">
        <v>3</v>
      </c>
      <c r="Y42" s="7">
        <v>5</v>
      </c>
      <c r="Z42" s="7">
        <v>3</v>
      </c>
      <c r="AA42" s="7">
        <v>1</v>
      </c>
      <c r="AB42" s="7"/>
      <c r="AC42" s="376"/>
      <c r="AD42" s="7">
        <v>3</v>
      </c>
      <c r="AE42" s="7">
        <v>4</v>
      </c>
      <c r="AF42" s="8"/>
      <c r="AG42" s="4">
        <f t="shared" si="2"/>
        <v>104</v>
      </c>
    </row>
    <row r="43" spans="1:33" ht="18.75" x14ac:dyDescent="0.25">
      <c r="A43" s="41" t="s">
        <v>49</v>
      </c>
      <c r="B43" s="7">
        <v>2</v>
      </c>
      <c r="C43" s="7">
        <v>2</v>
      </c>
      <c r="D43" s="7">
        <v>3</v>
      </c>
      <c r="E43" s="7">
        <v>2</v>
      </c>
      <c r="F43" s="7">
        <v>6</v>
      </c>
      <c r="G43" s="7">
        <v>1</v>
      </c>
      <c r="H43" s="7">
        <v>1</v>
      </c>
      <c r="I43" s="7">
        <v>6</v>
      </c>
      <c r="J43" s="7">
        <v>3</v>
      </c>
      <c r="K43" s="7">
        <v>3</v>
      </c>
      <c r="L43" s="7">
        <v>3</v>
      </c>
      <c r="M43" s="7">
        <v>2</v>
      </c>
      <c r="N43" s="7">
        <v>3</v>
      </c>
      <c r="O43" s="7">
        <v>5</v>
      </c>
      <c r="P43" s="7"/>
      <c r="Q43" s="7">
        <v>3</v>
      </c>
      <c r="R43" s="7">
        <v>1</v>
      </c>
      <c r="S43" s="7">
        <v>4</v>
      </c>
      <c r="T43" s="7">
        <v>6</v>
      </c>
      <c r="U43" s="7">
        <v>3</v>
      </c>
      <c r="V43" s="7">
        <v>2</v>
      </c>
      <c r="W43" s="7"/>
      <c r="X43" s="7">
        <v>4</v>
      </c>
      <c r="Y43" s="7">
        <v>5</v>
      </c>
      <c r="Z43" s="7"/>
      <c r="AA43" s="7">
        <v>3</v>
      </c>
      <c r="AB43" s="7"/>
      <c r="AC43" s="376"/>
      <c r="AD43" s="7">
        <v>3</v>
      </c>
      <c r="AE43" s="7">
        <v>5</v>
      </c>
      <c r="AF43" s="8"/>
      <c r="AG43" s="4">
        <f t="shared" si="2"/>
        <v>81</v>
      </c>
    </row>
    <row r="44" spans="1:33" ht="18.75" x14ac:dyDescent="0.25">
      <c r="A44" s="41" t="s">
        <v>50</v>
      </c>
      <c r="B44" s="7"/>
      <c r="C44" s="7">
        <v>1</v>
      </c>
      <c r="D44" s="7">
        <v>4</v>
      </c>
      <c r="E44" s="7">
        <v>2</v>
      </c>
      <c r="F44" s="7">
        <v>2</v>
      </c>
      <c r="G44" s="7">
        <v>2</v>
      </c>
      <c r="H44" s="7"/>
      <c r="I44" s="7">
        <v>2</v>
      </c>
      <c r="J44" s="7"/>
      <c r="K44" s="7"/>
      <c r="L44" s="7">
        <v>1</v>
      </c>
      <c r="M44" s="7">
        <v>1</v>
      </c>
      <c r="N44" s="7">
        <v>5</v>
      </c>
      <c r="O44" s="7">
        <v>2</v>
      </c>
      <c r="P44" s="7">
        <v>3</v>
      </c>
      <c r="Q44" s="7">
        <v>1</v>
      </c>
      <c r="R44" s="7">
        <v>3</v>
      </c>
      <c r="S44" s="7">
        <v>3</v>
      </c>
      <c r="T44" s="7">
        <v>5</v>
      </c>
      <c r="U44" s="7">
        <v>1</v>
      </c>
      <c r="V44" s="7">
        <v>2</v>
      </c>
      <c r="W44" s="7">
        <v>2</v>
      </c>
      <c r="X44" s="7">
        <v>1</v>
      </c>
      <c r="Y44" s="7">
        <v>2</v>
      </c>
      <c r="Z44" s="7">
        <v>2</v>
      </c>
      <c r="AA44" s="7">
        <v>2</v>
      </c>
      <c r="AB44" s="7"/>
      <c r="AC44" s="376"/>
      <c r="AD44" s="7"/>
      <c r="AE44" s="7">
        <v>3</v>
      </c>
      <c r="AF44" s="8"/>
      <c r="AG44" s="4">
        <f t="shared" si="2"/>
        <v>52</v>
      </c>
    </row>
    <row r="45" spans="1:33" ht="18.75" x14ac:dyDescent="0.25">
      <c r="A45" s="41" t="s">
        <v>33</v>
      </c>
      <c r="B45" s="7"/>
      <c r="C45" s="7">
        <v>1</v>
      </c>
      <c r="D45" s="7">
        <v>5</v>
      </c>
      <c r="E45" s="7">
        <v>3</v>
      </c>
      <c r="F45" s="7">
        <v>1</v>
      </c>
      <c r="G45" s="7"/>
      <c r="H45" s="7"/>
      <c r="I45" s="7">
        <v>2</v>
      </c>
      <c r="J45" s="7">
        <v>3</v>
      </c>
      <c r="K45" s="7"/>
      <c r="L45" s="7">
        <v>1</v>
      </c>
      <c r="M45" s="7"/>
      <c r="N45" s="7"/>
      <c r="O45" s="7"/>
      <c r="P45" s="7">
        <v>1</v>
      </c>
      <c r="Q45" s="7">
        <v>1</v>
      </c>
      <c r="R45" s="7">
        <v>4</v>
      </c>
      <c r="S45" s="7">
        <v>1</v>
      </c>
      <c r="T45" s="7">
        <v>5</v>
      </c>
      <c r="U45" s="7">
        <v>1</v>
      </c>
      <c r="V45" s="7">
        <v>3</v>
      </c>
      <c r="W45" s="7"/>
      <c r="X45" s="7">
        <v>2</v>
      </c>
      <c r="Y45" s="7">
        <v>2</v>
      </c>
      <c r="Z45" s="7">
        <v>3</v>
      </c>
      <c r="AA45" s="7">
        <v>2</v>
      </c>
      <c r="AB45" s="7"/>
      <c r="AC45" s="376"/>
      <c r="AD45" s="7">
        <v>1</v>
      </c>
      <c r="AE45" s="7">
        <v>1</v>
      </c>
      <c r="AF45" s="8"/>
      <c r="AG45" s="4">
        <f t="shared" si="2"/>
        <v>43</v>
      </c>
    </row>
    <row r="46" spans="1:33" ht="18.75" x14ac:dyDescent="0.25">
      <c r="A46" s="41" t="s">
        <v>34</v>
      </c>
      <c r="B46" s="7">
        <v>5</v>
      </c>
      <c r="C46" s="7">
        <v>1</v>
      </c>
      <c r="D46" s="7">
        <v>2</v>
      </c>
      <c r="E46" s="7">
        <v>2</v>
      </c>
      <c r="F46" s="7">
        <v>4</v>
      </c>
      <c r="G46" s="7"/>
      <c r="H46" s="7"/>
      <c r="I46" s="7"/>
      <c r="J46" s="7">
        <v>1</v>
      </c>
      <c r="K46" s="7">
        <v>2</v>
      </c>
      <c r="L46" s="7"/>
      <c r="M46" s="7"/>
      <c r="N46" s="7"/>
      <c r="O46" s="7">
        <v>1</v>
      </c>
      <c r="P46" s="7">
        <v>1</v>
      </c>
      <c r="Q46" s="7">
        <v>9</v>
      </c>
      <c r="R46" s="7">
        <v>3</v>
      </c>
      <c r="S46" s="7">
        <v>1</v>
      </c>
      <c r="T46" s="7">
        <v>2</v>
      </c>
      <c r="U46" s="7">
        <v>2</v>
      </c>
      <c r="V46" s="7"/>
      <c r="W46" s="7">
        <v>3</v>
      </c>
      <c r="X46" s="7">
        <v>2</v>
      </c>
      <c r="Y46" s="7">
        <v>1</v>
      </c>
      <c r="Z46" s="7">
        <v>3</v>
      </c>
      <c r="AA46" s="7"/>
      <c r="AB46" s="7"/>
      <c r="AC46" s="376"/>
      <c r="AD46" s="7">
        <v>2</v>
      </c>
      <c r="AE46" s="7">
        <v>1</v>
      </c>
      <c r="AF46" s="8"/>
      <c r="AG46" s="4">
        <f t="shared" si="2"/>
        <v>48</v>
      </c>
    </row>
    <row r="47" spans="1:33" ht="18.75" x14ac:dyDescent="0.25">
      <c r="A47" s="41" t="s">
        <v>35</v>
      </c>
      <c r="B47" s="7">
        <v>3</v>
      </c>
      <c r="C47" s="7"/>
      <c r="D47" s="7">
        <v>1</v>
      </c>
      <c r="E47" s="7"/>
      <c r="F47" s="7">
        <v>1</v>
      </c>
      <c r="G47" s="7">
        <v>1</v>
      </c>
      <c r="H47" s="7"/>
      <c r="I47" s="7">
        <v>1</v>
      </c>
      <c r="J47" s="7"/>
      <c r="K47" s="7">
        <v>1</v>
      </c>
      <c r="L47" s="7"/>
      <c r="M47" s="7"/>
      <c r="N47" s="7">
        <v>1</v>
      </c>
      <c r="O47" s="7">
        <v>3</v>
      </c>
      <c r="P47" s="7">
        <v>1</v>
      </c>
      <c r="Q47" s="7">
        <v>2</v>
      </c>
      <c r="R47" s="7">
        <v>3</v>
      </c>
      <c r="S47" s="7">
        <v>2</v>
      </c>
      <c r="T47" s="7">
        <v>6</v>
      </c>
      <c r="U47" s="7">
        <v>1</v>
      </c>
      <c r="V47" s="7">
        <v>3</v>
      </c>
      <c r="W47" s="7"/>
      <c r="X47" s="7">
        <v>4</v>
      </c>
      <c r="Y47" s="7">
        <v>1</v>
      </c>
      <c r="Z47" s="7">
        <v>3</v>
      </c>
      <c r="AA47" s="7">
        <v>1</v>
      </c>
      <c r="AB47" s="7"/>
      <c r="AC47" s="376"/>
      <c r="AD47" s="7">
        <v>5</v>
      </c>
      <c r="AE47" s="7">
        <v>1</v>
      </c>
      <c r="AF47" s="8"/>
      <c r="AG47" s="4">
        <f t="shared" si="2"/>
        <v>45</v>
      </c>
    </row>
    <row r="48" spans="1:33" ht="18.75" x14ac:dyDescent="0.25">
      <c r="A48" s="41" t="s">
        <v>36</v>
      </c>
      <c r="B48" s="7">
        <v>1</v>
      </c>
      <c r="C48" s="7"/>
      <c r="D48" s="7">
        <v>1</v>
      </c>
      <c r="E48" s="7"/>
      <c r="F48" s="7"/>
      <c r="G48" s="7"/>
      <c r="H48" s="7"/>
      <c r="I48" s="7">
        <v>1</v>
      </c>
      <c r="J48" s="7">
        <v>1</v>
      </c>
      <c r="K48" s="7"/>
      <c r="L48" s="7">
        <v>1</v>
      </c>
      <c r="M48" s="7"/>
      <c r="N48" s="7">
        <v>1</v>
      </c>
      <c r="O48" s="7">
        <v>2</v>
      </c>
      <c r="P48" s="7">
        <v>4</v>
      </c>
      <c r="Q48" s="7"/>
      <c r="R48" s="7">
        <v>2</v>
      </c>
      <c r="S48" s="7"/>
      <c r="T48" s="7"/>
      <c r="U48" s="7"/>
      <c r="V48" s="7">
        <v>3</v>
      </c>
      <c r="W48" s="7"/>
      <c r="X48" s="7">
        <v>1</v>
      </c>
      <c r="Y48" s="7"/>
      <c r="Z48" s="7"/>
      <c r="AA48" s="7"/>
      <c r="AB48" s="7"/>
      <c r="AC48" s="376"/>
      <c r="AD48" s="7">
        <v>3</v>
      </c>
      <c r="AE48" s="7">
        <v>1</v>
      </c>
      <c r="AF48" s="8"/>
      <c r="AG48" s="4">
        <f t="shared" si="2"/>
        <v>22</v>
      </c>
    </row>
    <row r="49" spans="1:33" ht="18.75" x14ac:dyDescent="0.25">
      <c r="A49" s="41" t="s">
        <v>51</v>
      </c>
      <c r="B49" s="7">
        <v>1</v>
      </c>
      <c r="C49" s="7"/>
      <c r="D49" s="7">
        <v>4</v>
      </c>
      <c r="E49" s="7">
        <v>1</v>
      </c>
      <c r="F49" s="7"/>
      <c r="G49" s="7"/>
      <c r="H49" s="7"/>
      <c r="I49" s="7"/>
      <c r="J49" s="7">
        <v>1</v>
      </c>
      <c r="K49" s="7"/>
      <c r="L49" s="7">
        <v>2</v>
      </c>
      <c r="M49" s="7"/>
      <c r="N49" s="7"/>
      <c r="O49" s="7"/>
      <c r="P49" s="7"/>
      <c r="Q49" s="7">
        <v>2</v>
      </c>
      <c r="R49" s="7">
        <v>1</v>
      </c>
      <c r="S49" s="7"/>
      <c r="T49" s="7"/>
      <c r="U49" s="7">
        <v>2</v>
      </c>
      <c r="V49" s="7">
        <v>3</v>
      </c>
      <c r="W49" s="7">
        <v>1</v>
      </c>
      <c r="X49" s="7"/>
      <c r="Y49" s="7"/>
      <c r="Z49" s="7"/>
      <c r="AA49" s="7">
        <v>1</v>
      </c>
      <c r="AB49" s="7"/>
      <c r="AC49" s="376"/>
      <c r="AD49" s="7"/>
      <c r="AE49" s="7">
        <v>1</v>
      </c>
      <c r="AF49" s="8"/>
      <c r="AG49" s="4">
        <f t="shared" si="2"/>
        <v>20</v>
      </c>
    </row>
    <row r="50" spans="1:33" ht="18.75" x14ac:dyDescent="0.25">
      <c r="A50" s="41" t="s">
        <v>52</v>
      </c>
      <c r="B50" s="7">
        <v>1</v>
      </c>
      <c r="C50" s="7"/>
      <c r="D50" s="7"/>
      <c r="E50" s="7">
        <v>1</v>
      </c>
      <c r="F50" s="7"/>
      <c r="G50" s="7">
        <v>1</v>
      </c>
      <c r="H50" s="7"/>
      <c r="I50" s="7"/>
      <c r="J50" s="7"/>
      <c r="K50" s="7"/>
      <c r="L50" s="7">
        <v>2</v>
      </c>
      <c r="M50" s="7">
        <v>1</v>
      </c>
      <c r="N50" s="7">
        <v>2</v>
      </c>
      <c r="O50" s="7"/>
      <c r="P50" s="7"/>
      <c r="Q50" s="7"/>
      <c r="R50" s="7">
        <v>1</v>
      </c>
      <c r="S50" s="7">
        <v>1</v>
      </c>
      <c r="T50" s="7"/>
      <c r="U50" s="7">
        <v>1</v>
      </c>
      <c r="V50" s="7">
        <v>1</v>
      </c>
      <c r="W50" s="7"/>
      <c r="X50" s="7"/>
      <c r="Y50" s="7">
        <v>1</v>
      </c>
      <c r="Z50" s="7">
        <v>1</v>
      </c>
      <c r="AA50" s="7"/>
      <c r="AB50" s="7"/>
      <c r="AC50" s="376"/>
      <c r="AD50" s="7">
        <v>2</v>
      </c>
      <c r="AE50" s="7">
        <v>2</v>
      </c>
      <c r="AF50" s="8"/>
      <c r="AG50" s="4">
        <f t="shared" si="2"/>
        <v>18</v>
      </c>
    </row>
    <row r="51" spans="1:33" ht="18.75" x14ac:dyDescent="0.25">
      <c r="A51" s="41" t="s">
        <v>37</v>
      </c>
      <c r="B51" s="7"/>
      <c r="C51" s="7"/>
      <c r="D51" s="7">
        <v>1</v>
      </c>
      <c r="E51" s="7"/>
      <c r="F51" s="7">
        <v>2</v>
      </c>
      <c r="G51" s="7"/>
      <c r="H51" s="7"/>
      <c r="I51" s="7"/>
      <c r="J51" s="7"/>
      <c r="K51" s="7">
        <v>1</v>
      </c>
      <c r="L51" s="7"/>
      <c r="M51" s="7"/>
      <c r="N51" s="7">
        <v>1</v>
      </c>
      <c r="O51" s="7"/>
      <c r="P51" s="7">
        <v>1</v>
      </c>
      <c r="Q51" s="7"/>
      <c r="R51" s="7">
        <v>4</v>
      </c>
      <c r="S51" s="7"/>
      <c r="T51" s="7"/>
      <c r="U51" s="7"/>
      <c r="V51" s="7"/>
      <c r="W51" s="7"/>
      <c r="X51" s="7"/>
      <c r="Y51" s="7"/>
      <c r="Z51" s="7">
        <v>1</v>
      </c>
      <c r="AA51" s="7"/>
      <c r="AB51" s="7"/>
      <c r="AC51" s="376"/>
      <c r="AD51" s="7"/>
      <c r="AE51" s="7"/>
      <c r="AF51" s="8"/>
      <c r="AG51" s="4">
        <f t="shared" si="2"/>
        <v>11</v>
      </c>
    </row>
    <row r="52" spans="1:33" ht="19.5" thickBot="1" x14ac:dyDescent="0.3">
      <c r="A52" s="77" t="s">
        <v>53</v>
      </c>
      <c r="B52" s="9">
        <v>1</v>
      </c>
      <c r="C52" s="9">
        <v>1</v>
      </c>
      <c r="D52" s="9">
        <v>1</v>
      </c>
      <c r="E52" s="9"/>
      <c r="F52" s="9"/>
      <c r="G52" s="9">
        <v>1</v>
      </c>
      <c r="H52" s="9"/>
      <c r="I52" s="9">
        <v>1</v>
      </c>
      <c r="J52" s="9"/>
      <c r="K52" s="9"/>
      <c r="L52" s="9"/>
      <c r="M52" s="9"/>
      <c r="N52" s="9">
        <v>1</v>
      </c>
      <c r="O52" s="9"/>
      <c r="P52" s="9"/>
      <c r="Q52" s="9"/>
      <c r="R52" s="9"/>
      <c r="S52" s="9"/>
      <c r="T52" s="9">
        <v>1</v>
      </c>
      <c r="U52" s="9"/>
      <c r="V52" s="9">
        <v>1</v>
      </c>
      <c r="W52" s="9">
        <v>1</v>
      </c>
      <c r="X52" s="9"/>
      <c r="Y52" s="9"/>
      <c r="Z52" s="9"/>
      <c r="AA52" s="9">
        <v>2</v>
      </c>
      <c r="AB52" s="9"/>
      <c r="AC52" s="379"/>
      <c r="AD52" s="9">
        <v>1</v>
      </c>
      <c r="AE52" s="9"/>
      <c r="AF52" s="10"/>
      <c r="AG52" s="108">
        <f t="shared" si="2"/>
        <v>12</v>
      </c>
    </row>
    <row r="53" spans="1:33" ht="19.5" thickBot="1" x14ac:dyDescent="0.3">
      <c r="A53" s="136" t="s">
        <v>108</v>
      </c>
      <c r="B53" s="135">
        <f t="shared" ref="B53:AF53" si="4">SUM(B54:B77)</f>
        <v>4</v>
      </c>
      <c r="C53" s="135">
        <f t="shared" si="4"/>
        <v>2</v>
      </c>
      <c r="D53" s="135">
        <f t="shared" si="4"/>
        <v>3</v>
      </c>
      <c r="E53" s="135">
        <f t="shared" si="4"/>
        <v>0</v>
      </c>
      <c r="F53" s="135">
        <f t="shared" si="4"/>
        <v>1</v>
      </c>
      <c r="G53" s="135">
        <f t="shared" si="4"/>
        <v>11</v>
      </c>
      <c r="H53" s="135">
        <f t="shared" si="4"/>
        <v>10</v>
      </c>
      <c r="I53" s="135">
        <f t="shared" si="4"/>
        <v>5</v>
      </c>
      <c r="J53" s="135">
        <f t="shared" si="4"/>
        <v>2</v>
      </c>
      <c r="K53" s="135">
        <f t="shared" si="4"/>
        <v>1</v>
      </c>
      <c r="L53" s="135">
        <f t="shared" si="4"/>
        <v>4</v>
      </c>
      <c r="M53" s="135">
        <f t="shared" si="4"/>
        <v>0</v>
      </c>
      <c r="N53" s="135">
        <f t="shared" si="4"/>
        <v>3</v>
      </c>
      <c r="O53" s="135">
        <f t="shared" si="4"/>
        <v>0</v>
      </c>
      <c r="P53" s="135">
        <f t="shared" si="4"/>
        <v>2</v>
      </c>
      <c r="Q53" s="135">
        <f t="shared" si="4"/>
        <v>4</v>
      </c>
      <c r="R53" s="135">
        <f t="shared" si="4"/>
        <v>0</v>
      </c>
      <c r="S53" s="135">
        <f t="shared" si="4"/>
        <v>0</v>
      </c>
      <c r="T53" s="135">
        <f t="shared" si="4"/>
        <v>3</v>
      </c>
      <c r="U53" s="135">
        <f t="shared" si="4"/>
        <v>4</v>
      </c>
      <c r="V53" s="135">
        <f t="shared" si="4"/>
        <v>5</v>
      </c>
      <c r="W53" s="135">
        <f t="shared" si="4"/>
        <v>4</v>
      </c>
      <c r="X53" s="135">
        <f t="shared" si="4"/>
        <v>5</v>
      </c>
      <c r="Y53" s="135">
        <f t="shared" si="4"/>
        <v>3</v>
      </c>
      <c r="Z53" s="135">
        <f t="shared" si="4"/>
        <v>4</v>
      </c>
      <c r="AA53" s="135">
        <f t="shared" si="4"/>
        <v>6</v>
      </c>
      <c r="AB53" s="135">
        <f t="shared" si="4"/>
        <v>6</v>
      </c>
      <c r="AC53" s="374">
        <f t="shared" si="4"/>
        <v>0</v>
      </c>
      <c r="AD53" s="135">
        <f t="shared" si="4"/>
        <v>2</v>
      </c>
      <c r="AE53" s="135">
        <f t="shared" si="4"/>
        <v>2</v>
      </c>
      <c r="AF53" s="135">
        <f t="shared" si="4"/>
        <v>0</v>
      </c>
      <c r="AG53" s="116">
        <f t="shared" si="2"/>
        <v>96</v>
      </c>
    </row>
    <row r="54" spans="1:33" ht="18.75" x14ac:dyDescent="0.25">
      <c r="A54" s="113" t="s">
        <v>54</v>
      </c>
      <c r="B54" s="114"/>
      <c r="C54" s="114"/>
      <c r="D54" s="7"/>
      <c r="E54" s="114"/>
      <c r="F54" s="114"/>
      <c r="G54" s="7"/>
      <c r="H54" s="114">
        <v>1</v>
      </c>
      <c r="I54" s="114"/>
      <c r="J54" s="114"/>
      <c r="K54" s="114"/>
      <c r="L54" s="114"/>
      <c r="M54" s="114"/>
      <c r="N54" s="114"/>
      <c r="O54" s="114"/>
      <c r="P54" s="114"/>
      <c r="Q54" s="114">
        <v>1</v>
      </c>
      <c r="R54" s="114"/>
      <c r="S54" s="114"/>
      <c r="T54" s="114"/>
      <c r="U54" s="114"/>
      <c r="V54" s="114">
        <v>1</v>
      </c>
      <c r="W54" s="114">
        <v>1</v>
      </c>
      <c r="X54" s="114"/>
      <c r="Y54" s="114"/>
      <c r="Z54" s="114"/>
      <c r="AA54" s="114"/>
      <c r="AB54" s="114"/>
      <c r="AC54" s="375"/>
      <c r="AD54" s="114"/>
      <c r="AE54" s="114"/>
      <c r="AF54" s="115"/>
      <c r="AG54" s="132">
        <f t="shared" si="2"/>
        <v>4</v>
      </c>
    </row>
    <row r="55" spans="1:33" ht="18.75" x14ac:dyDescent="0.25">
      <c r="A55" s="41" t="s">
        <v>55</v>
      </c>
      <c r="B55" s="7"/>
      <c r="C55" s="7"/>
      <c r="D55" s="7"/>
      <c r="E55" s="7"/>
      <c r="F55" s="7"/>
      <c r="G55" s="7"/>
      <c r="H55" s="7"/>
      <c r="I55" s="7">
        <v>2</v>
      </c>
      <c r="J55" s="7"/>
      <c r="K55" s="7"/>
      <c r="L55" s="7"/>
      <c r="M55" s="7"/>
      <c r="N55" s="7"/>
      <c r="O55" s="7"/>
      <c r="P55" s="7">
        <v>1</v>
      </c>
      <c r="Q55" s="7"/>
      <c r="R55" s="7"/>
      <c r="S55" s="7"/>
      <c r="T55" s="7"/>
      <c r="U55" s="7">
        <v>1</v>
      </c>
      <c r="V55" s="7"/>
      <c r="W55" s="7"/>
      <c r="X55" s="7">
        <v>1</v>
      </c>
      <c r="Y55" s="7">
        <v>1</v>
      </c>
      <c r="Z55" s="7"/>
      <c r="AA55" s="7"/>
      <c r="AB55" s="7">
        <v>3</v>
      </c>
      <c r="AC55" s="376"/>
      <c r="AD55" s="7"/>
      <c r="AE55" s="7"/>
      <c r="AF55" s="8"/>
      <c r="AG55" s="4">
        <f t="shared" si="2"/>
        <v>9</v>
      </c>
    </row>
    <row r="56" spans="1:33" ht="18.75" x14ac:dyDescent="0.25">
      <c r="A56" s="41" t="s">
        <v>56</v>
      </c>
      <c r="B56" s="7">
        <v>2</v>
      </c>
      <c r="C56" s="7"/>
      <c r="D56" s="7"/>
      <c r="E56" s="7"/>
      <c r="F56" s="7"/>
      <c r="G56" s="7">
        <v>1</v>
      </c>
      <c r="H56" s="7"/>
      <c r="I56" s="7">
        <v>1</v>
      </c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>
        <v>1</v>
      </c>
      <c r="V56" s="7">
        <v>1</v>
      </c>
      <c r="W56" s="7"/>
      <c r="X56" s="7"/>
      <c r="Y56" s="7"/>
      <c r="Z56" s="7"/>
      <c r="AA56" s="7"/>
      <c r="AB56" s="7"/>
      <c r="AC56" s="376"/>
      <c r="AD56" s="7"/>
      <c r="AE56" s="7">
        <v>1</v>
      </c>
      <c r="AF56" s="8"/>
      <c r="AG56" s="4">
        <f t="shared" si="2"/>
        <v>7</v>
      </c>
    </row>
    <row r="57" spans="1:33" ht="18.75" x14ac:dyDescent="0.25">
      <c r="A57" s="41" t="s">
        <v>38</v>
      </c>
      <c r="B57" s="7"/>
      <c r="C57" s="7">
        <v>1</v>
      </c>
      <c r="D57" s="7">
        <v>1</v>
      </c>
      <c r="E57" s="7"/>
      <c r="F57" s="7"/>
      <c r="G57" s="7">
        <v>1</v>
      </c>
      <c r="H57" s="7"/>
      <c r="I57" s="7"/>
      <c r="J57" s="7"/>
      <c r="K57" s="7"/>
      <c r="L57" s="7"/>
      <c r="M57" s="7"/>
      <c r="N57" s="7"/>
      <c r="O57" s="7"/>
      <c r="P57" s="7">
        <v>1</v>
      </c>
      <c r="Q57" s="7"/>
      <c r="R57" s="7"/>
      <c r="S57" s="7"/>
      <c r="T57" s="7"/>
      <c r="U57" s="7"/>
      <c r="V57" s="7">
        <v>2</v>
      </c>
      <c r="W57" s="7"/>
      <c r="X57" s="7"/>
      <c r="Y57" s="7">
        <v>1</v>
      </c>
      <c r="Z57" s="7"/>
      <c r="AA57" s="7"/>
      <c r="AB57" s="7">
        <v>1</v>
      </c>
      <c r="AC57" s="376"/>
      <c r="AD57" s="7"/>
      <c r="AE57" s="7"/>
      <c r="AF57" s="8"/>
      <c r="AG57" s="4">
        <f t="shared" si="2"/>
        <v>8</v>
      </c>
    </row>
    <row r="58" spans="1:33" ht="18.75" x14ac:dyDescent="0.25">
      <c r="A58" s="41" t="s">
        <v>39</v>
      </c>
      <c r="B58" s="7"/>
      <c r="C58" s="7"/>
      <c r="D58" s="7"/>
      <c r="E58" s="7"/>
      <c r="F58" s="7"/>
      <c r="G58" s="7"/>
      <c r="H58" s="7"/>
      <c r="I58" s="7">
        <v>1</v>
      </c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>
        <v>1</v>
      </c>
      <c r="W58" s="7"/>
      <c r="X58" s="7"/>
      <c r="Y58" s="7"/>
      <c r="Z58" s="7"/>
      <c r="AA58" s="7"/>
      <c r="AB58" s="7"/>
      <c r="AC58" s="376"/>
      <c r="AD58" s="7"/>
      <c r="AE58" s="7"/>
      <c r="AF58" s="8"/>
      <c r="AG58" s="4">
        <f t="shared" si="2"/>
        <v>2</v>
      </c>
    </row>
    <row r="59" spans="1:33" ht="18.75" x14ac:dyDescent="0.25">
      <c r="A59" s="41" t="s">
        <v>40</v>
      </c>
      <c r="B59" s="7"/>
      <c r="C59" s="7"/>
      <c r="D59" s="7"/>
      <c r="E59" s="7"/>
      <c r="F59" s="7"/>
      <c r="G59" s="7">
        <v>2</v>
      </c>
      <c r="H59" s="7"/>
      <c r="I59" s="7"/>
      <c r="J59" s="7"/>
      <c r="K59" s="7">
        <v>1</v>
      </c>
      <c r="L59" s="7"/>
      <c r="M59" s="7"/>
      <c r="N59" s="7">
        <v>1</v>
      </c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376"/>
      <c r="AD59" s="7"/>
      <c r="AE59" s="7"/>
      <c r="AF59" s="8"/>
      <c r="AG59" s="4">
        <f t="shared" si="2"/>
        <v>4</v>
      </c>
    </row>
    <row r="60" spans="1:33" ht="18.75" x14ac:dyDescent="0.25">
      <c r="A60" s="41" t="s">
        <v>41</v>
      </c>
      <c r="B60" s="7"/>
      <c r="C60" s="7"/>
      <c r="D60" s="7">
        <v>2</v>
      </c>
      <c r="E60" s="7"/>
      <c r="F60" s="7"/>
      <c r="G60" s="7">
        <v>2</v>
      </c>
      <c r="H60" s="7">
        <v>2</v>
      </c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>
        <v>1</v>
      </c>
      <c r="AB60" s="7"/>
      <c r="AC60" s="376"/>
      <c r="AD60" s="7"/>
      <c r="AE60" s="7"/>
      <c r="AF60" s="8"/>
      <c r="AG60" s="4">
        <f t="shared" si="2"/>
        <v>7</v>
      </c>
    </row>
    <row r="61" spans="1:33" ht="18.75" x14ac:dyDescent="0.25">
      <c r="A61" s="41" t="s">
        <v>42</v>
      </c>
      <c r="B61" s="7">
        <v>1</v>
      </c>
      <c r="C61" s="7"/>
      <c r="D61" s="7"/>
      <c r="E61" s="7"/>
      <c r="F61" s="7"/>
      <c r="G61" s="7">
        <v>2</v>
      </c>
      <c r="H61" s="7"/>
      <c r="I61" s="7"/>
      <c r="J61" s="7"/>
      <c r="K61" s="7"/>
      <c r="L61" s="7">
        <v>1</v>
      </c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376"/>
      <c r="AD61" s="7"/>
      <c r="AE61" s="7"/>
      <c r="AF61" s="8"/>
      <c r="AG61" s="4">
        <f t="shared" si="2"/>
        <v>4</v>
      </c>
    </row>
    <row r="62" spans="1:33" ht="18.75" x14ac:dyDescent="0.25">
      <c r="A62" s="41" t="s">
        <v>43</v>
      </c>
      <c r="B62" s="7">
        <v>1</v>
      </c>
      <c r="C62" s="7"/>
      <c r="D62" s="7"/>
      <c r="E62" s="7"/>
      <c r="F62" s="7"/>
      <c r="G62" s="7"/>
      <c r="H62" s="7">
        <v>3</v>
      </c>
      <c r="I62" s="7"/>
      <c r="J62" s="7">
        <v>1</v>
      </c>
      <c r="K62" s="7"/>
      <c r="L62" s="7"/>
      <c r="M62" s="7"/>
      <c r="N62" s="7"/>
      <c r="O62" s="7"/>
      <c r="P62" s="7"/>
      <c r="Q62" s="7">
        <v>1</v>
      </c>
      <c r="R62" s="7"/>
      <c r="S62" s="7"/>
      <c r="T62" s="7">
        <v>1</v>
      </c>
      <c r="U62" s="7"/>
      <c r="V62" s="7"/>
      <c r="W62" s="7"/>
      <c r="X62" s="7"/>
      <c r="Y62" s="7"/>
      <c r="Z62" s="7"/>
      <c r="AA62" s="7"/>
      <c r="AB62" s="7">
        <v>2</v>
      </c>
      <c r="AC62" s="376"/>
      <c r="AD62" s="7">
        <v>1</v>
      </c>
      <c r="AE62" s="7"/>
      <c r="AF62" s="8"/>
      <c r="AG62" s="4">
        <f t="shared" si="2"/>
        <v>10</v>
      </c>
    </row>
    <row r="63" spans="1:33" ht="18.75" x14ac:dyDescent="0.25">
      <c r="A63" s="41" t="s">
        <v>44</v>
      </c>
      <c r="B63" s="7"/>
      <c r="C63" s="7">
        <v>1</v>
      </c>
      <c r="D63" s="7"/>
      <c r="E63" s="7"/>
      <c r="F63" s="7"/>
      <c r="G63" s="7"/>
      <c r="H63" s="7">
        <v>1</v>
      </c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>
        <v>2</v>
      </c>
      <c r="Y63" s="7"/>
      <c r="Z63" s="7">
        <v>1</v>
      </c>
      <c r="AA63" s="7">
        <v>2</v>
      </c>
      <c r="AB63" s="7"/>
      <c r="AC63" s="376"/>
      <c r="AD63" s="7"/>
      <c r="AE63" s="7"/>
      <c r="AF63" s="8"/>
      <c r="AG63" s="4">
        <f t="shared" si="2"/>
        <v>7</v>
      </c>
    </row>
    <row r="64" spans="1:33" ht="18.75" x14ac:dyDescent="0.25">
      <c r="A64" s="41" t="s">
        <v>45</v>
      </c>
      <c r="B64" s="7"/>
      <c r="C64" s="7"/>
      <c r="D64" s="7"/>
      <c r="E64" s="7"/>
      <c r="F64" s="7"/>
      <c r="G64" s="7"/>
      <c r="H64" s="7">
        <v>1</v>
      </c>
      <c r="I64" s="7">
        <v>1</v>
      </c>
      <c r="J64" s="7"/>
      <c r="K64" s="7"/>
      <c r="L64" s="7"/>
      <c r="M64" s="7"/>
      <c r="N64" s="7"/>
      <c r="O64" s="7"/>
      <c r="P64" s="7"/>
      <c r="Q64" s="7"/>
      <c r="R64" s="7"/>
      <c r="S64" s="7"/>
      <c r="T64" s="7">
        <v>1</v>
      </c>
      <c r="U64" s="7"/>
      <c r="V64" s="7"/>
      <c r="W64" s="7"/>
      <c r="X64" s="7"/>
      <c r="Y64" s="7"/>
      <c r="Z64" s="7"/>
      <c r="AA64" s="7">
        <v>1</v>
      </c>
      <c r="AB64" s="7"/>
      <c r="AC64" s="376"/>
      <c r="AD64" s="7"/>
      <c r="AE64" s="7"/>
      <c r="AF64" s="8"/>
      <c r="AG64" s="4">
        <f t="shared" si="2"/>
        <v>4</v>
      </c>
    </row>
    <row r="65" spans="1:33" ht="18.75" x14ac:dyDescent="0.25">
      <c r="A65" s="41" t="s">
        <v>46</v>
      </c>
      <c r="B65" s="7"/>
      <c r="C65" s="7"/>
      <c r="D65" s="7"/>
      <c r="E65" s="7"/>
      <c r="F65" s="7"/>
      <c r="G65" s="7">
        <v>3</v>
      </c>
      <c r="H65" s="7"/>
      <c r="I65" s="7"/>
      <c r="J65" s="7"/>
      <c r="K65" s="7"/>
      <c r="L65" s="7"/>
      <c r="M65" s="7"/>
      <c r="N65" s="7">
        <v>1</v>
      </c>
      <c r="O65" s="7"/>
      <c r="P65" s="7"/>
      <c r="Q65" s="7"/>
      <c r="R65" s="7"/>
      <c r="S65" s="7"/>
      <c r="T65" s="7"/>
      <c r="U65" s="7"/>
      <c r="V65" s="7"/>
      <c r="W65" s="7">
        <v>1</v>
      </c>
      <c r="X65" s="7"/>
      <c r="Y65" s="7"/>
      <c r="Z65" s="7"/>
      <c r="AA65" s="7"/>
      <c r="AB65" s="7"/>
      <c r="AC65" s="376"/>
      <c r="AD65" s="7"/>
      <c r="AE65" s="7"/>
      <c r="AF65" s="8"/>
      <c r="AG65" s="4">
        <f t="shared" si="2"/>
        <v>5</v>
      </c>
    </row>
    <row r="66" spans="1:33" ht="18.75" x14ac:dyDescent="0.25">
      <c r="A66" s="41" t="s">
        <v>47</v>
      </c>
      <c r="B66" s="7"/>
      <c r="C66" s="7"/>
      <c r="D66" s="7"/>
      <c r="E66" s="7"/>
      <c r="F66" s="7"/>
      <c r="G66" s="7"/>
      <c r="H66" s="7">
        <v>1</v>
      </c>
      <c r="I66" s="7"/>
      <c r="J66" s="7">
        <v>1</v>
      </c>
      <c r="K66" s="7"/>
      <c r="L66" s="7">
        <v>1</v>
      </c>
      <c r="M66" s="7"/>
      <c r="N66" s="7"/>
      <c r="O66" s="7"/>
      <c r="P66" s="7"/>
      <c r="Q66" s="7"/>
      <c r="R66" s="7"/>
      <c r="S66" s="7"/>
      <c r="T66" s="7"/>
      <c r="U66" s="7">
        <v>2</v>
      </c>
      <c r="V66" s="7"/>
      <c r="W66" s="7">
        <v>1</v>
      </c>
      <c r="X66" s="7">
        <v>1</v>
      </c>
      <c r="Y66" s="7">
        <v>1</v>
      </c>
      <c r="Z66" s="7"/>
      <c r="AA66" s="7"/>
      <c r="AB66" s="7"/>
      <c r="AC66" s="376"/>
      <c r="AD66" s="7"/>
      <c r="AE66" s="7">
        <v>1</v>
      </c>
      <c r="AF66" s="8"/>
      <c r="AG66" s="4">
        <f t="shared" si="2"/>
        <v>9</v>
      </c>
    </row>
    <row r="67" spans="1:33" ht="18.75" x14ac:dyDescent="0.25">
      <c r="A67" s="41" t="s">
        <v>48</v>
      </c>
      <c r="B67" s="7"/>
      <c r="C67" s="7"/>
      <c r="D67" s="7"/>
      <c r="E67" s="7"/>
      <c r="F67" s="7"/>
      <c r="G67" s="7"/>
      <c r="H67" s="7">
        <v>1</v>
      </c>
      <c r="I67" s="7"/>
      <c r="J67" s="7"/>
      <c r="K67" s="7"/>
      <c r="L67" s="7">
        <v>1</v>
      </c>
      <c r="M67" s="7"/>
      <c r="N67" s="7">
        <v>1</v>
      </c>
      <c r="O67" s="7"/>
      <c r="P67" s="7"/>
      <c r="Q67" s="7">
        <v>1</v>
      </c>
      <c r="R67" s="7"/>
      <c r="S67" s="7"/>
      <c r="T67" s="7"/>
      <c r="U67" s="7"/>
      <c r="V67" s="7"/>
      <c r="W67" s="7"/>
      <c r="X67" s="7"/>
      <c r="Y67" s="7"/>
      <c r="Z67" s="7">
        <v>2</v>
      </c>
      <c r="AA67" s="7">
        <v>1</v>
      </c>
      <c r="AB67" s="7"/>
      <c r="AC67" s="376"/>
      <c r="AD67" s="7"/>
      <c r="AE67" s="7"/>
      <c r="AF67" s="8"/>
      <c r="AG67" s="4">
        <f t="shared" si="2"/>
        <v>7</v>
      </c>
    </row>
    <row r="68" spans="1:33" ht="18.75" x14ac:dyDescent="0.25">
      <c r="A68" s="41" t="s">
        <v>49</v>
      </c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>
        <v>1</v>
      </c>
      <c r="AA68" s="7"/>
      <c r="AB68" s="7"/>
      <c r="AC68" s="376"/>
      <c r="AD68" s="7">
        <v>1</v>
      </c>
      <c r="AE68" s="7"/>
      <c r="AF68" s="8"/>
      <c r="AG68" s="4">
        <f t="shared" si="2"/>
        <v>2</v>
      </c>
    </row>
    <row r="69" spans="1:33" ht="18.75" x14ac:dyDescent="0.25">
      <c r="A69" s="41" t="s">
        <v>50</v>
      </c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>
        <v>1</v>
      </c>
      <c r="AB69" s="7"/>
      <c r="AC69" s="376"/>
      <c r="AD69" s="7"/>
      <c r="AE69" s="7"/>
      <c r="AF69" s="8"/>
      <c r="AG69" s="4">
        <f t="shared" si="2"/>
        <v>1</v>
      </c>
    </row>
    <row r="70" spans="1:33" ht="18.75" x14ac:dyDescent="0.25">
      <c r="A70" s="41" t="s">
        <v>33</v>
      </c>
      <c r="B70" s="114"/>
      <c r="C70" s="114"/>
      <c r="D70" s="7"/>
      <c r="E70" s="114"/>
      <c r="F70" s="114">
        <v>1</v>
      </c>
      <c r="G70" s="7"/>
      <c r="H70" s="114"/>
      <c r="I70" s="7"/>
      <c r="J70" s="114"/>
      <c r="K70" s="114"/>
      <c r="L70" s="114"/>
      <c r="M70" s="114"/>
      <c r="N70" s="114"/>
      <c r="O70" s="114"/>
      <c r="P70" s="114"/>
      <c r="Q70" s="114"/>
      <c r="R70" s="114"/>
      <c r="S70" s="114"/>
      <c r="T70" s="114">
        <v>1</v>
      </c>
      <c r="U70" s="114"/>
      <c r="V70" s="114"/>
      <c r="W70" s="114"/>
      <c r="X70" s="114"/>
      <c r="Y70" s="114"/>
      <c r="Z70" s="114"/>
      <c r="AA70" s="114"/>
      <c r="AB70" s="114"/>
      <c r="AC70" s="375"/>
      <c r="AD70" s="114"/>
      <c r="AE70" s="114"/>
      <c r="AF70" s="115"/>
      <c r="AG70" s="4">
        <f t="shared" si="2"/>
        <v>2</v>
      </c>
    </row>
    <row r="71" spans="1:33" ht="18.75" x14ac:dyDescent="0.25">
      <c r="A71" s="41" t="s">
        <v>34</v>
      </c>
      <c r="B71" s="114"/>
      <c r="C71" s="114"/>
      <c r="D71" s="7"/>
      <c r="E71" s="114"/>
      <c r="F71" s="114"/>
      <c r="G71" s="7"/>
      <c r="H71" s="114"/>
      <c r="I71" s="7"/>
      <c r="J71" s="114"/>
      <c r="K71" s="114"/>
      <c r="L71" s="114">
        <v>1</v>
      </c>
      <c r="M71" s="114"/>
      <c r="N71" s="114"/>
      <c r="O71" s="114"/>
      <c r="P71" s="114"/>
      <c r="Q71" s="114">
        <v>1</v>
      </c>
      <c r="R71" s="114"/>
      <c r="S71" s="114"/>
      <c r="T71" s="114"/>
      <c r="U71" s="114"/>
      <c r="V71" s="114"/>
      <c r="W71" s="114"/>
      <c r="X71" s="114"/>
      <c r="Y71" s="114"/>
      <c r="Z71" s="114"/>
      <c r="AA71" s="114"/>
      <c r="AB71" s="114"/>
      <c r="AC71" s="375"/>
      <c r="AD71" s="114"/>
      <c r="AE71" s="114"/>
      <c r="AF71" s="115"/>
      <c r="AG71" s="4">
        <f t="shared" si="2"/>
        <v>2</v>
      </c>
    </row>
    <row r="72" spans="1:33" ht="18.75" x14ac:dyDescent="0.25">
      <c r="A72" s="41" t="s">
        <v>35</v>
      </c>
      <c r="B72" s="114"/>
      <c r="C72" s="114"/>
      <c r="D72" s="7"/>
      <c r="E72" s="114"/>
      <c r="F72" s="114"/>
      <c r="G72" s="7"/>
      <c r="H72" s="114"/>
      <c r="I72" s="7"/>
      <c r="J72" s="114"/>
      <c r="K72" s="114"/>
      <c r="L72" s="114"/>
      <c r="M72" s="114"/>
      <c r="N72" s="114"/>
      <c r="O72" s="114"/>
      <c r="P72" s="114"/>
      <c r="Q72" s="114"/>
      <c r="R72" s="114"/>
      <c r="S72" s="114"/>
      <c r="T72" s="114"/>
      <c r="U72" s="114"/>
      <c r="V72" s="114"/>
      <c r="W72" s="114"/>
      <c r="X72" s="114">
        <v>1</v>
      </c>
      <c r="Y72" s="114"/>
      <c r="Z72" s="114"/>
      <c r="AA72" s="114"/>
      <c r="AB72" s="114"/>
      <c r="AC72" s="375"/>
      <c r="AD72" s="114"/>
      <c r="AE72" s="114"/>
      <c r="AF72" s="115"/>
      <c r="AG72" s="4">
        <f t="shared" si="2"/>
        <v>1</v>
      </c>
    </row>
    <row r="73" spans="1:33" ht="18.75" x14ac:dyDescent="0.25">
      <c r="A73" s="41" t="s">
        <v>36</v>
      </c>
      <c r="B73" s="114"/>
      <c r="C73" s="114"/>
      <c r="D73" s="7"/>
      <c r="E73" s="114"/>
      <c r="F73" s="114"/>
      <c r="G73" s="7"/>
      <c r="H73" s="114"/>
      <c r="I73" s="7"/>
      <c r="J73" s="114"/>
      <c r="K73" s="114"/>
      <c r="L73" s="114"/>
      <c r="M73" s="114"/>
      <c r="N73" s="114"/>
      <c r="O73" s="114"/>
      <c r="P73" s="114"/>
      <c r="Q73" s="114"/>
      <c r="R73" s="114"/>
      <c r="S73" s="114"/>
      <c r="T73" s="114"/>
      <c r="U73" s="114"/>
      <c r="V73" s="114"/>
      <c r="W73" s="114"/>
      <c r="X73" s="114"/>
      <c r="Y73" s="114"/>
      <c r="Z73" s="114"/>
      <c r="AA73" s="114"/>
      <c r="AB73" s="114"/>
      <c r="AC73" s="375"/>
      <c r="AD73" s="114"/>
      <c r="AE73" s="114"/>
      <c r="AF73" s="115"/>
      <c r="AG73" s="4">
        <f t="shared" si="2"/>
        <v>0</v>
      </c>
    </row>
    <row r="74" spans="1:33" ht="18.75" x14ac:dyDescent="0.25">
      <c r="A74" s="41" t="s">
        <v>51</v>
      </c>
      <c r="B74" s="114"/>
      <c r="C74" s="114"/>
      <c r="D74" s="7"/>
      <c r="E74" s="114"/>
      <c r="F74" s="114"/>
      <c r="G74" s="7"/>
      <c r="H74" s="114"/>
      <c r="I74" s="7"/>
      <c r="J74" s="114"/>
      <c r="K74" s="114"/>
      <c r="L74" s="114"/>
      <c r="M74" s="114"/>
      <c r="N74" s="114"/>
      <c r="O74" s="114"/>
      <c r="P74" s="114"/>
      <c r="Q74" s="114"/>
      <c r="R74" s="114"/>
      <c r="S74" s="114"/>
      <c r="T74" s="114"/>
      <c r="U74" s="114"/>
      <c r="V74" s="114"/>
      <c r="W74" s="114"/>
      <c r="X74" s="114"/>
      <c r="Y74" s="114"/>
      <c r="Z74" s="114"/>
      <c r="AA74" s="114"/>
      <c r="AB74" s="114"/>
      <c r="AC74" s="375"/>
      <c r="AD74" s="114"/>
      <c r="AE74" s="114"/>
      <c r="AF74" s="115"/>
      <c r="AG74" s="4">
        <f t="shared" si="2"/>
        <v>0</v>
      </c>
    </row>
    <row r="75" spans="1:33" ht="18.75" x14ac:dyDescent="0.25">
      <c r="A75" s="41" t="s">
        <v>52</v>
      </c>
      <c r="B75" s="114"/>
      <c r="C75" s="114"/>
      <c r="D75" s="7"/>
      <c r="E75" s="114"/>
      <c r="F75" s="114"/>
      <c r="G75" s="7"/>
      <c r="H75" s="114"/>
      <c r="I75" s="7"/>
      <c r="J75" s="114"/>
      <c r="K75" s="114"/>
      <c r="L75" s="114"/>
      <c r="M75" s="114"/>
      <c r="N75" s="114"/>
      <c r="O75" s="114"/>
      <c r="P75" s="114"/>
      <c r="Q75" s="114"/>
      <c r="R75" s="114"/>
      <c r="S75" s="114"/>
      <c r="T75" s="114"/>
      <c r="U75" s="114"/>
      <c r="V75" s="114"/>
      <c r="W75" s="114"/>
      <c r="X75" s="114"/>
      <c r="Y75" s="114"/>
      <c r="Z75" s="114"/>
      <c r="AA75" s="114"/>
      <c r="AB75" s="114"/>
      <c r="AC75" s="375"/>
      <c r="AD75" s="114"/>
      <c r="AE75" s="114"/>
      <c r="AF75" s="115"/>
      <c r="AG75" s="4">
        <f t="shared" si="2"/>
        <v>0</v>
      </c>
    </row>
    <row r="76" spans="1:33" ht="18.75" x14ac:dyDescent="0.25">
      <c r="A76" s="41" t="s">
        <v>37</v>
      </c>
      <c r="B76" s="114"/>
      <c r="C76" s="114"/>
      <c r="D76" s="7"/>
      <c r="E76" s="114"/>
      <c r="F76" s="114"/>
      <c r="G76" s="7"/>
      <c r="H76" s="114"/>
      <c r="I76" s="7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X76" s="114"/>
      <c r="Y76" s="114"/>
      <c r="Z76" s="114"/>
      <c r="AA76" s="114"/>
      <c r="AB76" s="114"/>
      <c r="AC76" s="375"/>
      <c r="AD76" s="114"/>
      <c r="AE76" s="114"/>
      <c r="AF76" s="115"/>
      <c r="AG76" s="4">
        <f t="shared" si="2"/>
        <v>0</v>
      </c>
    </row>
    <row r="77" spans="1:33" ht="19.5" thickBot="1" x14ac:dyDescent="0.3">
      <c r="A77" s="134" t="s">
        <v>53</v>
      </c>
      <c r="B77" s="166"/>
      <c r="C77" s="166"/>
      <c r="D77" s="9"/>
      <c r="E77" s="166"/>
      <c r="F77" s="166"/>
      <c r="G77" s="9"/>
      <c r="H77" s="166"/>
      <c r="I77" s="9"/>
      <c r="J77" s="166"/>
      <c r="K77" s="166"/>
      <c r="L77" s="166"/>
      <c r="M77" s="166"/>
      <c r="N77" s="166"/>
      <c r="O77" s="166"/>
      <c r="P77" s="166"/>
      <c r="Q77" s="166"/>
      <c r="R77" s="166"/>
      <c r="S77" s="166"/>
      <c r="T77" s="166"/>
      <c r="U77" s="166"/>
      <c r="V77" s="166"/>
      <c r="W77" s="166">
        <v>1</v>
      </c>
      <c r="X77" s="166"/>
      <c r="Y77" s="166"/>
      <c r="Z77" s="166"/>
      <c r="AA77" s="166"/>
      <c r="AB77" s="166"/>
      <c r="AC77" s="380"/>
      <c r="AD77" s="166"/>
      <c r="AE77" s="166"/>
      <c r="AF77" s="167"/>
      <c r="AG77" s="108">
        <f t="shared" si="2"/>
        <v>1</v>
      </c>
    </row>
    <row r="78" spans="1:33" ht="19.5" hidden="1" customHeight="1" thickBot="1" x14ac:dyDescent="0.3">
      <c r="A78" s="183" t="s">
        <v>99</v>
      </c>
      <c r="B78" s="185">
        <f t="shared" ref="B78:AF78" si="5">SUM(B79:B80)</f>
        <v>79</v>
      </c>
      <c r="C78" s="185">
        <f t="shared" si="5"/>
        <v>75</v>
      </c>
      <c r="D78" s="185">
        <f t="shared" si="5"/>
        <v>78</v>
      </c>
      <c r="E78" s="184">
        <f t="shared" si="5"/>
        <v>65</v>
      </c>
      <c r="F78" s="184">
        <f t="shared" si="5"/>
        <v>75</v>
      </c>
      <c r="G78" s="184">
        <f t="shared" si="5"/>
        <v>94</v>
      </c>
      <c r="H78" s="184">
        <f t="shared" si="5"/>
        <v>73</v>
      </c>
      <c r="I78" s="184">
        <f t="shared" si="5"/>
        <v>63</v>
      </c>
      <c r="J78" s="184">
        <f t="shared" si="5"/>
        <v>52</v>
      </c>
      <c r="K78" s="184">
        <f t="shared" si="5"/>
        <v>44</v>
      </c>
      <c r="L78" s="184">
        <f t="shared" si="5"/>
        <v>65</v>
      </c>
      <c r="M78" s="184">
        <f t="shared" si="5"/>
        <v>45</v>
      </c>
      <c r="N78" s="184">
        <f t="shared" si="5"/>
        <v>84</v>
      </c>
      <c r="O78" s="184">
        <f>SUM(O79:O80)</f>
        <v>62</v>
      </c>
      <c r="P78" s="184">
        <f t="shared" si="5"/>
        <v>55</v>
      </c>
      <c r="Q78" s="184">
        <f t="shared" si="5"/>
        <v>62</v>
      </c>
      <c r="R78" s="184">
        <f t="shared" si="5"/>
        <v>79</v>
      </c>
      <c r="S78" s="184">
        <f t="shared" si="5"/>
        <v>78</v>
      </c>
      <c r="T78" s="184">
        <f t="shared" si="5"/>
        <v>80</v>
      </c>
      <c r="U78" s="184">
        <f t="shared" si="5"/>
        <v>74</v>
      </c>
      <c r="V78" s="184">
        <f t="shared" si="5"/>
        <v>66</v>
      </c>
      <c r="W78" s="184">
        <f t="shared" si="5"/>
        <v>59</v>
      </c>
      <c r="X78" s="184">
        <f t="shared" si="5"/>
        <v>82</v>
      </c>
      <c r="Y78" s="184">
        <f t="shared" si="5"/>
        <v>68</v>
      </c>
      <c r="Z78" s="184">
        <f t="shared" si="5"/>
        <v>69</v>
      </c>
      <c r="AA78" s="184">
        <f t="shared" si="5"/>
        <v>79</v>
      </c>
      <c r="AB78" s="184">
        <f t="shared" si="5"/>
        <v>47</v>
      </c>
      <c r="AC78" s="374">
        <f t="shared" si="5"/>
        <v>0</v>
      </c>
      <c r="AD78" s="184">
        <f t="shared" si="5"/>
        <v>54</v>
      </c>
      <c r="AE78" s="184">
        <f t="shared" si="5"/>
        <v>86</v>
      </c>
      <c r="AF78" s="186">
        <f t="shared" si="5"/>
        <v>0</v>
      </c>
      <c r="AG78" s="116">
        <f t="shared" si="2"/>
        <v>1992</v>
      </c>
    </row>
    <row r="79" spans="1:33" ht="19.5" hidden="1" customHeight="1" thickBot="1" x14ac:dyDescent="0.3">
      <c r="A79" s="181" t="s">
        <v>58</v>
      </c>
      <c r="B79" s="114">
        <f t="shared" ref="B79:AF79" si="6">SUM(B4:B27)-B80</f>
        <v>79</v>
      </c>
      <c r="C79" s="114">
        <f t="shared" si="6"/>
        <v>75</v>
      </c>
      <c r="D79" s="114">
        <f t="shared" si="6"/>
        <v>78</v>
      </c>
      <c r="E79" s="114">
        <f t="shared" si="6"/>
        <v>65</v>
      </c>
      <c r="F79" s="114">
        <f t="shared" si="6"/>
        <v>31</v>
      </c>
      <c r="G79" s="114">
        <f t="shared" si="6"/>
        <v>32</v>
      </c>
      <c r="H79" s="114">
        <f t="shared" si="6"/>
        <v>30</v>
      </c>
      <c r="I79" s="114">
        <f t="shared" si="6"/>
        <v>63</v>
      </c>
      <c r="J79" s="114">
        <f t="shared" si="6"/>
        <v>52</v>
      </c>
      <c r="K79" s="114">
        <f t="shared" si="6"/>
        <v>44</v>
      </c>
      <c r="L79" s="114">
        <f t="shared" si="6"/>
        <v>65</v>
      </c>
      <c r="M79" s="114">
        <f t="shared" si="6"/>
        <v>18</v>
      </c>
      <c r="N79" s="114">
        <f t="shared" si="6"/>
        <v>37</v>
      </c>
      <c r="O79" s="114">
        <f t="shared" si="6"/>
        <v>31</v>
      </c>
      <c r="P79" s="114">
        <f t="shared" si="6"/>
        <v>55</v>
      </c>
      <c r="Q79" s="114">
        <f t="shared" si="6"/>
        <v>62</v>
      </c>
      <c r="R79" s="114">
        <f t="shared" si="6"/>
        <v>42</v>
      </c>
      <c r="S79" s="114">
        <f t="shared" si="6"/>
        <v>31</v>
      </c>
      <c r="T79" s="114">
        <f t="shared" si="6"/>
        <v>48</v>
      </c>
      <c r="U79" s="114">
        <f t="shared" si="6"/>
        <v>43</v>
      </c>
      <c r="V79" s="114">
        <f t="shared" si="6"/>
        <v>39</v>
      </c>
      <c r="W79" s="114">
        <f t="shared" si="6"/>
        <v>59</v>
      </c>
      <c r="X79" s="114">
        <f t="shared" si="6"/>
        <v>82</v>
      </c>
      <c r="Y79" s="114">
        <f t="shared" si="6"/>
        <v>39</v>
      </c>
      <c r="Z79" s="114">
        <f t="shared" si="6"/>
        <v>69</v>
      </c>
      <c r="AA79" s="114">
        <f t="shared" si="6"/>
        <v>29</v>
      </c>
      <c r="AB79" s="114">
        <f t="shared" si="6"/>
        <v>0</v>
      </c>
      <c r="AC79" s="375">
        <f t="shared" si="6"/>
        <v>0</v>
      </c>
      <c r="AD79" s="114">
        <f t="shared" si="6"/>
        <v>54</v>
      </c>
      <c r="AE79" s="114">
        <f t="shared" si="6"/>
        <v>86</v>
      </c>
      <c r="AF79" s="114">
        <f t="shared" si="6"/>
        <v>0</v>
      </c>
      <c r="AG79" s="132">
        <f t="shared" si="2"/>
        <v>1438</v>
      </c>
    </row>
    <row r="80" spans="1:33" ht="19.5" hidden="1" customHeight="1" thickBot="1" x14ac:dyDescent="0.3">
      <c r="A80" s="107" t="s">
        <v>57</v>
      </c>
      <c r="B80" s="11"/>
      <c r="C80" s="11"/>
      <c r="D80" s="9">
        <v>0</v>
      </c>
      <c r="E80" s="9">
        <v>0</v>
      </c>
      <c r="F80" s="9">
        <f>SUM(F4:F12)</f>
        <v>44</v>
      </c>
      <c r="G80" s="9">
        <f>SUM(G4:G12)</f>
        <v>62</v>
      </c>
      <c r="H80" s="9">
        <f>SUM(H4:H12)</f>
        <v>43</v>
      </c>
      <c r="I80" s="11"/>
      <c r="J80" s="11"/>
      <c r="K80" s="9">
        <v>0</v>
      </c>
      <c r="L80" s="9">
        <v>0</v>
      </c>
      <c r="M80" s="9">
        <f>SUM(M4:M12)</f>
        <v>27</v>
      </c>
      <c r="N80" s="9">
        <f>SUM(N4:N12)</f>
        <v>47</v>
      </c>
      <c r="O80" s="9">
        <f>SUM(O4:O12)</f>
        <v>31</v>
      </c>
      <c r="P80" s="11"/>
      <c r="Q80" s="11"/>
      <c r="R80" s="9">
        <f>SUM(R4:R12)</f>
        <v>37</v>
      </c>
      <c r="S80" s="9">
        <f>SUM(S4:S12)</f>
        <v>47</v>
      </c>
      <c r="T80" s="9">
        <f>SUM(T4:T12)</f>
        <v>32</v>
      </c>
      <c r="U80" s="9">
        <f>SUM(U4:U12)</f>
        <v>31</v>
      </c>
      <c r="V80" s="9">
        <f>SUM(V4:V12)</f>
        <v>27</v>
      </c>
      <c r="W80" s="11"/>
      <c r="X80" s="11"/>
      <c r="Y80" s="9">
        <f>SUM(Y4:Y12)</f>
        <v>29</v>
      </c>
      <c r="Z80" s="11"/>
      <c r="AA80" s="9">
        <f>SUM(AA4:AA12)</f>
        <v>50</v>
      </c>
      <c r="AB80" s="9">
        <f>SUM(AB4:AB12)</f>
        <v>47</v>
      </c>
      <c r="AC80" s="379">
        <f>SUM(AC4:AC12)</f>
        <v>0</v>
      </c>
      <c r="AD80" s="11"/>
      <c r="AE80" s="11"/>
      <c r="AF80" s="9">
        <f>SUM(AF4:AF12)</f>
        <v>0</v>
      </c>
      <c r="AG80" s="108">
        <f t="shared" si="2"/>
        <v>554</v>
      </c>
    </row>
    <row r="81" spans="1:35" ht="19.5" thickBot="1" x14ac:dyDescent="0.3">
      <c r="A81" s="183" t="s">
        <v>98</v>
      </c>
      <c r="B81" s="184">
        <f t="shared" ref="B81:AF81" si="7">SUM(B82:B83)</f>
        <v>4</v>
      </c>
      <c r="C81" s="184">
        <f t="shared" si="7"/>
        <v>2</v>
      </c>
      <c r="D81" s="184">
        <f t="shared" si="7"/>
        <v>3</v>
      </c>
      <c r="E81" s="184">
        <f t="shared" si="7"/>
        <v>0</v>
      </c>
      <c r="F81" s="184">
        <f t="shared" si="7"/>
        <v>1</v>
      </c>
      <c r="G81" s="184">
        <f t="shared" si="7"/>
        <v>11</v>
      </c>
      <c r="H81" s="184">
        <f t="shared" si="7"/>
        <v>10</v>
      </c>
      <c r="I81" s="184">
        <f t="shared" si="7"/>
        <v>5</v>
      </c>
      <c r="J81" s="184">
        <f t="shared" si="7"/>
        <v>2</v>
      </c>
      <c r="K81" s="184">
        <f t="shared" si="7"/>
        <v>1</v>
      </c>
      <c r="L81" s="184">
        <f t="shared" si="7"/>
        <v>4</v>
      </c>
      <c r="M81" s="184">
        <f t="shared" si="7"/>
        <v>0</v>
      </c>
      <c r="N81" s="184">
        <f t="shared" si="7"/>
        <v>3</v>
      </c>
      <c r="O81" s="184">
        <f t="shared" si="7"/>
        <v>0</v>
      </c>
      <c r="P81" s="184">
        <f t="shared" si="7"/>
        <v>2</v>
      </c>
      <c r="Q81" s="184">
        <f t="shared" si="7"/>
        <v>4</v>
      </c>
      <c r="R81" s="184">
        <f t="shared" si="7"/>
        <v>0</v>
      </c>
      <c r="S81" s="184">
        <f t="shared" si="7"/>
        <v>0</v>
      </c>
      <c r="T81" s="184">
        <f t="shared" si="7"/>
        <v>3</v>
      </c>
      <c r="U81" s="184">
        <f t="shared" si="7"/>
        <v>4</v>
      </c>
      <c r="V81" s="184">
        <f t="shared" si="7"/>
        <v>5</v>
      </c>
      <c r="W81" s="184">
        <f t="shared" si="7"/>
        <v>4</v>
      </c>
      <c r="X81" s="184">
        <f t="shared" si="7"/>
        <v>5</v>
      </c>
      <c r="Y81" s="184">
        <f t="shared" si="7"/>
        <v>3</v>
      </c>
      <c r="Z81" s="184">
        <f>SUM(Z82:Z83)</f>
        <v>4</v>
      </c>
      <c r="AA81" s="184">
        <f t="shared" si="7"/>
        <v>6</v>
      </c>
      <c r="AB81" s="184">
        <f t="shared" si="7"/>
        <v>6</v>
      </c>
      <c r="AC81" s="374">
        <f t="shared" si="7"/>
        <v>0</v>
      </c>
      <c r="AD81" s="184">
        <f t="shared" si="7"/>
        <v>2</v>
      </c>
      <c r="AE81" s="184">
        <f t="shared" si="7"/>
        <v>2</v>
      </c>
      <c r="AF81" s="184">
        <f t="shared" si="7"/>
        <v>0</v>
      </c>
      <c r="AG81" s="116">
        <f t="shared" si="2"/>
        <v>96</v>
      </c>
      <c r="AH81" s="180" t="str">
        <f>IF(AG81&lt;&gt;AG53,"*","")</f>
        <v/>
      </c>
    </row>
    <row r="82" spans="1:35" ht="18.75" x14ac:dyDescent="0.25">
      <c r="A82" s="181" t="s">
        <v>57</v>
      </c>
      <c r="B82" s="114">
        <f t="shared" ref="B82:AF82" si="8">SUM(B54:B62)</f>
        <v>4</v>
      </c>
      <c r="C82" s="114">
        <f t="shared" si="8"/>
        <v>1</v>
      </c>
      <c r="D82" s="114">
        <f t="shared" si="8"/>
        <v>3</v>
      </c>
      <c r="E82" s="182"/>
      <c r="F82" s="182"/>
      <c r="G82" s="114">
        <f t="shared" si="8"/>
        <v>8</v>
      </c>
      <c r="H82" s="114">
        <f t="shared" si="8"/>
        <v>6</v>
      </c>
      <c r="I82" s="114">
        <f t="shared" si="8"/>
        <v>4</v>
      </c>
      <c r="J82" s="114">
        <f t="shared" si="8"/>
        <v>1</v>
      </c>
      <c r="K82" s="182"/>
      <c r="L82" s="182"/>
      <c r="M82" s="182"/>
      <c r="N82" s="114">
        <f t="shared" si="8"/>
        <v>1</v>
      </c>
      <c r="O82" s="114">
        <f t="shared" si="8"/>
        <v>0</v>
      </c>
      <c r="P82" s="114">
        <f t="shared" si="8"/>
        <v>2</v>
      </c>
      <c r="Q82" s="114">
        <f t="shared" si="8"/>
        <v>2</v>
      </c>
      <c r="R82" s="114">
        <f t="shared" si="8"/>
        <v>0</v>
      </c>
      <c r="S82" s="182"/>
      <c r="T82" s="182"/>
      <c r="U82" s="114">
        <f t="shared" si="8"/>
        <v>2</v>
      </c>
      <c r="V82" s="114">
        <f t="shared" si="8"/>
        <v>5</v>
      </c>
      <c r="W82" s="114">
        <f t="shared" si="8"/>
        <v>1</v>
      </c>
      <c r="X82" s="114">
        <f t="shared" si="8"/>
        <v>1</v>
      </c>
      <c r="Y82" s="114">
        <f t="shared" si="8"/>
        <v>2</v>
      </c>
      <c r="Z82" s="182"/>
      <c r="AA82" s="182"/>
      <c r="AB82" s="114">
        <f t="shared" si="8"/>
        <v>6</v>
      </c>
      <c r="AC82" s="375">
        <f t="shared" si="8"/>
        <v>0</v>
      </c>
      <c r="AD82" s="114">
        <f t="shared" si="8"/>
        <v>1</v>
      </c>
      <c r="AE82" s="114">
        <f t="shared" si="8"/>
        <v>1</v>
      </c>
      <c r="AF82" s="114">
        <f t="shared" si="8"/>
        <v>0</v>
      </c>
      <c r="AG82" s="132">
        <f t="shared" si="2"/>
        <v>51</v>
      </c>
    </row>
    <row r="83" spans="1:35" ht="19.5" thickBot="1" x14ac:dyDescent="0.3">
      <c r="A83" s="107" t="s">
        <v>58</v>
      </c>
      <c r="B83" s="9">
        <f t="shared" ref="B83" si="9">SUM(B54:B77)-B82</f>
        <v>0</v>
      </c>
      <c r="C83" s="9">
        <f t="shared" ref="C83" si="10">SUM(C54:C77)-C82</f>
        <v>1</v>
      </c>
      <c r="D83" s="9">
        <f t="shared" ref="D83:AF83" si="11">SUM(D54:D77)-D82</f>
        <v>0</v>
      </c>
      <c r="E83" s="9">
        <f t="shared" si="11"/>
        <v>0</v>
      </c>
      <c r="F83" s="9">
        <f t="shared" si="11"/>
        <v>1</v>
      </c>
      <c r="G83" s="9">
        <f t="shared" si="11"/>
        <v>3</v>
      </c>
      <c r="H83" s="9">
        <f t="shared" si="11"/>
        <v>4</v>
      </c>
      <c r="I83" s="9">
        <f t="shared" si="11"/>
        <v>1</v>
      </c>
      <c r="J83" s="9">
        <f t="shared" si="11"/>
        <v>1</v>
      </c>
      <c r="K83" s="9">
        <f t="shared" si="11"/>
        <v>1</v>
      </c>
      <c r="L83" s="9">
        <f t="shared" si="11"/>
        <v>4</v>
      </c>
      <c r="M83" s="9">
        <f t="shared" si="11"/>
        <v>0</v>
      </c>
      <c r="N83" s="9">
        <f t="shared" si="11"/>
        <v>2</v>
      </c>
      <c r="O83" s="9">
        <f t="shared" si="11"/>
        <v>0</v>
      </c>
      <c r="P83" s="9">
        <f t="shared" si="11"/>
        <v>0</v>
      </c>
      <c r="Q83" s="9">
        <f t="shared" si="11"/>
        <v>2</v>
      </c>
      <c r="R83" s="9">
        <f t="shared" si="11"/>
        <v>0</v>
      </c>
      <c r="S83" s="9">
        <f t="shared" si="11"/>
        <v>0</v>
      </c>
      <c r="T83" s="9">
        <f t="shared" si="11"/>
        <v>3</v>
      </c>
      <c r="U83" s="9">
        <f t="shared" si="11"/>
        <v>2</v>
      </c>
      <c r="V83" s="9">
        <f t="shared" si="11"/>
        <v>0</v>
      </c>
      <c r="W83" s="9">
        <f t="shared" si="11"/>
        <v>3</v>
      </c>
      <c r="X83" s="9">
        <f t="shared" si="11"/>
        <v>4</v>
      </c>
      <c r="Y83" s="9">
        <f t="shared" si="11"/>
        <v>1</v>
      </c>
      <c r="Z83" s="9">
        <f t="shared" si="11"/>
        <v>4</v>
      </c>
      <c r="AA83" s="9">
        <f t="shared" si="11"/>
        <v>6</v>
      </c>
      <c r="AB83" s="9">
        <f t="shared" si="11"/>
        <v>0</v>
      </c>
      <c r="AC83" s="379">
        <f t="shared" si="11"/>
        <v>0</v>
      </c>
      <c r="AD83" s="9">
        <f t="shared" si="11"/>
        <v>1</v>
      </c>
      <c r="AE83" s="9">
        <f t="shared" si="11"/>
        <v>1</v>
      </c>
      <c r="AF83" s="9">
        <f t="shared" si="11"/>
        <v>0</v>
      </c>
      <c r="AG83" s="4">
        <f t="shared" si="2"/>
        <v>45</v>
      </c>
    </row>
    <row r="84" spans="1:35" ht="19.5" thickBot="1" x14ac:dyDescent="0.3">
      <c r="A84" s="164" t="s">
        <v>146</v>
      </c>
      <c r="B84" s="165">
        <f>SUM(B85:B86)</f>
        <v>4</v>
      </c>
      <c r="C84" s="165">
        <f t="shared" ref="C84:AF84" si="12">SUM(C85:C86)</f>
        <v>2</v>
      </c>
      <c r="D84" s="165">
        <f t="shared" si="12"/>
        <v>3</v>
      </c>
      <c r="E84" s="165">
        <f t="shared" si="12"/>
        <v>0</v>
      </c>
      <c r="F84" s="165">
        <f t="shared" si="12"/>
        <v>1</v>
      </c>
      <c r="G84" s="165">
        <f t="shared" si="12"/>
        <v>11</v>
      </c>
      <c r="H84" s="165">
        <f t="shared" si="12"/>
        <v>10</v>
      </c>
      <c r="I84" s="165">
        <f t="shared" si="12"/>
        <v>5</v>
      </c>
      <c r="J84" s="165">
        <f t="shared" si="12"/>
        <v>2</v>
      </c>
      <c r="K84" s="165">
        <f t="shared" si="12"/>
        <v>1</v>
      </c>
      <c r="L84" s="165">
        <f t="shared" si="12"/>
        <v>4</v>
      </c>
      <c r="M84" s="165">
        <f t="shared" si="12"/>
        <v>0</v>
      </c>
      <c r="N84" s="165">
        <f t="shared" si="12"/>
        <v>3</v>
      </c>
      <c r="O84" s="165">
        <f t="shared" si="12"/>
        <v>0</v>
      </c>
      <c r="P84" s="165">
        <f t="shared" si="12"/>
        <v>2</v>
      </c>
      <c r="Q84" s="165">
        <f t="shared" si="12"/>
        <v>4</v>
      </c>
      <c r="R84" s="165">
        <f t="shared" si="12"/>
        <v>0</v>
      </c>
      <c r="S84" s="165">
        <f t="shared" si="12"/>
        <v>0</v>
      </c>
      <c r="T84" s="165">
        <f t="shared" si="12"/>
        <v>3</v>
      </c>
      <c r="U84" s="165">
        <f t="shared" si="12"/>
        <v>4</v>
      </c>
      <c r="V84" s="165">
        <f t="shared" si="12"/>
        <v>5</v>
      </c>
      <c r="W84" s="165">
        <f t="shared" si="12"/>
        <v>4</v>
      </c>
      <c r="X84" s="165">
        <f t="shared" si="12"/>
        <v>5</v>
      </c>
      <c r="Y84" s="165">
        <f t="shared" si="12"/>
        <v>3</v>
      </c>
      <c r="Z84" s="165">
        <f t="shared" si="12"/>
        <v>4</v>
      </c>
      <c r="AA84" s="165">
        <f t="shared" si="12"/>
        <v>6</v>
      </c>
      <c r="AB84" s="165">
        <f t="shared" si="12"/>
        <v>6</v>
      </c>
      <c r="AC84" s="374">
        <f t="shared" si="12"/>
        <v>0</v>
      </c>
      <c r="AD84" s="165">
        <f t="shared" si="12"/>
        <v>2</v>
      </c>
      <c r="AE84" s="165">
        <f t="shared" si="12"/>
        <v>2</v>
      </c>
      <c r="AF84" s="165">
        <f t="shared" si="12"/>
        <v>0</v>
      </c>
      <c r="AG84" s="171">
        <f t="shared" ref="AG84:AG126" si="13">SUM(B84:AF84)</f>
        <v>96</v>
      </c>
      <c r="AH84" s="180" t="str">
        <f>IF(AG84&lt;&gt;AG82+AG83,"*","")</f>
        <v/>
      </c>
      <c r="AI84" s="434" t="s">
        <v>1</v>
      </c>
    </row>
    <row r="85" spans="1:35" ht="18.75" x14ac:dyDescent="0.25">
      <c r="A85" s="72" t="s">
        <v>144</v>
      </c>
      <c r="B85" s="169">
        <v>0</v>
      </c>
      <c r="C85" s="169">
        <v>0</v>
      </c>
      <c r="D85" s="169">
        <v>2</v>
      </c>
      <c r="E85" s="169">
        <v>0</v>
      </c>
      <c r="F85" s="169">
        <v>0</v>
      </c>
      <c r="G85" s="169">
        <v>0</v>
      </c>
      <c r="H85" s="169">
        <v>1</v>
      </c>
      <c r="I85" s="169">
        <v>0</v>
      </c>
      <c r="J85" s="169">
        <v>0</v>
      </c>
      <c r="K85" s="169">
        <v>0</v>
      </c>
      <c r="L85" s="169">
        <v>2</v>
      </c>
      <c r="M85" s="169">
        <v>0</v>
      </c>
      <c r="N85" s="169">
        <v>2</v>
      </c>
      <c r="O85" s="169">
        <v>0</v>
      </c>
      <c r="P85" s="169">
        <v>0</v>
      </c>
      <c r="Q85" s="169">
        <v>0</v>
      </c>
      <c r="R85" s="169">
        <v>0</v>
      </c>
      <c r="S85" s="169">
        <v>0</v>
      </c>
      <c r="T85" s="169">
        <v>0</v>
      </c>
      <c r="U85" s="169">
        <v>2</v>
      </c>
      <c r="V85" s="169">
        <v>0</v>
      </c>
      <c r="W85" s="169">
        <v>0</v>
      </c>
      <c r="X85" s="169">
        <v>0</v>
      </c>
      <c r="Y85" s="169">
        <v>0</v>
      </c>
      <c r="Z85" s="169">
        <v>0</v>
      </c>
      <c r="AA85" s="169">
        <v>0</v>
      </c>
      <c r="AB85" s="169">
        <v>1</v>
      </c>
      <c r="AC85" s="375"/>
      <c r="AD85" s="169">
        <v>0</v>
      </c>
      <c r="AE85" s="169">
        <v>0</v>
      </c>
      <c r="AF85" s="170"/>
      <c r="AG85" s="168">
        <f t="shared" si="13"/>
        <v>10</v>
      </c>
      <c r="AI85" s="435"/>
    </row>
    <row r="86" spans="1:35" ht="19.5" thickBot="1" x14ac:dyDescent="0.3">
      <c r="A86" s="172" t="s">
        <v>145</v>
      </c>
      <c r="B86" s="173">
        <v>4</v>
      </c>
      <c r="C86" s="173">
        <v>2</v>
      </c>
      <c r="D86" s="173">
        <v>1</v>
      </c>
      <c r="E86" s="173">
        <v>0</v>
      </c>
      <c r="F86" s="173">
        <v>1</v>
      </c>
      <c r="G86" s="173">
        <v>11</v>
      </c>
      <c r="H86" s="173">
        <v>9</v>
      </c>
      <c r="I86" s="173">
        <v>5</v>
      </c>
      <c r="J86" s="173">
        <v>2</v>
      </c>
      <c r="K86" s="173">
        <v>1</v>
      </c>
      <c r="L86" s="173">
        <v>2</v>
      </c>
      <c r="M86" s="173">
        <v>0</v>
      </c>
      <c r="N86" s="173">
        <v>1</v>
      </c>
      <c r="O86" s="173">
        <v>0</v>
      </c>
      <c r="P86" s="173">
        <v>2</v>
      </c>
      <c r="Q86" s="173">
        <v>4</v>
      </c>
      <c r="R86" s="173">
        <v>0</v>
      </c>
      <c r="S86" s="173">
        <v>0</v>
      </c>
      <c r="T86" s="173">
        <v>3</v>
      </c>
      <c r="U86" s="173">
        <v>2</v>
      </c>
      <c r="V86" s="173">
        <v>5</v>
      </c>
      <c r="W86" s="173">
        <v>4</v>
      </c>
      <c r="X86" s="173">
        <v>5</v>
      </c>
      <c r="Y86" s="173">
        <v>3</v>
      </c>
      <c r="Z86" s="173">
        <v>4</v>
      </c>
      <c r="AA86" s="173">
        <v>6</v>
      </c>
      <c r="AB86" s="173">
        <v>5</v>
      </c>
      <c r="AC86" s="379"/>
      <c r="AD86" s="173">
        <v>2</v>
      </c>
      <c r="AE86" s="173">
        <v>2</v>
      </c>
      <c r="AF86" s="174"/>
      <c r="AG86" s="176">
        <f t="shared" si="13"/>
        <v>86</v>
      </c>
      <c r="AI86" s="436"/>
    </row>
    <row r="87" spans="1:35" ht="19.5" thickBot="1" x14ac:dyDescent="0.3">
      <c r="A87" s="177" t="s">
        <v>147</v>
      </c>
      <c r="B87" s="178">
        <f>SUM(B88:B92)</f>
        <v>4</v>
      </c>
      <c r="C87" s="178">
        <f t="shared" ref="C87:AF87" si="14">SUM(C88:C92)</f>
        <v>2</v>
      </c>
      <c r="D87" s="178">
        <f t="shared" si="14"/>
        <v>3</v>
      </c>
      <c r="E87" s="178">
        <f t="shared" si="14"/>
        <v>0</v>
      </c>
      <c r="F87" s="178">
        <f t="shared" si="14"/>
        <v>1</v>
      </c>
      <c r="G87" s="178">
        <f t="shared" si="14"/>
        <v>11</v>
      </c>
      <c r="H87" s="178">
        <f t="shared" si="14"/>
        <v>10</v>
      </c>
      <c r="I87" s="178">
        <f t="shared" si="14"/>
        <v>5</v>
      </c>
      <c r="J87" s="178">
        <f t="shared" si="14"/>
        <v>2</v>
      </c>
      <c r="K87" s="178">
        <f t="shared" si="14"/>
        <v>1</v>
      </c>
      <c r="L87" s="178">
        <f t="shared" si="14"/>
        <v>4</v>
      </c>
      <c r="M87" s="178">
        <f t="shared" si="14"/>
        <v>0</v>
      </c>
      <c r="N87" s="178">
        <f t="shared" si="14"/>
        <v>3</v>
      </c>
      <c r="O87" s="178">
        <f t="shared" si="14"/>
        <v>0</v>
      </c>
      <c r="P87" s="178">
        <f t="shared" si="14"/>
        <v>2</v>
      </c>
      <c r="Q87" s="178">
        <f t="shared" si="14"/>
        <v>4</v>
      </c>
      <c r="R87" s="178">
        <f t="shared" si="14"/>
        <v>0</v>
      </c>
      <c r="S87" s="178">
        <f t="shared" si="14"/>
        <v>0</v>
      </c>
      <c r="T87" s="178">
        <f t="shared" si="14"/>
        <v>3</v>
      </c>
      <c r="U87" s="178">
        <f t="shared" si="14"/>
        <v>4</v>
      </c>
      <c r="V87" s="178">
        <f t="shared" si="14"/>
        <v>5</v>
      </c>
      <c r="W87" s="178">
        <f t="shared" si="14"/>
        <v>4</v>
      </c>
      <c r="X87" s="178">
        <f t="shared" si="14"/>
        <v>5</v>
      </c>
      <c r="Y87" s="178">
        <f t="shared" si="14"/>
        <v>3</v>
      </c>
      <c r="Z87" s="178">
        <f t="shared" si="14"/>
        <v>4</v>
      </c>
      <c r="AA87" s="178">
        <f t="shared" si="14"/>
        <v>6</v>
      </c>
      <c r="AB87" s="178">
        <f t="shared" si="14"/>
        <v>6</v>
      </c>
      <c r="AC87" s="374">
        <f t="shared" si="14"/>
        <v>0</v>
      </c>
      <c r="AD87" s="178">
        <f t="shared" si="14"/>
        <v>2</v>
      </c>
      <c r="AE87" s="178">
        <f t="shared" si="14"/>
        <v>2</v>
      </c>
      <c r="AF87" s="178">
        <f t="shared" si="14"/>
        <v>0</v>
      </c>
      <c r="AG87" s="179">
        <f t="shared" si="13"/>
        <v>96</v>
      </c>
      <c r="AH87" s="175" t="str">
        <f>IF(AG87&lt;&gt;AG84,"*","")</f>
        <v/>
      </c>
    </row>
    <row r="88" spans="1:35" ht="18.75" x14ac:dyDescent="0.25">
      <c r="A88" s="104" t="s">
        <v>127</v>
      </c>
      <c r="B88" s="166">
        <v>3</v>
      </c>
      <c r="C88" s="166">
        <v>1</v>
      </c>
      <c r="D88" s="166">
        <v>3</v>
      </c>
      <c r="E88" s="166"/>
      <c r="F88" s="166"/>
      <c r="G88" s="166">
        <v>6</v>
      </c>
      <c r="H88" s="166">
        <v>9</v>
      </c>
      <c r="I88" s="166">
        <v>3</v>
      </c>
      <c r="J88" s="166">
        <v>2</v>
      </c>
      <c r="K88" s="166"/>
      <c r="L88" s="166"/>
      <c r="M88" s="166"/>
      <c r="N88" s="166">
        <v>2</v>
      </c>
      <c r="O88" s="166"/>
      <c r="P88" s="166">
        <v>1</v>
      </c>
      <c r="Q88" s="166">
        <v>3</v>
      </c>
      <c r="R88" s="166"/>
      <c r="S88" s="166"/>
      <c r="T88" s="166">
        <v>2</v>
      </c>
      <c r="U88" s="166">
        <v>4</v>
      </c>
      <c r="V88" s="166">
        <v>5</v>
      </c>
      <c r="W88" s="166">
        <v>2</v>
      </c>
      <c r="X88" s="166">
        <v>4</v>
      </c>
      <c r="Y88" s="166">
        <v>2</v>
      </c>
      <c r="Z88" s="166">
        <v>4</v>
      </c>
      <c r="AA88" s="166"/>
      <c r="AB88" s="166">
        <v>3</v>
      </c>
      <c r="AC88" s="380"/>
      <c r="AD88" s="166">
        <v>1</v>
      </c>
      <c r="AE88" s="166">
        <v>2</v>
      </c>
      <c r="AF88" s="167"/>
      <c r="AG88" s="132">
        <f t="shared" si="13"/>
        <v>62</v>
      </c>
    </row>
    <row r="89" spans="1:35" ht="18.75" x14ac:dyDescent="0.25">
      <c r="A89" s="105" t="s">
        <v>73</v>
      </c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379"/>
      <c r="AD89" s="9"/>
      <c r="AE89" s="9"/>
      <c r="AF89" s="10"/>
      <c r="AG89" s="4">
        <f t="shared" si="13"/>
        <v>0</v>
      </c>
    </row>
    <row r="90" spans="1:35" ht="18.75" x14ac:dyDescent="0.25">
      <c r="A90" s="105" t="s">
        <v>74</v>
      </c>
      <c r="B90" s="9"/>
      <c r="C90" s="9"/>
      <c r="D90" s="9"/>
      <c r="E90" s="9"/>
      <c r="F90" s="9"/>
      <c r="G90" s="9"/>
      <c r="H90" s="9"/>
      <c r="I90" s="9"/>
      <c r="J90" s="9"/>
      <c r="K90" s="9"/>
      <c r="L90" s="9">
        <v>1</v>
      </c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379"/>
      <c r="AD90" s="9"/>
      <c r="AE90" s="9"/>
      <c r="AF90" s="10"/>
      <c r="AG90" s="4">
        <f t="shared" si="13"/>
        <v>1</v>
      </c>
    </row>
    <row r="91" spans="1:35" ht="18.75" x14ac:dyDescent="0.25">
      <c r="A91" s="105" t="s">
        <v>75</v>
      </c>
      <c r="B91" s="9"/>
      <c r="C91" s="9"/>
      <c r="D91" s="9"/>
      <c r="E91" s="9"/>
      <c r="F91" s="9"/>
      <c r="G91" s="9">
        <v>1</v>
      </c>
      <c r="H91" s="9"/>
      <c r="I91" s="9">
        <v>1</v>
      </c>
      <c r="J91" s="9"/>
      <c r="K91" s="9"/>
      <c r="L91" s="9">
        <v>3</v>
      </c>
      <c r="M91" s="9"/>
      <c r="N91" s="9"/>
      <c r="O91" s="9"/>
      <c r="P91" s="9">
        <v>1</v>
      </c>
      <c r="Q91" s="9">
        <v>1</v>
      </c>
      <c r="R91" s="9"/>
      <c r="S91" s="9"/>
      <c r="T91" s="9">
        <v>1</v>
      </c>
      <c r="U91" s="9"/>
      <c r="V91" s="9"/>
      <c r="W91" s="9">
        <v>1</v>
      </c>
      <c r="X91" s="9">
        <v>1</v>
      </c>
      <c r="Y91" s="9">
        <v>1</v>
      </c>
      <c r="Z91" s="9"/>
      <c r="AA91" s="9">
        <v>6</v>
      </c>
      <c r="AB91" s="9"/>
      <c r="AC91" s="379"/>
      <c r="AD91" s="9"/>
      <c r="AE91" s="9"/>
      <c r="AF91" s="10"/>
      <c r="AG91" s="4">
        <f t="shared" si="13"/>
        <v>17</v>
      </c>
    </row>
    <row r="92" spans="1:35" ht="19.5" thickBot="1" x14ac:dyDescent="0.3">
      <c r="A92" s="105" t="s">
        <v>76</v>
      </c>
      <c r="B92" s="9">
        <v>1</v>
      </c>
      <c r="C92" s="9">
        <v>1</v>
      </c>
      <c r="D92" s="9"/>
      <c r="E92" s="9"/>
      <c r="F92" s="9">
        <v>1</v>
      </c>
      <c r="G92" s="9">
        <v>4</v>
      </c>
      <c r="H92" s="9">
        <v>1</v>
      </c>
      <c r="I92" s="9">
        <v>1</v>
      </c>
      <c r="J92" s="9"/>
      <c r="K92" s="9">
        <v>1</v>
      </c>
      <c r="L92" s="9"/>
      <c r="M92" s="9"/>
      <c r="N92" s="9">
        <v>1</v>
      </c>
      <c r="O92" s="9"/>
      <c r="P92" s="9"/>
      <c r="Q92" s="9"/>
      <c r="R92" s="9"/>
      <c r="S92" s="9"/>
      <c r="T92" s="9"/>
      <c r="U92" s="9"/>
      <c r="V92" s="9"/>
      <c r="W92" s="9">
        <v>1</v>
      </c>
      <c r="X92" s="9"/>
      <c r="Y92" s="9"/>
      <c r="Z92" s="9"/>
      <c r="AA92" s="9"/>
      <c r="AB92" s="9">
        <v>3</v>
      </c>
      <c r="AC92" s="379"/>
      <c r="AD92" s="9">
        <v>1</v>
      </c>
      <c r="AE92" s="9"/>
      <c r="AF92" s="10"/>
      <c r="AG92" s="4">
        <f t="shared" si="13"/>
        <v>16</v>
      </c>
    </row>
    <row r="93" spans="1:35" ht="18.75" x14ac:dyDescent="0.25">
      <c r="A93" s="73" t="s">
        <v>615</v>
      </c>
      <c r="B93" s="74">
        <f t="shared" ref="B93:AF93" si="15">+B94+B100</f>
        <v>75</v>
      </c>
      <c r="C93" s="74">
        <f t="shared" si="15"/>
        <v>73</v>
      </c>
      <c r="D93" s="74">
        <f t="shared" si="15"/>
        <v>75</v>
      </c>
      <c r="E93" s="74">
        <f t="shared" si="15"/>
        <v>65</v>
      </c>
      <c r="F93" s="74">
        <f t="shared" si="15"/>
        <v>74</v>
      </c>
      <c r="G93" s="74">
        <f t="shared" si="15"/>
        <v>83</v>
      </c>
      <c r="H93" s="74">
        <f t="shared" si="15"/>
        <v>63</v>
      </c>
      <c r="I93" s="74">
        <f t="shared" si="15"/>
        <v>58</v>
      </c>
      <c r="J93" s="74">
        <f t="shared" si="15"/>
        <v>50</v>
      </c>
      <c r="K93" s="74">
        <f t="shared" si="15"/>
        <v>43</v>
      </c>
      <c r="L93" s="74">
        <f t="shared" si="15"/>
        <v>61</v>
      </c>
      <c r="M93" s="74">
        <f t="shared" si="15"/>
        <v>45</v>
      </c>
      <c r="N93" s="74">
        <f t="shared" si="15"/>
        <v>81</v>
      </c>
      <c r="O93" s="74">
        <f t="shared" si="15"/>
        <v>62</v>
      </c>
      <c r="P93" s="74">
        <f t="shared" si="15"/>
        <v>53</v>
      </c>
      <c r="Q93" s="74">
        <f t="shared" si="15"/>
        <v>58</v>
      </c>
      <c r="R93" s="74">
        <f t="shared" si="15"/>
        <v>79</v>
      </c>
      <c r="S93" s="74">
        <f t="shared" si="15"/>
        <v>78</v>
      </c>
      <c r="T93" s="74">
        <f t="shared" si="15"/>
        <v>77</v>
      </c>
      <c r="U93" s="74">
        <f t="shared" si="15"/>
        <v>70</v>
      </c>
      <c r="V93" s="74">
        <f t="shared" si="15"/>
        <v>61</v>
      </c>
      <c r="W93" s="74">
        <f t="shared" si="15"/>
        <v>55</v>
      </c>
      <c r="X93" s="74">
        <f t="shared" si="15"/>
        <v>77</v>
      </c>
      <c r="Y93" s="74">
        <f t="shared" si="15"/>
        <v>65</v>
      </c>
      <c r="Z93" s="74">
        <f t="shared" si="15"/>
        <v>65</v>
      </c>
      <c r="AA93" s="74">
        <f t="shared" si="15"/>
        <v>72</v>
      </c>
      <c r="AB93" s="74">
        <f t="shared" si="15"/>
        <v>41</v>
      </c>
      <c r="AC93" s="378">
        <f t="shared" si="15"/>
        <v>0</v>
      </c>
      <c r="AD93" s="74">
        <f t="shared" si="15"/>
        <v>52</v>
      </c>
      <c r="AE93" s="74">
        <f t="shared" si="15"/>
        <v>84</v>
      </c>
      <c r="AF93" s="84">
        <f t="shared" si="15"/>
        <v>0</v>
      </c>
      <c r="AG93" s="150">
        <f t="shared" si="13"/>
        <v>1895</v>
      </c>
      <c r="AH93" s="37" t="str">
        <f>IF(AG93&lt;&gt;AG28,"*","")</f>
        <v/>
      </c>
    </row>
    <row r="94" spans="1:35" ht="18.75" x14ac:dyDescent="0.25">
      <c r="A94" s="42" t="s">
        <v>65</v>
      </c>
      <c r="B94" s="17">
        <f t="shared" ref="B94:AF94" si="16">SUM(B95:B99)</f>
        <v>1</v>
      </c>
      <c r="C94" s="17">
        <f t="shared" si="16"/>
        <v>0</v>
      </c>
      <c r="D94" s="17">
        <f t="shared" si="16"/>
        <v>0</v>
      </c>
      <c r="E94" s="17">
        <f t="shared" si="16"/>
        <v>3</v>
      </c>
      <c r="F94" s="17">
        <f t="shared" si="16"/>
        <v>4</v>
      </c>
      <c r="G94" s="17">
        <f t="shared" si="16"/>
        <v>4</v>
      </c>
      <c r="H94" s="17">
        <f t="shared" si="16"/>
        <v>2</v>
      </c>
      <c r="I94" s="17">
        <f t="shared" si="16"/>
        <v>2</v>
      </c>
      <c r="J94" s="17">
        <f t="shared" si="16"/>
        <v>5</v>
      </c>
      <c r="K94" s="17">
        <f t="shared" si="16"/>
        <v>1</v>
      </c>
      <c r="L94" s="17">
        <f t="shared" si="16"/>
        <v>4</v>
      </c>
      <c r="M94" s="17">
        <f t="shared" si="16"/>
        <v>4</v>
      </c>
      <c r="N94" s="17">
        <f t="shared" si="16"/>
        <v>3</v>
      </c>
      <c r="O94" s="17">
        <f t="shared" si="16"/>
        <v>1</v>
      </c>
      <c r="P94" s="17">
        <f t="shared" si="16"/>
        <v>1</v>
      </c>
      <c r="Q94" s="17">
        <f t="shared" si="16"/>
        <v>5</v>
      </c>
      <c r="R94" s="17">
        <f t="shared" si="16"/>
        <v>6</v>
      </c>
      <c r="S94" s="17">
        <f t="shared" si="16"/>
        <v>4</v>
      </c>
      <c r="T94" s="17">
        <f t="shared" si="16"/>
        <v>0</v>
      </c>
      <c r="U94" s="17">
        <f t="shared" si="16"/>
        <v>5</v>
      </c>
      <c r="V94" s="17">
        <f t="shared" si="16"/>
        <v>4</v>
      </c>
      <c r="W94" s="17">
        <f t="shared" si="16"/>
        <v>3</v>
      </c>
      <c r="X94" s="17">
        <f t="shared" si="16"/>
        <v>4</v>
      </c>
      <c r="Y94" s="17">
        <f t="shared" si="16"/>
        <v>4</v>
      </c>
      <c r="Z94" s="17">
        <f t="shared" si="16"/>
        <v>2</v>
      </c>
      <c r="AA94" s="17">
        <f t="shared" si="16"/>
        <v>5</v>
      </c>
      <c r="AB94" s="17">
        <f t="shared" si="16"/>
        <v>5</v>
      </c>
      <c r="AC94" s="376">
        <f t="shared" si="16"/>
        <v>0</v>
      </c>
      <c r="AD94" s="17">
        <f t="shared" si="16"/>
        <v>6</v>
      </c>
      <c r="AE94" s="17">
        <f t="shared" si="16"/>
        <v>4</v>
      </c>
      <c r="AF94" s="18">
        <f t="shared" si="16"/>
        <v>0</v>
      </c>
      <c r="AG94" s="4">
        <f t="shared" si="13"/>
        <v>92</v>
      </c>
    </row>
    <row r="95" spans="1:35" ht="18.75" x14ac:dyDescent="0.25">
      <c r="A95" s="44" t="s">
        <v>81</v>
      </c>
      <c r="B95" s="7"/>
      <c r="C95" s="7"/>
      <c r="D95" s="7"/>
      <c r="E95" s="7"/>
      <c r="F95" s="7">
        <v>1</v>
      </c>
      <c r="G95" s="7">
        <v>1</v>
      </c>
      <c r="H95" s="7">
        <v>1</v>
      </c>
      <c r="I95" s="7"/>
      <c r="J95" s="7"/>
      <c r="K95" s="7"/>
      <c r="L95" s="7"/>
      <c r="M95" s="7"/>
      <c r="N95" s="7">
        <v>1</v>
      </c>
      <c r="O95" s="7"/>
      <c r="P95" s="7"/>
      <c r="Q95" s="7"/>
      <c r="R95" s="7"/>
      <c r="S95" s="7"/>
      <c r="T95" s="7"/>
      <c r="U95" s="7"/>
      <c r="V95" s="7"/>
      <c r="W95" s="7"/>
      <c r="X95" s="7">
        <v>1</v>
      </c>
      <c r="Y95" s="7"/>
      <c r="Z95" s="7"/>
      <c r="AA95" s="7"/>
      <c r="AB95" s="7"/>
      <c r="AC95" s="376"/>
      <c r="AD95" s="7"/>
      <c r="AE95" s="7"/>
      <c r="AF95" s="8"/>
      <c r="AG95" s="4">
        <f t="shared" si="13"/>
        <v>5</v>
      </c>
    </row>
    <row r="96" spans="1:35" ht="18.75" x14ac:dyDescent="0.25">
      <c r="A96" s="45" t="s">
        <v>82</v>
      </c>
      <c r="B96" s="7"/>
      <c r="C96" s="7"/>
      <c r="D96" s="7"/>
      <c r="E96" s="7"/>
      <c r="F96" s="7">
        <v>1</v>
      </c>
      <c r="G96" s="7"/>
      <c r="H96" s="7"/>
      <c r="I96" s="7"/>
      <c r="J96" s="7">
        <v>1</v>
      </c>
      <c r="K96" s="7"/>
      <c r="L96" s="7">
        <v>1</v>
      </c>
      <c r="M96" s="7"/>
      <c r="N96" s="7">
        <v>2</v>
      </c>
      <c r="O96" s="7"/>
      <c r="P96" s="7"/>
      <c r="Q96" s="7"/>
      <c r="R96" s="7">
        <v>1</v>
      </c>
      <c r="S96" s="141"/>
      <c r="T96" s="7"/>
      <c r="U96" s="7">
        <v>1</v>
      </c>
      <c r="V96" s="7">
        <v>2</v>
      </c>
      <c r="W96" s="7">
        <v>1</v>
      </c>
      <c r="X96" s="7">
        <v>1</v>
      </c>
      <c r="Y96" s="7"/>
      <c r="Z96" s="7"/>
      <c r="AA96" s="7"/>
      <c r="AB96" s="7"/>
      <c r="AC96" s="376"/>
      <c r="AD96" s="7"/>
      <c r="AE96" s="7">
        <v>1</v>
      </c>
      <c r="AF96" s="8"/>
      <c r="AG96" s="4">
        <f t="shared" si="13"/>
        <v>12</v>
      </c>
    </row>
    <row r="97" spans="1:33" ht="18.75" x14ac:dyDescent="0.25">
      <c r="A97" s="46" t="s">
        <v>70</v>
      </c>
      <c r="B97" s="7"/>
      <c r="C97" s="7"/>
      <c r="D97" s="7"/>
      <c r="E97" s="7">
        <v>2</v>
      </c>
      <c r="F97" s="7">
        <v>2</v>
      </c>
      <c r="G97" s="7"/>
      <c r="H97" s="7">
        <v>1</v>
      </c>
      <c r="I97" s="7">
        <v>1</v>
      </c>
      <c r="J97" s="7">
        <v>2</v>
      </c>
      <c r="K97" s="7"/>
      <c r="L97" s="7"/>
      <c r="M97" s="7">
        <v>2</v>
      </c>
      <c r="N97" s="7"/>
      <c r="O97" s="7"/>
      <c r="P97" s="7"/>
      <c r="Q97" s="7">
        <v>1</v>
      </c>
      <c r="R97" s="7">
        <v>2</v>
      </c>
      <c r="S97" s="7"/>
      <c r="T97" s="7"/>
      <c r="U97" s="7">
        <v>2</v>
      </c>
      <c r="V97" s="7"/>
      <c r="W97" s="7">
        <v>1</v>
      </c>
      <c r="X97" s="7"/>
      <c r="Y97" s="7"/>
      <c r="Z97" s="7"/>
      <c r="AA97" s="7"/>
      <c r="AB97" s="7">
        <v>1</v>
      </c>
      <c r="AC97" s="376"/>
      <c r="AD97" s="7">
        <v>2</v>
      </c>
      <c r="AE97" s="7"/>
      <c r="AF97" s="8"/>
      <c r="AG97" s="4">
        <f t="shared" si="13"/>
        <v>19</v>
      </c>
    </row>
    <row r="98" spans="1:33" ht="18.75" x14ac:dyDescent="0.25">
      <c r="A98" s="47" t="s">
        <v>6</v>
      </c>
      <c r="B98" s="7"/>
      <c r="C98" s="7"/>
      <c r="D98" s="7"/>
      <c r="E98" s="7"/>
      <c r="F98" s="7"/>
      <c r="G98" s="7">
        <v>2</v>
      </c>
      <c r="H98" s="7"/>
      <c r="I98" s="7">
        <v>1</v>
      </c>
      <c r="J98" s="7">
        <v>1</v>
      </c>
      <c r="K98" s="7">
        <v>1</v>
      </c>
      <c r="L98" s="7">
        <v>1</v>
      </c>
      <c r="M98" s="7">
        <v>2</v>
      </c>
      <c r="N98" s="7"/>
      <c r="O98" s="7"/>
      <c r="P98" s="7">
        <v>1</v>
      </c>
      <c r="Q98" s="7">
        <v>2</v>
      </c>
      <c r="R98" s="7"/>
      <c r="S98" s="7">
        <v>1</v>
      </c>
      <c r="T98" s="7"/>
      <c r="U98" s="7">
        <v>2</v>
      </c>
      <c r="V98" s="7">
        <v>2</v>
      </c>
      <c r="W98" s="7">
        <v>1</v>
      </c>
      <c r="X98" s="7">
        <v>1</v>
      </c>
      <c r="Y98" s="7">
        <v>3</v>
      </c>
      <c r="Z98" s="7"/>
      <c r="AA98" s="7">
        <v>1</v>
      </c>
      <c r="AB98" s="7">
        <v>1</v>
      </c>
      <c r="AC98" s="376"/>
      <c r="AD98" s="7">
        <v>2</v>
      </c>
      <c r="AE98" s="7"/>
      <c r="AF98" s="8"/>
      <c r="AG98" s="4">
        <f t="shared" si="13"/>
        <v>25</v>
      </c>
    </row>
    <row r="99" spans="1:33" ht="18.75" x14ac:dyDescent="0.25">
      <c r="A99" s="48" t="s">
        <v>7</v>
      </c>
      <c r="B99" s="7">
        <v>1</v>
      </c>
      <c r="C99" s="7"/>
      <c r="D99" s="7"/>
      <c r="E99" s="7">
        <v>1</v>
      </c>
      <c r="F99" s="7"/>
      <c r="G99" s="7">
        <v>1</v>
      </c>
      <c r="H99" s="7"/>
      <c r="I99" s="7"/>
      <c r="J99" s="7">
        <v>1</v>
      </c>
      <c r="K99" s="7"/>
      <c r="L99" s="7">
        <v>2</v>
      </c>
      <c r="M99" s="7"/>
      <c r="N99" s="7"/>
      <c r="O99" s="7">
        <v>1</v>
      </c>
      <c r="P99" s="7"/>
      <c r="Q99" s="7">
        <v>2</v>
      </c>
      <c r="R99" s="7">
        <v>3</v>
      </c>
      <c r="S99" s="7">
        <v>3</v>
      </c>
      <c r="T99" s="7"/>
      <c r="U99" s="7"/>
      <c r="V99" s="7"/>
      <c r="W99" s="7"/>
      <c r="X99" s="7">
        <v>1</v>
      </c>
      <c r="Y99" s="7">
        <v>1</v>
      </c>
      <c r="Z99" s="7">
        <v>2</v>
      </c>
      <c r="AA99" s="7">
        <v>4</v>
      </c>
      <c r="AB99" s="7">
        <v>3</v>
      </c>
      <c r="AC99" s="376"/>
      <c r="AD99" s="7">
        <v>2</v>
      </c>
      <c r="AE99" s="7">
        <v>3</v>
      </c>
      <c r="AF99" s="8"/>
      <c r="AG99" s="4">
        <f t="shared" si="13"/>
        <v>31</v>
      </c>
    </row>
    <row r="100" spans="1:33" ht="18.75" x14ac:dyDescent="0.25">
      <c r="A100" s="42" t="s">
        <v>66</v>
      </c>
      <c r="B100" s="17">
        <f t="shared" ref="B100:AF100" si="17">SUM(B101:B115)</f>
        <v>74</v>
      </c>
      <c r="C100" s="17">
        <f t="shared" si="17"/>
        <v>73</v>
      </c>
      <c r="D100" s="17">
        <f t="shared" si="17"/>
        <v>75</v>
      </c>
      <c r="E100" s="17">
        <f t="shared" si="17"/>
        <v>62</v>
      </c>
      <c r="F100" s="17">
        <f t="shared" si="17"/>
        <v>70</v>
      </c>
      <c r="G100" s="17">
        <f t="shared" si="17"/>
        <v>79</v>
      </c>
      <c r="H100" s="17">
        <f t="shared" si="17"/>
        <v>61</v>
      </c>
      <c r="I100" s="17">
        <f t="shared" si="17"/>
        <v>56</v>
      </c>
      <c r="J100" s="17">
        <f t="shared" si="17"/>
        <v>45</v>
      </c>
      <c r="K100" s="17">
        <f t="shared" si="17"/>
        <v>42</v>
      </c>
      <c r="L100" s="17">
        <f t="shared" si="17"/>
        <v>57</v>
      </c>
      <c r="M100" s="17">
        <f t="shared" si="17"/>
        <v>41</v>
      </c>
      <c r="N100" s="17">
        <f t="shared" si="17"/>
        <v>78</v>
      </c>
      <c r="O100" s="17">
        <f t="shared" si="17"/>
        <v>61</v>
      </c>
      <c r="P100" s="17">
        <f t="shared" si="17"/>
        <v>52</v>
      </c>
      <c r="Q100" s="17">
        <f t="shared" si="17"/>
        <v>53</v>
      </c>
      <c r="R100" s="17">
        <f t="shared" si="17"/>
        <v>73</v>
      </c>
      <c r="S100" s="17">
        <f t="shared" si="17"/>
        <v>74</v>
      </c>
      <c r="T100" s="17">
        <f t="shared" si="17"/>
        <v>77</v>
      </c>
      <c r="U100" s="17">
        <f t="shared" si="17"/>
        <v>65</v>
      </c>
      <c r="V100" s="17">
        <f t="shared" si="17"/>
        <v>57</v>
      </c>
      <c r="W100" s="17">
        <f t="shared" si="17"/>
        <v>52</v>
      </c>
      <c r="X100" s="17">
        <f t="shared" si="17"/>
        <v>73</v>
      </c>
      <c r="Y100" s="17">
        <f t="shared" si="17"/>
        <v>61</v>
      </c>
      <c r="Z100" s="17">
        <f t="shared" si="17"/>
        <v>63</v>
      </c>
      <c r="AA100" s="17">
        <f t="shared" si="17"/>
        <v>67</v>
      </c>
      <c r="AB100" s="17">
        <f t="shared" si="17"/>
        <v>36</v>
      </c>
      <c r="AC100" s="376">
        <f t="shared" si="17"/>
        <v>0</v>
      </c>
      <c r="AD100" s="17">
        <f t="shared" si="17"/>
        <v>46</v>
      </c>
      <c r="AE100" s="17">
        <f t="shared" si="17"/>
        <v>80</v>
      </c>
      <c r="AF100" s="18">
        <f t="shared" si="17"/>
        <v>0</v>
      </c>
      <c r="AG100" s="4">
        <f t="shared" si="13"/>
        <v>1803</v>
      </c>
    </row>
    <row r="101" spans="1:33" ht="18.75" x14ac:dyDescent="0.25">
      <c r="A101" s="48" t="s">
        <v>8</v>
      </c>
      <c r="B101" s="7">
        <v>4</v>
      </c>
      <c r="C101" s="7">
        <v>6</v>
      </c>
      <c r="D101" s="7">
        <v>3</v>
      </c>
      <c r="E101" s="7">
        <v>2</v>
      </c>
      <c r="F101" s="7">
        <v>2</v>
      </c>
      <c r="G101" s="7">
        <v>3</v>
      </c>
      <c r="H101" s="7">
        <v>1</v>
      </c>
      <c r="I101" s="7">
        <v>2</v>
      </c>
      <c r="J101" s="7">
        <v>1</v>
      </c>
      <c r="K101" s="7">
        <v>1</v>
      </c>
      <c r="L101" s="7">
        <v>1</v>
      </c>
      <c r="M101" s="7">
        <v>2</v>
      </c>
      <c r="N101" s="7">
        <v>1</v>
      </c>
      <c r="O101" s="7">
        <v>4</v>
      </c>
      <c r="P101" s="7">
        <v>1</v>
      </c>
      <c r="Q101" s="7">
        <v>2</v>
      </c>
      <c r="R101" s="7">
        <v>2</v>
      </c>
      <c r="S101" s="7">
        <v>8</v>
      </c>
      <c r="T101" s="7">
        <v>7</v>
      </c>
      <c r="U101" s="7">
        <v>3</v>
      </c>
      <c r="V101" s="7">
        <v>1</v>
      </c>
      <c r="W101" s="7">
        <v>7</v>
      </c>
      <c r="X101" s="7">
        <v>7</v>
      </c>
      <c r="Y101" s="7">
        <v>2</v>
      </c>
      <c r="Z101" s="7">
        <v>2</v>
      </c>
      <c r="AA101" s="7">
        <v>2</v>
      </c>
      <c r="AB101" s="7">
        <v>1</v>
      </c>
      <c r="AC101" s="376"/>
      <c r="AD101" s="7">
        <v>2</v>
      </c>
      <c r="AE101" s="7">
        <v>3</v>
      </c>
      <c r="AF101" s="8"/>
      <c r="AG101" s="4">
        <f t="shared" si="13"/>
        <v>83</v>
      </c>
    </row>
    <row r="102" spans="1:33" ht="18.75" x14ac:dyDescent="0.25">
      <c r="A102" s="48" t="s">
        <v>9</v>
      </c>
      <c r="B102" s="7">
        <v>6</v>
      </c>
      <c r="C102" s="7">
        <v>6</v>
      </c>
      <c r="D102" s="7">
        <v>7</v>
      </c>
      <c r="E102" s="7">
        <v>3</v>
      </c>
      <c r="F102" s="7">
        <v>4</v>
      </c>
      <c r="G102" s="7">
        <v>7</v>
      </c>
      <c r="H102" s="7">
        <v>9</v>
      </c>
      <c r="I102" s="7">
        <v>7</v>
      </c>
      <c r="J102" s="7">
        <v>3</v>
      </c>
      <c r="K102" s="7">
        <v>4</v>
      </c>
      <c r="L102" s="7">
        <v>4</v>
      </c>
      <c r="M102" s="7">
        <v>3</v>
      </c>
      <c r="N102" s="7">
        <v>7</v>
      </c>
      <c r="O102" s="7">
        <v>6</v>
      </c>
      <c r="P102" s="7">
        <v>7</v>
      </c>
      <c r="Q102" s="7">
        <v>8</v>
      </c>
      <c r="R102" s="7">
        <v>7</v>
      </c>
      <c r="S102" s="7">
        <v>9</v>
      </c>
      <c r="T102" s="7">
        <v>8</v>
      </c>
      <c r="U102" s="7">
        <v>7</v>
      </c>
      <c r="V102" s="7">
        <v>5</v>
      </c>
      <c r="W102" s="7">
        <v>10</v>
      </c>
      <c r="X102" s="7">
        <v>10</v>
      </c>
      <c r="Y102" s="7">
        <v>3</v>
      </c>
      <c r="Z102" s="7">
        <v>11</v>
      </c>
      <c r="AA102" s="7">
        <v>6</v>
      </c>
      <c r="AB102" s="7">
        <v>1</v>
      </c>
      <c r="AC102" s="376"/>
      <c r="AD102" s="7">
        <v>6</v>
      </c>
      <c r="AE102" s="7">
        <v>5</v>
      </c>
      <c r="AF102" s="8"/>
      <c r="AG102" s="4">
        <f t="shared" si="13"/>
        <v>179</v>
      </c>
    </row>
    <row r="103" spans="1:33" ht="18.75" x14ac:dyDescent="0.25">
      <c r="A103" s="49" t="s">
        <v>10</v>
      </c>
      <c r="B103" s="7">
        <v>10</v>
      </c>
      <c r="C103" s="7">
        <v>5</v>
      </c>
      <c r="D103" s="7">
        <v>8</v>
      </c>
      <c r="E103" s="7">
        <v>7</v>
      </c>
      <c r="F103" s="7">
        <v>6</v>
      </c>
      <c r="G103" s="7">
        <v>11</v>
      </c>
      <c r="H103" s="7">
        <v>9</v>
      </c>
      <c r="I103" s="7">
        <v>5</v>
      </c>
      <c r="J103" s="7">
        <v>5</v>
      </c>
      <c r="K103" s="7">
        <v>5</v>
      </c>
      <c r="L103" s="7">
        <v>2</v>
      </c>
      <c r="M103" s="7">
        <v>5</v>
      </c>
      <c r="N103" s="7">
        <v>6</v>
      </c>
      <c r="O103" s="7">
        <v>7</v>
      </c>
      <c r="P103" s="7">
        <v>2</v>
      </c>
      <c r="Q103" s="7">
        <v>9</v>
      </c>
      <c r="R103" s="7">
        <v>7</v>
      </c>
      <c r="S103" s="7">
        <v>8</v>
      </c>
      <c r="T103" s="7">
        <v>9</v>
      </c>
      <c r="U103" s="7">
        <v>5</v>
      </c>
      <c r="V103" s="7">
        <v>7</v>
      </c>
      <c r="W103" s="7">
        <v>3</v>
      </c>
      <c r="X103" s="7">
        <v>5</v>
      </c>
      <c r="Y103" s="7">
        <v>7</v>
      </c>
      <c r="Z103" s="7">
        <v>5</v>
      </c>
      <c r="AA103" s="7">
        <v>5</v>
      </c>
      <c r="AB103" s="7">
        <v>4</v>
      </c>
      <c r="AC103" s="376"/>
      <c r="AD103" s="7">
        <v>4</v>
      </c>
      <c r="AE103" s="7">
        <v>5</v>
      </c>
      <c r="AF103" s="8"/>
      <c r="AG103" s="4">
        <f t="shared" si="13"/>
        <v>176</v>
      </c>
    </row>
    <row r="104" spans="1:33" ht="18.75" x14ac:dyDescent="0.25">
      <c r="A104" s="49" t="s">
        <v>11</v>
      </c>
      <c r="B104" s="7">
        <v>7</v>
      </c>
      <c r="C104" s="7">
        <v>13</v>
      </c>
      <c r="D104" s="7">
        <v>7</v>
      </c>
      <c r="E104" s="7">
        <v>6</v>
      </c>
      <c r="F104" s="7">
        <v>9</v>
      </c>
      <c r="G104" s="7">
        <v>5</v>
      </c>
      <c r="H104" s="7">
        <v>8</v>
      </c>
      <c r="I104" s="7">
        <v>6</v>
      </c>
      <c r="J104" s="7">
        <v>4</v>
      </c>
      <c r="K104" s="7">
        <v>6</v>
      </c>
      <c r="L104" s="7">
        <v>5</v>
      </c>
      <c r="M104" s="7">
        <v>4</v>
      </c>
      <c r="N104" s="7">
        <v>3</v>
      </c>
      <c r="O104" s="7">
        <v>5</v>
      </c>
      <c r="P104" s="7">
        <v>4</v>
      </c>
      <c r="Q104" s="7">
        <v>4</v>
      </c>
      <c r="R104" s="7">
        <v>8</v>
      </c>
      <c r="S104" s="7">
        <v>6</v>
      </c>
      <c r="T104" s="7">
        <v>6</v>
      </c>
      <c r="U104" s="7">
        <v>6</v>
      </c>
      <c r="V104" s="7">
        <v>5</v>
      </c>
      <c r="W104" s="7">
        <v>3</v>
      </c>
      <c r="X104" s="7">
        <v>6</v>
      </c>
      <c r="Y104" s="7">
        <v>3</v>
      </c>
      <c r="Z104" s="7">
        <v>2</v>
      </c>
      <c r="AA104" s="7">
        <v>7</v>
      </c>
      <c r="AB104" s="7">
        <v>2</v>
      </c>
      <c r="AC104" s="376"/>
      <c r="AD104" s="7">
        <v>7</v>
      </c>
      <c r="AE104" s="7">
        <v>13</v>
      </c>
      <c r="AF104" s="8"/>
      <c r="AG104" s="4">
        <f t="shared" si="13"/>
        <v>170</v>
      </c>
    </row>
    <row r="105" spans="1:33" ht="18.75" x14ac:dyDescent="0.25">
      <c r="A105" s="49" t="s">
        <v>12</v>
      </c>
      <c r="B105" s="7">
        <v>9</v>
      </c>
      <c r="C105" s="7">
        <v>12</v>
      </c>
      <c r="D105" s="7">
        <v>11</v>
      </c>
      <c r="E105" s="7">
        <v>10</v>
      </c>
      <c r="F105" s="7">
        <v>13</v>
      </c>
      <c r="G105" s="7">
        <v>9</v>
      </c>
      <c r="H105" s="7">
        <v>7</v>
      </c>
      <c r="I105" s="7">
        <v>3</v>
      </c>
      <c r="J105" s="7">
        <v>2</v>
      </c>
      <c r="K105" s="7">
        <v>5</v>
      </c>
      <c r="L105" s="7">
        <v>12</v>
      </c>
      <c r="M105" s="7">
        <v>3</v>
      </c>
      <c r="N105" s="7">
        <v>4</v>
      </c>
      <c r="O105" s="7">
        <v>1</v>
      </c>
      <c r="P105" s="7">
        <v>6</v>
      </c>
      <c r="Q105" s="7">
        <v>7</v>
      </c>
      <c r="R105" s="7">
        <v>10</v>
      </c>
      <c r="S105" s="7">
        <v>7</v>
      </c>
      <c r="T105" s="7">
        <v>9</v>
      </c>
      <c r="U105" s="7">
        <v>5</v>
      </c>
      <c r="V105" s="7">
        <v>3</v>
      </c>
      <c r="W105" s="7">
        <v>4</v>
      </c>
      <c r="X105" s="7">
        <v>8</v>
      </c>
      <c r="Y105" s="7">
        <v>7</v>
      </c>
      <c r="Z105" s="7">
        <v>7</v>
      </c>
      <c r="AA105" s="7">
        <v>5</v>
      </c>
      <c r="AB105" s="7">
        <v>3</v>
      </c>
      <c r="AC105" s="376"/>
      <c r="AD105" s="7">
        <v>7</v>
      </c>
      <c r="AE105" s="7">
        <v>7</v>
      </c>
      <c r="AF105" s="8"/>
      <c r="AG105" s="4">
        <f t="shared" si="13"/>
        <v>196</v>
      </c>
    </row>
    <row r="106" spans="1:33" ht="18.75" x14ac:dyDescent="0.25">
      <c r="A106" s="49" t="s">
        <v>13</v>
      </c>
      <c r="B106" s="7">
        <v>6</v>
      </c>
      <c r="C106" s="7">
        <v>8</v>
      </c>
      <c r="D106" s="7">
        <v>7</v>
      </c>
      <c r="E106" s="7">
        <v>5</v>
      </c>
      <c r="F106" s="7">
        <v>8</v>
      </c>
      <c r="G106" s="7">
        <v>5</v>
      </c>
      <c r="H106" s="7">
        <v>6</v>
      </c>
      <c r="I106" s="7">
        <v>5</v>
      </c>
      <c r="J106" s="7">
        <v>1</v>
      </c>
      <c r="K106" s="7">
        <v>2</v>
      </c>
      <c r="L106" s="7">
        <v>3</v>
      </c>
      <c r="M106" s="7">
        <v>5</v>
      </c>
      <c r="N106" s="7">
        <v>4</v>
      </c>
      <c r="O106" s="7">
        <v>5</v>
      </c>
      <c r="P106" s="7">
        <v>5</v>
      </c>
      <c r="Q106" s="7">
        <v>4</v>
      </c>
      <c r="R106" s="7">
        <v>10</v>
      </c>
      <c r="S106" s="7">
        <v>4</v>
      </c>
      <c r="T106" s="7">
        <v>7</v>
      </c>
      <c r="U106" s="7">
        <v>8</v>
      </c>
      <c r="V106" s="7">
        <v>6</v>
      </c>
      <c r="W106" s="7">
        <v>6</v>
      </c>
      <c r="X106" s="7">
        <v>5</v>
      </c>
      <c r="Y106" s="7">
        <v>5</v>
      </c>
      <c r="Z106" s="7">
        <v>6</v>
      </c>
      <c r="AA106" s="7">
        <v>4</v>
      </c>
      <c r="AB106" s="7">
        <v>2</v>
      </c>
      <c r="AC106" s="376"/>
      <c r="AD106" s="7">
        <v>2</v>
      </c>
      <c r="AE106" s="7">
        <v>9</v>
      </c>
      <c r="AF106" s="8"/>
      <c r="AG106" s="4">
        <f t="shared" si="13"/>
        <v>153</v>
      </c>
    </row>
    <row r="107" spans="1:33" ht="18.75" x14ac:dyDescent="0.25">
      <c r="A107" s="49" t="s">
        <v>14</v>
      </c>
      <c r="B107" s="7">
        <v>7</v>
      </c>
      <c r="C107" s="7">
        <v>1</v>
      </c>
      <c r="D107" s="7">
        <v>6</v>
      </c>
      <c r="E107" s="7">
        <v>2</v>
      </c>
      <c r="F107" s="7">
        <v>3</v>
      </c>
      <c r="G107" s="7">
        <v>7</v>
      </c>
      <c r="H107" s="7">
        <v>7</v>
      </c>
      <c r="I107" s="7">
        <v>3</v>
      </c>
      <c r="J107" s="7">
        <v>2</v>
      </c>
      <c r="K107" s="7">
        <v>3</v>
      </c>
      <c r="L107" s="7">
        <v>4</v>
      </c>
      <c r="M107" s="7">
        <v>2</v>
      </c>
      <c r="N107" s="7">
        <v>11</v>
      </c>
      <c r="O107" s="7">
        <v>8</v>
      </c>
      <c r="P107" s="7">
        <v>5</v>
      </c>
      <c r="Q107" s="7">
        <v>5</v>
      </c>
      <c r="R107" s="7">
        <v>4</v>
      </c>
      <c r="S107" s="7">
        <v>5</v>
      </c>
      <c r="T107" s="7">
        <v>6</v>
      </c>
      <c r="U107" s="7">
        <v>10</v>
      </c>
      <c r="V107" s="7">
        <v>5</v>
      </c>
      <c r="W107" s="7">
        <v>5</v>
      </c>
      <c r="X107" s="7">
        <v>8</v>
      </c>
      <c r="Y107" s="7">
        <v>8</v>
      </c>
      <c r="Z107" s="7">
        <v>7</v>
      </c>
      <c r="AA107" s="7">
        <v>5</v>
      </c>
      <c r="AB107" s="7">
        <v>1</v>
      </c>
      <c r="AC107" s="376"/>
      <c r="AD107" s="7">
        <v>4</v>
      </c>
      <c r="AE107" s="7">
        <v>2</v>
      </c>
      <c r="AF107" s="8"/>
      <c r="AG107" s="4">
        <f t="shared" si="13"/>
        <v>146</v>
      </c>
    </row>
    <row r="108" spans="1:33" ht="18.75" x14ac:dyDescent="0.25">
      <c r="A108" s="49" t="s">
        <v>15</v>
      </c>
      <c r="B108" s="7">
        <v>7</v>
      </c>
      <c r="C108" s="7">
        <v>3</v>
      </c>
      <c r="D108" s="7">
        <v>6</v>
      </c>
      <c r="E108" s="7">
        <v>4</v>
      </c>
      <c r="F108" s="7">
        <v>10</v>
      </c>
      <c r="G108" s="7">
        <v>6</v>
      </c>
      <c r="H108" s="7">
        <v>3</v>
      </c>
      <c r="I108" s="7">
        <v>6</v>
      </c>
      <c r="J108" s="7">
        <v>4</v>
      </c>
      <c r="K108" s="7">
        <v>6</v>
      </c>
      <c r="L108" s="7">
        <v>6</v>
      </c>
      <c r="M108" s="7">
        <v>4</v>
      </c>
      <c r="N108" s="7">
        <v>11</v>
      </c>
      <c r="O108" s="7">
        <v>7</v>
      </c>
      <c r="P108" s="7">
        <v>5</v>
      </c>
      <c r="Q108" s="7">
        <v>6</v>
      </c>
      <c r="R108" s="7">
        <v>5</v>
      </c>
      <c r="S108" s="7">
        <v>6</v>
      </c>
      <c r="T108" s="7">
        <v>9</v>
      </c>
      <c r="U108" s="7">
        <v>3</v>
      </c>
      <c r="V108" s="7">
        <v>7</v>
      </c>
      <c r="W108" s="7">
        <v>4</v>
      </c>
      <c r="X108" s="7">
        <v>5</v>
      </c>
      <c r="Y108" s="7">
        <v>6</v>
      </c>
      <c r="Z108" s="7">
        <v>7</v>
      </c>
      <c r="AA108" s="7">
        <v>4</v>
      </c>
      <c r="AB108" s="7">
        <v>3</v>
      </c>
      <c r="AC108" s="376"/>
      <c r="AD108" s="7">
        <v>3</v>
      </c>
      <c r="AE108" s="7">
        <v>5</v>
      </c>
      <c r="AF108" s="8"/>
      <c r="AG108" s="4">
        <f t="shared" si="13"/>
        <v>161</v>
      </c>
    </row>
    <row r="109" spans="1:33" ht="18.75" x14ac:dyDescent="0.25">
      <c r="A109" s="49" t="s">
        <v>16</v>
      </c>
      <c r="B109" s="7">
        <v>4</v>
      </c>
      <c r="C109" s="7">
        <v>9</v>
      </c>
      <c r="D109" s="7">
        <v>5</v>
      </c>
      <c r="E109" s="7">
        <v>7</v>
      </c>
      <c r="F109" s="7">
        <v>4</v>
      </c>
      <c r="G109" s="7">
        <v>7</v>
      </c>
      <c r="H109" s="7">
        <v>5</v>
      </c>
      <c r="I109" s="7">
        <v>8</v>
      </c>
      <c r="J109" s="7">
        <v>5</v>
      </c>
      <c r="K109" s="7">
        <v>6</v>
      </c>
      <c r="L109" s="7">
        <v>6</v>
      </c>
      <c r="M109" s="7">
        <v>6</v>
      </c>
      <c r="N109" s="7">
        <v>9</v>
      </c>
      <c r="O109" s="7">
        <v>2</v>
      </c>
      <c r="P109" s="7">
        <v>8</v>
      </c>
      <c r="Q109" s="7">
        <v>2</v>
      </c>
      <c r="R109" s="7">
        <v>5</v>
      </c>
      <c r="S109" s="7">
        <v>6</v>
      </c>
      <c r="T109" s="7">
        <v>6</v>
      </c>
      <c r="U109" s="7">
        <v>9</v>
      </c>
      <c r="V109" s="7">
        <v>3</v>
      </c>
      <c r="W109" s="7">
        <v>2</v>
      </c>
      <c r="X109" s="7">
        <v>5</v>
      </c>
      <c r="Y109" s="7">
        <v>8</v>
      </c>
      <c r="Z109" s="7">
        <v>4</v>
      </c>
      <c r="AA109" s="7">
        <v>6</v>
      </c>
      <c r="AB109" s="7">
        <v>3</v>
      </c>
      <c r="AC109" s="376"/>
      <c r="AD109" s="7">
        <v>2</v>
      </c>
      <c r="AE109" s="7">
        <v>9</v>
      </c>
      <c r="AF109" s="8"/>
      <c r="AG109" s="4">
        <f t="shared" si="13"/>
        <v>161</v>
      </c>
    </row>
    <row r="110" spans="1:33" ht="18.75" x14ac:dyDescent="0.25">
      <c r="A110" s="49" t="s">
        <v>17</v>
      </c>
      <c r="B110" s="7">
        <v>5</v>
      </c>
      <c r="C110" s="7">
        <v>6</v>
      </c>
      <c r="D110" s="7">
        <v>3</v>
      </c>
      <c r="E110" s="7">
        <v>6</v>
      </c>
      <c r="F110" s="7">
        <v>2</v>
      </c>
      <c r="G110" s="7">
        <v>4</v>
      </c>
      <c r="H110" s="7">
        <v>3</v>
      </c>
      <c r="I110" s="7">
        <v>3</v>
      </c>
      <c r="J110" s="7">
        <v>7</v>
      </c>
      <c r="K110" s="7">
        <v>1</v>
      </c>
      <c r="L110" s="7">
        <v>2</v>
      </c>
      <c r="M110" s="7">
        <v>3</v>
      </c>
      <c r="N110" s="7">
        <v>8</v>
      </c>
      <c r="O110" s="7">
        <v>4</v>
      </c>
      <c r="P110" s="7">
        <v>5</v>
      </c>
      <c r="Q110" s="7">
        <v>3</v>
      </c>
      <c r="R110" s="7">
        <v>6</v>
      </c>
      <c r="S110" s="7">
        <v>4</v>
      </c>
      <c r="T110" s="7">
        <v>3</v>
      </c>
      <c r="U110" s="7">
        <v>3</v>
      </c>
      <c r="V110" s="7">
        <v>5</v>
      </c>
      <c r="W110" s="7">
        <v>1</v>
      </c>
      <c r="X110" s="7">
        <v>1</v>
      </c>
      <c r="Y110" s="7">
        <v>4</v>
      </c>
      <c r="Z110" s="7">
        <v>4</v>
      </c>
      <c r="AA110" s="7">
        <v>3</v>
      </c>
      <c r="AB110" s="7">
        <v>6</v>
      </c>
      <c r="AC110" s="376"/>
      <c r="AD110" s="7">
        <v>2</v>
      </c>
      <c r="AE110" s="7">
        <v>7</v>
      </c>
      <c r="AF110" s="8"/>
      <c r="AG110" s="4">
        <f t="shared" si="13"/>
        <v>114</v>
      </c>
    </row>
    <row r="111" spans="1:33" ht="18.75" x14ac:dyDescent="0.25">
      <c r="A111" s="49" t="s">
        <v>18</v>
      </c>
      <c r="B111" s="7">
        <v>3</v>
      </c>
      <c r="C111" s="7">
        <v>2</v>
      </c>
      <c r="D111" s="7">
        <v>5</v>
      </c>
      <c r="E111" s="7">
        <v>5</v>
      </c>
      <c r="F111" s="7">
        <v>2</v>
      </c>
      <c r="G111" s="7">
        <v>7</v>
      </c>
      <c r="H111" s="7"/>
      <c r="I111" s="7">
        <v>3</v>
      </c>
      <c r="J111" s="7">
        <v>1</v>
      </c>
      <c r="K111" s="7"/>
      <c r="L111" s="7">
        <v>4</v>
      </c>
      <c r="M111" s="7">
        <v>3</v>
      </c>
      <c r="N111" s="7">
        <v>7</v>
      </c>
      <c r="O111" s="7">
        <v>6</v>
      </c>
      <c r="P111" s="7">
        <v>2</v>
      </c>
      <c r="Q111" s="7"/>
      <c r="R111" s="7">
        <v>4</v>
      </c>
      <c r="S111" s="7">
        <v>7</v>
      </c>
      <c r="T111" s="7">
        <v>4</v>
      </c>
      <c r="U111" s="7">
        <v>4</v>
      </c>
      <c r="V111" s="7">
        <v>5</v>
      </c>
      <c r="W111" s="7">
        <v>4</v>
      </c>
      <c r="X111" s="7">
        <v>4</v>
      </c>
      <c r="Y111" s="7">
        <v>3</v>
      </c>
      <c r="Z111" s="7">
        <v>3</v>
      </c>
      <c r="AA111" s="7">
        <v>5</v>
      </c>
      <c r="AB111" s="7">
        <v>5</v>
      </c>
      <c r="AC111" s="376"/>
      <c r="AD111" s="7">
        <v>2</v>
      </c>
      <c r="AE111" s="7">
        <v>5</v>
      </c>
      <c r="AF111" s="8"/>
      <c r="AG111" s="4">
        <f t="shared" si="13"/>
        <v>105</v>
      </c>
    </row>
    <row r="112" spans="1:33" ht="18.75" x14ac:dyDescent="0.25">
      <c r="A112" s="49" t="s">
        <v>19</v>
      </c>
      <c r="B112" s="7">
        <v>2</v>
      </c>
      <c r="C112" s="7">
        <v>1</v>
      </c>
      <c r="D112" s="7">
        <v>3</v>
      </c>
      <c r="E112" s="7">
        <v>1</v>
      </c>
      <c r="F112" s="7">
        <v>4</v>
      </c>
      <c r="G112" s="7">
        <v>5</v>
      </c>
      <c r="H112" s="7">
        <v>2</v>
      </c>
      <c r="I112" s="7">
        <v>2</v>
      </c>
      <c r="J112" s="7">
        <v>4</v>
      </c>
      <c r="K112" s="7">
        <v>1</v>
      </c>
      <c r="L112" s="7">
        <v>3</v>
      </c>
      <c r="M112" s="7"/>
      <c r="N112" s="7">
        <v>4</v>
      </c>
      <c r="O112" s="7">
        <v>4</v>
      </c>
      <c r="P112" s="7"/>
      <c r="Q112" s="7">
        <v>1</v>
      </c>
      <c r="R112" s="7">
        <v>2</v>
      </c>
      <c r="S112" s="7">
        <v>3</v>
      </c>
      <c r="T112" s="7">
        <v>1</v>
      </c>
      <c r="U112" s="7"/>
      <c r="V112" s="7">
        <v>2</v>
      </c>
      <c r="W112" s="7">
        <v>3</v>
      </c>
      <c r="X112" s="7">
        <v>5</v>
      </c>
      <c r="Y112" s="7">
        <v>2</v>
      </c>
      <c r="Z112" s="7">
        <v>2</v>
      </c>
      <c r="AA112" s="7">
        <v>6</v>
      </c>
      <c r="AB112" s="7">
        <v>2</v>
      </c>
      <c r="AC112" s="376"/>
      <c r="AD112" s="7">
        <v>1</v>
      </c>
      <c r="AE112" s="7">
        <v>3</v>
      </c>
      <c r="AF112" s="8"/>
      <c r="AG112" s="4">
        <f>SUM(B112:AF112)</f>
        <v>69</v>
      </c>
    </row>
    <row r="113" spans="1:33" ht="18.75" x14ac:dyDescent="0.25">
      <c r="A113" s="49" t="s">
        <v>20</v>
      </c>
      <c r="B113" s="7">
        <v>4</v>
      </c>
      <c r="C113" s="7"/>
      <c r="D113" s="7">
        <v>2</v>
      </c>
      <c r="E113" s="7">
        <v>1</v>
      </c>
      <c r="F113" s="7">
        <v>2</v>
      </c>
      <c r="G113" s="7">
        <v>1</v>
      </c>
      <c r="H113" s="7">
        <v>1</v>
      </c>
      <c r="I113" s="7"/>
      <c r="J113" s="7">
        <v>4</v>
      </c>
      <c r="K113" s="7">
        <v>2</v>
      </c>
      <c r="L113" s="7">
        <v>3</v>
      </c>
      <c r="M113" s="7">
        <v>1</v>
      </c>
      <c r="N113" s="7">
        <v>1</v>
      </c>
      <c r="O113" s="7">
        <v>1</v>
      </c>
      <c r="P113" s="7"/>
      <c r="Q113" s="7">
        <v>2</v>
      </c>
      <c r="R113" s="7">
        <v>2</v>
      </c>
      <c r="S113" s="7"/>
      <c r="T113" s="7">
        <v>1</v>
      </c>
      <c r="U113" s="7">
        <v>1</v>
      </c>
      <c r="V113" s="7">
        <v>2</v>
      </c>
      <c r="W113" s="7"/>
      <c r="X113" s="7">
        <v>2</v>
      </c>
      <c r="Y113" s="7">
        <v>2</v>
      </c>
      <c r="Z113" s="7">
        <v>3</v>
      </c>
      <c r="AA113" s="7">
        <v>6</v>
      </c>
      <c r="AB113" s="7">
        <v>2</v>
      </c>
      <c r="AC113" s="376"/>
      <c r="AD113" s="7">
        <v>3</v>
      </c>
      <c r="AE113" s="7">
        <v>1</v>
      </c>
      <c r="AF113" s="8"/>
      <c r="AG113" s="4">
        <f t="shared" si="13"/>
        <v>50</v>
      </c>
    </row>
    <row r="114" spans="1:33" ht="18.75" x14ac:dyDescent="0.25">
      <c r="A114" s="49" t="s">
        <v>21</v>
      </c>
      <c r="B114" s="7"/>
      <c r="C114" s="7">
        <v>1</v>
      </c>
      <c r="D114" s="7">
        <v>2</v>
      </c>
      <c r="E114" s="7">
        <v>3</v>
      </c>
      <c r="F114" s="7">
        <v>1</v>
      </c>
      <c r="G114" s="7">
        <v>2</v>
      </c>
      <c r="H114" s="7"/>
      <c r="I114" s="7">
        <v>3</v>
      </c>
      <c r="J114" s="7">
        <v>2</v>
      </c>
      <c r="K114" s="7"/>
      <c r="L114" s="7">
        <v>2</v>
      </c>
      <c r="M114" s="7"/>
      <c r="N114" s="7">
        <v>2</v>
      </c>
      <c r="O114" s="7">
        <v>1</v>
      </c>
      <c r="P114" s="7">
        <v>2</v>
      </c>
      <c r="Q114" s="7"/>
      <c r="R114" s="7">
        <v>1</v>
      </c>
      <c r="S114" s="7">
        <v>1</v>
      </c>
      <c r="T114" s="7">
        <v>1</v>
      </c>
      <c r="U114" s="7">
        <v>1</v>
      </c>
      <c r="V114" s="7">
        <v>1</v>
      </c>
      <c r="W114" s="7"/>
      <c r="X114" s="7">
        <v>2</v>
      </c>
      <c r="Y114" s="7">
        <v>1</v>
      </c>
      <c r="Z114" s="7"/>
      <c r="AA114" s="7">
        <v>3</v>
      </c>
      <c r="AB114" s="7">
        <v>1</v>
      </c>
      <c r="AC114" s="376"/>
      <c r="AD114" s="7">
        <v>1</v>
      </c>
      <c r="AE114" s="7">
        <v>6</v>
      </c>
      <c r="AF114" s="8"/>
      <c r="AG114" s="4">
        <f t="shared" si="13"/>
        <v>40</v>
      </c>
    </row>
    <row r="115" spans="1:33" ht="19.5" thickBot="1" x14ac:dyDescent="0.3">
      <c r="A115" s="76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379"/>
      <c r="AD115" s="11"/>
      <c r="AE115" s="11"/>
      <c r="AF115" s="12"/>
      <c r="AG115" s="4">
        <f t="shared" si="13"/>
        <v>0</v>
      </c>
    </row>
    <row r="116" spans="1:33" ht="18.75" x14ac:dyDescent="0.25">
      <c r="A116" s="73" t="s">
        <v>61</v>
      </c>
      <c r="B116" s="74">
        <f t="shared" ref="B116:AF116" si="18">SUM(B117:B129)</f>
        <v>38</v>
      </c>
      <c r="C116" s="74">
        <f t="shared" si="18"/>
        <v>41</v>
      </c>
      <c r="D116" s="74">
        <f t="shared" si="18"/>
        <v>41</v>
      </c>
      <c r="E116" s="74">
        <f t="shared" si="18"/>
        <v>25</v>
      </c>
      <c r="F116" s="74">
        <f t="shared" si="18"/>
        <v>31</v>
      </c>
      <c r="G116" s="74">
        <f t="shared" si="18"/>
        <v>64</v>
      </c>
      <c r="H116" s="74">
        <f t="shared" si="18"/>
        <v>37</v>
      </c>
      <c r="I116" s="74">
        <f t="shared" si="18"/>
        <v>33</v>
      </c>
      <c r="J116" s="74">
        <f t="shared" si="18"/>
        <v>27</v>
      </c>
      <c r="K116" s="74">
        <f t="shared" si="18"/>
        <v>19</v>
      </c>
      <c r="L116" s="74">
        <f t="shared" si="18"/>
        <v>28</v>
      </c>
      <c r="M116" s="74">
        <f t="shared" si="18"/>
        <v>13</v>
      </c>
      <c r="N116" s="74">
        <f t="shared" si="18"/>
        <v>47</v>
      </c>
      <c r="O116" s="74">
        <f t="shared" si="18"/>
        <v>31</v>
      </c>
      <c r="P116" s="74">
        <f t="shared" si="18"/>
        <v>24</v>
      </c>
      <c r="Q116" s="74">
        <f t="shared" si="18"/>
        <v>32</v>
      </c>
      <c r="R116" s="74">
        <f t="shared" si="18"/>
        <v>30</v>
      </c>
      <c r="S116" s="74">
        <f t="shared" si="18"/>
        <v>33</v>
      </c>
      <c r="T116" s="74">
        <f t="shared" si="18"/>
        <v>29</v>
      </c>
      <c r="U116" s="74">
        <f t="shared" si="18"/>
        <v>28</v>
      </c>
      <c r="V116" s="74">
        <f t="shared" si="18"/>
        <v>35</v>
      </c>
      <c r="W116" s="74">
        <f t="shared" si="18"/>
        <v>31</v>
      </c>
      <c r="X116" s="74">
        <f t="shared" si="18"/>
        <v>42</v>
      </c>
      <c r="Y116" s="74">
        <f t="shared" si="18"/>
        <v>29</v>
      </c>
      <c r="Z116" s="74">
        <f t="shared" si="18"/>
        <v>27</v>
      </c>
      <c r="AA116" s="74">
        <f t="shared" si="18"/>
        <v>27</v>
      </c>
      <c r="AB116" s="74">
        <f t="shared" si="18"/>
        <v>33</v>
      </c>
      <c r="AC116" s="378">
        <f t="shared" si="18"/>
        <v>0</v>
      </c>
      <c r="AD116" s="74">
        <f t="shared" si="18"/>
        <v>25</v>
      </c>
      <c r="AE116" s="74">
        <f t="shared" si="18"/>
        <v>40</v>
      </c>
      <c r="AF116" s="84">
        <f t="shared" si="18"/>
        <v>0</v>
      </c>
      <c r="AG116" s="4">
        <f t="shared" si="13"/>
        <v>940</v>
      </c>
    </row>
    <row r="117" spans="1:33" ht="18.75" x14ac:dyDescent="0.25">
      <c r="A117" s="43" t="s">
        <v>59</v>
      </c>
      <c r="B117" s="7">
        <v>28</v>
      </c>
      <c r="C117" s="7">
        <v>34</v>
      </c>
      <c r="D117" s="7">
        <v>32</v>
      </c>
      <c r="E117" s="7">
        <v>15</v>
      </c>
      <c r="F117" s="7">
        <v>24</v>
      </c>
      <c r="G117" s="7">
        <v>52</v>
      </c>
      <c r="H117" s="7">
        <v>30</v>
      </c>
      <c r="I117" s="7">
        <v>23</v>
      </c>
      <c r="J117" s="7">
        <v>21</v>
      </c>
      <c r="K117" s="7">
        <v>14</v>
      </c>
      <c r="L117" s="7">
        <v>22</v>
      </c>
      <c r="M117" s="7">
        <v>10</v>
      </c>
      <c r="N117" s="7">
        <v>32</v>
      </c>
      <c r="O117" s="7">
        <v>26</v>
      </c>
      <c r="P117" s="7">
        <v>17</v>
      </c>
      <c r="Q117" s="7">
        <v>19</v>
      </c>
      <c r="R117" s="7">
        <v>27</v>
      </c>
      <c r="S117" s="7">
        <v>24</v>
      </c>
      <c r="T117" s="7">
        <v>19</v>
      </c>
      <c r="U117" s="7">
        <v>21</v>
      </c>
      <c r="V117" s="7">
        <v>25</v>
      </c>
      <c r="W117" s="7">
        <v>20</v>
      </c>
      <c r="X117" s="7">
        <v>31</v>
      </c>
      <c r="Y117" s="7">
        <v>22</v>
      </c>
      <c r="Z117" s="7">
        <v>22</v>
      </c>
      <c r="AA117" s="7">
        <v>21</v>
      </c>
      <c r="AB117" s="7">
        <v>29</v>
      </c>
      <c r="AC117" s="376"/>
      <c r="AD117" s="7">
        <v>18</v>
      </c>
      <c r="AE117" s="7">
        <v>28</v>
      </c>
      <c r="AF117" s="8"/>
      <c r="AG117" s="4">
        <f t="shared" si="13"/>
        <v>706</v>
      </c>
    </row>
    <row r="118" spans="1:33" ht="19.5" hidden="1" customHeight="1" thickBot="1" x14ac:dyDescent="0.3">
      <c r="A118" s="43" t="s">
        <v>23</v>
      </c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376"/>
      <c r="AD118" s="7"/>
      <c r="AE118" s="7"/>
      <c r="AF118" s="8"/>
      <c r="AG118" s="4">
        <f t="shared" si="13"/>
        <v>0</v>
      </c>
    </row>
    <row r="119" spans="1:33" ht="19.5" hidden="1" customHeight="1" thickBot="1" x14ac:dyDescent="0.3">
      <c r="A119" s="43" t="s">
        <v>24</v>
      </c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376"/>
      <c r="AD119" s="7"/>
      <c r="AE119" s="7"/>
      <c r="AF119" s="8"/>
      <c r="AG119" s="4">
        <f t="shared" si="13"/>
        <v>0</v>
      </c>
    </row>
    <row r="120" spans="1:33" ht="19.5" hidden="1" customHeight="1" thickBot="1" x14ac:dyDescent="0.3">
      <c r="A120" s="43" t="s">
        <v>25</v>
      </c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376"/>
      <c r="AD120" s="7"/>
      <c r="AE120" s="7"/>
      <c r="AF120" s="8"/>
      <c r="AG120" s="4">
        <f t="shared" si="13"/>
        <v>0</v>
      </c>
    </row>
    <row r="121" spans="1:33" ht="19.5" hidden="1" customHeight="1" thickBot="1" x14ac:dyDescent="0.3">
      <c r="A121" s="43" t="s">
        <v>26</v>
      </c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376"/>
      <c r="AD121" s="7"/>
      <c r="AE121" s="7"/>
      <c r="AF121" s="8"/>
      <c r="AG121" s="4">
        <f t="shared" si="13"/>
        <v>0</v>
      </c>
    </row>
    <row r="122" spans="1:33" ht="19.5" hidden="1" customHeight="1" thickBot="1" x14ac:dyDescent="0.3">
      <c r="A122" s="43" t="s">
        <v>27</v>
      </c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376"/>
      <c r="AD122" s="7"/>
      <c r="AE122" s="7"/>
      <c r="AF122" s="8"/>
      <c r="AG122" s="4">
        <f t="shared" si="13"/>
        <v>0</v>
      </c>
    </row>
    <row r="123" spans="1:33" ht="19.5" hidden="1" customHeight="1" thickBot="1" x14ac:dyDescent="0.3">
      <c r="A123" s="43" t="s">
        <v>28</v>
      </c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376"/>
      <c r="AD123" s="7"/>
      <c r="AE123" s="7"/>
      <c r="AF123" s="8"/>
      <c r="AG123" s="4">
        <f t="shared" si="13"/>
        <v>0</v>
      </c>
    </row>
    <row r="124" spans="1:33" ht="19.5" hidden="1" customHeight="1" thickBot="1" x14ac:dyDescent="0.3">
      <c r="A124" s="43" t="s">
        <v>29</v>
      </c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376"/>
      <c r="AD124" s="7"/>
      <c r="AE124" s="7"/>
      <c r="AF124" s="8"/>
      <c r="AG124" s="4">
        <f t="shared" si="13"/>
        <v>0</v>
      </c>
    </row>
    <row r="125" spans="1:33" ht="19.5" hidden="1" customHeight="1" thickBot="1" x14ac:dyDescent="0.3">
      <c r="A125" s="41" t="s">
        <v>30</v>
      </c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376"/>
      <c r="AD125" s="7"/>
      <c r="AE125" s="7"/>
      <c r="AF125" s="8"/>
      <c r="AG125" s="4">
        <f t="shared" si="13"/>
        <v>0</v>
      </c>
    </row>
    <row r="126" spans="1:33" ht="19.5" hidden="1" customHeight="1" thickBot="1" x14ac:dyDescent="0.3">
      <c r="A126" s="41" t="s">
        <v>31</v>
      </c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376"/>
      <c r="AD126" s="7"/>
      <c r="AE126" s="7"/>
      <c r="AF126" s="8"/>
      <c r="AG126" s="4">
        <f t="shared" si="13"/>
        <v>0</v>
      </c>
    </row>
    <row r="127" spans="1:33" ht="19.5" hidden="1" customHeight="1" thickBot="1" x14ac:dyDescent="0.3">
      <c r="A127" s="41" t="s">
        <v>32</v>
      </c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376"/>
      <c r="AD127" s="7"/>
      <c r="AE127" s="7"/>
      <c r="AF127" s="8"/>
      <c r="AG127" s="4">
        <f t="shared" ref="AG127:AG133" si="19">SUM(B127:AF127)</f>
        <v>0</v>
      </c>
    </row>
    <row r="128" spans="1:33" ht="19.5" hidden="1" customHeight="1" thickBot="1" x14ac:dyDescent="0.3">
      <c r="A128" s="43" t="s">
        <v>60</v>
      </c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376"/>
      <c r="AD128" s="7"/>
      <c r="AE128" s="7"/>
      <c r="AF128" s="8"/>
      <c r="AG128" s="4">
        <f t="shared" si="19"/>
        <v>0</v>
      </c>
    </row>
    <row r="129" spans="1:35" ht="19.5" thickBot="1" x14ac:dyDescent="0.3">
      <c r="A129" s="75" t="s">
        <v>86</v>
      </c>
      <c r="B129" s="13">
        <f>2+8</f>
        <v>10</v>
      </c>
      <c r="C129" s="13">
        <f>3+4</f>
        <v>7</v>
      </c>
      <c r="D129" s="13">
        <f>2+7</f>
        <v>9</v>
      </c>
      <c r="E129" s="13">
        <f>1+9</f>
        <v>10</v>
      </c>
      <c r="F129" s="13">
        <f>2+5</f>
        <v>7</v>
      </c>
      <c r="G129" s="13">
        <f>5+1+6</f>
        <v>12</v>
      </c>
      <c r="H129" s="13">
        <f>2+5</f>
        <v>7</v>
      </c>
      <c r="I129" s="13">
        <f>2+1+7</f>
        <v>10</v>
      </c>
      <c r="J129" s="13">
        <f>4+1+1</f>
        <v>6</v>
      </c>
      <c r="K129" s="13">
        <f>3+2</f>
        <v>5</v>
      </c>
      <c r="L129" s="13">
        <f>2+1+3</f>
        <v>6</v>
      </c>
      <c r="M129" s="13">
        <f>2+1</f>
        <v>3</v>
      </c>
      <c r="N129" s="13">
        <f>5+3+7</f>
        <v>15</v>
      </c>
      <c r="O129" s="13">
        <f>2+3</f>
        <v>5</v>
      </c>
      <c r="P129" s="13">
        <f>2+1+4</f>
        <v>7</v>
      </c>
      <c r="Q129" s="13">
        <f>8+5</f>
        <v>13</v>
      </c>
      <c r="R129" s="13">
        <f>1+2</f>
        <v>3</v>
      </c>
      <c r="S129" s="13">
        <f>6+3</f>
        <v>9</v>
      </c>
      <c r="T129" s="13">
        <f>1+9</f>
        <v>10</v>
      </c>
      <c r="U129" s="13">
        <f>3+4</f>
        <v>7</v>
      </c>
      <c r="V129" s="13">
        <f>4+6</f>
        <v>10</v>
      </c>
      <c r="W129" s="13">
        <f>4+7</f>
        <v>11</v>
      </c>
      <c r="X129" s="13">
        <f>7+4</f>
        <v>11</v>
      </c>
      <c r="Y129" s="13">
        <f>1+6</f>
        <v>7</v>
      </c>
      <c r="Z129" s="13">
        <f>2+3</f>
        <v>5</v>
      </c>
      <c r="AA129" s="13">
        <f>3+3</f>
        <v>6</v>
      </c>
      <c r="AB129" s="13">
        <v>4</v>
      </c>
      <c r="AC129" s="377"/>
      <c r="AD129" s="13">
        <f>4+3</f>
        <v>7</v>
      </c>
      <c r="AE129" s="13">
        <f>6+6</f>
        <v>12</v>
      </c>
      <c r="AF129" s="14"/>
      <c r="AG129" s="4">
        <f t="shared" si="19"/>
        <v>234</v>
      </c>
    </row>
    <row r="130" spans="1:35" ht="18.75" x14ac:dyDescent="0.25">
      <c r="A130" s="73" t="s">
        <v>109</v>
      </c>
      <c r="B130" s="74">
        <f t="shared" ref="B130:AF130" si="20">SUM(B131:B143)</f>
        <v>75</v>
      </c>
      <c r="C130" s="74">
        <f t="shared" si="20"/>
        <v>73</v>
      </c>
      <c r="D130" s="74">
        <f t="shared" si="20"/>
        <v>75</v>
      </c>
      <c r="E130" s="74">
        <f t="shared" si="20"/>
        <v>65</v>
      </c>
      <c r="F130" s="74">
        <f t="shared" si="20"/>
        <v>74</v>
      </c>
      <c r="G130" s="74">
        <f t="shared" si="20"/>
        <v>83</v>
      </c>
      <c r="H130" s="74">
        <f t="shared" si="20"/>
        <v>63</v>
      </c>
      <c r="I130" s="74">
        <f t="shared" si="20"/>
        <v>58</v>
      </c>
      <c r="J130" s="74">
        <f t="shared" si="20"/>
        <v>50</v>
      </c>
      <c r="K130" s="74">
        <f t="shared" si="20"/>
        <v>43</v>
      </c>
      <c r="L130" s="74">
        <f t="shared" si="20"/>
        <v>61</v>
      </c>
      <c r="M130" s="74">
        <f t="shared" si="20"/>
        <v>45</v>
      </c>
      <c r="N130" s="74">
        <f t="shared" si="20"/>
        <v>81</v>
      </c>
      <c r="O130" s="74">
        <f t="shared" si="20"/>
        <v>62</v>
      </c>
      <c r="P130" s="74">
        <f t="shared" si="20"/>
        <v>53</v>
      </c>
      <c r="Q130" s="74">
        <f t="shared" si="20"/>
        <v>58</v>
      </c>
      <c r="R130" s="74">
        <f t="shared" si="20"/>
        <v>79</v>
      </c>
      <c r="S130" s="74">
        <f t="shared" si="20"/>
        <v>78</v>
      </c>
      <c r="T130" s="74">
        <f t="shared" si="20"/>
        <v>77</v>
      </c>
      <c r="U130" s="74">
        <f t="shared" si="20"/>
        <v>70</v>
      </c>
      <c r="V130" s="74">
        <f t="shared" si="20"/>
        <v>61</v>
      </c>
      <c r="W130" s="74">
        <f t="shared" si="20"/>
        <v>55</v>
      </c>
      <c r="X130" s="74">
        <f t="shared" si="20"/>
        <v>77</v>
      </c>
      <c r="Y130" s="74">
        <f t="shared" si="20"/>
        <v>65</v>
      </c>
      <c r="Z130" s="74">
        <f t="shared" si="20"/>
        <v>65</v>
      </c>
      <c r="AA130" s="74">
        <f t="shared" si="20"/>
        <v>72</v>
      </c>
      <c r="AB130" s="74">
        <f t="shared" si="20"/>
        <v>41</v>
      </c>
      <c r="AC130" s="378">
        <f t="shared" si="20"/>
        <v>0</v>
      </c>
      <c r="AD130" s="74">
        <f t="shared" si="20"/>
        <v>52</v>
      </c>
      <c r="AE130" s="74">
        <f t="shared" si="20"/>
        <v>84</v>
      </c>
      <c r="AF130" s="84">
        <f t="shared" si="20"/>
        <v>0</v>
      </c>
      <c r="AG130" s="150">
        <f t="shared" si="19"/>
        <v>1895</v>
      </c>
      <c r="AH130" s="1" t="str">
        <f>IF(AG130&lt;&gt;AG93,"*","")</f>
        <v/>
      </c>
    </row>
    <row r="131" spans="1:35" ht="18.75" x14ac:dyDescent="0.25">
      <c r="A131" s="43" t="s">
        <v>59</v>
      </c>
      <c r="B131" s="7">
        <v>27</v>
      </c>
      <c r="C131" s="7">
        <v>33</v>
      </c>
      <c r="D131" s="7">
        <v>29</v>
      </c>
      <c r="E131" s="7">
        <v>15</v>
      </c>
      <c r="F131" s="7">
        <v>24</v>
      </c>
      <c r="G131" s="7">
        <v>46</v>
      </c>
      <c r="H131" s="7">
        <v>26</v>
      </c>
      <c r="I131" s="7">
        <v>20</v>
      </c>
      <c r="J131" s="7">
        <v>19</v>
      </c>
      <c r="K131" s="7">
        <v>14</v>
      </c>
      <c r="L131" s="7">
        <v>21</v>
      </c>
      <c r="M131" s="7">
        <v>10</v>
      </c>
      <c r="N131" s="7">
        <v>31</v>
      </c>
      <c r="O131" s="7">
        <v>26</v>
      </c>
      <c r="P131" s="7">
        <v>15</v>
      </c>
      <c r="Q131" s="7">
        <v>19</v>
      </c>
      <c r="R131" s="7">
        <v>27</v>
      </c>
      <c r="S131" s="7">
        <v>24</v>
      </c>
      <c r="T131" s="7">
        <v>19</v>
      </c>
      <c r="U131" s="7">
        <v>19</v>
      </c>
      <c r="V131" s="7">
        <v>22</v>
      </c>
      <c r="W131" s="7">
        <v>19</v>
      </c>
      <c r="X131" s="7">
        <v>30</v>
      </c>
      <c r="Y131" s="7">
        <v>19</v>
      </c>
      <c r="Z131" s="7">
        <v>21</v>
      </c>
      <c r="AA131" s="7">
        <v>19</v>
      </c>
      <c r="AB131" s="7">
        <v>25</v>
      </c>
      <c r="AC131" s="376"/>
      <c r="AD131" s="7">
        <v>17</v>
      </c>
      <c r="AE131" s="7">
        <v>26</v>
      </c>
      <c r="AF131" s="8"/>
      <c r="AG131" s="4">
        <f t="shared" si="19"/>
        <v>662</v>
      </c>
    </row>
    <row r="132" spans="1:35" ht="18.75" x14ac:dyDescent="0.25">
      <c r="A132" s="43" t="s">
        <v>23</v>
      </c>
      <c r="B132" s="7">
        <v>5</v>
      </c>
      <c r="C132" s="7">
        <v>6</v>
      </c>
      <c r="D132" s="7">
        <v>3</v>
      </c>
      <c r="E132" s="7">
        <v>2</v>
      </c>
      <c r="F132" s="7">
        <v>6</v>
      </c>
      <c r="G132" s="7">
        <v>2</v>
      </c>
      <c r="H132" s="7">
        <v>6</v>
      </c>
      <c r="I132" s="7">
        <v>4</v>
      </c>
      <c r="J132" s="7">
        <v>1</v>
      </c>
      <c r="K132" s="7">
        <v>4</v>
      </c>
      <c r="L132" s="7">
        <v>2</v>
      </c>
      <c r="M132" s="7">
        <v>5</v>
      </c>
      <c r="N132" s="7">
        <v>11</v>
      </c>
      <c r="O132" s="7">
        <v>1</v>
      </c>
      <c r="P132" s="7">
        <v>3</v>
      </c>
      <c r="Q132" s="7">
        <v>3</v>
      </c>
      <c r="R132" s="7">
        <v>7</v>
      </c>
      <c r="S132" s="7">
        <v>12</v>
      </c>
      <c r="T132" s="7">
        <v>8</v>
      </c>
      <c r="U132" s="7">
        <v>5</v>
      </c>
      <c r="V132" s="7">
        <v>3</v>
      </c>
      <c r="W132" s="7">
        <v>6</v>
      </c>
      <c r="X132" s="7">
        <v>4</v>
      </c>
      <c r="Y132" s="7">
        <v>4</v>
      </c>
      <c r="Z132" s="7">
        <v>5</v>
      </c>
      <c r="AA132" s="7">
        <v>7</v>
      </c>
      <c r="AB132" s="7">
        <v>3</v>
      </c>
      <c r="AC132" s="376"/>
      <c r="AD132" s="7">
        <v>3</v>
      </c>
      <c r="AE132" s="7">
        <v>5</v>
      </c>
      <c r="AF132" s="8"/>
      <c r="AG132" s="4">
        <f t="shared" si="19"/>
        <v>136</v>
      </c>
    </row>
    <row r="133" spans="1:35" ht="18.75" x14ac:dyDescent="0.25">
      <c r="A133" s="43" t="s">
        <v>24</v>
      </c>
      <c r="B133" s="7">
        <v>6</v>
      </c>
      <c r="C133" s="7">
        <v>1</v>
      </c>
      <c r="D133" s="7">
        <v>4</v>
      </c>
      <c r="E133" s="7">
        <v>8</v>
      </c>
      <c r="F133" s="7">
        <v>4</v>
      </c>
      <c r="G133" s="7">
        <v>1</v>
      </c>
      <c r="H133" s="7">
        <v>5</v>
      </c>
      <c r="I133" s="7">
        <v>7</v>
      </c>
      <c r="J133" s="7">
        <v>2</v>
      </c>
      <c r="K133" s="7">
        <v>5</v>
      </c>
      <c r="L133" s="7">
        <v>2</v>
      </c>
      <c r="M133" s="7">
        <v>3</v>
      </c>
      <c r="N133" s="7">
        <v>4</v>
      </c>
      <c r="O133" s="7">
        <v>3</v>
      </c>
      <c r="P133" s="7">
        <v>8</v>
      </c>
      <c r="Q133" s="7">
        <v>5</v>
      </c>
      <c r="R133" s="7">
        <v>8</v>
      </c>
      <c r="S133" s="7">
        <v>7</v>
      </c>
      <c r="T133" s="7">
        <v>4</v>
      </c>
      <c r="U133" s="7">
        <v>5</v>
      </c>
      <c r="V133" s="7">
        <v>2</v>
      </c>
      <c r="W133" s="7">
        <v>6</v>
      </c>
      <c r="X133" s="7">
        <v>6</v>
      </c>
      <c r="Y133" s="7">
        <v>7</v>
      </c>
      <c r="Z133" s="7">
        <v>5</v>
      </c>
      <c r="AA133" s="7">
        <v>10</v>
      </c>
      <c r="AB133" s="7">
        <v>1</v>
      </c>
      <c r="AC133" s="376"/>
      <c r="AD133" s="7">
        <v>3</v>
      </c>
      <c r="AE133" s="7">
        <v>6</v>
      </c>
      <c r="AF133" s="8"/>
      <c r="AG133" s="4">
        <f t="shared" si="19"/>
        <v>138</v>
      </c>
    </row>
    <row r="134" spans="1:35" ht="18.75" x14ac:dyDescent="0.25">
      <c r="A134" s="43" t="s">
        <v>25</v>
      </c>
      <c r="B134" s="7">
        <v>3</v>
      </c>
      <c r="C134" s="7">
        <v>1</v>
      </c>
      <c r="D134" s="7">
        <f>2+2+1</f>
        <v>5</v>
      </c>
      <c r="E134" s="7">
        <v>3</v>
      </c>
      <c r="F134" s="7">
        <v>4</v>
      </c>
      <c r="G134" s="7">
        <f>3+1</f>
        <v>4</v>
      </c>
      <c r="H134" s="7">
        <v>5</v>
      </c>
      <c r="I134" s="7">
        <f>1+1</f>
        <v>2</v>
      </c>
      <c r="J134" s="7">
        <v>2</v>
      </c>
      <c r="K134" s="7">
        <v>3</v>
      </c>
      <c r="L134" s="7">
        <f>1+3</f>
        <v>4</v>
      </c>
      <c r="M134" s="7">
        <v>4</v>
      </c>
      <c r="N134" s="7">
        <f>2+1</f>
        <v>3</v>
      </c>
      <c r="O134" s="7">
        <f>1+5</f>
        <v>6</v>
      </c>
      <c r="P134" s="7">
        <v>3</v>
      </c>
      <c r="Q134" s="7">
        <v>4</v>
      </c>
      <c r="R134" s="7">
        <f>4+1</f>
        <v>5</v>
      </c>
      <c r="S134" s="7">
        <v>4</v>
      </c>
      <c r="T134" s="7">
        <f>1+2</f>
        <v>3</v>
      </c>
      <c r="U134" s="7">
        <f>1+5</f>
        <v>6</v>
      </c>
      <c r="V134" s="7">
        <v>6</v>
      </c>
      <c r="W134" s="7">
        <v>1</v>
      </c>
      <c r="X134" s="7">
        <v>5</v>
      </c>
      <c r="Y134" s="7">
        <v>6</v>
      </c>
      <c r="Z134" s="7">
        <v>6</v>
      </c>
      <c r="AA134" s="7">
        <v>6</v>
      </c>
      <c r="AB134" s="7">
        <v>1</v>
      </c>
      <c r="AC134" s="376"/>
      <c r="AD134" s="7">
        <v>2</v>
      </c>
      <c r="AE134" s="7">
        <v>2</v>
      </c>
      <c r="AF134" s="8"/>
      <c r="AG134" s="4">
        <f t="shared" ref="AG134:AG147" si="21">SUM(B134:AF134)</f>
        <v>109</v>
      </c>
    </row>
    <row r="135" spans="1:35" ht="18.75" x14ac:dyDescent="0.25">
      <c r="A135" s="43" t="s">
        <v>26</v>
      </c>
      <c r="B135" s="7">
        <v>4</v>
      </c>
      <c r="C135" s="7">
        <v>6</v>
      </c>
      <c r="D135" s="7">
        <v>5</v>
      </c>
      <c r="E135" s="7">
        <v>5</v>
      </c>
      <c r="F135" s="7">
        <v>9</v>
      </c>
      <c r="G135" s="7">
        <v>3</v>
      </c>
      <c r="H135" s="7">
        <v>1</v>
      </c>
      <c r="I135" s="7">
        <v>2</v>
      </c>
      <c r="J135" s="7">
        <v>3</v>
      </c>
      <c r="K135" s="7">
        <v>2</v>
      </c>
      <c r="L135" s="7">
        <v>8</v>
      </c>
      <c r="M135" s="7">
        <v>10</v>
      </c>
      <c r="N135" s="7">
        <v>6</v>
      </c>
      <c r="O135" s="7">
        <v>3</v>
      </c>
      <c r="P135" s="7">
        <v>4</v>
      </c>
      <c r="Q135" s="7">
        <v>2</v>
      </c>
      <c r="R135" s="7">
        <v>5</v>
      </c>
      <c r="S135" s="7">
        <v>4</v>
      </c>
      <c r="T135" s="7">
        <v>7</v>
      </c>
      <c r="U135" s="7">
        <v>2</v>
      </c>
      <c r="V135" s="7">
        <v>1</v>
      </c>
      <c r="W135" s="7">
        <v>5</v>
      </c>
      <c r="X135" s="7">
        <v>1</v>
      </c>
      <c r="Y135" s="7">
        <v>4</v>
      </c>
      <c r="Z135" s="7">
        <v>3</v>
      </c>
      <c r="AA135" s="7">
        <v>4</v>
      </c>
      <c r="AB135" s="7">
        <v>2</v>
      </c>
      <c r="AC135" s="376"/>
      <c r="AD135" s="7">
        <v>1</v>
      </c>
      <c r="AE135" s="7">
        <v>1</v>
      </c>
      <c r="AF135" s="8"/>
      <c r="AG135" s="4">
        <f t="shared" si="21"/>
        <v>113</v>
      </c>
    </row>
    <row r="136" spans="1:35" ht="18.75" x14ac:dyDescent="0.25">
      <c r="A136" s="43" t="s">
        <v>27</v>
      </c>
      <c r="B136" s="7">
        <v>10</v>
      </c>
      <c r="C136" s="7">
        <v>12</v>
      </c>
      <c r="D136" s="7">
        <v>10</v>
      </c>
      <c r="E136" s="7">
        <v>11</v>
      </c>
      <c r="F136" s="7">
        <v>12</v>
      </c>
      <c r="G136" s="7">
        <v>7</v>
      </c>
      <c r="H136" s="7">
        <v>9</v>
      </c>
      <c r="I136" s="7">
        <v>11</v>
      </c>
      <c r="J136" s="7">
        <v>5</v>
      </c>
      <c r="K136" s="7">
        <v>4</v>
      </c>
      <c r="L136" s="7">
        <v>12</v>
      </c>
      <c r="M136" s="7">
        <v>6</v>
      </c>
      <c r="N136" s="7">
        <v>6</v>
      </c>
      <c r="O136" s="7">
        <v>10</v>
      </c>
      <c r="P136" s="7">
        <v>5</v>
      </c>
      <c r="Q136" s="7">
        <v>7</v>
      </c>
      <c r="R136" s="7">
        <v>11</v>
      </c>
      <c r="S136" s="7">
        <v>6</v>
      </c>
      <c r="T136" s="7">
        <v>13</v>
      </c>
      <c r="U136" s="7">
        <v>7</v>
      </c>
      <c r="V136" s="7">
        <v>7</v>
      </c>
      <c r="W136" s="7">
        <v>3</v>
      </c>
      <c r="X136" s="7">
        <v>13</v>
      </c>
      <c r="Y136" s="7">
        <v>10</v>
      </c>
      <c r="Z136" s="7">
        <v>12</v>
      </c>
      <c r="AA136" s="7">
        <v>11</v>
      </c>
      <c r="AB136" s="7">
        <v>2</v>
      </c>
      <c r="AC136" s="376"/>
      <c r="AD136" s="7">
        <v>9</v>
      </c>
      <c r="AE136" s="7">
        <v>11</v>
      </c>
      <c r="AF136" s="8"/>
      <c r="AG136" s="4">
        <f t="shared" si="21"/>
        <v>252</v>
      </c>
    </row>
    <row r="137" spans="1:35" ht="18.75" x14ac:dyDescent="0.25">
      <c r="A137" s="43" t="s">
        <v>28</v>
      </c>
      <c r="B137" s="7">
        <v>5</v>
      </c>
      <c r="C137" s="7">
        <v>1</v>
      </c>
      <c r="D137" s="7">
        <v>5</v>
      </c>
      <c r="E137" s="7">
        <v>2</v>
      </c>
      <c r="F137" s="7">
        <v>2</v>
      </c>
      <c r="G137" s="7">
        <v>1</v>
      </c>
      <c r="H137" s="7"/>
      <c r="I137" s="7">
        <v>1</v>
      </c>
      <c r="J137" s="7">
        <v>4</v>
      </c>
      <c r="K137" s="7">
        <f>2+1</f>
        <v>3</v>
      </c>
      <c r="L137" s="7">
        <v>1</v>
      </c>
      <c r="M137" s="7"/>
      <c r="N137" s="7">
        <v>3</v>
      </c>
      <c r="O137" s="7">
        <v>2</v>
      </c>
      <c r="P137" s="7">
        <v>2</v>
      </c>
      <c r="Q137" s="7"/>
      <c r="R137" s="7">
        <f>1+1</f>
        <v>2</v>
      </c>
      <c r="S137" s="7">
        <f>2+1</f>
        <v>3</v>
      </c>
      <c r="T137" s="7">
        <f>4+1</f>
        <v>5</v>
      </c>
      <c r="U137" s="7">
        <v>4</v>
      </c>
      <c r="V137" s="7">
        <v>4</v>
      </c>
      <c r="W137" s="7"/>
      <c r="X137" s="7">
        <v>1</v>
      </c>
      <c r="Y137" s="7">
        <f>3+1</f>
        <v>4</v>
      </c>
      <c r="Z137" s="7">
        <f>3+1</f>
        <v>4</v>
      </c>
      <c r="AA137" s="7">
        <v>5</v>
      </c>
      <c r="AB137" s="7">
        <v>1</v>
      </c>
      <c r="AC137" s="376"/>
      <c r="AD137" s="7">
        <v>2</v>
      </c>
      <c r="AE137" s="7">
        <v>9</v>
      </c>
      <c r="AF137" s="8"/>
      <c r="AG137" s="4">
        <f t="shared" si="21"/>
        <v>76</v>
      </c>
    </row>
    <row r="138" spans="1:35" ht="18.75" x14ac:dyDescent="0.25">
      <c r="A138" s="43" t="s">
        <v>29</v>
      </c>
      <c r="B138" s="7">
        <v>1</v>
      </c>
      <c r="C138" s="7">
        <v>1</v>
      </c>
      <c r="D138" s="7"/>
      <c r="E138" s="7">
        <v>3</v>
      </c>
      <c r="F138" s="7">
        <v>3</v>
      </c>
      <c r="G138" s="7">
        <v>1</v>
      </c>
      <c r="H138" s="7"/>
      <c r="I138" s="7"/>
      <c r="J138" s="7">
        <v>3</v>
      </c>
      <c r="K138" s="7">
        <v>2</v>
      </c>
      <c r="L138" s="7"/>
      <c r="M138" s="7">
        <v>3</v>
      </c>
      <c r="N138" s="7">
        <v>1</v>
      </c>
      <c r="O138" s="7">
        <v>1</v>
      </c>
      <c r="P138" s="7"/>
      <c r="Q138" s="7"/>
      <c r="R138" s="7">
        <v>1</v>
      </c>
      <c r="S138" s="7">
        <v>3</v>
      </c>
      <c r="T138" s="7">
        <v>5</v>
      </c>
      <c r="U138" s="7">
        <v>4</v>
      </c>
      <c r="V138" s="7">
        <v>3</v>
      </c>
      <c r="W138" s="7">
        <v>3</v>
      </c>
      <c r="X138" s="7">
        <v>3</v>
      </c>
      <c r="Y138" s="7"/>
      <c r="Z138" s="7"/>
      <c r="AA138" s="7">
        <v>1</v>
      </c>
      <c r="AB138" s="7"/>
      <c r="AC138" s="376"/>
      <c r="AD138" s="7">
        <v>1</v>
      </c>
      <c r="AE138" s="7">
        <v>2</v>
      </c>
      <c r="AF138" s="8"/>
      <c r="AG138" s="4">
        <f t="shared" si="21"/>
        <v>45</v>
      </c>
    </row>
    <row r="139" spans="1:35" ht="18.75" x14ac:dyDescent="0.25">
      <c r="A139" s="41" t="s">
        <v>30</v>
      </c>
      <c r="B139" s="7"/>
      <c r="C139" s="7">
        <v>1</v>
      </c>
      <c r="D139" s="7">
        <v>2</v>
      </c>
      <c r="E139" s="7"/>
      <c r="F139" s="7">
        <v>1</v>
      </c>
      <c r="G139" s="7">
        <v>3</v>
      </c>
      <c r="H139" s="7">
        <f>2+1</f>
        <v>3</v>
      </c>
      <c r="I139" s="7"/>
      <c r="J139" s="7">
        <f>1+1</f>
        <v>2</v>
      </c>
      <c r="K139" s="7"/>
      <c r="L139" s="7">
        <v>2</v>
      </c>
      <c r="M139" s="7">
        <v>1</v>
      </c>
      <c r="N139" s="7">
        <v>3</v>
      </c>
      <c r="O139" s="7">
        <f>1+1</f>
        <v>2</v>
      </c>
      <c r="P139" s="7">
        <v>3</v>
      </c>
      <c r="Q139" s="7">
        <v>4</v>
      </c>
      <c r="R139" s="7">
        <f>4+1</f>
        <v>5</v>
      </c>
      <c r="S139" s="7">
        <v>3</v>
      </c>
      <c r="T139" s="7"/>
      <c r="U139" s="7">
        <f>4+1</f>
        <v>5</v>
      </c>
      <c r="V139" s="7">
        <v>3</v>
      </c>
      <c r="W139" s="7">
        <v>1</v>
      </c>
      <c r="X139" s="7"/>
      <c r="Y139" s="7">
        <v>2</v>
      </c>
      <c r="Z139" s="7">
        <v>3</v>
      </c>
      <c r="AA139" s="7"/>
      <c r="AB139" s="7">
        <v>1</v>
      </c>
      <c r="AC139" s="376"/>
      <c r="AD139" s="7">
        <v>3</v>
      </c>
      <c r="AE139" s="7">
        <f>2+1</f>
        <v>3</v>
      </c>
      <c r="AF139" s="8"/>
      <c r="AG139" s="4">
        <f t="shared" si="21"/>
        <v>56</v>
      </c>
    </row>
    <row r="140" spans="1:35" ht="18.75" x14ac:dyDescent="0.25">
      <c r="A140" s="41" t="s">
        <v>31</v>
      </c>
      <c r="B140" s="7">
        <v>1</v>
      </c>
      <c r="C140" s="7"/>
      <c r="D140" s="7">
        <v>2</v>
      </c>
      <c r="E140" s="7">
        <v>3</v>
      </c>
      <c r="F140" s="7">
        <v>1</v>
      </c>
      <c r="G140" s="7">
        <v>4</v>
      </c>
      <c r="H140" s="7"/>
      <c r="I140" s="7">
        <v>1</v>
      </c>
      <c r="J140" s="7">
        <v>1</v>
      </c>
      <c r="K140" s="7">
        <v>1</v>
      </c>
      <c r="L140" s="7"/>
      <c r="M140" s="7"/>
      <c r="N140" s="7"/>
      <c r="O140" s="7">
        <v>2</v>
      </c>
      <c r="P140" s="7">
        <v>1</v>
      </c>
      <c r="Q140" s="7"/>
      <c r="R140" s="7">
        <v>1</v>
      </c>
      <c r="S140" s="7"/>
      <c r="T140" s="7"/>
      <c r="U140" s="7">
        <v>1</v>
      </c>
      <c r="V140" s="7"/>
      <c r="W140" s="7"/>
      <c r="X140" s="7">
        <v>3</v>
      </c>
      <c r="Y140" s="7"/>
      <c r="Z140" s="7">
        <v>1</v>
      </c>
      <c r="AA140" s="7"/>
      <c r="AB140" s="7">
        <v>1</v>
      </c>
      <c r="AC140" s="376"/>
      <c r="AD140" s="7">
        <v>1</v>
      </c>
      <c r="AE140" s="7">
        <v>5</v>
      </c>
      <c r="AF140" s="8"/>
      <c r="AG140" s="4">
        <f t="shared" si="21"/>
        <v>30</v>
      </c>
    </row>
    <row r="141" spans="1:35" ht="18.75" x14ac:dyDescent="0.25">
      <c r="A141" s="41" t="s">
        <v>32</v>
      </c>
      <c r="B141" s="7">
        <v>1</v>
      </c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376"/>
      <c r="AD141" s="7"/>
      <c r="AE141" s="7">
        <v>1</v>
      </c>
      <c r="AF141" s="8"/>
      <c r="AG141" s="4">
        <f t="shared" si="21"/>
        <v>2</v>
      </c>
    </row>
    <row r="142" spans="1:35" ht="18.75" x14ac:dyDescent="0.25">
      <c r="A142" s="43" t="s">
        <v>60</v>
      </c>
      <c r="B142" s="7">
        <f>1+1</f>
        <v>2</v>
      </c>
      <c r="C142" s="7">
        <f>1+1+1+1</f>
        <v>4</v>
      </c>
      <c r="D142" s="7">
        <f>1</f>
        <v>1</v>
      </c>
      <c r="E142" s="7">
        <f>2+1</f>
        <v>3</v>
      </c>
      <c r="F142" s="7">
        <f>1</f>
        <v>1</v>
      </c>
      <c r="G142" s="7"/>
      <c r="H142" s="7">
        <v>1</v>
      </c>
      <c r="I142" s="7">
        <v>2</v>
      </c>
      <c r="J142" s="7">
        <v>2</v>
      </c>
      <c r="K142" s="7">
        <v>2</v>
      </c>
      <c r="L142" s="7">
        <f>1+1+1</f>
        <v>3</v>
      </c>
      <c r="M142" s="7"/>
      <c r="N142" s="7"/>
      <c r="O142" s="7">
        <f>1</f>
        <v>1</v>
      </c>
      <c r="P142" s="7">
        <f>1+1</f>
        <v>2</v>
      </c>
      <c r="Q142" s="7">
        <f>1+1</f>
        <v>2</v>
      </c>
      <c r="R142" s="7">
        <f>1+2+1</f>
        <v>4</v>
      </c>
      <c r="S142" s="7">
        <f>1+2</f>
        <v>3</v>
      </c>
      <c r="T142" s="7">
        <f>1+1+1</f>
        <v>3</v>
      </c>
      <c r="U142" s="7">
        <f>1+1+1+2</f>
        <v>5</v>
      </c>
      <c r="V142" s="7">
        <f>1+1</f>
        <v>2</v>
      </c>
      <c r="W142" s="7">
        <f>1</f>
        <v>1</v>
      </c>
      <c r="X142" s="7">
        <v>1</v>
      </c>
      <c r="Y142" s="7">
        <f>1+1</f>
        <v>2</v>
      </c>
      <c r="Z142" s="7">
        <v>1</v>
      </c>
      <c r="AA142" s="7">
        <f>1+1+1+1</f>
        <v>4</v>
      </c>
      <c r="AB142" s="7"/>
      <c r="AC142" s="376"/>
      <c r="AD142" s="7">
        <f>1+1+1</f>
        <v>3</v>
      </c>
      <c r="AE142" s="7">
        <f>1</f>
        <v>1</v>
      </c>
      <c r="AF142" s="8"/>
      <c r="AG142" s="4">
        <f t="shared" si="21"/>
        <v>56</v>
      </c>
    </row>
    <row r="143" spans="1:35" ht="19.5" thickBot="1" x14ac:dyDescent="0.3">
      <c r="A143" s="75" t="s">
        <v>86</v>
      </c>
      <c r="B143" s="13">
        <f>2+8</f>
        <v>10</v>
      </c>
      <c r="C143" s="13">
        <f>3+4</f>
        <v>7</v>
      </c>
      <c r="D143" s="13">
        <f>2+7</f>
        <v>9</v>
      </c>
      <c r="E143" s="13">
        <f>1+9</f>
        <v>10</v>
      </c>
      <c r="F143" s="13">
        <f>2+5</f>
        <v>7</v>
      </c>
      <c r="G143" s="13">
        <f>5+1+5</f>
        <v>11</v>
      </c>
      <c r="H143" s="13">
        <f>2+5</f>
        <v>7</v>
      </c>
      <c r="I143" s="13">
        <f>2+6</f>
        <v>8</v>
      </c>
      <c r="J143" s="13">
        <f>4+1+1</f>
        <v>6</v>
      </c>
      <c r="K143" s="13">
        <v>3</v>
      </c>
      <c r="L143" s="13">
        <f>2+1+3</f>
        <v>6</v>
      </c>
      <c r="M143" s="13">
        <f>2+1</f>
        <v>3</v>
      </c>
      <c r="N143" s="13">
        <f>4+3+6</f>
        <v>13</v>
      </c>
      <c r="O143" s="13">
        <f>2+3</f>
        <v>5</v>
      </c>
      <c r="P143" s="13">
        <f>2+1+4</f>
        <v>7</v>
      </c>
      <c r="Q143" s="13">
        <f>7+5</f>
        <v>12</v>
      </c>
      <c r="R143" s="13">
        <v>3</v>
      </c>
      <c r="S143" s="13">
        <v>9</v>
      </c>
      <c r="T143" s="13">
        <f>1+9</f>
        <v>10</v>
      </c>
      <c r="U143" s="13">
        <f>3+4</f>
        <v>7</v>
      </c>
      <c r="V143" s="13">
        <f>4+4</f>
        <v>8</v>
      </c>
      <c r="W143" s="13">
        <f>4+6</f>
        <v>10</v>
      </c>
      <c r="X143" s="13">
        <f>6+4</f>
        <v>10</v>
      </c>
      <c r="Y143" s="13">
        <f>1+6</f>
        <v>7</v>
      </c>
      <c r="Z143" s="13">
        <f>2+2</f>
        <v>4</v>
      </c>
      <c r="AA143" s="13">
        <f>2+3</f>
        <v>5</v>
      </c>
      <c r="AB143" s="13">
        <v>4</v>
      </c>
      <c r="AC143" s="377"/>
      <c r="AD143" s="13">
        <f>4+3</f>
        <v>7</v>
      </c>
      <c r="AE143" s="13">
        <f>6+6</f>
        <v>12</v>
      </c>
      <c r="AF143" s="14"/>
      <c r="AG143" s="108">
        <f t="shared" si="21"/>
        <v>220</v>
      </c>
    </row>
    <row r="144" spans="1:35" ht="19.5" thickBot="1" x14ac:dyDescent="0.3">
      <c r="A144" s="164" t="s">
        <v>89</v>
      </c>
      <c r="B144" s="165">
        <f t="shared" ref="B144:AD144" si="22">+B146+B156+B158+B167</f>
        <v>75</v>
      </c>
      <c r="C144" s="165">
        <f t="shared" si="22"/>
        <v>73</v>
      </c>
      <c r="D144" s="165">
        <f t="shared" si="22"/>
        <v>75</v>
      </c>
      <c r="E144" s="165">
        <f t="shared" si="22"/>
        <v>65</v>
      </c>
      <c r="F144" s="165">
        <f t="shared" si="22"/>
        <v>74</v>
      </c>
      <c r="G144" s="165">
        <f t="shared" si="22"/>
        <v>83</v>
      </c>
      <c r="H144" s="165">
        <f t="shared" si="22"/>
        <v>63</v>
      </c>
      <c r="I144" s="165">
        <f t="shared" si="22"/>
        <v>58</v>
      </c>
      <c r="J144" s="165">
        <f t="shared" si="22"/>
        <v>50</v>
      </c>
      <c r="K144" s="165">
        <f t="shared" si="22"/>
        <v>43</v>
      </c>
      <c r="L144" s="165">
        <f t="shared" si="22"/>
        <v>61</v>
      </c>
      <c r="M144" s="165">
        <f t="shared" si="22"/>
        <v>45</v>
      </c>
      <c r="N144" s="165">
        <f t="shared" si="22"/>
        <v>81</v>
      </c>
      <c r="O144" s="165">
        <f t="shared" si="22"/>
        <v>62</v>
      </c>
      <c r="P144" s="165">
        <f t="shared" si="22"/>
        <v>53</v>
      </c>
      <c r="Q144" s="165">
        <f t="shared" si="22"/>
        <v>58</v>
      </c>
      <c r="R144" s="165">
        <f t="shared" si="22"/>
        <v>79</v>
      </c>
      <c r="S144" s="165">
        <f t="shared" si="22"/>
        <v>78</v>
      </c>
      <c r="T144" s="165">
        <f t="shared" si="22"/>
        <v>77</v>
      </c>
      <c r="U144" s="165">
        <f t="shared" si="22"/>
        <v>70</v>
      </c>
      <c r="V144" s="165">
        <f t="shared" si="22"/>
        <v>61</v>
      </c>
      <c r="W144" s="165">
        <f t="shared" si="22"/>
        <v>55</v>
      </c>
      <c r="X144" s="165">
        <f t="shared" si="22"/>
        <v>77</v>
      </c>
      <c r="Y144" s="165">
        <f t="shared" si="22"/>
        <v>65</v>
      </c>
      <c r="Z144" s="165">
        <f t="shared" si="22"/>
        <v>65</v>
      </c>
      <c r="AA144" s="165">
        <f t="shared" si="22"/>
        <v>72</v>
      </c>
      <c r="AB144" s="165">
        <f t="shared" si="22"/>
        <v>41</v>
      </c>
      <c r="AC144" s="374">
        <f t="shared" si="22"/>
        <v>0</v>
      </c>
      <c r="AD144" s="165">
        <f t="shared" si="22"/>
        <v>52</v>
      </c>
      <c r="AE144" s="165">
        <f>+AE146+AE156+AE158+AE167</f>
        <v>84</v>
      </c>
      <c r="AF144" s="165">
        <f t="shared" ref="AF144" si="23">+AF146+AF156+AF158+AF167</f>
        <v>0</v>
      </c>
      <c r="AG144" s="116">
        <f t="shared" si="21"/>
        <v>1895</v>
      </c>
      <c r="AH144" s="38" t="str">
        <f>IF(AG144&lt;&gt;AG93,"*","")</f>
        <v/>
      </c>
      <c r="AI144" t="s">
        <v>140</v>
      </c>
    </row>
    <row r="145" spans="1:34" ht="19.5" thickBot="1" x14ac:dyDescent="0.3">
      <c r="A145" s="160" t="s">
        <v>98</v>
      </c>
      <c r="B145" s="161">
        <f t="shared" ref="B145:AD145" si="24">+B149+B155+B157+B172</f>
        <v>4</v>
      </c>
      <c r="C145" s="161">
        <f t="shared" si="24"/>
        <v>2</v>
      </c>
      <c r="D145" s="161">
        <f t="shared" si="24"/>
        <v>3</v>
      </c>
      <c r="E145" s="161">
        <f t="shared" si="24"/>
        <v>0</v>
      </c>
      <c r="F145" s="161">
        <f t="shared" si="24"/>
        <v>1</v>
      </c>
      <c r="G145" s="161">
        <f t="shared" si="24"/>
        <v>11</v>
      </c>
      <c r="H145" s="161">
        <f t="shared" si="24"/>
        <v>10</v>
      </c>
      <c r="I145" s="161">
        <f t="shared" si="24"/>
        <v>5</v>
      </c>
      <c r="J145" s="161">
        <f t="shared" si="24"/>
        <v>2</v>
      </c>
      <c r="K145" s="161">
        <f t="shared" si="24"/>
        <v>1</v>
      </c>
      <c r="L145" s="161">
        <f t="shared" si="24"/>
        <v>4</v>
      </c>
      <c r="M145" s="161">
        <f t="shared" si="24"/>
        <v>0</v>
      </c>
      <c r="N145" s="161">
        <f t="shared" si="24"/>
        <v>3</v>
      </c>
      <c r="O145" s="161">
        <f t="shared" si="24"/>
        <v>0</v>
      </c>
      <c r="P145" s="161">
        <f t="shared" si="24"/>
        <v>2</v>
      </c>
      <c r="Q145" s="161">
        <f t="shared" si="24"/>
        <v>4</v>
      </c>
      <c r="R145" s="161">
        <f t="shared" si="24"/>
        <v>0</v>
      </c>
      <c r="S145" s="161">
        <f t="shared" si="24"/>
        <v>0</v>
      </c>
      <c r="T145" s="161">
        <f t="shared" si="24"/>
        <v>3</v>
      </c>
      <c r="U145" s="161">
        <f t="shared" si="24"/>
        <v>4</v>
      </c>
      <c r="V145" s="161">
        <f t="shared" si="24"/>
        <v>5</v>
      </c>
      <c r="W145" s="161">
        <f t="shared" si="24"/>
        <v>4</v>
      </c>
      <c r="X145" s="161">
        <f t="shared" si="24"/>
        <v>5</v>
      </c>
      <c r="Y145" s="161">
        <f t="shared" si="24"/>
        <v>3</v>
      </c>
      <c r="Z145" s="161">
        <f t="shared" si="24"/>
        <v>4</v>
      </c>
      <c r="AA145" s="161">
        <f t="shared" si="24"/>
        <v>6</v>
      </c>
      <c r="AB145" s="161">
        <f t="shared" si="24"/>
        <v>6</v>
      </c>
      <c r="AC145" s="381">
        <f t="shared" si="24"/>
        <v>0</v>
      </c>
      <c r="AD145" s="161">
        <f t="shared" si="24"/>
        <v>2</v>
      </c>
      <c r="AE145" s="161">
        <f>+AE149+AE155+AE157+AE172</f>
        <v>2</v>
      </c>
      <c r="AF145" s="162">
        <f t="shared" ref="AF145" si="25">+AF149+AF155+AF157+AF172</f>
        <v>0</v>
      </c>
      <c r="AG145" s="163">
        <f t="shared" si="21"/>
        <v>96</v>
      </c>
      <c r="AH145" s="1"/>
    </row>
    <row r="146" spans="1:34" ht="19.5" thickBot="1" x14ac:dyDescent="0.3">
      <c r="A146" s="117" t="s">
        <v>69</v>
      </c>
      <c r="B146" s="118">
        <f t="shared" ref="B146:AG147" si="26">+B148+B154</f>
        <v>0</v>
      </c>
      <c r="C146" s="118">
        <f t="shared" si="26"/>
        <v>0</v>
      </c>
      <c r="D146" s="118">
        <f t="shared" si="26"/>
        <v>0</v>
      </c>
      <c r="E146" s="118">
        <f t="shared" si="26"/>
        <v>0</v>
      </c>
      <c r="F146" s="118">
        <f t="shared" si="26"/>
        <v>0</v>
      </c>
      <c r="G146" s="118">
        <f t="shared" si="26"/>
        <v>0</v>
      </c>
      <c r="H146" s="118">
        <f t="shared" si="26"/>
        <v>0</v>
      </c>
      <c r="I146" s="118">
        <f t="shared" si="26"/>
        <v>0</v>
      </c>
      <c r="J146" s="118">
        <f t="shared" si="26"/>
        <v>0</v>
      </c>
      <c r="K146" s="118">
        <f t="shared" si="26"/>
        <v>0</v>
      </c>
      <c r="L146" s="118">
        <f t="shared" si="26"/>
        <v>0</v>
      </c>
      <c r="M146" s="118">
        <f t="shared" si="26"/>
        <v>0</v>
      </c>
      <c r="N146" s="118">
        <f t="shared" si="26"/>
        <v>0</v>
      </c>
      <c r="O146" s="118">
        <f t="shared" si="26"/>
        <v>0</v>
      </c>
      <c r="P146" s="118">
        <f t="shared" si="26"/>
        <v>0</v>
      </c>
      <c r="Q146" s="118">
        <f t="shared" si="26"/>
        <v>0</v>
      </c>
      <c r="R146" s="118">
        <f t="shared" si="26"/>
        <v>0</v>
      </c>
      <c r="S146" s="118">
        <f t="shared" si="26"/>
        <v>0</v>
      </c>
      <c r="T146" s="118">
        <f t="shared" si="26"/>
        <v>0</v>
      </c>
      <c r="U146" s="118">
        <f t="shared" si="26"/>
        <v>0</v>
      </c>
      <c r="V146" s="118">
        <f t="shared" si="26"/>
        <v>0</v>
      </c>
      <c r="W146" s="118">
        <f t="shared" si="26"/>
        <v>0</v>
      </c>
      <c r="X146" s="118">
        <f t="shared" si="26"/>
        <v>0</v>
      </c>
      <c r="Y146" s="118">
        <f t="shared" si="26"/>
        <v>0</v>
      </c>
      <c r="Z146" s="118">
        <f t="shared" si="26"/>
        <v>0</v>
      </c>
      <c r="AA146" s="118">
        <f t="shared" si="26"/>
        <v>0</v>
      </c>
      <c r="AB146" s="118">
        <f t="shared" si="26"/>
        <v>0</v>
      </c>
      <c r="AC146" s="382">
        <f t="shared" si="26"/>
        <v>0</v>
      </c>
      <c r="AD146" s="118">
        <f t="shared" si="26"/>
        <v>0</v>
      </c>
      <c r="AE146" s="118">
        <f t="shared" si="26"/>
        <v>0</v>
      </c>
      <c r="AF146" s="119">
        <f t="shared" si="26"/>
        <v>0</v>
      </c>
      <c r="AG146" s="120">
        <f t="shared" si="26"/>
        <v>0</v>
      </c>
    </row>
    <row r="147" spans="1:34" ht="19.5" thickBot="1" x14ac:dyDescent="0.3">
      <c r="A147" s="153" t="s">
        <v>130</v>
      </c>
      <c r="B147" s="154">
        <f t="shared" si="26"/>
        <v>0</v>
      </c>
      <c r="C147" s="154">
        <f t="shared" si="26"/>
        <v>0</v>
      </c>
      <c r="D147" s="154">
        <f t="shared" si="26"/>
        <v>0</v>
      </c>
      <c r="E147" s="154">
        <f t="shared" si="26"/>
        <v>0</v>
      </c>
      <c r="F147" s="154">
        <f t="shared" si="26"/>
        <v>0</v>
      </c>
      <c r="G147" s="154">
        <f t="shared" si="26"/>
        <v>0</v>
      </c>
      <c r="H147" s="154">
        <f t="shared" si="26"/>
        <v>0</v>
      </c>
      <c r="I147" s="154">
        <f t="shared" si="26"/>
        <v>0</v>
      </c>
      <c r="J147" s="154">
        <f t="shared" si="26"/>
        <v>0</v>
      </c>
      <c r="K147" s="154">
        <f t="shared" si="26"/>
        <v>0</v>
      </c>
      <c r="L147" s="154">
        <f t="shared" si="26"/>
        <v>0</v>
      </c>
      <c r="M147" s="154">
        <f t="shared" si="26"/>
        <v>0</v>
      </c>
      <c r="N147" s="154">
        <f t="shared" si="26"/>
        <v>0</v>
      </c>
      <c r="O147" s="154">
        <f t="shared" si="26"/>
        <v>0</v>
      </c>
      <c r="P147" s="154">
        <f t="shared" si="26"/>
        <v>0</v>
      </c>
      <c r="Q147" s="154">
        <f t="shared" si="26"/>
        <v>0</v>
      </c>
      <c r="R147" s="154">
        <f t="shared" si="26"/>
        <v>0</v>
      </c>
      <c r="S147" s="154">
        <f t="shared" si="26"/>
        <v>0</v>
      </c>
      <c r="T147" s="154">
        <f t="shared" si="26"/>
        <v>0</v>
      </c>
      <c r="U147" s="154">
        <f t="shared" si="26"/>
        <v>0</v>
      </c>
      <c r="V147" s="154">
        <f t="shared" si="26"/>
        <v>0</v>
      </c>
      <c r="W147" s="154">
        <f t="shared" si="26"/>
        <v>0</v>
      </c>
      <c r="X147" s="154">
        <f t="shared" si="26"/>
        <v>0</v>
      </c>
      <c r="Y147" s="154">
        <f t="shared" si="26"/>
        <v>0</v>
      </c>
      <c r="Z147" s="154">
        <f t="shared" si="26"/>
        <v>0</v>
      </c>
      <c r="AA147" s="154">
        <f t="shared" si="26"/>
        <v>0</v>
      </c>
      <c r="AB147" s="154">
        <f>+AB149+AB155</f>
        <v>0</v>
      </c>
      <c r="AC147" s="374">
        <f t="shared" si="26"/>
        <v>0</v>
      </c>
      <c r="AD147" s="154">
        <f t="shared" si="26"/>
        <v>0</v>
      </c>
      <c r="AE147" s="154">
        <f t="shared" si="26"/>
        <v>0</v>
      </c>
      <c r="AF147" s="155"/>
      <c r="AG147" s="156">
        <f t="shared" si="21"/>
        <v>0</v>
      </c>
    </row>
    <row r="148" spans="1:34" ht="19.5" thickBot="1" x14ac:dyDescent="0.3">
      <c r="A148" s="125" t="s">
        <v>68</v>
      </c>
      <c r="B148" s="126">
        <f>SUM(B150:B153)</f>
        <v>0</v>
      </c>
      <c r="C148" s="126">
        <f t="shared" ref="C148:AF148" si="27">SUM(C150:C153)</f>
        <v>0</v>
      </c>
      <c r="D148" s="126">
        <f t="shared" si="27"/>
        <v>0</v>
      </c>
      <c r="E148" s="126">
        <f t="shared" si="27"/>
        <v>0</v>
      </c>
      <c r="F148" s="126">
        <f t="shared" si="27"/>
        <v>0</v>
      </c>
      <c r="G148" s="126">
        <f t="shared" si="27"/>
        <v>0</v>
      </c>
      <c r="H148" s="126">
        <f t="shared" si="27"/>
        <v>0</v>
      </c>
      <c r="I148" s="126">
        <f t="shared" si="27"/>
        <v>0</v>
      </c>
      <c r="J148" s="126">
        <f t="shared" si="27"/>
        <v>0</v>
      </c>
      <c r="K148" s="126">
        <f t="shared" si="27"/>
        <v>0</v>
      </c>
      <c r="L148" s="126">
        <f t="shared" si="27"/>
        <v>0</v>
      </c>
      <c r="M148" s="126">
        <f t="shared" si="27"/>
        <v>0</v>
      </c>
      <c r="N148" s="126">
        <f t="shared" si="27"/>
        <v>0</v>
      </c>
      <c r="O148" s="126">
        <f t="shared" si="27"/>
        <v>0</v>
      </c>
      <c r="P148" s="126">
        <f t="shared" si="27"/>
        <v>0</v>
      </c>
      <c r="Q148" s="126">
        <f t="shared" si="27"/>
        <v>0</v>
      </c>
      <c r="R148" s="126">
        <f t="shared" si="27"/>
        <v>0</v>
      </c>
      <c r="S148" s="126">
        <f t="shared" si="27"/>
        <v>0</v>
      </c>
      <c r="T148" s="126">
        <f t="shared" si="27"/>
        <v>0</v>
      </c>
      <c r="U148" s="126">
        <f t="shared" si="27"/>
        <v>0</v>
      </c>
      <c r="V148" s="126">
        <f t="shared" si="27"/>
        <v>0</v>
      </c>
      <c r="W148" s="126">
        <f t="shared" si="27"/>
        <v>0</v>
      </c>
      <c r="X148" s="126">
        <f t="shared" si="27"/>
        <v>0</v>
      </c>
      <c r="Y148" s="126">
        <f t="shared" si="27"/>
        <v>0</v>
      </c>
      <c r="Z148" s="126">
        <f t="shared" si="27"/>
        <v>0</v>
      </c>
      <c r="AA148" s="126">
        <f t="shared" si="27"/>
        <v>0</v>
      </c>
      <c r="AB148" s="126">
        <f t="shared" si="27"/>
        <v>0</v>
      </c>
      <c r="AC148" s="382">
        <f t="shared" si="27"/>
        <v>0</v>
      </c>
      <c r="AD148" s="126">
        <f t="shared" si="27"/>
        <v>0</v>
      </c>
      <c r="AE148" s="126">
        <f t="shared" si="27"/>
        <v>0</v>
      </c>
      <c r="AF148" s="127">
        <f t="shared" si="27"/>
        <v>0</v>
      </c>
      <c r="AG148" s="128">
        <f t="shared" ref="AG148:AG232" si="28">SUM(B148:AF148)</f>
        <v>0</v>
      </c>
    </row>
    <row r="149" spans="1:34" ht="19.5" thickBot="1" x14ac:dyDescent="0.3">
      <c r="A149" s="153" t="s">
        <v>131</v>
      </c>
      <c r="B149" s="154"/>
      <c r="C149" s="154"/>
      <c r="D149" s="154"/>
      <c r="E149" s="154"/>
      <c r="F149" s="154"/>
      <c r="G149" s="154"/>
      <c r="H149" s="154"/>
      <c r="I149" s="154"/>
      <c r="J149" s="154"/>
      <c r="K149" s="154"/>
      <c r="L149" s="154"/>
      <c r="M149" s="154"/>
      <c r="N149" s="154"/>
      <c r="O149" s="154"/>
      <c r="P149" s="154"/>
      <c r="Q149" s="154"/>
      <c r="R149" s="154"/>
      <c r="S149" s="154"/>
      <c r="T149" s="154"/>
      <c r="U149" s="154"/>
      <c r="V149" s="154"/>
      <c r="W149" s="154"/>
      <c r="X149" s="154"/>
      <c r="Y149" s="154"/>
      <c r="Z149" s="154"/>
      <c r="AA149" s="154"/>
      <c r="AB149" s="154"/>
      <c r="AC149" s="374"/>
      <c r="AD149" s="154"/>
      <c r="AE149" s="154"/>
      <c r="AF149" s="155"/>
      <c r="AG149" s="156">
        <f t="shared" si="28"/>
        <v>0</v>
      </c>
    </row>
    <row r="150" spans="1:34" ht="18.75" x14ac:dyDescent="0.25">
      <c r="A150" s="129" t="s">
        <v>100</v>
      </c>
      <c r="B150" s="130"/>
      <c r="C150" s="130"/>
      <c r="D150" s="130"/>
      <c r="E150" s="130"/>
      <c r="F150" s="130"/>
      <c r="G150" s="130"/>
      <c r="H150" s="130"/>
      <c r="I150" s="130"/>
      <c r="J150" s="130"/>
      <c r="K150" s="130"/>
      <c r="L150" s="130"/>
      <c r="M150" s="130"/>
      <c r="N150" s="130"/>
      <c r="O150" s="130"/>
      <c r="P150" s="130"/>
      <c r="Q150" s="130"/>
      <c r="R150" s="130"/>
      <c r="S150" s="130"/>
      <c r="T150" s="130"/>
      <c r="U150" s="130"/>
      <c r="V150" s="130"/>
      <c r="W150" s="130"/>
      <c r="X150" s="130"/>
      <c r="Y150" s="130"/>
      <c r="Z150" s="130"/>
      <c r="AA150" s="130"/>
      <c r="AB150" s="130"/>
      <c r="AC150" s="375"/>
      <c r="AD150" s="130"/>
      <c r="AE150" s="130"/>
      <c r="AF150" s="131"/>
      <c r="AG150" s="132">
        <f t="shared" si="28"/>
        <v>0</v>
      </c>
    </row>
    <row r="151" spans="1:34" ht="18.75" x14ac:dyDescent="0.25">
      <c r="A151" s="50" t="s">
        <v>101</v>
      </c>
      <c r="B151" s="29"/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  <c r="AA151" s="29"/>
      <c r="AB151" s="29"/>
      <c r="AC151" s="376"/>
      <c r="AD151" s="29"/>
      <c r="AE151" s="29"/>
      <c r="AF151" s="21"/>
      <c r="AG151" s="4">
        <f t="shared" si="28"/>
        <v>0</v>
      </c>
    </row>
    <row r="152" spans="1:34" ht="18.75" x14ac:dyDescent="0.25">
      <c r="A152" s="50" t="s">
        <v>102</v>
      </c>
      <c r="B152" s="29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  <c r="AA152" s="29"/>
      <c r="AB152" s="29"/>
      <c r="AC152" s="376"/>
      <c r="AD152" s="29"/>
      <c r="AE152" s="29"/>
      <c r="AF152" s="21"/>
      <c r="AG152" s="4">
        <f t="shared" si="28"/>
        <v>0</v>
      </c>
    </row>
    <row r="153" spans="1:34" ht="19.5" thickBot="1" x14ac:dyDescent="0.3">
      <c r="A153" s="71" t="s">
        <v>103</v>
      </c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  <c r="AA153" s="30"/>
      <c r="AB153" s="30"/>
      <c r="AC153" s="377"/>
      <c r="AD153" s="30"/>
      <c r="AE153" s="30"/>
      <c r="AF153" s="22"/>
      <c r="AG153" s="28">
        <f t="shared" si="28"/>
        <v>0</v>
      </c>
    </row>
    <row r="154" spans="1:34" ht="19.5" thickBot="1" x14ac:dyDescent="0.3">
      <c r="A154" s="125" t="s">
        <v>67</v>
      </c>
      <c r="B154" s="126"/>
      <c r="C154" s="126"/>
      <c r="D154" s="126"/>
      <c r="E154" s="126"/>
      <c r="F154" s="126"/>
      <c r="G154" s="126"/>
      <c r="H154" s="126"/>
      <c r="I154" s="126"/>
      <c r="J154" s="126"/>
      <c r="K154" s="126"/>
      <c r="L154" s="126"/>
      <c r="M154" s="126"/>
      <c r="N154" s="126"/>
      <c r="O154" s="126"/>
      <c r="P154" s="126"/>
      <c r="Q154" s="126"/>
      <c r="R154" s="126"/>
      <c r="S154" s="126"/>
      <c r="T154" s="126"/>
      <c r="U154" s="126"/>
      <c r="V154" s="126"/>
      <c r="W154" s="126"/>
      <c r="X154" s="126"/>
      <c r="Y154" s="126"/>
      <c r="Z154" s="126"/>
      <c r="AA154" s="126"/>
      <c r="AB154" s="126"/>
      <c r="AC154" s="382"/>
      <c r="AD154" s="126"/>
      <c r="AE154" s="126"/>
      <c r="AF154" s="127"/>
      <c r="AG154" s="128">
        <f t="shared" si="28"/>
        <v>0</v>
      </c>
    </row>
    <row r="155" spans="1:34" ht="19.5" thickBot="1" x14ac:dyDescent="0.3">
      <c r="A155" s="153" t="s">
        <v>132</v>
      </c>
      <c r="B155" s="154"/>
      <c r="C155" s="154"/>
      <c r="D155" s="154"/>
      <c r="E155" s="154"/>
      <c r="F155" s="154"/>
      <c r="G155" s="154"/>
      <c r="H155" s="154"/>
      <c r="I155" s="154"/>
      <c r="J155" s="154"/>
      <c r="K155" s="154"/>
      <c r="L155" s="154"/>
      <c r="M155" s="154"/>
      <c r="N155" s="154"/>
      <c r="O155" s="154"/>
      <c r="P155" s="154"/>
      <c r="Q155" s="154"/>
      <c r="R155" s="154"/>
      <c r="S155" s="154"/>
      <c r="T155" s="154"/>
      <c r="U155" s="154"/>
      <c r="V155" s="154"/>
      <c r="W155" s="154"/>
      <c r="X155" s="154"/>
      <c r="Y155" s="154"/>
      <c r="Z155" s="154"/>
      <c r="AA155" s="154"/>
      <c r="AB155" s="154"/>
      <c r="AC155" s="374"/>
      <c r="AD155" s="154"/>
      <c r="AE155" s="154"/>
      <c r="AF155" s="155"/>
      <c r="AG155" s="156">
        <f t="shared" si="28"/>
        <v>0</v>
      </c>
    </row>
    <row r="156" spans="1:34" ht="18.75" x14ac:dyDescent="0.25">
      <c r="A156" s="69" t="s">
        <v>62</v>
      </c>
      <c r="B156" s="56">
        <v>71</v>
      </c>
      <c r="C156" s="56">
        <v>73</v>
      </c>
      <c r="D156" s="56">
        <v>72</v>
      </c>
      <c r="E156" s="56">
        <v>57</v>
      </c>
      <c r="F156" s="56">
        <v>67</v>
      </c>
      <c r="G156" s="56">
        <v>77</v>
      </c>
      <c r="H156" s="56">
        <v>59</v>
      </c>
      <c r="I156" s="56">
        <v>55</v>
      </c>
      <c r="J156" s="56">
        <v>44</v>
      </c>
      <c r="K156" s="56">
        <v>39</v>
      </c>
      <c r="L156" s="56">
        <v>56</v>
      </c>
      <c r="M156" s="56">
        <v>44</v>
      </c>
      <c r="N156" s="56">
        <v>78</v>
      </c>
      <c r="O156" s="56">
        <v>60</v>
      </c>
      <c r="P156" s="56">
        <v>51</v>
      </c>
      <c r="Q156" s="56">
        <v>58</v>
      </c>
      <c r="R156" s="56">
        <v>73</v>
      </c>
      <c r="S156" s="56">
        <v>73</v>
      </c>
      <c r="T156" s="56">
        <v>72</v>
      </c>
      <c r="U156" s="56">
        <v>63</v>
      </c>
      <c r="V156" s="56">
        <v>54</v>
      </c>
      <c r="W156" s="56">
        <v>52</v>
      </c>
      <c r="X156" s="56">
        <v>70</v>
      </c>
      <c r="Y156" s="56">
        <v>60</v>
      </c>
      <c r="Z156" s="56">
        <v>59</v>
      </c>
      <c r="AA156" s="56">
        <v>68</v>
      </c>
      <c r="AB156" s="56">
        <v>39</v>
      </c>
      <c r="AC156" s="378"/>
      <c r="AD156" s="56">
        <v>49</v>
      </c>
      <c r="AE156" s="56">
        <v>74</v>
      </c>
      <c r="AF156" s="85"/>
      <c r="AG156" s="95">
        <f t="shared" si="28"/>
        <v>1767</v>
      </c>
      <c r="AH156" s="2" t="s">
        <v>84</v>
      </c>
    </row>
    <row r="157" spans="1:34" ht="19.5" thickBot="1" x14ac:dyDescent="0.3">
      <c r="A157" s="75" t="s">
        <v>1</v>
      </c>
      <c r="B157" s="13">
        <v>4</v>
      </c>
      <c r="C157" s="13">
        <v>2</v>
      </c>
      <c r="D157" s="13">
        <v>3</v>
      </c>
      <c r="E157" s="13"/>
      <c r="F157" s="13">
        <v>1</v>
      </c>
      <c r="G157" s="13">
        <v>11</v>
      </c>
      <c r="H157" s="13">
        <v>9</v>
      </c>
      <c r="I157" s="13">
        <v>5</v>
      </c>
      <c r="J157" s="13">
        <v>2</v>
      </c>
      <c r="K157" s="13">
        <v>1</v>
      </c>
      <c r="L157" s="13">
        <v>3</v>
      </c>
      <c r="M157" s="13">
        <v>0</v>
      </c>
      <c r="N157" s="13">
        <v>3</v>
      </c>
      <c r="O157" s="13">
        <v>0</v>
      </c>
      <c r="P157" s="13">
        <v>2</v>
      </c>
      <c r="Q157" s="13">
        <v>4</v>
      </c>
      <c r="R157" s="13">
        <v>0</v>
      </c>
      <c r="S157" s="13">
        <v>0</v>
      </c>
      <c r="T157" s="13">
        <v>2</v>
      </c>
      <c r="U157" s="13">
        <v>4</v>
      </c>
      <c r="V157" s="13">
        <v>5</v>
      </c>
      <c r="W157" s="13">
        <v>4</v>
      </c>
      <c r="X157" s="13">
        <v>4</v>
      </c>
      <c r="Y157" s="13">
        <v>3</v>
      </c>
      <c r="Z157" s="13">
        <v>4</v>
      </c>
      <c r="AA157" s="13">
        <v>5</v>
      </c>
      <c r="AB157" s="13">
        <v>5</v>
      </c>
      <c r="AC157" s="377"/>
      <c r="AD157" s="13">
        <v>2</v>
      </c>
      <c r="AE157" s="13">
        <v>2</v>
      </c>
      <c r="AF157" s="14"/>
      <c r="AG157" s="157">
        <f t="shared" si="28"/>
        <v>90</v>
      </c>
      <c r="AH157" s="2"/>
    </row>
    <row r="158" spans="1:34" ht="19.5" thickBot="1" x14ac:dyDescent="0.3">
      <c r="A158" s="121" t="s">
        <v>22</v>
      </c>
      <c r="B158" s="122">
        <f t="shared" ref="B158:AF158" si="29">SUM(B159:B166)</f>
        <v>2</v>
      </c>
      <c r="C158" s="122">
        <f t="shared" si="29"/>
        <v>0</v>
      </c>
      <c r="D158" s="122">
        <f t="shared" si="29"/>
        <v>1</v>
      </c>
      <c r="E158" s="122">
        <f t="shared" si="29"/>
        <v>4</v>
      </c>
      <c r="F158" s="122">
        <f t="shared" si="29"/>
        <v>6</v>
      </c>
      <c r="G158" s="122">
        <f t="shared" si="29"/>
        <v>0</v>
      </c>
      <c r="H158" s="122">
        <f t="shared" si="29"/>
        <v>4</v>
      </c>
      <c r="I158" s="122">
        <f t="shared" si="29"/>
        <v>1</v>
      </c>
      <c r="J158" s="122">
        <f t="shared" si="29"/>
        <v>4</v>
      </c>
      <c r="K158" s="122">
        <f t="shared" si="29"/>
        <v>2</v>
      </c>
      <c r="L158" s="122">
        <f t="shared" si="29"/>
        <v>5</v>
      </c>
      <c r="M158" s="122">
        <f t="shared" si="29"/>
        <v>0</v>
      </c>
      <c r="N158" s="122">
        <f t="shared" si="29"/>
        <v>1</v>
      </c>
      <c r="O158" s="122">
        <f t="shared" si="29"/>
        <v>1</v>
      </c>
      <c r="P158" s="122">
        <f t="shared" si="29"/>
        <v>1</v>
      </c>
      <c r="Q158" s="122">
        <f t="shared" si="29"/>
        <v>0</v>
      </c>
      <c r="R158" s="122">
        <f t="shared" si="29"/>
        <v>2</v>
      </c>
      <c r="S158" s="122">
        <f t="shared" si="29"/>
        <v>3</v>
      </c>
      <c r="T158" s="122">
        <f t="shared" si="29"/>
        <v>5</v>
      </c>
      <c r="U158" s="122">
        <f t="shared" si="29"/>
        <v>3</v>
      </c>
      <c r="V158" s="122">
        <f t="shared" si="29"/>
        <v>3</v>
      </c>
      <c r="W158" s="122">
        <f t="shared" si="29"/>
        <v>3</v>
      </c>
      <c r="X158" s="122">
        <f t="shared" si="29"/>
        <v>6</v>
      </c>
      <c r="Y158" s="122">
        <f t="shared" si="29"/>
        <v>4</v>
      </c>
      <c r="Z158" s="122">
        <f t="shared" si="29"/>
        <v>4</v>
      </c>
      <c r="AA158" s="122">
        <f t="shared" si="29"/>
        <v>3</v>
      </c>
      <c r="AB158" s="122">
        <f t="shared" si="29"/>
        <v>2</v>
      </c>
      <c r="AC158" s="374">
        <f t="shared" si="29"/>
        <v>0</v>
      </c>
      <c r="AD158" s="122">
        <f t="shared" si="29"/>
        <v>0</v>
      </c>
      <c r="AE158" s="122">
        <f t="shared" si="29"/>
        <v>4</v>
      </c>
      <c r="AF158" s="123">
        <f t="shared" si="29"/>
        <v>0</v>
      </c>
      <c r="AG158" s="124">
        <f t="shared" si="28"/>
        <v>74</v>
      </c>
    </row>
    <row r="159" spans="1:34" ht="18.75" x14ac:dyDescent="0.25">
      <c r="A159" s="129" t="s">
        <v>23</v>
      </c>
      <c r="B159" s="130"/>
      <c r="C159" s="130"/>
      <c r="D159" s="130">
        <v>1</v>
      </c>
      <c r="E159" s="130">
        <v>1</v>
      </c>
      <c r="F159" s="130">
        <v>2</v>
      </c>
      <c r="G159" s="130"/>
      <c r="H159" s="130"/>
      <c r="I159" s="130"/>
      <c r="J159" s="130">
        <v>1</v>
      </c>
      <c r="K159" s="130"/>
      <c r="L159" s="130">
        <v>1</v>
      </c>
      <c r="M159" s="130"/>
      <c r="N159" s="130"/>
      <c r="O159" s="130"/>
      <c r="P159" s="130"/>
      <c r="Q159" s="130"/>
      <c r="R159" s="130">
        <v>1</v>
      </c>
      <c r="S159" s="130">
        <v>1</v>
      </c>
      <c r="T159" s="130"/>
      <c r="U159" s="130"/>
      <c r="V159" s="130"/>
      <c r="W159" s="130"/>
      <c r="X159" s="130">
        <v>1</v>
      </c>
      <c r="Y159" s="130">
        <v>1</v>
      </c>
      <c r="Z159" s="130">
        <v>1</v>
      </c>
      <c r="AA159" s="130">
        <v>1</v>
      </c>
      <c r="AB159" s="130"/>
      <c r="AC159" s="375"/>
      <c r="AD159" s="130"/>
      <c r="AE159" s="130">
        <v>2</v>
      </c>
      <c r="AF159" s="131"/>
      <c r="AG159" s="132">
        <f t="shared" si="28"/>
        <v>14</v>
      </c>
    </row>
    <row r="160" spans="1:34" ht="18.75" x14ac:dyDescent="0.25">
      <c r="A160" s="50" t="s">
        <v>24</v>
      </c>
      <c r="B160" s="29"/>
      <c r="C160" s="29"/>
      <c r="D160" s="29"/>
      <c r="E160" s="29">
        <v>1</v>
      </c>
      <c r="F160" s="29"/>
      <c r="G160" s="29"/>
      <c r="H160" s="29"/>
      <c r="I160" s="29">
        <v>1</v>
      </c>
      <c r="J160" s="29">
        <v>2</v>
      </c>
      <c r="K160" s="29"/>
      <c r="L160" s="29">
        <v>1</v>
      </c>
      <c r="M160" s="29"/>
      <c r="N160" s="29">
        <v>1</v>
      </c>
      <c r="O160" s="29"/>
      <c r="P160" s="29">
        <v>1</v>
      </c>
      <c r="Q160" s="29"/>
      <c r="R160" s="29"/>
      <c r="S160" s="29"/>
      <c r="T160" s="29">
        <v>1</v>
      </c>
      <c r="U160" s="29"/>
      <c r="V160" s="29"/>
      <c r="W160" s="29">
        <v>1</v>
      </c>
      <c r="X160" s="29"/>
      <c r="Y160" s="29">
        <v>1</v>
      </c>
      <c r="Z160" s="29">
        <v>1</v>
      </c>
      <c r="AA160" s="29"/>
      <c r="AB160" s="29">
        <v>1</v>
      </c>
      <c r="AC160" s="376"/>
      <c r="AD160" s="29"/>
      <c r="AE160" s="29"/>
      <c r="AF160" s="21"/>
      <c r="AG160" s="4">
        <f t="shared" si="28"/>
        <v>12</v>
      </c>
    </row>
    <row r="161" spans="1:34" ht="18.75" x14ac:dyDescent="0.25">
      <c r="A161" s="50" t="s">
        <v>59</v>
      </c>
      <c r="B161" s="29">
        <v>2</v>
      </c>
      <c r="C161" s="29"/>
      <c r="D161" s="29"/>
      <c r="E161" s="29"/>
      <c r="F161" s="29">
        <v>3</v>
      </c>
      <c r="G161" s="29"/>
      <c r="H161" s="29"/>
      <c r="I161" s="29"/>
      <c r="J161" s="29"/>
      <c r="K161" s="29"/>
      <c r="L161" s="29">
        <v>2</v>
      </c>
      <c r="M161" s="29"/>
      <c r="N161" s="29"/>
      <c r="O161" s="29"/>
      <c r="P161" s="29"/>
      <c r="Q161" s="29"/>
      <c r="R161" s="29"/>
      <c r="S161" s="29"/>
      <c r="T161" s="29">
        <v>3</v>
      </c>
      <c r="U161" s="29"/>
      <c r="V161" s="29"/>
      <c r="W161" s="29"/>
      <c r="X161" s="29"/>
      <c r="Y161" s="29"/>
      <c r="Z161" s="29">
        <v>1</v>
      </c>
      <c r="AA161" s="29">
        <v>1</v>
      </c>
      <c r="AB161" s="29"/>
      <c r="AC161" s="376"/>
      <c r="AD161" s="29"/>
      <c r="AE161" s="29"/>
      <c r="AF161" s="21"/>
      <c r="AG161" s="4">
        <f t="shared" si="28"/>
        <v>12</v>
      </c>
    </row>
    <row r="162" spans="1:34" ht="18.75" x14ac:dyDescent="0.25">
      <c r="A162" s="50" t="s">
        <v>25</v>
      </c>
      <c r="B162" s="29"/>
      <c r="C162" s="29"/>
      <c r="D162" s="29"/>
      <c r="E162" s="29"/>
      <c r="F162" s="29"/>
      <c r="G162" s="29"/>
      <c r="H162" s="29">
        <v>1</v>
      </c>
      <c r="I162" s="29"/>
      <c r="J162" s="29"/>
      <c r="K162" s="29"/>
      <c r="L162" s="29">
        <v>1</v>
      </c>
      <c r="M162" s="29"/>
      <c r="N162" s="29"/>
      <c r="O162" s="29">
        <v>1</v>
      </c>
      <c r="P162" s="29"/>
      <c r="Q162" s="29"/>
      <c r="R162" s="29">
        <v>1</v>
      </c>
      <c r="S162" s="29">
        <v>2</v>
      </c>
      <c r="T162" s="29">
        <v>1</v>
      </c>
      <c r="U162" s="29">
        <v>2</v>
      </c>
      <c r="V162" s="29">
        <v>2</v>
      </c>
      <c r="W162" s="29">
        <v>1</v>
      </c>
      <c r="X162" s="29">
        <v>1</v>
      </c>
      <c r="Y162" s="29"/>
      <c r="Z162" s="29">
        <v>1</v>
      </c>
      <c r="AA162" s="29"/>
      <c r="AB162" s="29"/>
      <c r="AC162" s="376"/>
      <c r="AD162" s="29"/>
      <c r="AE162" s="29"/>
      <c r="AF162" s="21"/>
      <c r="AG162" s="4">
        <f t="shared" si="28"/>
        <v>14</v>
      </c>
    </row>
    <row r="163" spans="1:34" ht="18.75" x14ac:dyDescent="0.25">
      <c r="A163" s="50" t="s">
        <v>26</v>
      </c>
      <c r="B163" s="29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  <c r="AA163" s="29"/>
      <c r="AB163" s="29"/>
      <c r="AC163" s="376"/>
      <c r="AD163" s="29"/>
      <c r="AE163" s="29"/>
      <c r="AF163" s="21"/>
      <c r="AG163" s="4">
        <f t="shared" si="28"/>
        <v>0</v>
      </c>
    </row>
    <row r="164" spans="1:34" ht="18.75" x14ac:dyDescent="0.25">
      <c r="A164" s="50" t="s">
        <v>27</v>
      </c>
      <c r="B164" s="29"/>
      <c r="C164" s="29"/>
      <c r="D164" s="29"/>
      <c r="E164" s="29">
        <v>2</v>
      </c>
      <c r="F164" s="29"/>
      <c r="G164" s="29"/>
      <c r="H164" s="29"/>
      <c r="I164" s="29"/>
      <c r="J164" s="29">
        <v>1</v>
      </c>
      <c r="K164" s="29">
        <v>1</v>
      </c>
      <c r="L164" s="29"/>
      <c r="M164" s="29"/>
      <c r="N164" s="29"/>
      <c r="O164" s="29"/>
      <c r="P164" s="29"/>
      <c r="Q164" s="29"/>
      <c r="R164" s="29"/>
      <c r="S164" s="29"/>
      <c r="T164" s="29"/>
      <c r="U164" s="29">
        <v>1</v>
      </c>
      <c r="V164" s="29"/>
      <c r="W164" s="29">
        <v>1</v>
      </c>
      <c r="X164" s="29">
        <v>4</v>
      </c>
      <c r="Y164" s="29">
        <v>2</v>
      </c>
      <c r="Z164" s="29"/>
      <c r="AA164" s="29"/>
      <c r="AB164" s="29">
        <v>1</v>
      </c>
      <c r="AC164" s="376"/>
      <c r="AD164" s="29"/>
      <c r="AE164" s="29">
        <v>1</v>
      </c>
      <c r="AF164" s="21"/>
      <c r="AG164" s="4">
        <f t="shared" si="28"/>
        <v>14</v>
      </c>
    </row>
    <row r="165" spans="1:34" ht="18.75" x14ac:dyDescent="0.25">
      <c r="A165" s="50" t="s">
        <v>28</v>
      </c>
      <c r="B165" s="29"/>
      <c r="C165" s="29"/>
      <c r="D165" s="29"/>
      <c r="E165" s="29"/>
      <c r="F165" s="29">
        <v>1</v>
      </c>
      <c r="G165" s="29"/>
      <c r="H165" s="29">
        <v>3</v>
      </c>
      <c r="I165" s="29"/>
      <c r="J165" s="29"/>
      <c r="K165" s="29">
        <v>1</v>
      </c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>
        <v>1</v>
      </c>
      <c r="W165" s="29"/>
      <c r="X165" s="29"/>
      <c r="Y165" s="29"/>
      <c r="Z165" s="29"/>
      <c r="AA165" s="29">
        <v>1</v>
      </c>
      <c r="AB165" s="29"/>
      <c r="AC165" s="376"/>
      <c r="AD165" s="29"/>
      <c r="AE165" s="29">
        <v>1</v>
      </c>
      <c r="AF165" s="21"/>
      <c r="AG165" s="4">
        <f t="shared" si="28"/>
        <v>8</v>
      </c>
    </row>
    <row r="166" spans="1:34" ht="19.5" thickBot="1" x14ac:dyDescent="0.3">
      <c r="A166" s="71" t="s">
        <v>29</v>
      </c>
      <c r="B166" s="30"/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  <c r="AA166" s="30"/>
      <c r="AB166" s="30"/>
      <c r="AC166" s="377"/>
      <c r="AD166" s="30"/>
      <c r="AE166" s="30"/>
      <c r="AF166" s="22"/>
      <c r="AG166" s="28">
        <f t="shared" si="28"/>
        <v>0</v>
      </c>
    </row>
    <row r="167" spans="1:34" ht="18.75" x14ac:dyDescent="0.25">
      <c r="A167" s="69" t="s">
        <v>71</v>
      </c>
      <c r="B167" s="56">
        <f t="shared" ref="B167:AF167" si="30">SUM(B168:B171)</f>
        <v>2</v>
      </c>
      <c r="C167" s="56">
        <f t="shared" si="30"/>
        <v>0</v>
      </c>
      <c r="D167" s="56">
        <f t="shared" si="30"/>
        <v>2</v>
      </c>
      <c r="E167" s="56">
        <f t="shared" si="30"/>
        <v>4</v>
      </c>
      <c r="F167" s="56">
        <f t="shared" si="30"/>
        <v>1</v>
      </c>
      <c r="G167" s="56">
        <f t="shared" si="30"/>
        <v>6</v>
      </c>
      <c r="H167" s="56">
        <f t="shared" si="30"/>
        <v>0</v>
      </c>
      <c r="I167" s="56">
        <f t="shared" si="30"/>
        <v>2</v>
      </c>
      <c r="J167" s="56">
        <f t="shared" si="30"/>
        <v>2</v>
      </c>
      <c r="K167" s="56">
        <f t="shared" si="30"/>
        <v>2</v>
      </c>
      <c r="L167" s="56">
        <f t="shared" si="30"/>
        <v>0</v>
      </c>
      <c r="M167" s="56">
        <f t="shared" si="30"/>
        <v>1</v>
      </c>
      <c r="N167" s="56">
        <f t="shared" si="30"/>
        <v>2</v>
      </c>
      <c r="O167" s="56">
        <f t="shared" si="30"/>
        <v>1</v>
      </c>
      <c r="P167" s="56">
        <f t="shared" si="30"/>
        <v>1</v>
      </c>
      <c r="Q167" s="56">
        <f t="shared" si="30"/>
        <v>0</v>
      </c>
      <c r="R167" s="56">
        <f t="shared" si="30"/>
        <v>4</v>
      </c>
      <c r="S167" s="56">
        <f t="shared" si="30"/>
        <v>2</v>
      </c>
      <c r="T167" s="56">
        <f t="shared" si="30"/>
        <v>0</v>
      </c>
      <c r="U167" s="56">
        <f t="shared" si="30"/>
        <v>4</v>
      </c>
      <c r="V167" s="56">
        <f t="shared" si="30"/>
        <v>4</v>
      </c>
      <c r="W167" s="56">
        <f t="shared" si="30"/>
        <v>0</v>
      </c>
      <c r="X167" s="56">
        <f t="shared" si="30"/>
        <v>1</v>
      </c>
      <c r="Y167" s="56">
        <f t="shared" si="30"/>
        <v>1</v>
      </c>
      <c r="Z167" s="56">
        <f t="shared" si="30"/>
        <v>2</v>
      </c>
      <c r="AA167" s="56">
        <f t="shared" si="30"/>
        <v>1</v>
      </c>
      <c r="AB167" s="56">
        <f t="shared" si="30"/>
        <v>0</v>
      </c>
      <c r="AC167" s="378">
        <f t="shared" si="30"/>
        <v>0</v>
      </c>
      <c r="AD167" s="56">
        <f t="shared" si="30"/>
        <v>3</v>
      </c>
      <c r="AE167" s="56">
        <f t="shared" si="30"/>
        <v>6</v>
      </c>
      <c r="AF167" s="85">
        <f t="shared" si="30"/>
        <v>0</v>
      </c>
      <c r="AG167" s="95">
        <f t="shared" si="28"/>
        <v>54</v>
      </c>
    </row>
    <row r="168" spans="1:34" ht="18.75" x14ac:dyDescent="0.25">
      <c r="A168" s="51" t="s">
        <v>30</v>
      </c>
      <c r="B168" s="29"/>
      <c r="C168" s="29"/>
      <c r="D168" s="29">
        <v>2</v>
      </c>
      <c r="E168" s="29"/>
      <c r="F168" s="29"/>
      <c r="G168" s="29">
        <v>3</v>
      </c>
      <c r="H168" s="29"/>
      <c r="I168" s="29"/>
      <c r="J168" s="29">
        <v>2</v>
      </c>
      <c r="K168" s="29"/>
      <c r="L168" s="29"/>
      <c r="M168" s="29">
        <v>1</v>
      </c>
      <c r="N168" s="29">
        <v>2</v>
      </c>
      <c r="O168" s="29">
        <v>1</v>
      </c>
      <c r="P168" s="29">
        <v>1</v>
      </c>
      <c r="Q168" s="29"/>
      <c r="R168" s="29">
        <v>4</v>
      </c>
      <c r="S168" s="29">
        <v>2</v>
      </c>
      <c r="T168" s="29"/>
      <c r="U168" s="29">
        <v>3</v>
      </c>
      <c r="V168" s="29">
        <v>4</v>
      </c>
      <c r="W168" s="29"/>
      <c r="X168" s="29"/>
      <c r="Y168" s="29">
        <v>1</v>
      </c>
      <c r="Z168" s="29">
        <v>1</v>
      </c>
      <c r="AA168" s="29"/>
      <c r="AB168" s="29"/>
      <c r="AC168" s="376"/>
      <c r="AD168" s="29">
        <v>2</v>
      </c>
      <c r="AE168" s="29">
        <v>3</v>
      </c>
      <c r="AF168" s="21"/>
      <c r="AG168" s="4">
        <f t="shared" si="28"/>
        <v>32</v>
      </c>
    </row>
    <row r="169" spans="1:34" ht="18.75" x14ac:dyDescent="0.25">
      <c r="A169" s="51" t="s">
        <v>31</v>
      </c>
      <c r="B169" s="29">
        <v>1</v>
      </c>
      <c r="C169" s="29"/>
      <c r="D169" s="29"/>
      <c r="E169" s="29">
        <v>4</v>
      </c>
      <c r="F169" s="29">
        <v>1</v>
      </c>
      <c r="G169" s="29">
        <v>3</v>
      </c>
      <c r="H169" s="29"/>
      <c r="I169" s="29">
        <v>2</v>
      </c>
      <c r="J169" s="29"/>
      <c r="K169" s="29">
        <v>2</v>
      </c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>
        <v>1</v>
      </c>
      <c r="Y169" s="29"/>
      <c r="Z169" s="29">
        <v>1</v>
      </c>
      <c r="AA169" s="29"/>
      <c r="AB169" s="29"/>
      <c r="AC169" s="376"/>
      <c r="AD169" s="29">
        <v>1</v>
      </c>
      <c r="AE169" s="29">
        <v>2</v>
      </c>
      <c r="AF169" s="21"/>
      <c r="AG169" s="4">
        <f t="shared" si="28"/>
        <v>18</v>
      </c>
    </row>
    <row r="170" spans="1:34" ht="18.75" x14ac:dyDescent="0.25">
      <c r="A170" s="51" t="s">
        <v>32</v>
      </c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376"/>
      <c r="AD170" s="29"/>
      <c r="AE170" s="29">
        <v>1</v>
      </c>
      <c r="AF170" s="21"/>
      <c r="AG170" s="4">
        <f t="shared" si="28"/>
        <v>1</v>
      </c>
    </row>
    <row r="171" spans="1:34" ht="19.5" thickBot="1" x14ac:dyDescent="0.3">
      <c r="A171" s="70" t="s">
        <v>87</v>
      </c>
      <c r="B171" s="30">
        <v>1</v>
      </c>
      <c r="C171" s="30"/>
      <c r="D171" s="30"/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>
        <v>1</v>
      </c>
      <c r="V171" s="30"/>
      <c r="W171" s="30"/>
      <c r="X171" s="30"/>
      <c r="Y171" s="30"/>
      <c r="Z171" s="30"/>
      <c r="AA171" s="30">
        <v>1</v>
      </c>
      <c r="AB171" s="30"/>
      <c r="AC171" s="377"/>
      <c r="AD171" s="30"/>
      <c r="AE171" s="30"/>
      <c r="AF171" s="22"/>
      <c r="AG171" s="28">
        <f t="shared" si="28"/>
        <v>3</v>
      </c>
    </row>
    <row r="172" spans="1:34" ht="19.5" thickBot="1" x14ac:dyDescent="0.3">
      <c r="A172" s="158" t="s">
        <v>128</v>
      </c>
      <c r="B172" s="151"/>
      <c r="C172" s="151"/>
      <c r="D172" s="151"/>
      <c r="E172" s="151"/>
      <c r="F172" s="151"/>
      <c r="G172" s="151"/>
      <c r="H172" s="151">
        <v>1</v>
      </c>
      <c r="I172" s="151"/>
      <c r="J172" s="151"/>
      <c r="K172" s="151"/>
      <c r="L172" s="151">
        <v>1</v>
      </c>
      <c r="M172" s="151"/>
      <c r="N172" s="151"/>
      <c r="O172" s="151"/>
      <c r="P172" s="151"/>
      <c r="Q172" s="151"/>
      <c r="R172" s="151"/>
      <c r="S172" s="151"/>
      <c r="T172" s="151">
        <v>1</v>
      </c>
      <c r="U172" s="151"/>
      <c r="V172" s="151"/>
      <c r="W172" s="151"/>
      <c r="X172" s="151">
        <v>1</v>
      </c>
      <c r="Y172" s="151"/>
      <c r="Z172" s="151"/>
      <c r="AA172" s="151">
        <v>1</v>
      </c>
      <c r="AB172" s="151">
        <v>1</v>
      </c>
      <c r="AC172" s="380"/>
      <c r="AD172" s="151"/>
      <c r="AE172" s="151"/>
      <c r="AF172" s="152"/>
      <c r="AG172" s="159">
        <f t="shared" si="28"/>
        <v>6</v>
      </c>
    </row>
    <row r="173" spans="1:34" ht="18.75" x14ac:dyDescent="0.25">
      <c r="A173" s="68" t="s">
        <v>2</v>
      </c>
      <c r="B173" s="15">
        <v>0</v>
      </c>
      <c r="C173" s="15">
        <v>1</v>
      </c>
      <c r="D173" s="15">
        <v>2</v>
      </c>
      <c r="E173" s="15">
        <v>2</v>
      </c>
      <c r="F173" s="15">
        <v>1</v>
      </c>
      <c r="G173" s="15">
        <v>0</v>
      </c>
      <c r="H173" s="15">
        <v>0</v>
      </c>
      <c r="I173" s="15">
        <v>1</v>
      </c>
      <c r="J173" s="15">
        <v>0</v>
      </c>
      <c r="K173" s="15">
        <v>0</v>
      </c>
      <c r="L173" s="15">
        <v>0</v>
      </c>
      <c r="M173" s="15">
        <v>0</v>
      </c>
      <c r="N173" s="15">
        <v>1</v>
      </c>
      <c r="O173" s="15">
        <v>0</v>
      </c>
      <c r="P173" s="15">
        <f>1+1</f>
        <v>2</v>
      </c>
      <c r="Q173" s="15">
        <v>0</v>
      </c>
      <c r="R173" s="15">
        <v>1</v>
      </c>
      <c r="S173" s="15">
        <v>1</v>
      </c>
      <c r="T173" s="15">
        <v>4</v>
      </c>
      <c r="U173" s="15">
        <v>0</v>
      </c>
      <c r="V173" s="15">
        <v>0</v>
      </c>
      <c r="W173" s="15">
        <v>0</v>
      </c>
      <c r="X173" s="15">
        <f>1+1</f>
        <v>2</v>
      </c>
      <c r="Y173" s="15">
        <v>0</v>
      </c>
      <c r="Z173" s="15">
        <v>1</v>
      </c>
      <c r="AA173" s="15">
        <v>0</v>
      </c>
      <c r="AB173" s="15">
        <v>0</v>
      </c>
      <c r="AC173" s="378"/>
      <c r="AD173" s="15">
        <v>0</v>
      </c>
      <c r="AE173" s="15">
        <v>0</v>
      </c>
      <c r="AF173" s="23"/>
      <c r="AG173" s="5">
        <f t="shared" si="28"/>
        <v>19</v>
      </c>
      <c r="AH173" s="2" t="s">
        <v>137</v>
      </c>
    </row>
    <row r="174" spans="1:34" ht="19.5" thickBot="1" x14ac:dyDescent="0.3">
      <c r="A174" s="146" t="s">
        <v>3</v>
      </c>
      <c r="B174" s="16">
        <f>SUM(B175:B176)</f>
        <v>1</v>
      </c>
      <c r="C174" s="16">
        <f t="shared" ref="C174:AF174" si="31">SUM(C175:C176)</f>
        <v>2</v>
      </c>
      <c r="D174" s="16">
        <f t="shared" si="31"/>
        <v>0</v>
      </c>
      <c r="E174" s="16">
        <f t="shared" si="31"/>
        <v>1</v>
      </c>
      <c r="F174" s="16">
        <f t="shared" si="31"/>
        <v>1</v>
      </c>
      <c r="G174" s="16">
        <f t="shared" si="31"/>
        <v>1</v>
      </c>
      <c r="H174" s="16">
        <f t="shared" si="31"/>
        <v>0</v>
      </c>
      <c r="I174" s="16">
        <f t="shared" si="31"/>
        <v>4</v>
      </c>
      <c r="J174" s="16">
        <f t="shared" si="31"/>
        <v>3</v>
      </c>
      <c r="K174" s="16">
        <f t="shared" si="31"/>
        <v>0</v>
      </c>
      <c r="L174" s="16">
        <f t="shared" si="31"/>
        <v>0</v>
      </c>
      <c r="M174" s="16">
        <f t="shared" si="31"/>
        <v>3</v>
      </c>
      <c r="N174" s="16">
        <f t="shared" si="31"/>
        <v>3</v>
      </c>
      <c r="O174" s="16">
        <f t="shared" si="31"/>
        <v>3</v>
      </c>
      <c r="P174" s="16">
        <f t="shared" si="31"/>
        <v>3</v>
      </c>
      <c r="Q174" s="16">
        <f t="shared" si="31"/>
        <v>0</v>
      </c>
      <c r="R174" s="16">
        <f t="shared" si="31"/>
        <v>4</v>
      </c>
      <c r="S174" s="16">
        <f t="shared" si="31"/>
        <v>1</v>
      </c>
      <c r="T174" s="16">
        <f t="shared" si="31"/>
        <v>2</v>
      </c>
      <c r="U174" s="16">
        <f t="shared" si="31"/>
        <v>1</v>
      </c>
      <c r="V174" s="16">
        <f t="shared" si="31"/>
        <v>2</v>
      </c>
      <c r="W174" s="16">
        <f t="shared" si="31"/>
        <v>0</v>
      </c>
      <c r="X174" s="16">
        <f t="shared" si="31"/>
        <v>2</v>
      </c>
      <c r="Y174" s="16">
        <f t="shared" si="31"/>
        <v>1</v>
      </c>
      <c r="Z174" s="16">
        <f t="shared" si="31"/>
        <v>4</v>
      </c>
      <c r="AA174" s="16">
        <f t="shared" si="31"/>
        <v>3</v>
      </c>
      <c r="AB174" s="16">
        <f t="shared" si="31"/>
        <v>0</v>
      </c>
      <c r="AC174" s="377">
        <f t="shared" si="31"/>
        <v>0</v>
      </c>
      <c r="AD174" s="16">
        <f t="shared" si="31"/>
        <v>1</v>
      </c>
      <c r="AE174" s="16">
        <f t="shared" si="31"/>
        <v>4</v>
      </c>
      <c r="AF174" s="24">
        <f t="shared" si="31"/>
        <v>0</v>
      </c>
      <c r="AG174" s="6">
        <f t="shared" si="28"/>
        <v>50</v>
      </c>
      <c r="AH174" s="2" t="s">
        <v>138</v>
      </c>
    </row>
    <row r="175" spans="1:34" ht="18.75" x14ac:dyDescent="0.25">
      <c r="A175" s="133" t="s">
        <v>120</v>
      </c>
      <c r="B175" s="15">
        <v>0</v>
      </c>
      <c r="C175" s="15">
        <v>0</v>
      </c>
      <c r="D175" s="15">
        <v>0</v>
      </c>
      <c r="E175" s="15">
        <v>0</v>
      </c>
      <c r="F175" s="15">
        <v>0</v>
      </c>
      <c r="G175" s="15">
        <v>0</v>
      </c>
      <c r="H175" s="15">
        <v>0</v>
      </c>
      <c r="I175" s="15">
        <v>0</v>
      </c>
      <c r="J175" s="15">
        <v>0</v>
      </c>
      <c r="K175" s="15">
        <v>0</v>
      </c>
      <c r="L175" s="15">
        <v>0</v>
      </c>
      <c r="M175" s="15">
        <v>1</v>
      </c>
      <c r="N175" s="15">
        <v>0</v>
      </c>
      <c r="O175" s="15">
        <v>1</v>
      </c>
      <c r="P175" s="15">
        <v>0</v>
      </c>
      <c r="Q175" s="15">
        <v>0</v>
      </c>
      <c r="R175" s="15">
        <v>0</v>
      </c>
      <c r="S175" s="15">
        <v>0</v>
      </c>
      <c r="T175" s="15">
        <v>0</v>
      </c>
      <c r="U175" s="15">
        <v>0</v>
      </c>
      <c r="V175" s="15">
        <v>1</v>
      </c>
      <c r="W175" s="15">
        <v>0</v>
      </c>
      <c r="X175" s="15">
        <v>0</v>
      </c>
      <c r="Y175" s="15">
        <v>0</v>
      </c>
      <c r="Z175" s="15">
        <v>0</v>
      </c>
      <c r="AA175" s="15">
        <v>0</v>
      </c>
      <c r="AB175" s="15">
        <v>0</v>
      </c>
      <c r="AC175" s="378"/>
      <c r="AD175" s="15">
        <v>0</v>
      </c>
      <c r="AE175" s="15">
        <v>2</v>
      </c>
      <c r="AF175" s="23"/>
      <c r="AG175" s="5">
        <f t="shared" si="28"/>
        <v>5</v>
      </c>
      <c r="AH175" s="2" t="s">
        <v>138</v>
      </c>
    </row>
    <row r="176" spans="1:34" ht="19.5" thickBot="1" x14ac:dyDescent="0.3">
      <c r="A176" s="104" t="s">
        <v>119</v>
      </c>
      <c r="B176" s="101">
        <v>1</v>
      </c>
      <c r="C176" s="101">
        <v>2</v>
      </c>
      <c r="D176" s="101">
        <v>0</v>
      </c>
      <c r="E176" s="101">
        <v>1</v>
      </c>
      <c r="F176" s="101">
        <v>1</v>
      </c>
      <c r="G176" s="101">
        <v>1</v>
      </c>
      <c r="H176" s="101">
        <v>0</v>
      </c>
      <c r="I176" s="101">
        <v>4</v>
      </c>
      <c r="J176" s="101">
        <v>3</v>
      </c>
      <c r="K176" s="101">
        <v>0</v>
      </c>
      <c r="L176" s="101">
        <v>0</v>
      </c>
      <c r="M176" s="101">
        <v>2</v>
      </c>
      <c r="N176" s="101">
        <v>3</v>
      </c>
      <c r="O176" s="101">
        <v>2</v>
      </c>
      <c r="P176" s="101">
        <v>3</v>
      </c>
      <c r="Q176" s="101">
        <v>0</v>
      </c>
      <c r="R176" s="101">
        <v>4</v>
      </c>
      <c r="S176" s="101">
        <v>1</v>
      </c>
      <c r="T176" s="101">
        <v>2</v>
      </c>
      <c r="U176" s="101">
        <v>1</v>
      </c>
      <c r="V176" s="101">
        <v>1</v>
      </c>
      <c r="W176" s="101">
        <v>0</v>
      </c>
      <c r="X176" s="101">
        <v>2</v>
      </c>
      <c r="Y176" s="101">
        <v>1</v>
      </c>
      <c r="Z176" s="101">
        <v>4</v>
      </c>
      <c r="AA176" s="101">
        <v>3</v>
      </c>
      <c r="AB176" s="101">
        <v>0</v>
      </c>
      <c r="AC176" s="380"/>
      <c r="AD176" s="101">
        <v>1</v>
      </c>
      <c r="AE176" s="101">
        <v>2</v>
      </c>
      <c r="AF176" s="102"/>
      <c r="AG176" s="103">
        <f t="shared" si="28"/>
        <v>45</v>
      </c>
      <c r="AH176" s="2" t="s">
        <v>138</v>
      </c>
    </row>
    <row r="177" spans="1:34" ht="18.75" x14ac:dyDescent="0.25">
      <c r="A177" s="64" t="s">
        <v>105</v>
      </c>
      <c r="B177" s="65"/>
      <c r="C177" s="65"/>
      <c r="D177" s="65"/>
      <c r="E177" s="65"/>
      <c r="F177" s="65"/>
      <c r="G177" s="65"/>
      <c r="H177" s="65"/>
      <c r="I177" s="65"/>
      <c r="J177" s="65"/>
      <c r="K177" s="65"/>
      <c r="L177" s="65"/>
      <c r="M177" s="65"/>
      <c r="N177" s="65"/>
      <c r="O177" s="65"/>
      <c r="P177" s="65"/>
      <c r="Q177" s="65"/>
      <c r="R177" s="65"/>
      <c r="S177" s="65"/>
      <c r="T177" s="65"/>
      <c r="U177" s="65"/>
      <c r="V177" s="65"/>
      <c r="W177" s="65"/>
      <c r="X177" s="65"/>
      <c r="Y177" s="65"/>
      <c r="Z177" s="65"/>
      <c r="AA177" s="65"/>
      <c r="AB177" s="65"/>
      <c r="AC177" s="378"/>
      <c r="AD177" s="65"/>
      <c r="AE177" s="65"/>
      <c r="AF177" s="86"/>
      <c r="AG177" s="96">
        <f t="shared" si="28"/>
        <v>0</v>
      </c>
    </row>
    <row r="178" spans="1:34" ht="19.5" thickBot="1" x14ac:dyDescent="0.3">
      <c r="A178" s="66" t="s">
        <v>104</v>
      </c>
      <c r="B178" s="67"/>
      <c r="C178" s="67"/>
      <c r="D178" s="67"/>
      <c r="E178" s="67"/>
      <c r="F178" s="67"/>
      <c r="G178" s="67"/>
      <c r="H178" s="67"/>
      <c r="I178" s="67"/>
      <c r="J178" s="67"/>
      <c r="K178" s="67"/>
      <c r="L178" s="67"/>
      <c r="M178" s="67"/>
      <c r="N178" s="67"/>
      <c r="O178" s="67"/>
      <c r="P178" s="67"/>
      <c r="Q178" s="67"/>
      <c r="R178" s="67"/>
      <c r="S178" s="67"/>
      <c r="T178" s="67"/>
      <c r="U178" s="67"/>
      <c r="V178" s="67"/>
      <c r="W178" s="67"/>
      <c r="X178" s="67"/>
      <c r="Y178" s="67"/>
      <c r="Z178" s="67"/>
      <c r="AA178" s="67"/>
      <c r="AB178" s="67"/>
      <c r="AC178" s="377"/>
      <c r="AD178" s="67"/>
      <c r="AE178" s="67"/>
      <c r="AF178" s="87"/>
      <c r="AG178" s="32">
        <f t="shared" si="28"/>
        <v>0</v>
      </c>
    </row>
    <row r="179" spans="1:34" ht="19.5" thickBot="1" x14ac:dyDescent="0.3">
      <c r="A179" s="219" t="s">
        <v>149</v>
      </c>
      <c r="B179" s="220">
        <f t="shared" ref="B179:AF179" si="32">SUM(B180:B205)</f>
        <v>7</v>
      </c>
      <c r="C179" s="220">
        <f t="shared" si="32"/>
        <v>4</v>
      </c>
      <c r="D179" s="220">
        <f t="shared" si="32"/>
        <v>11</v>
      </c>
      <c r="E179" s="220">
        <f t="shared" si="32"/>
        <v>0</v>
      </c>
      <c r="F179" s="220">
        <f t="shared" si="32"/>
        <v>8</v>
      </c>
      <c r="G179" s="220">
        <f t="shared" si="32"/>
        <v>5</v>
      </c>
      <c r="H179" s="220">
        <f t="shared" si="32"/>
        <v>3</v>
      </c>
      <c r="I179" s="220">
        <f t="shared" si="32"/>
        <v>8</v>
      </c>
      <c r="J179" s="220">
        <f t="shared" si="32"/>
        <v>1</v>
      </c>
      <c r="K179" s="220">
        <f t="shared" si="32"/>
        <v>0</v>
      </c>
      <c r="L179" s="220">
        <f t="shared" si="32"/>
        <v>10</v>
      </c>
      <c r="M179" s="220">
        <f t="shared" si="32"/>
        <v>4</v>
      </c>
      <c r="N179" s="220">
        <f t="shared" si="32"/>
        <v>2</v>
      </c>
      <c r="O179" s="220">
        <f t="shared" si="32"/>
        <v>10</v>
      </c>
      <c r="P179" s="220">
        <f t="shared" si="32"/>
        <v>4</v>
      </c>
      <c r="Q179" s="220">
        <f t="shared" si="32"/>
        <v>15</v>
      </c>
      <c r="R179" s="220">
        <f t="shared" si="32"/>
        <v>7</v>
      </c>
      <c r="S179" s="220">
        <f t="shared" si="32"/>
        <v>11</v>
      </c>
      <c r="T179" s="220">
        <f t="shared" si="32"/>
        <v>17</v>
      </c>
      <c r="U179" s="220">
        <f t="shared" si="32"/>
        <v>9</v>
      </c>
      <c r="V179" s="220">
        <f t="shared" si="32"/>
        <v>7</v>
      </c>
      <c r="W179" s="220">
        <f t="shared" si="32"/>
        <v>4</v>
      </c>
      <c r="X179" s="220">
        <f t="shared" si="32"/>
        <v>14</v>
      </c>
      <c r="Y179" s="220">
        <f t="shared" si="32"/>
        <v>5</v>
      </c>
      <c r="Z179" s="220">
        <f t="shared" si="32"/>
        <v>6</v>
      </c>
      <c r="AA179" s="220">
        <f t="shared" si="32"/>
        <v>6</v>
      </c>
      <c r="AB179" s="220">
        <f t="shared" si="32"/>
        <v>0</v>
      </c>
      <c r="AC179" s="374">
        <f t="shared" si="32"/>
        <v>0</v>
      </c>
      <c r="AD179" s="220">
        <f t="shared" si="32"/>
        <v>7</v>
      </c>
      <c r="AE179" s="220">
        <f t="shared" si="32"/>
        <v>10</v>
      </c>
      <c r="AF179" s="221">
        <f t="shared" si="32"/>
        <v>0</v>
      </c>
      <c r="AG179" s="156">
        <f t="shared" si="28"/>
        <v>195</v>
      </c>
      <c r="AH179" s="38"/>
    </row>
    <row r="180" spans="1:34" ht="18.75" x14ac:dyDescent="0.25">
      <c r="A180" s="109" t="s">
        <v>4</v>
      </c>
      <c r="B180" s="216">
        <v>7</v>
      </c>
      <c r="C180" s="216">
        <v>4</v>
      </c>
      <c r="D180" s="216">
        <v>10</v>
      </c>
      <c r="E180" s="216"/>
      <c r="F180" s="216">
        <v>7</v>
      </c>
      <c r="G180" s="216">
        <v>2</v>
      </c>
      <c r="H180" s="216">
        <v>3</v>
      </c>
      <c r="I180" s="216">
        <v>7</v>
      </c>
      <c r="J180" s="216">
        <v>1</v>
      </c>
      <c r="K180" s="216"/>
      <c r="L180" s="216">
        <v>5</v>
      </c>
      <c r="M180" s="216">
        <v>4</v>
      </c>
      <c r="N180" s="217">
        <v>1</v>
      </c>
      <c r="O180" s="217">
        <v>10</v>
      </c>
      <c r="P180" s="217">
        <v>3</v>
      </c>
      <c r="Q180" s="217">
        <v>12</v>
      </c>
      <c r="R180" s="217">
        <v>7</v>
      </c>
      <c r="S180" s="217">
        <v>11</v>
      </c>
      <c r="T180" s="217">
        <v>15</v>
      </c>
      <c r="U180" s="217">
        <v>8</v>
      </c>
      <c r="V180" s="217">
        <v>6</v>
      </c>
      <c r="W180" s="217">
        <v>4</v>
      </c>
      <c r="X180" s="217">
        <v>10</v>
      </c>
      <c r="Y180" s="217">
        <v>5</v>
      </c>
      <c r="Z180" s="217">
        <v>5</v>
      </c>
      <c r="AA180" s="217">
        <v>4</v>
      </c>
      <c r="AB180" s="217"/>
      <c r="AC180" s="375"/>
      <c r="AD180" s="217">
        <v>6</v>
      </c>
      <c r="AE180" s="217">
        <v>8</v>
      </c>
      <c r="AF180" s="218"/>
      <c r="AG180" s="31">
        <f t="shared" si="28"/>
        <v>165</v>
      </c>
    </row>
    <row r="181" spans="1:34" ht="18.75" x14ac:dyDescent="0.25">
      <c r="A181" s="109" t="s">
        <v>122</v>
      </c>
      <c r="B181" s="147"/>
      <c r="C181" s="147"/>
      <c r="D181" s="147"/>
      <c r="E181" s="147"/>
      <c r="F181" s="147"/>
      <c r="G181" s="147"/>
      <c r="H181" s="147"/>
      <c r="I181" s="147"/>
      <c r="J181" s="147"/>
      <c r="K181" s="147"/>
      <c r="L181" s="147"/>
      <c r="M181" s="14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376"/>
      <c r="AD181" s="17"/>
      <c r="AE181" s="17"/>
      <c r="AF181" s="18"/>
      <c r="AG181" s="4">
        <f t="shared" si="28"/>
        <v>0</v>
      </c>
    </row>
    <row r="182" spans="1:34" ht="18.75" x14ac:dyDescent="0.25">
      <c r="A182" s="109" t="s">
        <v>123</v>
      </c>
      <c r="B182" s="147"/>
      <c r="C182" s="147"/>
      <c r="D182" s="147"/>
      <c r="E182" s="147"/>
      <c r="F182" s="147"/>
      <c r="G182" s="147">
        <v>1</v>
      </c>
      <c r="H182" s="147"/>
      <c r="I182" s="147"/>
      <c r="J182" s="147"/>
      <c r="K182" s="147"/>
      <c r="L182" s="147"/>
      <c r="M182" s="14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>
        <v>1</v>
      </c>
      <c r="AB182" s="17"/>
      <c r="AC182" s="376"/>
      <c r="AD182" s="17"/>
      <c r="AE182" s="17"/>
      <c r="AF182" s="18"/>
      <c r="AG182" s="4">
        <f t="shared" si="28"/>
        <v>2</v>
      </c>
    </row>
    <row r="183" spans="1:34" ht="18.75" x14ac:dyDescent="0.25">
      <c r="A183" s="109" t="s">
        <v>614</v>
      </c>
      <c r="B183" s="147"/>
      <c r="C183" s="147"/>
      <c r="D183" s="147"/>
      <c r="E183" s="147"/>
      <c r="F183" s="147"/>
      <c r="G183" s="147"/>
      <c r="H183" s="147"/>
      <c r="I183" s="147"/>
      <c r="J183" s="147"/>
      <c r="K183" s="147"/>
      <c r="L183" s="147"/>
      <c r="M183" s="14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376"/>
      <c r="AD183" s="17"/>
      <c r="AE183" s="17"/>
      <c r="AF183" s="18"/>
      <c r="AG183" s="4">
        <f t="shared" si="28"/>
        <v>0</v>
      </c>
    </row>
    <row r="184" spans="1:34" s="398" customFormat="1" ht="18.75" x14ac:dyDescent="0.25">
      <c r="A184" s="393" t="s">
        <v>621</v>
      </c>
      <c r="B184" s="394"/>
      <c r="C184" s="394"/>
      <c r="D184" s="394"/>
      <c r="E184" s="394"/>
      <c r="F184" s="394"/>
      <c r="G184" s="394"/>
      <c r="H184" s="394"/>
      <c r="I184" s="394"/>
      <c r="J184" s="394"/>
      <c r="K184" s="394"/>
      <c r="L184" s="394"/>
      <c r="M184" s="394"/>
      <c r="N184" s="395"/>
      <c r="O184" s="395"/>
      <c r="P184" s="395"/>
      <c r="Q184" s="395"/>
      <c r="R184" s="395"/>
      <c r="S184" s="395"/>
      <c r="T184" s="395"/>
      <c r="U184" s="395"/>
      <c r="V184" s="395"/>
      <c r="W184" s="395"/>
      <c r="X184" s="395"/>
      <c r="Y184" s="395"/>
      <c r="Z184" s="395"/>
      <c r="AA184" s="395"/>
      <c r="AB184" s="395"/>
      <c r="AC184" s="395"/>
      <c r="AD184" s="395"/>
      <c r="AE184" s="395"/>
      <c r="AF184" s="396"/>
      <c r="AG184" s="397">
        <f t="shared" ref="AG184" si="33">SUM(B184:AF184)</f>
        <v>0</v>
      </c>
    </row>
    <row r="185" spans="1:34" ht="18.75" x14ac:dyDescent="0.25">
      <c r="A185" s="109" t="s">
        <v>165</v>
      </c>
      <c r="B185" s="147"/>
      <c r="C185" s="147"/>
      <c r="D185" s="147"/>
      <c r="E185" s="147"/>
      <c r="F185" s="147"/>
      <c r="G185" s="147"/>
      <c r="H185" s="147"/>
      <c r="I185" s="147"/>
      <c r="J185" s="147"/>
      <c r="K185" s="147"/>
      <c r="L185" s="147"/>
      <c r="M185" s="14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376"/>
      <c r="AD185" s="17"/>
      <c r="AE185" s="17"/>
      <c r="AF185" s="18"/>
      <c r="AG185" s="4">
        <f t="shared" si="28"/>
        <v>0</v>
      </c>
    </row>
    <row r="186" spans="1:34" ht="18.75" x14ac:dyDescent="0.25">
      <c r="A186" s="109" t="s">
        <v>141</v>
      </c>
      <c r="B186" s="147"/>
      <c r="C186" s="147"/>
      <c r="D186" s="147"/>
      <c r="E186" s="147"/>
      <c r="F186" s="147"/>
      <c r="G186" s="147"/>
      <c r="H186" s="147"/>
      <c r="I186" s="147"/>
      <c r="J186" s="147"/>
      <c r="K186" s="147"/>
      <c r="L186" s="147"/>
      <c r="M186" s="14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376"/>
      <c r="AD186" s="17"/>
      <c r="AE186" s="17"/>
      <c r="AF186" s="18"/>
      <c r="AG186" s="4">
        <f t="shared" si="28"/>
        <v>0</v>
      </c>
    </row>
    <row r="187" spans="1:34" ht="18.75" x14ac:dyDescent="0.25">
      <c r="A187" s="109" t="s">
        <v>613</v>
      </c>
      <c r="B187" s="147"/>
      <c r="C187" s="147"/>
      <c r="D187" s="147"/>
      <c r="E187" s="147"/>
      <c r="F187" s="147"/>
      <c r="G187" s="147"/>
      <c r="H187" s="147"/>
      <c r="I187" s="147"/>
      <c r="J187" s="147"/>
      <c r="K187" s="147"/>
      <c r="L187" s="147"/>
      <c r="M187" s="14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376"/>
      <c r="AD187" s="17"/>
      <c r="AE187" s="17"/>
      <c r="AF187" s="18"/>
      <c r="AG187" s="4">
        <f t="shared" si="28"/>
        <v>0</v>
      </c>
    </row>
    <row r="188" spans="1:34" ht="18.75" x14ac:dyDescent="0.25">
      <c r="A188" s="109" t="s">
        <v>139</v>
      </c>
      <c r="B188" s="147"/>
      <c r="C188" s="147"/>
      <c r="D188" s="147"/>
      <c r="E188" s="147"/>
      <c r="F188" s="147"/>
      <c r="G188" s="147">
        <v>1</v>
      </c>
      <c r="H188" s="147"/>
      <c r="I188" s="147"/>
      <c r="J188" s="147"/>
      <c r="K188" s="147"/>
      <c r="L188" s="147"/>
      <c r="M188" s="14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376"/>
      <c r="AD188" s="17"/>
      <c r="AE188" s="17"/>
      <c r="AF188" s="18"/>
      <c r="AG188" s="4">
        <f t="shared" si="28"/>
        <v>1</v>
      </c>
    </row>
    <row r="189" spans="1:34" ht="18.75" x14ac:dyDescent="0.25">
      <c r="A189" s="110" t="s">
        <v>63</v>
      </c>
      <c r="B189" s="147"/>
      <c r="C189" s="147"/>
      <c r="D189" s="147"/>
      <c r="E189" s="147"/>
      <c r="F189" s="147"/>
      <c r="G189" s="147"/>
      <c r="H189" s="147"/>
      <c r="I189" s="147"/>
      <c r="J189" s="147"/>
      <c r="K189" s="147"/>
      <c r="L189" s="147"/>
      <c r="M189" s="14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376"/>
      <c r="AD189" s="17"/>
      <c r="AE189" s="17"/>
      <c r="AF189" s="18"/>
      <c r="AG189" s="4">
        <f t="shared" si="28"/>
        <v>0</v>
      </c>
    </row>
    <row r="190" spans="1:34" ht="18.75" x14ac:dyDescent="0.25">
      <c r="A190" s="110" t="s">
        <v>142</v>
      </c>
      <c r="B190" s="147"/>
      <c r="C190" s="147"/>
      <c r="D190" s="147"/>
      <c r="E190" s="147"/>
      <c r="F190" s="147"/>
      <c r="G190" s="147"/>
      <c r="H190" s="147"/>
      <c r="I190" s="147"/>
      <c r="J190" s="147"/>
      <c r="K190" s="147"/>
      <c r="L190" s="147"/>
      <c r="M190" s="14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376"/>
      <c r="AD190" s="17"/>
      <c r="AE190" s="17"/>
      <c r="AF190" s="18"/>
      <c r="AG190" s="4">
        <f t="shared" si="28"/>
        <v>0</v>
      </c>
    </row>
    <row r="191" spans="1:34" ht="18.75" x14ac:dyDescent="0.25">
      <c r="A191" s="110" t="s">
        <v>168</v>
      </c>
      <c r="B191" s="147"/>
      <c r="C191" s="147"/>
      <c r="D191" s="147"/>
      <c r="E191" s="147"/>
      <c r="F191" s="147"/>
      <c r="G191" s="147"/>
      <c r="H191" s="147"/>
      <c r="I191" s="147"/>
      <c r="J191" s="147"/>
      <c r="K191" s="147"/>
      <c r="L191" s="147"/>
      <c r="M191" s="14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376"/>
      <c r="AD191" s="17"/>
      <c r="AE191" s="17"/>
      <c r="AF191" s="18"/>
      <c r="AG191" s="4">
        <f t="shared" si="28"/>
        <v>0</v>
      </c>
    </row>
    <row r="192" spans="1:34" ht="18.75" x14ac:dyDescent="0.25">
      <c r="A192" s="110" t="s">
        <v>169</v>
      </c>
      <c r="B192" s="147"/>
      <c r="C192" s="147"/>
      <c r="D192" s="147"/>
      <c r="E192" s="147"/>
      <c r="F192" s="147"/>
      <c r="G192" s="147"/>
      <c r="H192" s="147"/>
      <c r="I192" s="147"/>
      <c r="J192" s="147"/>
      <c r="K192" s="147"/>
      <c r="L192" s="147"/>
      <c r="M192" s="14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376"/>
      <c r="AD192" s="17"/>
      <c r="AE192" s="17"/>
      <c r="AF192" s="18"/>
      <c r="AG192" s="4">
        <f t="shared" si="28"/>
        <v>0</v>
      </c>
    </row>
    <row r="193" spans="1:34" ht="18.75" x14ac:dyDescent="0.25">
      <c r="A193" s="236" t="s">
        <v>5</v>
      </c>
      <c r="B193" s="237"/>
      <c r="C193" s="237"/>
      <c r="D193" s="237">
        <v>1</v>
      </c>
      <c r="E193" s="237"/>
      <c r="F193" s="237"/>
      <c r="G193" s="237">
        <v>1</v>
      </c>
      <c r="H193" s="237"/>
      <c r="I193" s="237"/>
      <c r="J193" s="237"/>
      <c r="K193" s="237"/>
      <c r="L193" s="237">
        <v>3</v>
      </c>
      <c r="M193" s="237"/>
      <c r="N193" s="238"/>
      <c r="O193" s="238"/>
      <c r="P193" s="238">
        <v>1</v>
      </c>
      <c r="Q193" s="238">
        <v>3</v>
      </c>
      <c r="R193" s="238"/>
      <c r="S193" s="238"/>
      <c r="T193" s="238">
        <v>2</v>
      </c>
      <c r="U193" s="238">
        <v>1</v>
      </c>
      <c r="V193" s="238">
        <v>1</v>
      </c>
      <c r="W193" s="238"/>
      <c r="X193" s="238">
        <v>3</v>
      </c>
      <c r="Y193" s="238"/>
      <c r="Z193" s="238">
        <v>1</v>
      </c>
      <c r="AA193" s="238"/>
      <c r="AB193" s="238"/>
      <c r="AC193" s="376"/>
      <c r="AD193" s="238">
        <v>1</v>
      </c>
      <c r="AE193" s="238">
        <v>2</v>
      </c>
      <c r="AF193" s="239"/>
      <c r="AG193" s="240">
        <f t="shared" si="28"/>
        <v>20</v>
      </c>
    </row>
    <row r="194" spans="1:34" ht="18.75" x14ac:dyDescent="0.25">
      <c r="A194" s="111" t="s">
        <v>174</v>
      </c>
      <c r="B194" s="147"/>
      <c r="C194" s="147"/>
      <c r="D194" s="147"/>
      <c r="E194" s="147"/>
      <c r="F194" s="147"/>
      <c r="G194" s="147"/>
      <c r="H194" s="147"/>
      <c r="I194" s="147"/>
      <c r="J194" s="147"/>
      <c r="K194" s="147"/>
      <c r="L194" s="147"/>
      <c r="M194" s="14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376"/>
      <c r="AD194" s="17"/>
      <c r="AE194" s="17"/>
      <c r="AF194" s="18"/>
      <c r="AG194" s="4">
        <f t="shared" si="28"/>
        <v>0</v>
      </c>
    </row>
    <row r="195" spans="1:34" ht="18.75" x14ac:dyDescent="0.25">
      <c r="A195" s="111" t="s">
        <v>171</v>
      </c>
      <c r="B195" s="147"/>
      <c r="C195" s="147"/>
      <c r="D195" s="147"/>
      <c r="E195" s="147"/>
      <c r="F195" s="147"/>
      <c r="G195" s="147"/>
      <c r="H195" s="147"/>
      <c r="I195" s="147"/>
      <c r="J195" s="147"/>
      <c r="K195" s="147"/>
      <c r="L195" s="147"/>
      <c r="M195" s="14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376"/>
      <c r="AD195" s="17"/>
      <c r="AE195" s="17"/>
      <c r="AF195" s="18"/>
      <c r="AG195" s="4">
        <f t="shared" si="28"/>
        <v>0</v>
      </c>
    </row>
    <row r="196" spans="1:34" ht="18.75" x14ac:dyDescent="0.25">
      <c r="A196" s="111" t="s">
        <v>173</v>
      </c>
      <c r="B196" s="147"/>
      <c r="C196" s="147"/>
      <c r="D196" s="147"/>
      <c r="E196" s="147"/>
      <c r="F196" s="147"/>
      <c r="G196" s="147"/>
      <c r="H196" s="147"/>
      <c r="I196" s="147"/>
      <c r="J196" s="147"/>
      <c r="K196" s="147"/>
      <c r="L196" s="147"/>
      <c r="M196" s="14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376"/>
      <c r="AD196" s="17"/>
      <c r="AE196" s="17"/>
      <c r="AF196" s="18"/>
      <c r="AG196" s="4">
        <f t="shared" si="28"/>
        <v>0</v>
      </c>
    </row>
    <row r="197" spans="1:34" ht="18.75" x14ac:dyDescent="0.25">
      <c r="A197" s="111" t="s">
        <v>88</v>
      </c>
      <c r="B197" s="147"/>
      <c r="C197" s="147"/>
      <c r="D197" s="147"/>
      <c r="E197" s="147"/>
      <c r="F197" s="147"/>
      <c r="G197" s="147"/>
      <c r="H197" s="147"/>
      <c r="I197" s="147"/>
      <c r="J197" s="147"/>
      <c r="K197" s="147"/>
      <c r="L197" s="147"/>
      <c r="M197" s="14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376"/>
      <c r="AD197" s="17"/>
      <c r="AE197" s="17"/>
      <c r="AF197" s="18"/>
      <c r="AG197" s="4">
        <f t="shared" si="28"/>
        <v>0</v>
      </c>
    </row>
    <row r="198" spans="1:34" ht="18.75" x14ac:dyDescent="0.25">
      <c r="A198" s="111" t="s">
        <v>617</v>
      </c>
      <c r="B198" s="147"/>
      <c r="C198" s="147"/>
      <c r="D198" s="147"/>
      <c r="E198" s="147"/>
      <c r="F198" s="147"/>
      <c r="G198" s="147"/>
      <c r="H198" s="147"/>
      <c r="I198" s="147"/>
      <c r="J198" s="147"/>
      <c r="K198" s="147"/>
      <c r="L198" s="147"/>
      <c r="M198" s="14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376"/>
      <c r="AD198" s="17"/>
      <c r="AE198" s="17"/>
      <c r="AF198" s="18"/>
      <c r="AG198" s="4">
        <f t="shared" si="28"/>
        <v>0</v>
      </c>
    </row>
    <row r="199" spans="1:34" ht="18.75" x14ac:dyDescent="0.25">
      <c r="A199" s="111" t="s">
        <v>143</v>
      </c>
      <c r="B199" s="147"/>
      <c r="C199" s="147"/>
      <c r="D199" s="147"/>
      <c r="E199" s="147"/>
      <c r="F199" s="147">
        <v>1</v>
      </c>
      <c r="G199" s="147"/>
      <c r="H199" s="147"/>
      <c r="I199" s="147"/>
      <c r="J199" s="147"/>
      <c r="K199" s="147"/>
      <c r="L199" s="147"/>
      <c r="M199" s="14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376"/>
      <c r="AD199" s="17"/>
      <c r="AE199" s="17"/>
      <c r="AF199" s="18"/>
      <c r="AG199" s="4">
        <f t="shared" si="28"/>
        <v>1</v>
      </c>
    </row>
    <row r="200" spans="1:34" ht="18.75" x14ac:dyDescent="0.25">
      <c r="A200" s="110" t="s">
        <v>124</v>
      </c>
      <c r="B200" s="147"/>
      <c r="C200" s="147"/>
      <c r="D200" s="147"/>
      <c r="E200" s="147"/>
      <c r="F200" s="147"/>
      <c r="G200" s="147"/>
      <c r="H200" s="147"/>
      <c r="I200" s="147"/>
      <c r="J200" s="147"/>
      <c r="K200" s="147"/>
      <c r="L200" s="147"/>
      <c r="M200" s="14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376"/>
      <c r="AD200" s="17"/>
      <c r="AE200" s="17"/>
      <c r="AF200" s="18"/>
      <c r="AG200" s="4">
        <f t="shared" si="28"/>
        <v>0</v>
      </c>
    </row>
    <row r="201" spans="1:34" ht="18.75" x14ac:dyDescent="0.25">
      <c r="A201" s="110" t="s">
        <v>167</v>
      </c>
      <c r="B201" s="147"/>
      <c r="C201" s="147"/>
      <c r="D201" s="147"/>
      <c r="E201" s="147"/>
      <c r="F201" s="147"/>
      <c r="G201" s="147"/>
      <c r="H201" s="147"/>
      <c r="I201" s="147"/>
      <c r="J201" s="147"/>
      <c r="K201" s="147"/>
      <c r="L201" s="147"/>
      <c r="M201" s="14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376"/>
      <c r="AD201" s="17"/>
      <c r="AE201" s="17"/>
      <c r="AF201" s="18"/>
      <c r="AG201" s="4">
        <f t="shared" si="28"/>
        <v>0</v>
      </c>
    </row>
    <row r="202" spans="1:34" ht="18.75" x14ac:dyDescent="0.25">
      <c r="A202" s="110" t="s">
        <v>125</v>
      </c>
      <c r="B202" s="147"/>
      <c r="C202" s="147"/>
      <c r="D202" s="147"/>
      <c r="E202" s="147"/>
      <c r="F202" s="147"/>
      <c r="G202" s="147"/>
      <c r="H202" s="147"/>
      <c r="I202" s="147"/>
      <c r="J202" s="147"/>
      <c r="K202" s="147"/>
      <c r="L202" s="147">
        <v>2</v>
      </c>
      <c r="M202" s="14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>
        <v>1</v>
      </c>
      <c r="Y202" s="17"/>
      <c r="Z202" s="17"/>
      <c r="AA202" s="17"/>
      <c r="AB202" s="17"/>
      <c r="AC202" s="376"/>
      <c r="AD202" s="17"/>
      <c r="AE202" s="17"/>
      <c r="AF202" s="18"/>
      <c r="AG202" s="4">
        <f t="shared" si="28"/>
        <v>3</v>
      </c>
    </row>
    <row r="203" spans="1:34" ht="18.75" x14ac:dyDescent="0.25">
      <c r="A203" s="110" t="s">
        <v>126</v>
      </c>
      <c r="B203" s="202"/>
      <c r="C203" s="202"/>
      <c r="D203" s="202"/>
      <c r="E203" s="202"/>
      <c r="F203" s="202"/>
      <c r="G203" s="202"/>
      <c r="H203" s="202"/>
      <c r="I203" s="202">
        <v>1</v>
      </c>
      <c r="J203" s="202"/>
      <c r="K203" s="202"/>
      <c r="L203" s="202"/>
      <c r="M203" s="202"/>
      <c r="N203" s="203">
        <v>1</v>
      </c>
      <c r="O203" s="203"/>
      <c r="P203" s="203"/>
      <c r="Q203" s="203"/>
      <c r="R203" s="203"/>
      <c r="S203" s="203"/>
      <c r="T203" s="203"/>
      <c r="U203" s="203"/>
      <c r="V203" s="203"/>
      <c r="W203" s="203"/>
      <c r="X203" s="203"/>
      <c r="Y203" s="203"/>
      <c r="Z203" s="203"/>
      <c r="AA203" s="203">
        <v>1</v>
      </c>
      <c r="AB203" s="203"/>
      <c r="AC203" s="379"/>
      <c r="AD203" s="203"/>
      <c r="AE203" s="203"/>
      <c r="AF203" s="204"/>
      <c r="AG203" s="4">
        <f t="shared" si="28"/>
        <v>3</v>
      </c>
    </row>
    <row r="204" spans="1:34" ht="18.75" x14ac:dyDescent="0.25">
      <c r="A204" s="112" t="s">
        <v>170</v>
      </c>
      <c r="B204" s="202"/>
      <c r="C204" s="202"/>
      <c r="D204" s="202"/>
      <c r="E204" s="202"/>
      <c r="F204" s="202"/>
      <c r="G204" s="202"/>
      <c r="H204" s="202"/>
      <c r="I204" s="202"/>
      <c r="J204" s="202"/>
      <c r="K204" s="202"/>
      <c r="L204" s="202"/>
      <c r="M204" s="202"/>
      <c r="N204" s="203"/>
      <c r="O204" s="203"/>
      <c r="P204" s="203"/>
      <c r="Q204" s="203"/>
      <c r="R204" s="203"/>
      <c r="S204" s="203"/>
      <c r="T204" s="203"/>
      <c r="U204" s="203"/>
      <c r="V204" s="203"/>
      <c r="W204" s="203"/>
      <c r="X204" s="203"/>
      <c r="Y204" s="203"/>
      <c r="Z204" s="203"/>
      <c r="AA204" s="203"/>
      <c r="AB204" s="203"/>
      <c r="AC204" s="379"/>
      <c r="AD204" s="203"/>
      <c r="AE204" s="203"/>
      <c r="AF204" s="204"/>
      <c r="AG204" s="4">
        <f t="shared" si="28"/>
        <v>0</v>
      </c>
    </row>
    <row r="205" spans="1:34" ht="19.5" thickBot="1" x14ac:dyDescent="0.3">
      <c r="A205" s="231" t="s">
        <v>166</v>
      </c>
      <c r="B205" s="202"/>
      <c r="C205" s="202"/>
      <c r="D205" s="202"/>
      <c r="E205" s="202"/>
      <c r="F205" s="202"/>
      <c r="G205" s="202"/>
      <c r="H205" s="202"/>
      <c r="I205" s="202"/>
      <c r="J205" s="202"/>
      <c r="K205" s="202"/>
      <c r="L205" s="202"/>
      <c r="M205" s="202"/>
      <c r="N205" s="203"/>
      <c r="O205" s="203"/>
      <c r="P205" s="203"/>
      <c r="Q205" s="203"/>
      <c r="R205" s="203"/>
      <c r="S205" s="203"/>
      <c r="T205" s="203"/>
      <c r="U205" s="203"/>
      <c r="V205" s="203"/>
      <c r="W205" s="203"/>
      <c r="X205" s="203"/>
      <c r="Y205" s="203"/>
      <c r="Z205" s="203"/>
      <c r="AA205" s="203"/>
      <c r="AB205" s="203"/>
      <c r="AC205" s="379"/>
      <c r="AD205" s="203"/>
      <c r="AE205" s="203"/>
      <c r="AF205" s="204"/>
      <c r="AG205" s="28">
        <f t="shared" si="28"/>
        <v>0</v>
      </c>
    </row>
    <row r="206" spans="1:34" ht="19.5" thickBot="1" x14ac:dyDescent="0.3">
      <c r="A206" s="215" t="s">
        <v>83</v>
      </c>
      <c r="B206" s="209">
        <f>SUM(B207:B211)</f>
        <v>75</v>
      </c>
      <c r="C206" s="210">
        <f t="shared" ref="C206:AF206" si="34">SUM(C207:C211)</f>
        <v>73</v>
      </c>
      <c r="D206" s="210">
        <f t="shared" si="34"/>
        <v>75</v>
      </c>
      <c r="E206" s="210">
        <f t="shared" si="34"/>
        <v>65</v>
      </c>
      <c r="F206" s="210">
        <f t="shared" si="34"/>
        <v>74</v>
      </c>
      <c r="G206" s="210">
        <f t="shared" si="34"/>
        <v>83</v>
      </c>
      <c r="H206" s="210">
        <f t="shared" si="34"/>
        <v>63</v>
      </c>
      <c r="I206" s="210">
        <f t="shared" si="34"/>
        <v>58</v>
      </c>
      <c r="J206" s="210">
        <f t="shared" si="34"/>
        <v>50</v>
      </c>
      <c r="K206" s="210">
        <f t="shared" si="34"/>
        <v>43</v>
      </c>
      <c r="L206" s="210">
        <f t="shared" si="34"/>
        <v>61</v>
      </c>
      <c r="M206" s="210">
        <f t="shared" si="34"/>
        <v>45</v>
      </c>
      <c r="N206" s="211">
        <f t="shared" si="34"/>
        <v>81</v>
      </c>
      <c r="O206" s="211">
        <f t="shared" si="34"/>
        <v>62</v>
      </c>
      <c r="P206" s="211">
        <f t="shared" si="34"/>
        <v>53</v>
      </c>
      <c r="Q206" s="211">
        <f t="shared" si="34"/>
        <v>58</v>
      </c>
      <c r="R206" s="211">
        <f t="shared" si="34"/>
        <v>79</v>
      </c>
      <c r="S206" s="211">
        <f t="shared" si="34"/>
        <v>78</v>
      </c>
      <c r="T206" s="211">
        <f t="shared" si="34"/>
        <v>77</v>
      </c>
      <c r="U206" s="211">
        <f t="shared" si="34"/>
        <v>70</v>
      </c>
      <c r="V206" s="211">
        <f t="shared" si="34"/>
        <v>61</v>
      </c>
      <c r="W206" s="211">
        <f t="shared" si="34"/>
        <v>55</v>
      </c>
      <c r="X206" s="211">
        <f t="shared" si="34"/>
        <v>77</v>
      </c>
      <c r="Y206" s="211">
        <f t="shared" si="34"/>
        <v>65</v>
      </c>
      <c r="Z206" s="211">
        <f t="shared" si="34"/>
        <v>65</v>
      </c>
      <c r="AA206" s="211">
        <f t="shared" si="34"/>
        <v>72</v>
      </c>
      <c r="AB206" s="211">
        <f t="shared" si="34"/>
        <v>41</v>
      </c>
      <c r="AC206" s="374">
        <f t="shared" si="34"/>
        <v>0</v>
      </c>
      <c r="AD206" s="211">
        <f t="shared" si="34"/>
        <v>52</v>
      </c>
      <c r="AE206" s="211">
        <f t="shared" si="34"/>
        <v>84</v>
      </c>
      <c r="AF206" s="212">
        <f t="shared" si="34"/>
        <v>0</v>
      </c>
      <c r="AG206" s="213">
        <f t="shared" si="28"/>
        <v>1895</v>
      </c>
      <c r="AH206" s="180" t="str">
        <f>IF(AG206&lt;&gt;AG93,"X","")</f>
        <v/>
      </c>
    </row>
    <row r="207" spans="1:34" ht="18.75" x14ac:dyDescent="0.25">
      <c r="A207" s="214" t="s">
        <v>72</v>
      </c>
      <c r="B207" s="205"/>
      <c r="C207" s="205"/>
      <c r="D207" s="205"/>
      <c r="E207" s="205"/>
      <c r="F207" s="205"/>
      <c r="G207" s="205"/>
      <c r="H207" s="205"/>
      <c r="I207" s="205"/>
      <c r="J207" s="205"/>
      <c r="K207" s="205"/>
      <c r="L207" s="205"/>
      <c r="M207" s="205"/>
      <c r="N207" s="206"/>
      <c r="O207" s="206"/>
      <c r="P207" s="206"/>
      <c r="Q207" s="206"/>
      <c r="R207" s="206"/>
      <c r="S207" s="206"/>
      <c r="T207" s="206"/>
      <c r="U207" s="206"/>
      <c r="V207" s="206"/>
      <c r="W207" s="206"/>
      <c r="X207" s="206"/>
      <c r="Y207" s="206"/>
      <c r="Z207" s="206"/>
      <c r="AA207" s="206"/>
      <c r="AB207" s="206"/>
      <c r="AC207" s="375"/>
      <c r="AD207" s="206"/>
      <c r="AE207" s="206"/>
      <c r="AF207" s="207"/>
      <c r="AG207" s="208">
        <f t="shared" si="28"/>
        <v>0</v>
      </c>
    </row>
    <row r="208" spans="1:34" ht="18.75" x14ac:dyDescent="0.25">
      <c r="A208" s="52" t="s">
        <v>73</v>
      </c>
      <c r="B208" s="148">
        <v>3</v>
      </c>
      <c r="C208" s="148">
        <v>1</v>
      </c>
      <c r="D208" s="148"/>
      <c r="E208" s="148"/>
      <c r="F208" s="148">
        <v>1</v>
      </c>
      <c r="G208" s="148">
        <v>1</v>
      </c>
      <c r="H208" s="148"/>
      <c r="I208" s="148"/>
      <c r="J208" s="148">
        <v>1</v>
      </c>
      <c r="K208" s="148">
        <v>1</v>
      </c>
      <c r="L208" s="148"/>
      <c r="M208" s="148">
        <v>3</v>
      </c>
      <c r="N208" s="33"/>
      <c r="O208" s="33">
        <v>2</v>
      </c>
      <c r="P208" s="33">
        <v>1</v>
      </c>
      <c r="Q208" s="33"/>
      <c r="R208" s="33"/>
      <c r="S208" s="33"/>
      <c r="T208" s="33">
        <v>2</v>
      </c>
      <c r="U208" s="33"/>
      <c r="V208" s="33"/>
      <c r="W208" s="33"/>
      <c r="X208" s="33"/>
      <c r="Y208" s="33"/>
      <c r="Z208" s="33"/>
      <c r="AA208" s="33">
        <v>1</v>
      </c>
      <c r="AB208" s="33"/>
      <c r="AC208" s="376"/>
      <c r="AD208" s="33"/>
      <c r="AE208" s="33">
        <v>1</v>
      </c>
      <c r="AF208" s="88"/>
      <c r="AG208" s="97">
        <f t="shared" si="28"/>
        <v>18</v>
      </c>
    </row>
    <row r="209" spans="1:34" ht="18.75" x14ac:dyDescent="0.25">
      <c r="A209" s="52" t="s">
        <v>74</v>
      </c>
      <c r="B209" s="148">
        <v>8</v>
      </c>
      <c r="C209" s="148">
        <v>3</v>
      </c>
      <c r="D209" s="148">
        <v>12</v>
      </c>
      <c r="E209" s="148">
        <v>7</v>
      </c>
      <c r="F209" s="148">
        <v>12</v>
      </c>
      <c r="G209" s="148">
        <v>5</v>
      </c>
      <c r="H209" s="148">
        <v>6</v>
      </c>
      <c r="I209" s="148">
        <v>13</v>
      </c>
      <c r="J209" s="148">
        <v>5</v>
      </c>
      <c r="K209" s="148">
        <v>3</v>
      </c>
      <c r="L209" s="148">
        <v>13</v>
      </c>
      <c r="M209" s="148">
        <v>5</v>
      </c>
      <c r="N209" s="33">
        <v>2</v>
      </c>
      <c r="O209" s="33">
        <v>13</v>
      </c>
      <c r="P209" s="33">
        <v>4</v>
      </c>
      <c r="Q209" s="33">
        <v>14</v>
      </c>
      <c r="R209" s="33">
        <v>11</v>
      </c>
      <c r="S209" s="33">
        <v>12</v>
      </c>
      <c r="T209" s="33">
        <v>21</v>
      </c>
      <c r="U209" s="33">
        <v>14</v>
      </c>
      <c r="V209" s="33">
        <v>10</v>
      </c>
      <c r="W209" s="33">
        <v>7</v>
      </c>
      <c r="X209" s="33">
        <v>14</v>
      </c>
      <c r="Y209" s="33">
        <v>10</v>
      </c>
      <c r="Z209" s="33">
        <v>8</v>
      </c>
      <c r="AA209" s="33">
        <v>8</v>
      </c>
      <c r="AB209" s="33">
        <v>1</v>
      </c>
      <c r="AC209" s="376"/>
      <c r="AD209" s="33">
        <v>8</v>
      </c>
      <c r="AE209" s="33">
        <v>14</v>
      </c>
      <c r="AF209" s="88"/>
      <c r="AG209" s="97">
        <f t="shared" si="28"/>
        <v>263</v>
      </c>
    </row>
    <row r="210" spans="1:34" ht="18.75" x14ac:dyDescent="0.25">
      <c r="A210" s="52" t="s">
        <v>75</v>
      </c>
      <c r="B210" s="148">
        <v>35</v>
      </c>
      <c r="C210" s="148">
        <v>16</v>
      </c>
      <c r="D210" s="148">
        <v>28</v>
      </c>
      <c r="E210" s="148">
        <v>27</v>
      </c>
      <c r="F210" s="148">
        <v>25</v>
      </c>
      <c r="G210" s="148">
        <v>26</v>
      </c>
      <c r="H210" s="148">
        <v>18</v>
      </c>
      <c r="I210" s="148">
        <v>21</v>
      </c>
      <c r="J210" s="148">
        <v>17</v>
      </c>
      <c r="K210" s="148">
        <v>14</v>
      </c>
      <c r="L210" s="148">
        <v>14</v>
      </c>
      <c r="M210" s="148">
        <v>19</v>
      </c>
      <c r="N210" s="33">
        <v>35</v>
      </c>
      <c r="O210" s="33">
        <v>15</v>
      </c>
      <c r="P210" s="33">
        <v>14</v>
      </c>
      <c r="Q210" s="33">
        <v>21</v>
      </c>
      <c r="R210" s="33">
        <v>38</v>
      </c>
      <c r="S210" s="33">
        <v>15</v>
      </c>
      <c r="T210" s="33">
        <v>31</v>
      </c>
      <c r="U210" s="33">
        <v>15</v>
      </c>
      <c r="V210" s="33">
        <v>19</v>
      </c>
      <c r="W210" s="33">
        <v>30</v>
      </c>
      <c r="X210" s="33">
        <v>26</v>
      </c>
      <c r="Y210" s="33">
        <v>18</v>
      </c>
      <c r="Z210" s="33">
        <v>28</v>
      </c>
      <c r="AA210" s="33">
        <v>45</v>
      </c>
      <c r="AB210" s="33">
        <v>22</v>
      </c>
      <c r="AC210" s="376"/>
      <c r="AD210" s="33">
        <v>28</v>
      </c>
      <c r="AE210" s="33">
        <v>27</v>
      </c>
      <c r="AF210" s="88"/>
      <c r="AG210" s="97">
        <f t="shared" si="28"/>
        <v>687</v>
      </c>
    </row>
    <row r="211" spans="1:34" ht="19.5" thickBot="1" x14ac:dyDescent="0.3">
      <c r="A211" s="63" t="s">
        <v>76</v>
      </c>
      <c r="B211" s="149">
        <v>29</v>
      </c>
      <c r="C211" s="149">
        <v>53</v>
      </c>
      <c r="D211" s="149">
        <v>35</v>
      </c>
      <c r="E211" s="149">
        <v>31</v>
      </c>
      <c r="F211" s="149">
        <v>36</v>
      </c>
      <c r="G211" s="149">
        <v>51</v>
      </c>
      <c r="H211" s="149">
        <v>39</v>
      </c>
      <c r="I211" s="149">
        <v>24</v>
      </c>
      <c r="J211" s="149">
        <v>27</v>
      </c>
      <c r="K211" s="149">
        <v>25</v>
      </c>
      <c r="L211" s="149">
        <v>34</v>
      </c>
      <c r="M211" s="149">
        <v>18</v>
      </c>
      <c r="N211" s="34">
        <v>44</v>
      </c>
      <c r="O211" s="34">
        <f>31+1</f>
        <v>32</v>
      </c>
      <c r="P211" s="34">
        <v>34</v>
      </c>
      <c r="Q211" s="34">
        <v>23</v>
      </c>
      <c r="R211" s="34">
        <v>30</v>
      </c>
      <c r="S211" s="34">
        <v>51</v>
      </c>
      <c r="T211" s="34">
        <v>23</v>
      </c>
      <c r="U211" s="34">
        <v>41</v>
      </c>
      <c r="V211" s="34">
        <v>32</v>
      </c>
      <c r="W211" s="34">
        <v>18</v>
      </c>
      <c r="X211" s="34">
        <v>37</v>
      </c>
      <c r="Y211" s="34">
        <v>37</v>
      </c>
      <c r="Z211" s="34">
        <v>29</v>
      </c>
      <c r="AA211" s="34">
        <v>18</v>
      </c>
      <c r="AB211" s="34">
        <v>18</v>
      </c>
      <c r="AC211" s="377"/>
      <c r="AD211" s="34">
        <v>16</v>
      </c>
      <c r="AE211" s="34">
        <v>42</v>
      </c>
      <c r="AF211" s="89"/>
      <c r="AG211" s="35">
        <f t="shared" si="28"/>
        <v>927</v>
      </c>
    </row>
    <row r="212" spans="1:34" ht="19.5" thickBot="1" x14ac:dyDescent="0.3">
      <c r="A212" s="121" t="s">
        <v>622</v>
      </c>
      <c r="B212" s="404">
        <v>6</v>
      </c>
      <c r="C212" s="404">
        <v>18</v>
      </c>
      <c r="D212" s="404">
        <v>15</v>
      </c>
      <c r="E212" s="404">
        <v>11</v>
      </c>
      <c r="F212" s="404">
        <v>12</v>
      </c>
      <c r="G212" s="404">
        <v>18</v>
      </c>
      <c r="H212" s="404">
        <v>16</v>
      </c>
      <c r="I212" s="404">
        <v>7</v>
      </c>
      <c r="J212" s="404">
        <v>17</v>
      </c>
      <c r="K212" s="404">
        <v>11</v>
      </c>
      <c r="L212" s="404">
        <v>11</v>
      </c>
      <c r="M212" s="404">
        <v>7</v>
      </c>
      <c r="N212" s="122">
        <v>9</v>
      </c>
      <c r="O212" s="122">
        <v>4</v>
      </c>
      <c r="P212" s="122">
        <v>10</v>
      </c>
      <c r="Q212" s="122">
        <v>5</v>
      </c>
      <c r="R212" s="122">
        <v>9</v>
      </c>
      <c r="S212" s="122">
        <v>8</v>
      </c>
      <c r="T212" s="122">
        <v>6</v>
      </c>
      <c r="U212" s="122">
        <v>18</v>
      </c>
      <c r="V212" s="122">
        <v>8</v>
      </c>
      <c r="W212" s="122">
        <v>8</v>
      </c>
      <c r="X212" s="122">
        <v>14</v>
      </c>
      <c r="Y212" s="122">
        <v>14</v>
      </c>
      <c r="Z212" s="122">
        <v>8</v>
      </c>
      <c r="AA212" s="122">
        <v>5</v>
      </c>
      <c r="AB212" s="122">
        <v>5</v>
      </c>
      <c r="AC212" s="122"/>
      <c r="AD212" s="122">
        <v>9</v>
      </c>
      <c r="AE212" s="122">
        <v>18</v>
      </c>
      <c r="AF212" s="123"/>
      <c r="AG212" s="124">
        <f t="shared" ref="AG212:AG215" si="35">SUM(B212:AF212)</f>
        <v>307</v>
      </c>
    </row>
    <row r="213" spans="1:34" ht="18.75" x14ac:dyDescent="0.25">
      <c r="A213" s="414" t="s">
        <v>624</v>
      </c>
      <c r="B213" s="415">
        <v>6</v>
      </c>
      <c r="C213" s="415">
        <v>13</v>
      </c>
      <c r="D213" s="415">
        <v>8</v>
      </c>
      <c r="E213" s="415">
        <v>7</v>
      </c>
      <c r="F213" s="415">
        <v>6</v>
      </c>
      <c r="G213" s="415">
        <v>17</v>
      </c>
      <c r="H213" s="415">
        <v>15</v>
      </c>
      <c r="I213" s="415">
        <v>6</v>
      </c>
      <c r="J213" s="415">
        <v>15</v>
      </c>
      <c r="K213" s="415">
        <v>10</v>
      </c>
      <c r="L213" s="415">
        <v>3</v>
      </c>
      <c r="M213" s="415">
        <v>7</v>
      </c>
      <c r="N213" s="416">
        <v>7</v>
      </c>
      <c r="O213" s="416">
        <v>4</v>
      </c>
      <c r="P213" s="416">
        <v>10</v>
      </c>
      <c r="Q213" s="416">
        <v>5</v>
      </c>
      <c r="R213" s="416">
        <v>5</v>
      </c>
      <c r="S213" s="416">
        <v>7</v>
      </c>
      <c r="T213" s="416">
        <v>6</v>
      </c>
      <c r="U213" s="416">
        <v>17</v>
      </c>
      <c r="V213" s="416">
        <v>7</v>
      </c>
      <c r="W213" s="416">
        <v>8</v>
      </c>
      <c r="X213" s="416">
        <v>14</v>
      </c>
      <c r="Y213" s="416">
        <v>13</v>
      </c>
      <c r="Z213" s="416">
        <v>7</v>
      </c>
      <c r="AA213" s="416">
        <v>5</v>
      </c>
      <c r="AB213" s="416">
        <v>5</v>
      </c>
      <c r="AC213" s="416"/>
      <c r="AD213" s="416">
        <v>9</v>
      </c>
      <c r="AE213" s="416">
        <v>18</v>
      </c>
      <c r="AF213" s="417"/>
      <c r="AG213" s="418">
        <f t="shared" si="35"/>
        <v>260</v>
      </c>
    </row>
    <row r="214" spans="1:34" ht="18.75" x14ac:dyDescent="0.25">
      <c r="A214" s="419" t="s">
        <v>626</v>
      </c>
      <c r="B214" s="420"/>
      <c r="C214" s="420"/>
      <c r="D214" s="420">
        <v>2</v>
      </c>
      <c r="E214" s="420"/>
      <c r="F214" s="420">
        <v>2</v>
      </c>
      <c r="G214" s="420"/>
      <c r="H214" s="420"/>
      <c r="I214" s="420">
        <v>1</v>
      </c>
      <c r="J214" s="420"/>
      <c r="K214" s="420"/>
      <c r="L214" s="420"/>
      <c r="M214" s="420"/>
      <c r="N214" s="421">
        <v>1</v>
      </c>
      <c r="O214" s="421"/>
      <c r="P214" s="421"/>
      <c r="Q214" s="421"/>
      <c r="R214" s="421"/>
      <c r="S214" s="421"/>
      <c r="T214" s="421"/>
      <c r="U214" s="421"/>
      <c r="V214" s="421"/>
      <c r="W214" s="421"/>
      <c r="X214" s="421"/>
      <c r="Y214" s="421"/>
      <c r="Z214" s="421"/>
      <c r="AA214" s="421"/>
      <c r="AB214" s="421"/>
      <c r="AC214" s="421"/>
      <c r="AD214" s="421"/>
      <c r="AE214" s="421"/>
      <c r="AF214" s="422"/>
      <c r="AG214" s="397">
        <f t="shared" si="35"/>
        <v>6</v>
      </c>
    </row>
    <row r="215" spans="1:34" ht="18.75" x14ac:dyDescent="0.25">
      <c r="A215" s="423" t="s">
        <v>627</v>
      </c>
      <c r="B215" s="420"/>
      <c r="C215" s="420"/>
      <c r="D215" s="420"/>
      <c r="E215" s="420"/>
      <c r="F215" s="420"/>
      <c r="G215" s="420"/>
      <c r="H215" s="420"/>
      <c r="I215" s="420"/>
      <c r="J215" s="420"/>
      <c r="K215" s="420"/>
      <c r="L215" s="420"/>
      <c r="M215" s="420"/>
      <c r="N215" s="421"/>
      <c r="O215" s="421"/>
      <c r="P215" s="421"/>
      <c r="Q215" s="421"/>
      <c r="R215" s="421"/>
      <c r="S215" s="421"/>
      <c r="T215" s="421"/>
      <c r="U215" s="421"/>
      <c r="V215" s="421"/>
      <c r="W215" s="421"/>
      <c r="X215" s="421"/>
      <c r="Y215" s="421"/>
      <c r="Z215" s="421"/>
      <c r="AA215" s="421"/>
      <c r="AB215" s="421"/>
      <c r="AC215" s="421"/>
      <c r="AD215" s="421"/>
      <c r="AE215" s="421"/>
      <c r="AF215" s="422"/>
      <c r="AG215" s="397">
        <f t="shared" si="35"/>
        <v>0</v>
      </c>
    </row>
    <row r="216" spans="1:34" ht="19.5" thickBot="1" x14ac:dyDescent="0.3">
      <c r="A216" s="424" t="s">
        <v>623</v>
      </c>
      <c r="B216" s="412"/>
      <c r="C216" s="412">
        <v>5</v>
      </c>
      <c r="D216" s="412">
        <v>5</v>
      </c>
      <c r="E216" s="412">
        <v>4</v>
      </c>
      <c r="F216" s="412">
        <v>4</v>
      </c>
      <c r="G216" s="412">
        <v>1</v>
      </c>
      <c r="H216" s="412">
        <v>1</v>
      </c>
      <c r="I216" s="412"/>
      <c r="J216" s="412">
        <v>2</v>
      </c>
      <c r="K216" s="412">
        <v>1</v>
      </c>
      <c r="L216" s="412"/>
      <c r="M216" s="412"/>
      <c r="N216" s="425">
        <v>1</v>
      </c>
      <c r="O216" s="425"/>
      <c r="P216" s="425"/>
      <c r="Q216" s="425"/>
      <c r="R216" s="425">
        <v>4</v>
      </c>
      <c r="S216" s="425">
        <v>1</v>
      </c>
      <c r="T216" s="425"/>
      <c r="U216" s="425">
        <v>2</v>
      </c>
      <c r="V216" s="425">
        <v>1</v>
      </c>
      <c r="W216" s="425"/>
      <c r="X216" s="425"/>
      <c r="Y216" s="425">
        <v>1</v>
      </c>
      <c r="Z216" s="425">
        <v>1</v>
      </c>
      <c r="AA216" s="425"/>
      <c r="AB216" s="425"/>
      <c r="AC216" s="425"/>
      <c r="AD216" s="425"/>
      <c r="AE216" s="425"/>
      <c r="AF216" s="426"/>
      <c r="AG216" s="397">
        <f>SUM(B216:AF216)</f>
        <v>34</v>
      </c>
    </row>
    <row r="217" spans="1:34" ht="18.75" x14ac:dyDescent="0.25">
      <c r="A217" s="69" t="s">
        <v>628</v>
      </c>
      <c r="B217" s="407"/>
      <c r="C217" s="407"/>
      <c r="D217" s="407"/>
      <c r="E217" s="407"/>
      <c r="F217" s="407"/>
      <c r="G217" s="407"/>
      <c r="H217" s="407"/>
      <c r="I217" s="407"/>
      <c r="J217" s="407"/>
      <c r="K217" s="407"/>
      <c r="L217" s="407"/>
      <c r="M217" s="407"/>
      <c r="N217" s="56"/>
      <c r="O217" s="56"/>
      <c r="P217" s="56"/>
      <c r="Q217" s="56"/>
      <c r="R217" s="56"/>
      <c r="S217" s="56"/>
      <c r="T217" s="56"/>
      <c r="U217" s="56"/>
      <c r="V217" s="56"/>
      <c r="W217" s="56"/>
      <c r="X217" s="56"/>
      <c r="Y217" s="56"/>
      <c r="Z217" s="56"/>
      <c r="AA217" s="56"/>
      <c r="AB217" s="56"/>
      <c r="AC217" s="56"/>
      <c r="AD217" s="56"/>
      <c r="AE217" s="56"/>
      <c r="AF217" s="85"/>
      <c r="AG217" s="95">
        <f>SUM(B217:AF217)</f>
        <v>0</v>
      </c>
    </row>
    <row r="218" spans="1:34" ht="19.5" thickBot="1" x14ac:dyDescent="0.3">
      <c r="A218" s="424" t="s">
        <v>629</v>
      </c>
      <c r="B218" s="412">
        <f>+B212-B217</f>
        <v>6</v>
      </c>
      <c r="C218" s="412">
        <f t="shared" ref="C218:AF218" si="36">+C212-C217</f>
        <v>18</v>
      </c>
      <c r="D218" s="412">
        <f t="shared" si="36"/>
        <v>15</v>
      </c>
      <c r="E218" s="412">
        <f t="shared" si="36"/>
        <v>11</v>
      </c>
      <c r="F218" s="412">
        <f t="shared" si="36"/>
        <v>12</v>
      </c>
      <c r="G218" s="412">
        <f t="shared" si="36"/>
        <v>18</v>
      </c>
      <c r="H218" s="412">
        <f t="shared" si="36"/>
        <v>16</v>
      </c>
      <c r="I218" s="412">
        <f t="shared" si="36"/>
        <v>7</v>
      </c>
      <c r="J218" s="412">
        <f t="shared" si="36"/>
        <v>17</v>
      </c>
      <c r="K218" s="412">
        <f t="shared" si="36"/>
        <v>11</v>
      </c>
      <c r="L218" s="412">
        <f t="shared" si="36"/>
        <v>11</v>
      </c>
      <c r="M218" s="412">
        <f t="shared" si="36"/>
        <v>7</v>
      </c>
      <c r="N218" s="425">
        <f t="shared" si="36"/>
        <v>9</v>
      </c>
      <c r="O218" s="425">
        <f t="shared" si="36"/>
        <v>4</v>
      </c>
      <c r="P218" s="425">
        <f t="shared" si="36"/>
        <v>10</v>
      </c>
      <c r="Q218" s="425">
        <f t="shared" si="36"/>
        <v>5</v>
      </c>
      <c r="R218" s="425">
        <f t="shared" si="36"/>
        <v>9</v>
      </c>
      <c r="S218" s="425">
        <f t="shared" si="36"/>
        <v>8</v>
      </c>
      <c r="T218" s="425">
        <f t="shared" si="36"/>
        <v>6</v>
      </c>
      <c r="U218" s="425">
        <f t="shared" si="36"/>
        <v>18</v>
      </c>
      <c r="V218" s="425">
        <f t="shared" si="36"/>
        <v>8</v>
      </c>
      <c r="W218" s="425">
        <f t="shared" si="36"/>
        <v>8</v>
      </c>
      <c r="X218" s="425">
        <f t="shared" si="36"/>
        <v>14</v>
      </c>
      <c r="Y218" s="425">
        <f t="shared" si="36"/>
        <v>14</v>
      </c>
      <c r="Z218" s="425">
        <f t="shared" si="36"/>
        <v>8</v>
      </c>
      <c r="AA218" s="425">
        <f t="shared" si="36"/>
        <v>5</v>
      </c>
      <c r="AB218" s="425">
        <f t="shared" si="36"/>
        <v>5</v>
      </c>
      <c r="AC218" s="425">
        <f t="shared" si="36"/>
        <v>0</v>
      </c>
      <c r="AD218" s="425">
        <f t="shared" si="36"/>
        <v>9</v>
      </c>
      <c r="AE218" s="425">
        <f t="shared" si="36"/>
        <v>18</v>
      </c>
      <c r="AF218" s="428">
        <f t="shared" si="36"/>
        <v>0</v>
      </c>
      <c r="AG218" s="413">
        <f>SUM(B218:AF218)</f>
        <v>307</v>
      </c>
    </row>
    <row r="219" spans="1:34" ht="19.5" thickBot="1" x14ac:dyDescent="0.3">
      <c r="A219" s="60" t="s">
        <v>64</v>
      </c>
      <c r="B219" s="61"/>
      <c r="C219" s="61"/>
      <c r="D219" s="61"/>
      <c r="E219" s="61"/>
      <c r="F219" s="61"/>
      <c r="G219" s="61"/>
      <c r="H219" s="61"/>
      <c r="I219" s="61"/>
      <c r="J219" s="61"/>
      <c r="K219" s="61"/>
      <c r="L219" s="61"/>
      <c r="M219" s="61"/>
      <c r="N219" s="61"/>
      <c r="O219" s="61"/>
      <c r="P219" s="61"/>
      <c r="Q219" s="61"/>
      <c r="R219" s="61"/>
      <c r="S219" s="61"/>
      <c r="T219" s="61"/>
      <c r="U219" s="61"/>
      <c r="V219" s="61"/>
      <c r="W219" s="61"/>
      <c r="X219" s="61"/>
      <c r="Y219" s="61"/>
      <c r="Z219" s="61"/>
      <c r="AA219" s="61"/>
      <c r="AB219" s="61"/>
      <c r="AC219" s="383"/>
      <c r="AD219" s="61"/>
      <c r="AE219" s="61"/>
      <c r="AF219" s="90"/>
      <c r="AG219" s="98"/>
    </row>
    <row r="220" spans="1:34" ht="18.75" x14ac:dyDescent="0.25">
      <c r="A220" s="43" t="s">
        <v>77</v>
      </c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  <c r="AC220" s="384"/>
      <c r="AD220" s="19"/>
      <c r="AE220" s="19"/>
      <c r="AF220" s="25"/>
      <c r="AG220" s="99">
        <f t="shared" si="28"/>
        <v>0</v>
      </c>
      <c r="AH220" s="437" t="s">
        <v>85</v>
      </c>
    </row>
    <row r="221" spans="1:34" ht="18.75" x14ac:dyDescent="0.25">
      <c r="A221" s="53" t="s">
        <v>110</v>
      </c>
      <c r="B221" s="39"/>
      <c r="C221" s="39"/>
      <c r="D221" s="39"/>
      <c r="E221" s="39"/>
      <c r="F221" s="39"/>
      <c r="G221" s="39"/>
      <c r="H221" s="39"/>
      <c r="I221" s="39"/>
      <c r="J221" s="39"/>
      <c r="K221" s="39"/>
      <c r="L221" s="39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  <c r="Y221" s="39"/>
      <c r="Z221" s="39"/>
      <c r="AA221" s="39"/>
      <c r="AB221" s="39"/>
      <c r="AC221" s="384"/>
      <c r="AD221" s="39"/>
      <c r="AE221" s="39"/>
      <c r="AF221" s="91"/>
      <c r="AG221" s="100">
        <f t="shared" si="28"/>
        <v>0</v>
      </c>
      <c r="AH221" s="438"/>
    </row>
    <row r="222" spans="1:34" ht="18.75" x14ac:dyDescent="0.25">
      <c r="A222" s="53" t="s">
        <v>111</v>
      </c>
      <c r="B222" s="39"/>
      <c r="C222" s="39"/>
      <c r="D222" s="39"/>
      <c r="E222" s="39"/>
      <c r="F222" s="39"/>
      <c r="G222" s="39"/>
      <c r="H222" s="39"/>
      <c r="I222" s="39"/>
      <c r="J222" s="39"/>
      <c r="K222" s="39"/>
      <c r="L222" s="39"/>
      <c r="M222" s="39"/>
      <c r="N222" s="39"/>
      <c r="O222" s="39"/>
      <c r="P222" s="39"/>
      <c r="Q222" s="39"/>
      <c r="R222" s="39"/>
      <c r="S222" s="39"/>
      <c r="T222" s="39"/>
      <c r="U222" s="39"/>
      <c r="V222" s="39"/>
      <c r="W222" s="39"/>
      <c r="X222" s="39"/>
      <c r="Y222" s="39"/>
      <c r="Z222" s="39"/>
      <c r="AA222" s="39"/>
      <c r="AB222" s="39"/>
      <c r="AC222" s="384"/>
      <c r="AD222" s="39"/>
      <c r="AE222" s="39"/>
      <c r="AF222" s="91"/>
      <c r="AG222" s="100">
        <f t="shared" si="28"/>
        <v>0</v>
      </c>
      <c r="AH222" s="438"/>
    </row>
    <row r="223" spans="1:34" ht="18.75" x14ac:dyDescent="0.25">
      <c r="A223" s="53" t="s">
        <v>112</v>
      </c>
      <c r="B223" s="39"/>
      <c r="C223" s="39"/>
      <c r="D223" s="39"/>
      <c r="E223" s="39"/>
      <c r="F223" s="39"/>
      <c r="G223" s="39"/>
      <c r="H223" s="39"/>
      <c r="I223" s="39"/>
      <c r="J223" s="39"/>
      <c r="K223" s="39"/>
      <c r="L223" s="39"/>
      <c r="M223" s="39"/>
      <c r="N223" s="39"/>
      <c r="O223" s="39"/>
      <c r="P223" s="39"/>
      <c r="Q223" s="39"/>
      <c r="R223" s="39"/>
      <c r="S223" s="39"/>
      <c r="T223" s="39"/>
      <c r="U223" s="39"/>
      <c r="V223" s="39"/>
      <c r="W223" s="39"/>
      <c r="X223" s="39"/>
      <c r="Y223" s="39"/>
      <c r="Z223" s="39"/>
      <c r="AA223" s="39"/>
      <c r="AB223" s="39"/>
      <c r="AC223" s="384"/>
      <c r="AD223" s="39"/>
      <c r="AE223" s="39"/>
      <c r="AF223" s="91"/>
      <c r="AG223" s="100">
        <f t="shared" si="28"/>
        <v>0</v>
      </c>
      <c r="AH223" s="438"/>
    </row>
    <row r="224" spans="1:34" ht="18.75" x14ac:dyDescent="0.25">
      <c r="A224" s="53" t="s">
        <v>113</v>
      </c>
      <c r="B224" s="39"/>
      <c r="C224" s="39"/>
      <c r="D224" s="39"/>
      <c r="E224" s="39"/>
      <c r="F224" s="39"/>
      <c r="G224" s="39"/>
      <c r="H224" s="39"/>
      <c r="I224" s="39"/>
      <c r="J224" s="39"/>
      <c r="K224" s="39"/>
      <c r="L224" s="39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  <c r="Y224" s="39"/>
      <c r="Z224" s="39"/>
      <c r="AA224" s="39"/>
      <c r="AB224" s="39"/>
      <c r="AC224" s="384"/>
      <c r="AD224" s="39"/>
      <c r="AE224" s="39"/>
      <c r="AF224" s="91"/>
      <c r="AG224" s="100">
        <f t="shared" si="28"/>
        <v>0</v>
      </c>
      <c r="AH224" s="438"/>
    </row>
    <row r="225" spans="1:34" ht="18.75" x14ac:dyDescent="0.25">
      <c r="A225" s="53" t="s">
        <v>114</v>
      </c>
      <c r="B225" s="39"/>
      <c r="C225" s="39"/>
      <c r="D225" s="39"/>
      <c r="E225" s="39"/>
      <c r="F225" s="39"/>
      <c r="G225" s="39"/>
      <c r="H225" s="39"/>
      <c r="I225" s="39"/>
      <c r="J225" s="39"/>
      <c r="K225" s="39"/>
      <c r="L225" s="39"/>
      <c r="M225" s="39"/>
      <c r="N225" s="39"/>
      <c r="O225" s="39"/>
      <c r="P225" s="39"/>
      <c r="Q225" s="39"/>
      <c r="R225" s="39"/>
      <c r="S225" s="39"/>
      <c r="T225" s="39"/>
      <c r="U225" s="39"/>
      <c r="V225" s="39"/>
      <c r="W225" s="39"/>
      <c r="X225" s="39"/>
      <c r="Y225" s="39"/>
      <c r="Z225" s="39"/>
      <c r="AA225" s="39"/>
      <c r="AB225" s="39"/>
      <c r="AC225" s="384"/>
      <c r="AD225" s="39"/>
      <c r="AE225" s="39"/>
      <c r="AF225" s="91"/>
      <c r="AG225" s="100">
        <f t="shared" ref="AG225:AG227" si="37">SUM(B225:AF225)</f>
        <v>0</v>
      </c>
      <c r="AH225" s="438"/>
    </row>
    <row r="226" spans="1:34" ht="18.75" x14ac:dyDescent="0.25">
      <c r="A226" s="53" t="s">
        <v>115</v>
      </c>
      <c r="B226" s="39"/>
      <c r="C226" s="39"/>
      <c r="D226" s="39"/>
      <c r="E226" s="39"/>
      <c r="F226" s="39"/>
      <c r="G226" s="39"/>
      <c r="H226" s="39"/>
      <c r="I226" s="39"/>
      <c r="J226" s="39"/>
      <c r="K226" s="39"/>
      <c r="L226" s="39"/>
      <c r="M226" s="39"/>
      <c r="N226" s="39"/>
      <c r="O226" s="39"/>
      <c r="P226" s="39"/>
      <c r="Q226" s="39"/>
      <c r="R226" s="39"/>
      <c r="S226" s="39"/>
      <c r="T226" s="39"/>
      <c r="U226" s="39"/>
      <c r="V226" s="39"/>
      <c r="W226" s="39"/>
      <c r="X226" s="39"/>
      <c r="Y226" s="39"/>
      <c r="Z226" s="39"/>
      <c r="AA226" s="39"/>
      <c r="AB226" s="39"/>
      <c r="AC226" s="384"/>
      <c r="AD226" s="39"/>
      <c r="AE226" s="39"/>
      <c r="AF226" s="91"/>
      <c r="AG226" s="100">
        <f t="shared" si="37"/>
        <v>0</v>
      </c>
      <c r="AH226" s="438"/>
    </row>
    <row r="227" spans="1:34" ht="18.75" x14ac:dyDescent="0.25">
      <c r="A227" s="53" t="s">
        <v>116</v>
      </c>
      <c r="B227" s="39"/>
      <c r="C227" s="39"/>
      <c r="D227" s="39"/>
      <c r="E227" s="39"/>
      <c r="F227" s="39"/>
      <c r="G227" s="39"/>
      <c r="H227" s="39"/>
      <c r="I227" s="39"/>
      <c r="J227" s="39"/>
      <c r="K227" s="39"/>
      <c r="L227" s="39"/>
      <c r="M227" s="39"/>
      <c r="N227" s="39"/>
      <c r="O227" s="39"/>
      <c r="P227" s="39"/>
      <c r="Q227" s="39"/>
      <c r="R227" s="39"/>
      <c r="S227" s="39"/>
      <c r="T227" s="39"/>
      <c r="U227" s="39"/>
      <c r="V227" s="39"/>
      <c r="W227" s="39"/>
      <c r="X227" s="39"/>
      <c r="Y227" s="39"/>
      <c r="Z227" s="39"/>
      <c r="AA227" s="39"/>
      <c r="AB227" s="39"/>
      <c r="AC227" s="384"/>
      <c r="AD227" s="39"/>
      <c r="AE227" s="39"/>
      <c r="AF227" s="91"/>
      <c r="AG227" s="100">
        <f t="shared" si="37"/>
        <v>0</v>
      </c>
      <c r="AH227" s="438"/>
    </row>
    <row r="228" spans="1:34" ht="18.75" x14ac:dyDescent="0.25">
      <c r="A228" s="53" t="s">
        <v>117</v>
      </c>
      <c r="B228" s="39"/>
      <c r="C228" s="39"/>
      <c r="D228" s="39"/>
      <c r="E228" s="39"/>
      <c r="F228" s="39"/>
      <c r="G228" s="39"/>
      <c r="H228" s="39"/>
      <c r="I228" s="39"/>
      <c r="J228" s="39"/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39"/>
      <c r="AA228" s="39"/>
      <c r="AB228" s="39"/>
      <c r="AC228" s="384"/>
      <c r="AD228" s="39"/>
      <c r="AE228" s="39"/>
      <c r="AF228" s="91"/>
      <c r="AG228" s="100">
        <f t="shared" si="28"/>
        <v>0</v>
      </c>
      <c r="AH228" s="438"/>
    </row>
    <row r="229" spans="1:34" ht="18.75" x14ac:dyDescent="0.25">
      <c r="A229" s="43" t="s">
        <v>150</v>
      </c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  <c r="AB229" s="19"/>
      <c r="AC229" s="384"/>
      <c r="AD229" s="19"/>
      <c r="AE229" s="19"/>
      <c r="AF229" s="25"/>
      <c r="AG229" s="99">
        <f t="shared" si="28"/>
        <v>0</v>
      </c>
      <c r="AH229" s="438"/>
    </row>
    <row r="230" spans="1:34" ht="18.75" x14ac:dyDescent="0.25">
      <c r="A230" s="43" t="s">
        <v>78</v>
      </c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  <c r="AC230" s="384"/>
      <c r="AD230" s="19"/>
      <c r="AE230" s="19"/>
      <c r="AF230" s="25"/>
      <c r="AG230" s="99">
        <f t="shared" si="28"/>
        <v>0</v>
      </c>
      <c r="AH230" s="438"/>
    </row>
    <row r="231" spans="1:34" ht="19.5" thickBot="1" x14ac:dyDescent="0.3">
      <c r="A231" s="43" t="s">
        <v>79</v>
      </c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384"/>
      <c r="AD231" s="19"/>
      <c r="AE231" s="19"/>
      <c r="AF231" s="25"/>
      <c r="AG231" s="99">
        <f t="shared" si="28"/>
        <v>0</v>
      </c>
      <c r="AH231" s="439"/>
    </row>
    <row r="232" spans="1:34" ht="24" thickBot="1" x14ac:dyDescent="0.3">
      <c r="A232" s="62" t="s">
        <v>118</v>
      </c>
      <c r="B232" s="20">
        <f>+B231+B230+B220+B229</f>
        <v>0</v>
      </c>
      <c r="C232" s="20">
        <f t="shared" ref="C232:AF232" si="38">+C231+C230+C220+C229</f>
        <v>0</v>
      </c>
      <c r="D232" s="20">
        <f t="shared" si="38"/>
        <v>0</v>
      </c>
      <c r="E232" s="20">
        <f t="shared" si="38"/>
        <v>0</v>
      </c>
      <c r="F232" s="20">
        <f t="shared" si="38"/>
        <v>0</v>
      </c>
      <c r="G232" s="20">
        <f t="shared" si="38"/>
        <v>0</v>
      </c>
      <c r="H232" s="20">
        <f t="shared" si="38"/>
        <v>0</v>
      </c>
      <c r="I232" s="20">
        <f t="shared" si="38"/>
        <v>0</v>
      </c>
      <c r="J232" s="20">
        <f t="shared" si="38"/>
        <v>0</v>
      </c>
      <c r="K232" s="20">
        <f t="shared" si="38"/>
        <v>0</v>
      </c>
      <c r="L232" s="20">
        <f t="shared" si="38"/>
        <v>0</v>
      </c>
      <c r="M232" s="20">
        <f t="shared" si="38"/>
        <v>0</v>
      </c>
      <c r="N232" s="20">
        <f t="shared" si="38"/>
        <v>0</v>
      </c>
      <c r="O232" s="20">
        <f t="shared" si="38"/>
        <v>0</v>
      </c>
      <c r="P232" s="20">
        <f t="shared" si="38"/>
        <v>0</v>
      </c>
      <c r="Q232" s="20">
        <f t="shared" si="38"/>
        <v>0</v>
      </c>
      <c r="R232" s="20">
        <f t="shared" si="38"/>
        <v>0</v>
      </c>
      <c r="S232" s="20">
        <f t="shared" si="38"/>
        <v>0</v>
      </c>
      <c r="T232" s="20">
        <f t="shared" si="38"/>
        <v>0</v>
      </c>
      <c r="U232" s="20">
        <f t="shared" si="38"/>
        <v>0</v>
      </c>
      <c r="V232" s="20">
        <f t="shared" si="38"/>
        <v>0</v>
      </c>
      <c r="W232" s="20">
        <f t="shared" si="38"/>
        <v>0</v>
      </c>
      <c r="X232" s="20">
        <f t="shared" si="38"/>
        <v>0</v>
      </c>
      <c r="Y232" s="20">
        <f t="shared" si="38"/>
        <v>0</v>
      </c>
      <c r="Z232" s="20">
        <f t="shared" si="38"/>
        <v>0</v>
      </c>
      <c r="AA232" s="20">
        <f t="shared" si="38"/>
        <v>0</v>
      </c>
      <c r="AB232" s="20">
        <f t="shared" si="38"/>
        <v>0</v>
      </c>
      <c r="AC232" s="385">
        <f t="shared" si="38"/>
        <v>0</v>
      </c>
      <c r="AD232" s="20">
        <f t="shared" si="38"/>
        <v>0</v>
      </c>
      <c r="AE232" s="20">
        <f t="shared" si="38"/>
        <v>0</v>
      </c>
      <c r="AF232" s="26">
        <f t="shared" si="38"/>
        <v>0</v>
      </c>
      <c r="AG232" s="99">
        <f t="shared" si="28"/>
        <v>0</v>
      </c>
      <c r="AH232" s="36"/>
    </row>
    <row r="233" spans="1:34" ht="18.75" x14ac:dyDescent="0.25">
      <c r="A233" s="57" t="s">
        <v>90</v>
      </c>
      <c r="B233" s="27"/>
      <c r="C233" s="27"/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  <c r="AA233" s="27"/>
      <c r="AB233" s="27"/>
      <c r="AC233" s="378"/>
      <c r="AD233" s="27"/>
      <c r="AE233" s="27"/>
      <c r="AF233" s="92"/>
      <c r="AG233" s="31">
        <f t="shared" ref="AG233:AG246" si="39">SUM(B233:AF233)</f>
        <v>0</v>
      </c>
      <c r="AH233" s="440" t="s">
        <v>96</v>
      </c>
    </row>
    <row r="234" spans="1:34" ht="18.75" x14ac:dyDescent="0.25">
      <c r="A234" s="54" t="s">
        <v>91</v>
      </c>
      <c r="B234" s="40"/>
      <c r="C234" s="40"/>
      <c r="D234" s="40"/>
      <c r="E234" s="40"/>
      <c r="F234" s="40"/>
      <c r="G234" s="40"/>
      <c r="H234" s="40"/>
      <c r="I234" s="40"/>
      <c r="J234" s="40"/>
      <c r="K234" s="40"/>
      <c r="L234" s="40"/>
      <c r="M234" s="40"/>
      <c r="N234" s="40"/>
      <c r="O234" s="40"/>
      <c r="P234" s="40"/>
      <c r="Q234" s="40"/>
      <c r="R234" s="40"/>
      <c r="S234" s="40"/>
      <c r="T234" s="40"/>
      <c r="U234" s="40"/>
      <c r="V234" s="40"/>
      <c r="W234" s="40"/>
      <c r="X234" s="40"/>
      <c r="Y234" s="40"/>
      <c r="Z234" s="40"/>
      <c r="AA234" s="40"/>
      <c r="AB234" s="40"/>
      <c r="AC234" s="384"/>
      <c r="AD234" s="40"/>
      <c r="AE234" s="40"/>
      <c r="AF234" s="93"/>
      <c r="AG234" s="99">
        <f t="shared" si="39"/>
        <v>0</v>
      </c>
      <c r="AH234" s="441"/>
    </row>
    <row r="235" spans="1:34" ht="19.5" thickBot="1" x14ac:dyDescent="0.3">
      <c r="A235" s="58" t="s">
        <v>97</v>
      </c>
      <c r="B235" s="59"/>
      <c r="C235" s="59"/>
      <c r="D235" s="59"/>
      <c r="E235" s="59"/>
      <c r="F235" s="59"/>
      <c r="G235" s="59"/>
      <c r="H235" s="59"/>
      <c r="I235" s="59"/>
      <c r="J235" s="59"/>
      <c r="K235" s="59"/>
      <c r="L235" s="59"/>
      <c r="M235" s="59"/>
      <c r="N235" s="59"/>
      <c r="O235" s="59"/>
      <c r="P235" s="59"/>
      <c r="Q235" s="59"/>
      <c r="R235" s="59"/>
      <c r="S235" s="59"/>
      <c r="T235" s="59"/>
      <c r="U235" s="59"/>
      <c r="V235" s="59"/>
      <c r="W235" s="59"/>
      <c r="X235" s="59"/>
      <c r="Y235" s="59"/>
      <c r="Z235" s="59"/>
      <c r="AA235" s="59"/>
      <c r="AB235" s="59"/>
      <c r="AC235" s="377"/>
      <c r="AD235" s="59"/>
      <c r="AE235" s="59"/>
      <c r="AF235" s="94"/>
      <c r="AG235" s="28">
        <f t="shared" si="39"/>
        <v>0</v>
      </c>
      <c r="AH235" s="442"/>
    </row>
    <row r="236" spans="1:34" ht="18.75" x14ac:dyDescent="0.25">
      <c r="A236" s="55" t="s">
        <v>92</v>
      </c>
      <c r="B236" s="118">
        <f>SUM(B237:B239)</f>
        <v>4</v>
      </c>
      <c r="C236" s="118">
        <f t="shared" ref="C236:AF236" si="40">SUM(C237:C239)</f>
        <v>7</v>
      </c>
      <c r="D236" s="118">
        <f t="shared" si="40"/>
        <v>6</v>
      </c>
      <c r="E236" s="118">
        <f t="shared" si="40"/>
        <v>4</v>
      </c>
      <c r="F236" s="118">
        <f t="shared" si="40"/>
        <v>3</v>
      </c>
      <c r="G236" s="118">
        <f t="shared" si="40"/>
        <v>6</v>
      </c>
      <c r="H236" s="118">
        <f t="shared" si="40"/>
        <v>6</v>
      </c>
      <c r="I236" s="118">
        <f t="shared" si="40"/>
        <v>8</v>
      </c>
      <c r="J236" s="118">
        <f t="shared" si="40"/>
        <v>7</v>
      </c>
      <c r="K236" s="118">
        <f t="shared" si="40"/>
        <v>7</v>
      </c>
      <c r="L236" s="118">
        <f t="shared" si="40"/>
        <v>6</v>
      </c>
      <c r="M236" s="118">
        <f t="shared" si="40"/>
        <v>6</v>
      </c>
      <c r="N236" s="118">
        <f t="shared" si="40"/>
        <v>6</v>
      </c>
      <c r="O236" s="118">
        <f t="shared" si="40"/>
        <v>3</v>
      </c>
      <c r="P236" s="118">
        <f t="shared" si="40"/>
        <v>3</v>
      </c>
      <c r="Q236" s="118">
        <f t="shared" si="40"/>
        <v>4</v>
      </c>
      <c r="R236" s="118">
        <f t="shared" si="40"/>
        <v>8</v>
      </c>
      <c r="S236" s="118">
        <f t="shared" si="40"/>
        <v>5</v>
      </c>
      <c r="T236" s="118">
        <f t="shared" si="40"/>
        <v>5</v>
      </c>
      <c r="U236" s="118">
        <f t="shared" si="40"/>
        <v>6</v>
      </c>
      <c r="V236" s="118">
        <f t="shared" si="40"/>
        <v>5</v>
      </c>
      <c r="W236" s="118">
        <f t="shared" si="40"/>
        <v>6</v>
      </c>
      <c r="X236" s="118">
        <f t="shared" si="40"/>
        <v>7</v>
      </c>
      <c r="Y236" s="118">
        <f t="shared" si="40"/>
        <v>5</v>
      </c>
      <c r="Z236" s="118">
        <f t="shared" si="40"/>
        <v>6</v>
      </c>
      <c r="AA236" s="118">
        <f t="shared" si="40"/>
        <v>4</v>
      </c>
      <c r="AB236" s="118">
        <f t="shared" si="40"/>
        <v>1</v>
      </c>
      <c r="AC236" s="382">
        <f t="shared" si="40"/>
        <v>1</v>
      </c>
      <c r="AD236" s="118">
        <f t="shared" si="40"/>
        <v>9</v>
      </c>
      <c r="AE236" s="118">
        <f t="shared" si="40"/>
        <v>6</v>
      </c>
      <c r="AF236" s="118">
        <f t="shared" si="40"/>
        <v>0</v>
      </c>
      <c r="AG236" s="95">
        <f t="shared" si="39"/>
        <v>160</v>
      </c>
      <c r="AH236" s="440" t="s">
        <v>93</v>
      </c>
    </row>
    <row r="237" spans="1:34" ht="18.75" x14ac:dyDescent="0.25">
      <c r="A237" s="139" t="s">
        <v>94</v>
      </c>
      <c r="B237" s="140">
        <v>1</v>
      </c>
      <c r="C237" s="140">
        <v>2</v>
      </c>
      <c r="D237" s="140">
        <v>1</v>
      </c>
      <c r="E237" s="140">
        <v>0</v>
      </c>
      <c r="F237" s="140">
        <v>1</v>
      </c>
      <c r="G237" s="140">
        <v>2</v>
      </c>
      <c r="H237" s="140">
        <v>0</v>
      </c>
      <c r="I237" s="140">
        <v>2</v>
      </c>
      <c r="J237" s="140">
        <v>2</v>
      </c>
      <c r="K237" s="140">
        <v>3</v>
      </c>
      <c r="L237" s="140">
        <v>1</v>
      </c>
      <c r="M237" s="140">
        <v>1</v>
      </c>
      <c r="N237" s="145">
        <v>0</v>
      </c>
      <c r="O237" s="140">
        <v>1</v>
      </c>
      <c r="P237" s="140">
        <v>0</v>
      </c>
      <c r="Q237" s="140">
        <v>2</v>
      </c>
      <c r="R237" s="140">
        <v>1</v>
      </c>
      <c r="S237" s="140">
        <v>2</v>
      </c>
      <c r="T237" s="140">
        <v>1</v>
      </c>
      <c r="U237" s="140">
        <v>0</v>
      </c>
      <c r="V237" s="140">
        <v>0</v>
      </c>
      <c r="W237" s="140">
        <v>3</v>
      </c>
      <c r="X237" s="140">
        <v>2</v>
      </c>
      <c r="Y237" s="140">
        <v>0</v>
      </c>
      <c r="Z237" s="142">
        <v>3</v>
      </c>
      <c r="AA237" s="140">
        <v>1</v>
      </c>
      <c r="AB237" s="140">
        <v>0</v>
      </c>
      <c r="AC237" s="386">
        <v>1</v>
      </c>
      <c r="AD237" s="140">
        <v>4</v>
      </c>
      <c r="AE237" s="140">
        <v>3</v>
      </c>
      <c r="AF237" s="144"/>
      <c r="AG237" s="143">
        <f t="shared" si="39"/>
        <v>40</v>
      </c>
      <c r="AH237" s="441"/>
    </row>
    <row r="238" spans="1:34" ht="18.75" x14ac:dyDescent="0.25">
      <c r="A238" s="139" t="s">
        <v>95</v>
      </c>
      <c r="B238" s="140">
        <v>3</v>
      </c>
      <c r="C238" s="140">
        <v>5</v>
      </c>
      <c r="D238" s="140">
        <v>5</v>
      </c>
      <c r="E238" s="140">
        <v>4</v>
      </c>
      <c r="F238" s="140">
        <v>2</v>
      </c>
      <c r="G238" s="140">
        <v>4</v>
      </c>
      <c r="H238" s="140">
        <v>6</v>
      </c>
      <c r="I238" s="140">
        <v>6</v>
      </c>
      <c r="J238" s="140">
        <v>5</v>
      </c>
      <c r="K238" s="140">
        <v>4</v>
      </c>
      <c r="L238" s="140">
        <v>5</v>
      </c>
      <c r="M238" s="140">
        <v>5</v>
      </c>
      <c r="N238" s="145">
        <v>6</v>
      </c>
      <c r="O238" s="140">
        <v>2</v>
      </c>
      <c r="P238" s="140">
        <v>3</v>
      </c>
      <c r="Q238" s="140">
        <v>2</v>
      </c>
      <c r="R238" s="140">
        <v>7</v>
      </c>
      <c r="S238" s="140">
        <v>3</v>
      </c>
      <c r="T238" s="140">
        <v>4</v>
      </c>
      <c r="U238" s="140">
        <v>6</v>
      </c>
      <c r="V238" s="140">
        <v>5</v>
      </c>
      <c r="W238" s="140">
        <v>3</v>
      </c>
      <c r="X238" s="140">
        <v>5</v>
      </c>
      <c r="Y238" s="140">
        <v>5</v>
      </c>
      <c r="Z238" s="142">
        <v>3</v>
      </c>
      <c r="AA238" s="140">
        <v>3</v>
      </c>
      <c r="AB238" s="140">
        <v>1</v>
      </c>
      <c r="AC238" s="386">
        <v>0</v>
      </c>
      <c r="AD238" s="140">
        <v>5</v>
      </c>
      <c r="AE238" s="140">
        <v>3</v>
      </c>
      <c r="AF238" s="144"/>
      <c r="AG238" s="143">
        <f t="shared" si="39"/>
        <v>120</v>
      </c>
      <c r="AH238" s="441"/>
    </row>
    <row r="239" spans="1:34" ht="19.5" thickBot="1" x14ac:dyDescent="0.3">
      <c r="A239" s="190" t="s">
        <v>106</v>
      </c>
      <c r="B239" s="191"/>
      <c r="C239" s="191"/>
      <c r="D239" s="191"/>
      <c r="E239" s="191"/>
      <c r="F239" s="191"/>
      <c r="G239" s="191"/>
      <c r="H239" s="191"/>
      <c r="I239" s="191"/>
      <c r="J239" s="191"/>
      <c r="K239" s="192"/>
      <c r="L239" s="192"/>
      <c r="M239" s="192"/>
      <c r="N239" s="193"/>
      <c r="O239" s="194"/>
      <c r="P239" s="194"/>
      <c r="Q239" s="194"/>
      <c r="R239" s="194"/>
      <c r="S239" s="194"/>
      <c r="T239" s="194"/>
      <c r="U239" s="194"/>
      <c r="V239" s="194"/>
      <c r="W239" s="194"/>
      <c r="X239" s="194"/>
      <c r="Y239" s="194"/>
      <c r="Z239" s="194"/>
      <c r="AA239" s="194"/>
      <c r="AB239" s="194"/>
      <c r="AC239" s="380"/>
      <c r="AD239" s="194"/>
      <c r="AE239" s="194"/>
      <c r="AF239" s="195"/>
      <c r="AG239" s="108">
        <f t="shared" si="39"/>
        <v>0</v>
      </c>
      <c r="AH239" s="442"/>
    </row>
    <row r="240" spans="1:34" ht="24" hidden="1" thickBot="1" x14ac:dyDescent="0.3">
      <c r="A240" s="198" t="s">
        <v>148</v>
      </c>
      <c r="B240" s="199">
        <f>SUM(B241:B246)</f>
        <v>0</v>
      </c>
      <c r="C240" s="199">
        <f t="shared" ref="C240:AF240" si="41">SUM(C241:C246)</f>
        <v>0</v>
      </c>
      <c r="D240" s="199">
        <f t="shared" si="41"/>
        <v>0</v>
      </c>
      <c r="E240" s="199">
        <f t="shared" si="41"/>
        <v>0</v>
      </c>
      <c r="F240" s="199">
        <f t="shared" si="41"/>
        <v>0</v>
      </c>
      <c r="G240" s="199">
        <f t="shared" si="41"/>
        <v>0</v>
      </c>
      <c r="H240" s="199">
        <f t="shared" si="41"/>
        <v>0</v>
      </c>
      <c r="I240" s="199">
        <f t="shared" si="41"/>
        <v>0</v>
      </c>
      <c r="J240" s="199">
        <f t="shared" si="41"/>
        <v>0</v>
      </c>
      <c r="K240" s="199">
        <f t="shared" si="41"/>
        <v>0</v>
      </c>
      <c r="L240" s="199">
        <f t="shared" si="41"/>
        <v>0</v>
      </c>
      <c r="M240" s="199">
        <f t="shared" si="41"/>
        <v>0</v>
      </c>
      <c r="N240" s="199">
        <f t="shared" si="41"/>
        <v>0</v>
      </c>
      <c r="O240" s="199">
        <f t="shared" si="41"/>
        <v>0</v>
      </c>
      <c r="P240" s="199">
        <f t="shared" si="41"/>
        <v>0</v>
      </c>
      <c r="Q240" s="199">
        <f t="shared" si="41"/>
        <v>0</v>
      </c>
      <c r="R240" s="199">
        <f t="shared" si="41"/>
        <v>0</v>
      </c>
      <c r="S240" s="199">
        <f t="shared" si="41"/>
        <v>0</v>
      </c>
      <c r="T240" s="199">
        <f t="shared" si="41"/>
        <v>0</v>
      </c>
      <c r="U240" s="199">
        <f t="shared" si="41"/>
        <v>0</v>
      </c>
      <c r="V240" s="199">
        <f t="shared" si="41"/>
        <v>0</v>
      </c>
      <c r="W240" s="199">
        <f t="shared" si="41"/>
        <v>0</v>
      </c>
      <c r="X240" s="199">
        <f t="shared" si="41"/>
        <v>0</v>
      </c>
      <c r="Y240" s="199">
        <f t="shared" si="41"/>
        <v>0</v>
      </c>
      <c r="Z240" s="199">
        <f t="shared" si="41"/>
        <v>0</v>
      </c>
      <c r="AA240" s="199">
        <f t="shared" si="41"/>
        <v>0</v>
      </c>
      <c r="AB240" s="199">
        <f t="shared" si="41"/>
        <v>0</v>
      </c>
      <c r="AC240" s="387">
        <f t="shared" si="41"/>
        <v>0</v>
      </c>
      <c r="AD240" s="199">
        <f t="shared" si="41"/>
        <v>0</v>
      </c>
      <c r="AE240" s="199">
        <f t="shared" si="41"/>
        <v>0</v>
      </c>
      <c r="AF240" s="200">
        <f t="shared" si="41"/>
        <v>0</v>
      </c>
      <c r="AG240" s="201">
        <f t="shared" si="39"/>
        <v>0</v>
      </c>
    </row>
    <row r="241" spans="1:33" ht="38.25" hidden="1" customHeight="1" x14ac:dyDescent="0.3">
      <c r="A241" s="227" t="s">
        <v>159</v>
      </c>
      <c r="B241" s="189"/>
      <c r="C241" s="189"/>
      <c r="D241" s="189"/>
      <c r="E241" s="189"/>
      <c r="F241" s="189"/>
      <c r="G241" s="189"/>
      <c r="H241" s="189"/>
      <c r="I241" s="189"/>
      <c r="J241" s="189"/>
      <c r="K241" s="189"/>
      <c r="L241" s="189"/>
      <c r="M241" s="189"/>
      <c r="N241" s="189"/>
      <c r="O241" s="189"/>
      <c r="P241" s="189"/>
      <c r="Q241" s="189"/>
      <c r="R241" s="189"/>
      <c r="S241" s="189"/>
      <c r="T241" s="189"/>
      <c r="U241" s="189"/>
      <c r="V241" s="189"/>
      <c r="W241" s="189"/>
      <c r="X241" s="189"/>
      <c r="Y241" s="189"/>
      <c r="Z241" s="189"/>
      <c r="AA241" s="189"/>
      <c r="AB241" s="189"/>
      <c r="AC241" s="388"/>
      <c r="AD241" s="189"/>
      <c r="AE241" s="189"/>
      <c r="AF241" s="196"/>
      <c r="AG241" s="197">
        <f t="shared" si="39"/>
        <v>0</v>
      </c>
    </row>
    <row r="242" spans="1:33" ht="40.5" hidden="1" customHeight="1" x14ac:dyDescent="0.3">
      <c r="A242" s="227" t="s">
        <v>160</v>
      </c>
      <c r="B242" s="189"/>
      <c r="C242" s="189"/>
      <c r="D242" s="189"/>
      <c r="E242" s="189"/>
      <c r="F242" s="189"/>
      <c r="G242" s="189"/>
      <c r="H242" s="189"/>
      <c r="I242" s="189"/>
      <c r="J242" s="189"/>
      <c r="K242" s="189"/>
      <c r="L242" s="189"/>
      <c r="M242" s="189"/>
      <c r="N242" s="189"/>
      <c r="O242" s="189"/>
      <c r="P242" s="189"/>
      <c r="Q242" s="189"/>
      <c r="R242" s="189"/>
      <c r="S242" s="189"/>
      <c r="T242" s="189"/>
      <c r="U242" s="189"/>
      <c r="V242" s="189"/>
      <c r="W242" s="189"/>
      <c r="X242" s="189"/>
      <c r="Y242" s="189"/>
      <c r="Z242" s="189"/>
      <c r="AA242" s="189"/>
      <c r="AB242" s="189"/>
      <c r="AC242" s="388"/>
      <c r="AD242" s="189"/>
      <c r="AE242" s="189"/>
      <c r="AF242" s="196"/>
      <c r="AG242" s="197"/>
    </row>
    <row r="243" spans="1:33" ht="40.5" hidden="1" customHeight="1" x14ac:dyDescent="0.3">
      <c r="A243" s="227" t="s">
        <v>161</v>
      </c>
      <c r="B243" s="189"/>
      <c r="C243" s="189"/>
      <c r="D243" s="189"/>
      <c r="E243" s="189"/>
      <c r="F243" s="189"/>
      <c r="G243" s="189"/>
      <c r="H243" s="189"/>
      <c r="I243" s="189"/>
      <c r="J243" s="189"/>
      <c r="K243" s="189"/>
      <c r="L243" s="189"/>
      <c r="M243" s="189"/>
      <c r="N243" s="189"/>
      <c r="O243" s="189"/>
      <c r="P243" s="189"/>
      <c r="Q243" s="189"/>
      <c r="R243" s="189"/>
      <c r="S243" s="189"/>
      <c r="T243" s="189"/>
      <c r="U243" s="189"/>
      <c r="V243" s="189"/>
      <c r="W243" s="189"/>
      <c r="X243" s="189"/>
      <c r="Y243" s="189"/>
      <c r="Z243" s="189"/>
      <c r="AA243" s="189"/>
      <c r="AB243" s="189"/>
      <c r="AC243" s="388"/>
      <c r="AD243" s="189"/>
      <c r="AE243" s="189"/>
      <c r="AF243" s="196"/>
      <c r="AG243" s="197"/>
    </row>
    <row r="244" spans="1:33" ht="40.5" hidden="1" customHeight="1" x14ac:dyDescent="0.3">
      <c r="A244" s="227" t="s">
        <v>162</v>
      </c>
      <c r="B244" s="189"/>
      <c r="C244" s="189"/>
      <c r="D244" s="189"/>
      <c r="E244" s="189"/>
      <c r="F244" s="189"/>
      <c r="G244" s="189"/>
      <c r="H244" s="189"/>
      <c r="I244" s="189"/>
      <c r="J244" s="189"/>
      <c r="K244" s="189"/>
      <c r="L244" s="189"/>
      <c r="M244" s="189"/>
      <c r="N244" s="189"/>
      <c r="O244" s="189"/>
      <c r="P244" s="189"/>
      <c r="Q244" s="189"/>
      <c r="R244" s="189"/>
      <c r="S244" s="189"/>
      <c r="T244" s="189"/>
      <c r="U244" s="189"/>
      <c r="V244" s="189"/>
      <c r="W244" s="189"/>
      <c r="X244" s="189"/>
      <c r="Y244" s="189"/>
      <c r="Z244" s="189"/>
      <c r="AA244" s="189"/>
      <c r="AB244" s="189"/>
      <c r="AC244" s="388"/>
      <c r="AD244" s="189"/>
      <c r="AE244" s="189"/>
      <c r="AF244" s="196"/>
      <c r="AG244" s="197"/>
    </row>
    <row r="245" spans="1:33" ht="40.5" hidden="1" customHeight="1" x14ac:dyDescent="0.3">
      <c r="A245" s="228" t="s">
        <v>163</v>
      </c>
      <c r="B245" s="137"/>
      <c r="C245" s="137"/>
      <c r="D245" s="137"/>
      <c r="E245" s="137"/>
      <c r="F245" s="137"/>
      <c r="G245" s="137"/>
      <c r="H245" s="137"/>
      <c r="I245" s="137"/>
      <c r="J245" s="137"/>
      <c r="K245" s="137"/>
      <c r="L245" s="137"/>
      <c r="M245" s="137"/>
      <c r="N245" s="137"/>
      <c r="O245" s="137"/>
      <c r="P245" s="137"/>
      <c r="Q245" s="137"/>
      <c r="R245" s="137"/>
      <c r="S245" s="137"/>
      <c r="T245" s="137"/>
      <c r="U245" s="137"/>
      <c r="V245" s="137"/>
      <c r="W245" s="137"/>
      <c r="X245" s="137"/>
      <c r="Y245" s="137"/>
      <c r="Z245" s="137"/>
      <c r="AA245" s="137"/>
      <c r="AB245" s="137"/>
      <c r="AC245" s="389"/>
      <c r="AD245" s="137"/>
      <c r="AE245" s="137"/>
      <c r="AF245" s="188"/>
      <c r="AG245" s="138">
        <f t="shared" si="39"/>
        <v>0</v>
      </c>
    </row>
    <row r="246" spans="1:33" ht="39.75" hidden="1" customHeight="1" thickBot="1" x14ac:dyDescent="0.3">
      <c r="A246" s="229" t="s">
        <v>164</v>
      </c>
      <c r="B246" s="222"/>
      <c r="C246" s="222"/>
      <c r="D246" s="222"/>
      <c r="E246" s="222"/>
      <c r="F246" s="222"/>
      <c r="G246" s="222"/>
      <c r="H246" s="222"/>
      <c r="I246" s="222"/>
      <c r="J246" s="222"/>
      <c r="K246" s="222"/>
      <c r="L246" s="222"/>
      <c r="M246" s="222"/>
      <c r="N246" s="222"/>
      <c r="O246" s="222"/>
      <c r="P246" s="222"/>
      <c r="Q246" s="222"/>
      <c r="R246" s="222"/>
      <c r="S246" s="222"/>
      <c r="T246" s="222"/>
      <c r="U246" s="222"/>
      <c r="V246" s="222"/>
      <c r="W246" s="222"/>
      <c r="X246" s="222"/>
      <c r="Y246" s="222"/>
      <c r="Z246" s="222"/>
      <c r="AA246" s="222"/>
      <c r="AB246" s="222"/>
      <c r="AC246" s="390"/>
      <c r="AD246" s="222"/>
      <c r="AE246" s="222"/>
      <c r="AF246" s="223"/>
      <c r="AG246" s="224">
        <f t="shared" si="39"/>
        <v>0</v>
      </c>
    </row>
    <row r="247" spans="1:33" ht="21.75" x14ac:dyDescent="0.25">
      <c r="A247" s="225" t="s">
        <v>151</v>
      </c>
      <c r="B247" s="363"/>
      <c r="C247" s="363"/>
      <c r="D247" s="363"/>
      <c r="E247" s="363"/>
      <c r="F247" s="363"/>
      <c r="G247" s="363"/>
      <c r="H247" s="363"/>
      <c r="I247" s="363"/>
      <c r="J247" s="363"/>
      <c r="K247" s="363"/>
      <c r="L247" s="363"/>
      <c r="M247" s="363"/>
      <c r="N247" s="363"/>
      <c r="O247" s="363"/>
      <c r="P247" s="363"/>
      <c r="Q247" s="363"/>
      <c r="R247" s="363"/>
      <c r="S247" s="363"/>
      <c r="T247" s="363"/>
      <c r="U247" s="363"/>
      <c r="V247" s="363"/>
      <c r="W247" s="363"/>
      <c r="X247" s="363"/>
      <c r="Y247" s="363"/>
      <c r="Z247" s="363"/>
      <c r="AA247" s="363"/>
      <c r="AB247" s="363"/>
      <c r="AC247" s="391"/>
      <c r="AD247" s="363"/>
      <c r="AE247" s="363"/>
      <c r="AF247" s="367"/>
      <c r="AG247" s="369">
        <f>SUM(B247:AF247)</f>
        <v>0</v>
      </c>
    </row>
    <row r="248" spans="1:33" ht="22.5" thickBot="1" x14ac:dyDescent="0.3">
      <c r="A248" s="226" t="s">
        <v>152</v>
      </c>
      <c r="B248" s="364"/>
      <c r="C248" s="364"/>
      <c r="D248" s="364"/>
      <c r="E248" s="364"/>
      <c r="F248" s="364"/>
      <c r="G248" s="364"/>
      <c r="H248" s="364"/>
      <c r="I248" s="364"/>
      <c r="J248" s="364"/>
      <c r="K248" s="364"/>
      <c r="L248" s="364"/>
      <c r="M248" s="364"/>
      <c r="N248" s="364"/>
      <c r="O248" s="364"/>
      <c r="P248" s="364"/>
      <c r="Q248" s="364"/>
      <c r="R248" s="364"/>
      <c r="S248" s="364"/>
      <c r="T248" s="364"/>
      <c r="U248" s="364"/>
      <c r="V248" s="364"/>
      <c r="W248" s="364"/>
      <c r="X248" s="364"/>
      <c r="Y248" s="364"/>
      <c r="Z248" s="364"/>
      <c r="AA248" s="364"/>
      <c r="AB248" s="364"/>
      <c r="AC248" s="392"/>
      <c r="AD248" s="364"/>
      <c r="AE248" s="364"/>
      <c r="AF248" s="368"/>
      <c r="AG248" s="370">
        <f>SUM(B248:AF248)</f>
        <v>0</v>
      </c>
    </row>
    <row r="268" ht="18.75" customHeight="1" x14ac:dyDescent="0.25"/>
    <row r="269" ht="18.75" customHeight="1" x14ac:dyDescent="0.25"/>
    <row r="270" ht="18.75" customHeight="1" x14ac:dyDescent="0.25"/>
    <row r="271" ht="18.75" customHeight="1" x14ac:dyDescent="0.25"/>
    <row r="272" ht="18.75" customHeight="1" x14ac:dyDescent="0.25"/>
    <row r="273" ht="18.75" customHeight="1" x14ac:dyDescent="0.25"/>
    <row r="274" ht="18.75" customHeight="1" x14ac:dyDescent="0.25"/>
    <row r="275" ht="18.75" customHeight="1" x14ac:dyDescent="0.25"/>
    <row r="276" ht="18.75" customHeight="1" x14ac:dyDescent="0.25"/>
    <row r="277" ht="18.75" customHeight="1" x14ac:dyDescent="0.25"/>
    <row r="278" ht="18.75" customHeight="1" x14ac:dyDescent="0.25"/>
    <row r="279" ht="19.5" customHeight="1" x14ac:dyDescent="0.25"/>
    <row r="281" ht="18.75" customHeight="1" x14ac:dyDescent="0.25"/>
    <row r="284" ht="18.75" customHeight="1" x14ac:dyDescent="0.25"/>
  </sheetData>
  <dataConsolidate/>
  <mergeCells count="5">
    <mergeCell ref="A1:AG1"/>
    <mergeCell ref="AI84:AI86"/>
    <mergeCell ref="AH220:AH231"/>
    <mergeCell ref="AH233:AH235"/>
    <mergeCell ref="AH236:AH239"/>
  </mergeCells>
  <conditionalFormatting sqref="B29:AF52">
    <cfRule type="cellIs" dxfId="92" priority="6" operator="lessThan">
      <formula>0</formula>
    </cfRule>
  </conditionalFormatting>
  <conditionalFormatting sqref="D54:D77">
    <cfRule type="cellIs" dxfId="91" priority="2" operator="lessThan">
      <formula>0</formula>
    </cfRule>
  </conditionalFormatting>
  <conditionalFormatting sqref="G54:G77">
    <cfRule type="cellIs" dxfId="90" priority="1" operator="lessThan">
      <formula>0</formula>
    </cfRule>
  </conditionalFormatting>
  <conditionalFormatting sqref="AH81">
    <cfRule type="cellIs" dxfId="89" priority="4" operator="equal">
      <formula>"*"</formula>
    </cfRule>
  </conditionalFormatting>
  <conditionalFormatting sqref="AH84 AH87">
    <cfRule type="cellIs" dxfId="88" priority="5" operator="equal">
      <formula>"*"</formula>
    </cfRule>
  </conditionalFormatting>
  <conditionalFormatting sqref="AH93">
    <cfRule type="cellIs" dxfId="87" priority="10" operator="equal">
      <formula>"*"</formula>
    </cfRule>
  </conditionalFormatting>
  <conditionalFormatting sqref="AH130">
    <cfRule type="cellIs" dxfId="86" priority="8" operator="equal">
      <formula>"*"</formula>
    </cfRule>
  </conditionalFormatting>
  <conditionalFormatting sqref="AH144:AH145">
    <cfRule type="cellIs" dxfId="85" priority="9" operator="equal">
      <formula>"*"</formula>
    </cfRule>
  </conditionalFormatting>
  <conditionalFormatting sqref="AH179">
    <cfRule type="cellIs" dxfId="84" priority="7" operator="equal">
      <formula>"*"</formula>
    </cfRule>
  </conditionalFormatting>
  <conditionalFormatting sqref="AH206">
    <cfRule type="cellIs" dxfId="83" priority="3" operator="equal">
      <formula>"X"</formula>
    </cfRule>
  </conditionalFormatting>
  <dataValidations disablePrompts="1" count="1">
    <dataValidation type="whole" allowBlank="1" showInputMessage="1" showErrorMessage="1" errorTitle="ERROR" error="Por favor ingrese solo Números" sqref="A98:A99 A101:A115" xr:uid="{00000000-0002-0000-0600-000000000000}">
      <formula1>0</formula1>
      <formula2>1000000000</formula2>
    </dataValidation>
  </dataValidations>
  <pageMargins left="0.7" right="0.7" top="0.75" bottom="0.75" header="0.3" footer="0.3"/>
  <pageSetup orientation="portrait" horizontalDpi="0" verticalDpi="0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I284"/>
  <sheetViews>
    <sheetView zoomScale="80" zoomScaleNormal="80" workbookViewId="0">
      <pane xSplit="1" ySplit="3" topLeftCell="F198" activePane="bottomRight" state="frozen"/>
      <selection activeCell="AG3" sqref="AG3"/>
      <selection pane="topRight" activeCell="AG3" sqref="AG3"/>
      <selection pane="bottomLeft" activeCell="AG3" sqref="AG3"/>
      <selection pane="bottomRight" activeCell="A218" sqref="A218"/>
    </sheetView>
  </sheetViews>
  <sheetFormatPr baseColWidth="10" defaultRowHeight="15" x14ac:dyDescent="0.25"/>
  <cols>
    <col min="1" max="1" width="34.7109375" customWidth="1"/>
    <col min="2" max="13" width="8.28515625" customWidth="1"/>
    <col min="14" max="14" width="10.140625" customWidth="1"/>
    <col min="15" max="27" width="8.28515625" customWidth="1"/>
    <col min="28" max="28" width="9.7109375" customWidth="1"/>
    <col min="29" max="32" width="8.28515625" customWidth="1"/>
    <col min="33" max="33" width="11.140625" customWidth="1"/>
    <col min="34" max="34" width="12.42578125" customWidth="1"/>
  </cols>
  <sheetData>
    <row r="1" spans="1:33" ht="21.75" thickBot="1" x14ac:dyDescent="0.3">
      <c r="A1" s="431"/>
      <c r="B1" s="432"/>
      <c r="C1" s="432"/>
      <c r="D1" s="432"/>
      <c r="E1" s="432"/>
      <c r="F1" s="432"/>
      <c r="G1" s="432"/>
      <c r="H1" s="432"/>
      <c r="I1" s="432"/>
      <c r="J1" s="432"/>
      <c r="K1" s="432"/>
      <c r="L1" s="432"/>
      <c r="M1" s="432"/>
      <c r="N1" s="432"/>
      <c r="O1" s="432"/>
      <c r="P1" s="432"/>
      <c r="Q1" s="432"/>
      <c r="R1" s="432"/>
      <c r="S1" s="432"/>
      <c r="T1" s="432"/>
      <c r="U1" s="432"/>
      <c r="V1" s="432"/>
      <c r="W1" s="432"/>
      <c r="X1" s="432"/>
      <c r="Y1" s="432"/>
      <c r="Z1" s="432"/>
      <c r="AA1" s="432"/>
      <c r="AB1" s="432"/>
      <c r="AC1" s="432"/>
      <c r="AD1" s="432"/>
      <c r="AE1" s="432"/>
      <c r="AF1" s="432"/>
      <c r="AG1" s="433"/>
    </row>
    <row r="2" spans="1:33" ht="21.75" thickBot="1" x14ac:dyDescent="0.3">
      <c r="A2" s="82" t="s">
        <v>157</v>
      </c>
      <c r="B2" s="106">
        <v>1</v>
      </c>
      <c r="C2" s="106">
        <f t="shared" ref="C2:AA2" si="0">+B2+1</f>
        <v>2</v>
      </c>
      <c r="D2" s="106">
        <f t="shared" si="0"/>
        <v>3</v>
      </c>
      <c r="E2" s="230">
        <f t="shared" si="0"/>
        <v>4</v>
      </c>
      <c r="F2" s="230">
        <f t="shared" si="0"/>
        <v>5</v>
      </c>
      <c r="G2" s="230">
        <f t="shared" si="0"/>
        <v>6</v>
      </c>
      <c r="H2" s="230">
        <f t="shared" si="0"/>
        <v>7</v>
      </c>
      <c r="I2" s="230">
        <f t="shared" si="0"/>
        <v>8</v>
      </c>
      <c r="J2" s="106">
        <f t="shared" si="0"/>
        <v>9</v>
      </c>
      <c r="K2" s="106">
        <f t="shared" si="0"/>
        <v>10</v>
      </c>
      <c r="L2" s="230">
        <f t="shared" si="0"/>
        <v>11</v>
      </c>
      <c r="M2" s="230">
        <f t="shared" si="0"/>
        <v>12</v>
      </c>
      <c r="N2" s="230">
        <f t="shared" si="0"/>
        <v>13</v>
      </c>
      <c r="O2" s="230">
        <f t="shared" si="0"/>
        <v>14</v>
      </c>
      <c r="P2" s="230">
        <f t="shared" si="0"/>
        <v>15</v>
      </c>
      <c r="Q2" s="106">
        <f t="shared" si="0"/>
        <v>16</v>
      </c>
      <c r="R2" s="106">
        <f t="shared" si="0"/>
        <v>17</v>
      </c>
      <c r="S2" s="230">
        <f t="shared" si="0"/>
        <v>18</v>
      </c>
      <c r="T2" s="230">
        <f t="shared" si="0"/>
        <v>19</v>
      </c>
      <c r="U2" s="230">
        <f t="shared" si="0"/>
        <v>20</v>
      </c>
      <c r="V2" s="106">
        <f t="shared" si="0"/>
        <v>21</v>
      </c>
      <c r="W2" s="230">
        <f t="shared" si="0"/>
        <v>22</v>
      </c>
      <c r="X2" s="106">
        <f t="shared" si="0"/>
        <v>23</v>
      </c>
      <c r="Y2" s="106">
        <f t="shared" si="0"/>
        <v>24</v>
      </c>
      <c r="Z2" s="230">
        <f t="shared" si="0"/>
        <v>25</v>
      </c>
      <c r="AA2" s="230">
        <f t="shared" si="0"/>
        <v>26</v>
      </c>
      <c r="AB2" s="230">
        <v>27</v>
      </c>
      <c r="AC2" s="230">
        <f>+AB2+1</f>
        <v>28</v>
      </c>
      <c r="AD2" s="230">
        <v>29</v>
      </c>
      <c r="AE2" s="106">
        <v>30</v>
      </c>
      <c r="AF2" s="106">
        <v>31</v>
      </c>
      <c r="AG2" s="3" t="s">
        <v>80</v>
      </c>
    </row>
    <row r="3" spans="1:33" ht="19.5" thickBot="1" x14ac:dyDescent="0.3">
      <c r="A3" s="136" t="s">
        <v>0</v>
      </c>
      <c r="B3" s="135">
        <f t="shared" ref="B3:AF3" si="1">SUM(B4:B27)</f>
        <v>73</v>
      </c>
      <c r="C3" s="135">
        <f t="shared" si="1"/>
        <v>79</v>
      </c>
      <c r="D3" s="135">
        <f t="shared" si="1"/>
        <v>70</v>
      </c>
      <c r="E3" s="135">
        <f t="shared" si="1"/>
        <v>94</v>
      </c>
      <c r="F3" s="135">
        <f t="shared" si="1"/>
        <v>68</v>
      </c>
      <c r="G3" s="135">
        <f t="shared" si="1"/>
        <v>61</v>
      </c>
      <c r="H3" s="135">
        <f t="shared" si="1"/>
        <v>73</v>
      </c>
      <c r="I3" s="135">
        <f t="shared" si="1"/>
        <v>91</v>
      </c>
      <c r="J3" s="135">
        <f t="shared" si="1"/>
        <v>60</v>
      </c>
      <c r="K3" s="135">
        <f t="shared" si="1"/>
        <v>69</v>
      </c>
      <c r="L3" s="135">
        <f t="shared" si="1"/>
        <v>111</v>
      </c>
      <c r="M3" s="135">
        <f t="shared" si="1"/>
        <v>104</v>
      </c>
      <c r="N3" s="135">
        <f t="shared" si="1"/>
        <v>112</v>
      </c>
      <c r="O3" s="135">
        <f t="shared" si="1"/>
        <v>130</v>
      </c>
      <c r="P3" s="135">
        <f t="shared" si="1"/>
        <v>102</v>
      </c>
      <c r="Q3" s="135">
        <f t="shared" si="1"/>
        <v>75</v>
      </c>
      <c r="R3" s="135">
        <f t="shared" si="1"/>
        <v>69</v>
      </c>
      <c r="S3" s="135">
        <f t="shared" si="1"/>
        <v>85</v>
      </c>
      <c r="T3" s="135">
        <f t="shared" si="1"/>
        <v>71</v>
      </c>
      <c r="U3" s="135">
        <f t="shared" si="1"/>
        <v>96</v>
      </c>
      <c r="V3" s="135">
        <f t="shared" si="1"/>
        <v>72</v>
      </c>
      <c r="W3" s="135">
        <f t="shared" si="1"/>
        <v>112</v>
      </c>
      <c r="X3" s="135">
        <f t="shared" si="1"/>
        <v>82</v>
      </c>
      <c r="Y3" s="135">
        <f t="shared" si="1"/>
        <v>86</v>
      </c>
      <c r="Z3" s="135">
        <f t="shared" si="1"/>
        <v>117</v>
      </c>
      <c r="AA3" s="135">
        <f t="shared" si="1"/>
        <v>87</v>
      </c>
      <c r="AB3" s="135">
        <f t="shared" si="1"/>
        <v>92</v>
      </c>
      <c r="AC3" s="135">
        <f t="shared" si="1"/>
        <v>77</v>
      </c>
      <c r="AD3" s="135">
        <f t="shared" si="1"/>
        <v>84</v>
      </c>
      <c r="AE3" s="135">
        <f t="shared" si="1"/>
        <v>84</v>
      </c>
      <c r="AF3" s="135">
        <f t="shared" si="1"/>
        <v>73</v>
      </c>
      <c r="AG3" s="187">
        <f>SUM(B3:AF3)</f>
        <v>2659</v>
      </c>
    </row>
    <row r="4" spans="1:33" ht="18.75" x14ac:dyDescent="0.25">
      <c r="A4" s="113" t="s">
        <v>54</v>
      </c>
      <c r="B4" s="114">
        <v>2</v>
      </c>
      <c r="C4" s="114"/>
      <c r="D4" s="114">
        <v>2</v>
      </c>
      <c r="E4" s="114">
        <v>8</v>
      </c>
      <c r="F4" s="114">
        <v>4</v>
      </c>
      <c r="G4" s="114">
        <v>2</v>
      </c>
      <c r="H4" s="114">
        <v>1</v>
      </c>
      <c r="I4" s="114">
        <v>6</v>
      </c>
      <c r="J4" s="114">
        <v>1</v>
      </c>
      <c r="K4" s="114"/>
      <c r="L4" s="114">
        <v>8</v>
      </c>
      <c r="M4" s="114">
        <v>4</v>
      </c>
      <c r="N4" s="114">
        <v>8</v>
      </c>
      <c r="O4" s="114">
        <v>3</v>
      </c>
      <c r="P4" s="114">
        <v>2</v>
      </c>
      <c r="Q4" s="114">
        <v>4</v>
      </c>
      <c r="R4" s="114">
        <v>1</v>
      </c>
      <c r="S4" s="114">
        <v>2</v>
      </c>
      <c r="T4" s="114">
        <v>2</v>
      </c>
      <c r="U4" s="114">
        <v>6</v>
      </c>
      <c r="V4" s="114">
        <v>2</v>
      </c>
      <c r="W4" s="114">
        <v>4</v>
      </c>
      <c r="X4" s="114">
        <v>2</v>
      </c>
      <c r="Y4" s="114">
        <v>1</v>
      </c>
      <c r="Z4" s="114">
        <v>12</v>
      </c>
      <c r="AA4" s="114">
        <v>5</v>
      </c>
      <c r="AB4" s="114">
        <v>3</v>
      </c>
      <c r="AC4" s="114">
        <v>5</v>
      </c>
      <c r="AD4" s="114">
        <v>4</v>
      </c>
      <c r="AE4" s="114">
        <v>2</v>
      </c>
      <c r="AF4" s="115">
        <v>3</v>
      </c>
      <c r="AG4" s="132">
        <f t="shared" ref="AG4:AG83" si="2">SUM(B4:AF4)</f>
        <v>109</v>
      </c>
    </row>
    <row r="5" spans="1:33" ht="18.75" x14ac:dyDescent="0.25">
      <c r="A5" s="41" t="s">
        <v>55</v>
      </c>
      <c r="B5" s="7">
        <v>5</v>
      </c>
      <c r="C5" s="7">
        <v>2</v>
      </c>
      <c r="D5" s="7">
        <v>1</v>
      </c>
      <c r="E5" s="7">
        <v>9</v>
      </c>
      <c r="F5" s="7">
        <v>3</v>
      </c>
      <c r="G5" s="7">
        <v>2</v>
      </c>
      <c r="H5" s="7">
        <v>2</v>
      </c>
      <c r="I5" s="7">
        <v>2</v>
      </c>
      <c r="J5" s="7">
        <v>2</v>
      </c>
      <c r="K5" s="7">
        <v>3</v>
      </c>
      <c r="L5" s="7">
        <v>3</v>
      </c>
      <c r="M5" s="7">
        <v>6</v>
      </c>
      <c r="N5" s="7">
        <v>7</v>
      </c>
      <c r="O5" s="7">
        <v>6</v>
      </c>
      <c r="P5" s="7">
        <v>7</v>
      </c>
      <c r="Q5" s="7">
        <v>7</v>
      </c>
      <c r="R5" s="7">
        <v>5</v>
      </c>
      <c r="S5" s="7">
        <v>4</v>
      </c>
      <c r="T5" s="7">
        <v>4</v>
      </c>
      <c r="U5" s="7">
        <v>4</v>
      </c>
      <c r="V5" s="7">
        <v>4</v>
      </c>
      <c r="W5" s="7">
        <v>2</v>
      </c>
      <c r="X5" s="7">
        <v>3</v>
      </c>
      <c r="Y5" s="7">
        <v>7</v>
      </c>
      <c r="Z5" s="7">
        <v>6</v>
      </c>
      <c r="AA5" s="7">
        <v>6</v>
      </c>
      <c r="AB5" s="7">
        <v>8</v>
      </c>
      <c r="AC5" s="7">
        <v>6</v>
      </c>
      <c r="AD5" s="7">
        <v>10</v>
      </c>
      <c r="AE5" s="7">
        <v>2</v>
      </c>
      <c r="AF5" s="8">
        <v>3</v>
      </c>
      <c r="AG5" s="4">
        <f t="shared" si="2"/>
        <v>141</v>
      </c>
    </row>
    <row r="6" spans="1:33" ht="18.75" x14ac:dyDescent="0.25">
      <c r="A6" s="41" t="s">
        <v>56</v>
      </c>
      <c r="B6" s="7">
        <v>5</v>
      </c>
      <c r="C6" s="7">
        <v>5</v>
      </c>
      <c r="D6" s="7">
        <v>1</v>
      </c>
      <c r="E6" s="7">
        <v>5</v>
      </c>
      <c r="F6" s="7">
        <v>3</v>
      </c>
      <c r="G6" s="7">
        <v>2</v>
      </c>
      <c r="H6" s="7">
        <v>2</v>
      </c>
      <c r="I6" s="7">
        <v>2</v>
      </c>
      <c r="J6" s="7">
        <v>4</v>
      </c>
      <c r="K6" s="7">
        <v>3</v>
      </c>
      <c r="L6" s="7">
        <v>10</v>
      </c>
      <c r="M6" s="7">
        <v>3</v>
      </c>
      <c r="N6" s="7">
        <v>4</v>
      </c>
      <c r="O6" s="7">
        <v>10</v>
      </c>
      <c r="P6" s="7">
        <v>8</v>
      </c>
      <c r="Q6" s="7">
        <v>6</v>
      </c>
      <c r="R6" s="7"/>
      <c r="S6" s="7">
        <v>3</v>
      </c>
      <c r="T6" s="7">
        <v>1</v>
      </c>
      <c r="U6" s="7">
        <v>7</v>
      </c>
      <c r="V6" s="7">
        <v>3</v>
      </c>
      <c r="W6" s="7">
        <v>9</v>
      </c>
      <c r="X6" s="7">
        <v>5</v>
      </c>
      <c r="Y6" s="7">
        <v>3</v>
      </c>
      <c r="Z6" s="7">
        <v>5</v>
      </c>
      <c r="AA6" s="7">
        <v>6</v>
      </c>
      <c r="AB6" s="7">
        <v>6</v>
      </c>
      <c r="AC6" s="7">
        <v>5</v>
      </c>
      <c r="AD6" s="7">
        <v>5</v>
      </c>
      <c r="AE6" s="7">
        <v>4</v>
      </c>
      <c r="AF6" s="8">
        <v>7</v>
      </c>
      <c r="AG6" s="4">
        <f t="shared" si="2"/>
        <v>142</v>
      </c>
    </row>
    <row r="7" spans="1:33" ht="18.75" x14ac:dyDescent="0.25">
      <c r="A7" s="41" t="s">
        <v>38</v>
      </c>
      <c r="B7" s="7">
        <v>8</v>
      </c>
      <c r="C7" s="7">
        <v>7</v>
      </c>
      <c r="D7" s="7">
        <v>5</v>
      </c>
      <c r="E7" s="7">
        <v>8</v>
      </c>
      <c r="F7" s="7">
        <v>4</v>
      </c>
      <c r="G7" s="7">
        <v>4</v>
      </c>
      <c r="H7" s="7">
        <v>5</v>
      </c>
      <c r="I7" s="7">
        <v>3</v>
      </c>
      <c r="J7" s="7">
        <v>3</v>
      </c>
      <c r="K7" s="7">
        <v>3</v>
      </c>
      <c r="L7" s="7">
        <v>10</v>
      </c>
      <c r="M7" s="7">
        <v>9</v>
      </c>
      <c r="N7" s="7">
        <v>3</v>
      </c>
      <c r="O7" s="7">
        <v>12</v>
      </c>
      <c r="P7" s="7">
        <v>6</v>
      </c>
      <c r="Q7" s="7">
        <v>1</v>
      </c>
      <c r="R7" s="7">
        <v>5</v>
      </c>
      <c r="S7" s="7">
        <v>3</v>
      </c>
      <c r="T7" s="7">
        <v>6</v>
      </c>
      <c r="U7" s="7">
        <v>4</v>
      </c>
      <c r="V7" s="7">
        <v>1</v>
      </c>
      <c r="W7" s="7">
        <v>5</v>
      </c>
      <c r="X7" s="7">
        <v>7</v>
      </c>
      <c r="Y7" s="7">
        <v>6</v>
      </c>
      <c r="Z7" s="7">
        <v>14</v>
      </c>
      <c r="AA7" s="7">
        <v>8</v>
      </c>
      <c r="AB7" s="7">
        <v>5</v>
      </c>
      <c r="AC7" s="7">
        <v>6</v>
      </c>
      <c r="AD7" s="7">
        <v>7</v>
      </c>
      <c r="AE7" s="7">
        <v>7</v>
      </c>
      <c r="AF7" s="8">
        <v>1</v>
      </c>
      <c r="AG7" s="4">
        <f t="shared" si="2"/>
        <v>176</v>
      </c>
    </row>
    <row r="8" spans="1:33" ht="18.75" x14ac:dyDescent="0.25">
      <c r="A8" s="41" t="s">
        <v>39</v>
      </c>
      <c r="B8" s="7">
        <v>4</v>
      </c>
      <c r="C8" s="7">
        <v>7</v>
      </c>
      <c r="D8" s="7">
        <v>3</v>
      </c>
      <c r="E8" s="7">
        <v>7</v>
      </c>
      <c r="F8" s="7">
        <v>6</v>
      </c>
      <c r="G8" s="7">
        <v>5</v>
      </c>
      <c r="H8" s="7">
        <v>6</v>
      </c>
      <c r="I8" s="7">
        <v>5</v>
      </c>
      <c r="J8" s="7">
        <v>3</v>
      </c>
      <c r="K8" s="7">
        <v>6</v>
      </c>
      <c r="L8" s="7">
        <v>8</v>
      </c>
      <c r="M8" s="7">
        <v>3</v>
      </c>
      <c r="N8" s="7">
        <v>12</v>
      </c>
      <c r="O8" s="7">
        <v>18</v>
      </c>
      <c r="P8" s="7">
        <v>6</v>
      </c>
      <c r="Q8" s="7">
        <v>5</v>
      </c>
      <c r="R8" s="7">
        <v>4</v>
      </c>
      <c r="S8" s="7">
        <v>8</v>
      </c>
      <c r="T8" s="7">
        <v>4</v>
      </c>
      <c r="U8" s="7">
        <v>9</v>
      </c>
      <c r="V8" s="7">
        <v>6</v>
      </c>
      <c r="W8" s="7">
        <v>11</v>
      </c>
      <c r="X8" s="7">
        <v>5</v>
      </c>
      <c r="Y8" s="7">
        <v>8</v>
      </c>
      <c r="Z8" s="7">
        <v>6</v>
      </c>
      <c r="AA8" s="7">
        <v>7</v>
      </c>
      <c r="AB8" s="7">
        <v>12</v>
      </c>
      <c r="AC8" s="7">
        <v>6</v>
      </c>
      <c r="AD8" s="7">
        <v>10</v>
      </c>
      <c r="AE8" s="7">
        <v>8</v>
      </c>
      <c r="AF8" s="8">
        <v>7</v>
      </c>
      <c r="AG8" s="4">
        <f t="shared" si="2"/>
        <v>215</v>
      </c>
    </row>
    <row r="9" spans="1:33" ht="18.75" x14ac:dyDescent="0.25">
      <c r="A9" s="41" t="s">
        <v>40</v>
      </c>
      <c r="B9" s="7">
        <v>1</v>
      </c>
      <c r="C9" s="7">
        <v>5</v>
      </c>
      <c r="D9" s="7">
        <v>6</v>
      </c>
      <c r="E9" s="7">
        <v>3</v>
      </c>
      <c r="F9" s="7">
        <v>3</v>
      </c>
      <c r="G9" s="7">
        <v>2</v>
      </c>
      <c r="H9" s="7">
        <v>1</v>
      </c>
      <c r="I9" s="7">
        <v>1</v>
      </c>
      <c r="J9" s="7">
        <v>2</v>
      </c>
      <c r="K9" s="7">
        <v>4</v>
      </c>
      <c r="L9" s="7">
        <v>4</v>
      </c>
      <c r="M9" s="7">
        <v>5</v>
      </c>
      <c r="N9" s="7">
        <v>4</v>
      </c>
      <c r="O9" s="7">
        <v>7</v>
      </c>
      <c r="P9" s="7">
        <v>5</v>
      </c>
      <c r="Q9" s="7">
        <v>4</v>
      </c>
      <c r="R9" s="7">
        <v>5</v>
      </c>
      <c r="S9" s="7">
        <v>2</v>
      </c>
      <c r="T9" s="7">
        <v>2</v>
      </c>
      <c r="U9" s="7">
        <v>7</v>
      </c>
      <c r="V9" s="7">
        <v>9</v>
      </c>
      <c r="W9" s="7">
        <v>6</v>
      </c>
      <c r="X9" s="7">
        <v>3</v>
      </c>
      <c r="Y9" s="7">
        <v>3</v>
      </c>
      <c r="Z9" s="7">
        <v>9</v>
      </c>
      <c r="AA9" s="7">
        <v>6</v>
      </c>
      <c r="AB9" s="7">
        <v>5</v>
      </c>
      <c r="AC9" s="7">
        <v>2</v>
      </c>
      <c r="AD9" s="7">
        <v>1</v>
      </c>
      <c r="AE9" s="7">
        <v>1</v>
      </c>
      <c r="AF9" s="8">
        <v>6</v>
      </c>
      <c r="AG9" s="4">
        <f t="shared" si="2"/>
        <v>124</v>
      </c>
    </row>
    <row r="10" spans="1:33" ht="18.75" x14ac:dyDescent="0.25">
      <c r="A10" s="41" t="s">
        <v>41</v>
      </c>
      <c r="B10" s="7">
        <v>6</v>
      </c>
      <c r="C10" s="7">
        <v>3</v>
      </c>
      <c r="D10" s="7">
        <v>3</v>
      </c>
      <c r="E10" s="7">
        <v>3</v>
      </c>
      <c r="F10" s="7">
        <v>1</v>
      </c>
      <c r="G10" s="7">
        <v>1</v>
      </c>
      <c r="H10" s="7"/>
      <c r="I10" s="7">
        <v>3</v>
      </c>
      <c r="J10" s="7">
        <v>4</v>
      </c>
      <c r="K10" s="7">
        <v>5</v>
      </c>
      <c r="L10" s="7">
        <v>3</v>
      </c>
      <c r="M10" s="7">
        <v>8</v>
      </c>
      <c r="N10" s="7">
        <v>5</v>
      </c>
      <c r="O10" s="7">
        <v>6</v>
      </c>
      <c r="P10" s="7">
        <v>3</v>
      </c>
      <c r="Q10" s="7">
        <v>4</v>
      </c>
      <c r="R10" s="7">
        <v>5</v>
      </c>
      <c r="S10" s="7">
        <v>6</v>
      </c>
      <c r="T10" s="7">
        <v>6</v>
      </c>
      <c r="U10" s="7">
        <v>2</v>
      </c>
      <c r="V10" s="7">
        <v>5</v>
      </c>
      <c r="W10" s="7">
        <v>2</v>
      </c>
      <c r="X10" s="7">
        <v>4</v>
      </c>
      <c r="Y10" s="7">
        <v>9</v>
      </c>
      <c r="Z10" s="7">
        <v>10</v>
      </c>
      <c r="AA10" s="7">
        <v>7</v>
      </c>
      <c r="AB10" s="7">
        <v>3</v>
      </c>
      <c r="AC10" s="7">
        <v>7</v>
      </c>
      <c r="AD10" s="7">
        <v>2</v>
      </c>
      <c r="AE10" s="7">
        <v>9</v>
      </c>
      <c r="AF10" s="8">
        <v>9</v>
      </c>
      <c r="AG10" s="4">
        <f t="shared" si="2"/>
        <v>144</v>
      </c>
    </row>
    <row r="11" spans="1:33" ht="18.75" x14ac:dyDescent="0.25">
      <c r="A11" s="41" t="s">
        <v>42</v>
      </c>
      <c r="B11" s="7">
        <v>5</v>
      </c>
      <c r="C11" s="7">
        <v>10</v>
      </c>
      <c r="D11" s="7">
        <v>4</v>
      </c>
      <c r="E11" s="7">
        <v>5</v>
      </c>
      <c r="F11" s="7">
        <v>5</v>
      </c>
      <c r="G11" s="7">
        <v>3</v>
      </c>
      <c r="H11" s="7">
        <v>5</v>
      </c>
      <c r="I11" s="7">
        <v>11</v>
      </c>
      <c r="J11" s="7">
        <v>4</v>
      </c>
      <c r="K11" s="7">
        <v>2</v>
      </c>
      <c r="L11" s="7">
        <v>3</v>
      </c>
      <c r="M11" s="7">
        <v>7</v>
      </c>
      <c r="N11" s="7">
        <v>13</v>
      </c>
      <c r="O11" s="7">
        <v>16</v>
      </c>
      <c r="P11" s="7">
        <v>5</v>
      </c>
      <c r="Q11" s="7">
        <v>7</v>
      </c>
      <c r="R11" s="7">
        <v>8</v>
      </c>
      <c r="S11" s="7">
        <v>7</v>
      </c>
      <c r="T11" s="7">
        <v>3</v>
      </c>
      <c r="U11" s="7">
        <v>2</v>
      </c>
      <c r="V11" s="7">
        <v>5</v>
      </c>
      <c r="W11" s="7">
        <v>4</v>
      </c>
      <c r="X11" s="7">
        <v>7</v>
      </c>
      <c r="Y11" s="7">
        <v>10</v>
      </c>
      <c r="Z11" s="7">
        <v>6</v>
      </c>
      <c r="AA11" s="7">
        <v>6</v>
      </c>
      <c r="AB11" s="7">
        <v>5</v>
      </c>
      <c r="AC11" s="7">
        <v>5</v>
      </c>
      <c r="AD11" s="7">
        <v>6</v>
      </c>
      <c r="AE11" s="7">
        <v>8</v>
      </c>
      <c r="AF11" s="8">
        <v>4</v>
      </c>
      <c r="AG11" s="4">
        <f t="shared" si="2"/>
        <v>191</v>
      </c>
    </row>
    <row r="12" spans="1:33" ht="18.75" x14ac:dyDescent="0.25">
      <c r="A12" s="41" t="s">
        <v>43</v>
      </c>
      <c r="B12" s="7">
        <v>3</v>
      </c>
      <c r="C12" s="7">
        <v>8</v>
      </c>
      <c r="D12" s="7">
        <v>4</v>
      </c>
      <c r="E12" s="7">
        <v>2</v>
      </c>
      <c r="F12" s="7">
        <v>5</v>
      </c>
      <c r="G12" s="7">
        <v>5</v>
      </c>
      <c r="H12" s="7">
        <v>9</v>
      </c>
      <c r="I12" s="7">
        <v>7</v>
      </c>
      <c r="J12" s="7">
        <v>2</v>
      </c>
      <c r="K12" s="7">
        <v>4</v>
      </c>
      <c r="L12" s="7">
        <v>13</v>
      </c>
      <c r="M12" s="7">
        <v>15</v>
      </c>
      <c r="N12" s="7">
        <v>8</v>
      </c>
      <c r="O12" s="7">
        <v>14</v>
      </c>
      <c r="P12" s="7">
        <v>17</v>
      </c>
      <c r="Q12" s="7">
        <v>6</v>
      </c>
      <c r="R12" s="7">
        <v>6</v>
      </c>
      <c r="S12" s="7">
        <v>7</v>
      </c>
      <c r="T12" s="7">
        <v>10</v>
      </c>
      <c r="U12" s="7">
        <v>7</v>
      </c>
      <c r="V12" s="7">
        <v>9</v>
      </c>
      <c r="W12" s="7">
        <v>8</v>
      </c>
      <c r="X12" s="7">
        <v>9</v>
      </c>
      <c r="Y12" s="7">
        <v>8</v>
      </c>
      <c r="Z12" s="7">
        <v>6</v>
      </c>
      <c r="AA12" s="7">
        <v>6</v>
      </c>
      <c r="AB12" s="7">
        <v>8</v>
      </c>
      <c r="AC12" s="7">
        <v>3</v>
      </c>
      <c r="AD12" s="7">
        <v>5</v>
      </c>
      <c r="AE12" s="7">
        <v>5</v>
      </c>
      <c r="AF12" s="8">
        <v>5</v>
      </c>
      <c r="AG12" s="4">
        <f t="shared" si="2"/>
        <v>224</v>
      </c>
    </row>
    <row r="13" spans="1:33" ht="18.75" x14ac:dyDescent="0.25">
      <c r="A13" s="41" t="s">
        <v>44</v>
      </c>
      <c r="B13" s="7">
        <v>8</v>
      </c>
      <c r="C13" s="7">
        <v>6</v>
      </c>
      <c r="D13" s="7">
        <v>7</v>
      </c>
      <c r="E13" s="7">
        <v>16</v>
      </c>
      <c r="F13" s="7">
        <v>7</v>
      </c>
      <c r="G13" s="7">
        <v>9</v>
      </c>
      <c r="H13" s="7">
        <v>12</v>
      </c>
      <c r="I13" s="7">
        <v>13</v>
      </c>
      <c r="J13" s="7">
        <v>7</v>
      </c>
      <c r="K13" s="7">
        <v>6</v>
      </c>
      <c r="L13" s="7">
        <v>12</v>
      </c>
      <c r="M13" s="7">
        <v>10</v>
      </c>
      <c r="N13" s="7">
        <v>7</v>
      </c>
      <c r="O13" s="7">
        <v>10</v>
      </c>
      <c r="P13" s="7">
        <v>14</v>
      </c>
      <c r="Q13" s="7">
        <v>5</v>
      </c>
      <c r="R13" s="7">
        <v>5</v>
      </c>
      <c r="S13" s="7">
        <v>12</v>
      </c>
      <c r="T13" s="7">
        <v>10</v>
      </c>
      <c r="U13" s="7">
        <v>10</v>
      </c>
      <c r="V13" s="7">
        <v>5</v>
      </c>
      <c r="W13" s="7">
        <v>14</v>
      </c>
      <c r="X13" s="7">
        <v>11</v>
      </c>
      <c r="Y13" s="7">
        <v>8</v>
      </c>
      <c r="Z13" s="7">
        <v>11</v>
      </c>
      <c r="AA13" s="7">
        <v>3</v>
      </c>
      <c r="AB13" s="7">
        <v>7</v>
      </c>
      <c r="AC13" s="7">
        <v>5</v>
      </c>
      <c r="AD13" s="7">
        <v>2</v>
      </c>
      <c r="AE13" s="7">
        <v>7</v>
      </c>
      <c r="AF13" s="8">
        <v>8</v>
      </c>
      <c r="AG13" s="4">
        <f t="shared" si="2"/>
        <v>267</v>
      </c>
    </row>
    <row r="14" spans="1:33" ht="18.75" x14ac:dyDescent="0.25">
      <c r="A14" s="41" t="s">
        <v>45</v>
      </c>
      <c r="B14" s="7">
        <v>6</v>
      </c>
      <c r="C14" s="7">
        <v>7</v>
      </c>
      <c r="D14" s="7">
        <v>3</v>
      </c>
      <c r="E14" s="7">
        <v>3</v>
      </c>
      <c r="F14" s="7">
        <v>5</v>
      </c>
      <c r="G14" s="7">
        <v>3</v>
      </c>
      <c r="H14" s="7">
        <v>5</v>
      </c>
      <c r="I14" s="7">
        <v>7</v>
      </c>
      <c r="J14" s="7">
        <v>6</v>
      </c>
      <c r="K14" s="7">
        <v>5</v>
      </c>
      <c r="L14" s="7">
        <v>10</v>
      </c>
      <c r="M14" s="7">
        <v>5</v>
      </c>
      <c r="N14" s="7">
        <v>12</v>
      </c>
      <c r="O14" s="7">
        <v>7</v>
      </c>
      <c r="P14" s="7">
        <v>8</v>
      </c>
      <c r="Q14" s="7">
        <v>4</v>
      </c>
      <c r="R14" s="7">
        <v>5</v>
      </c>
      <c r="S14" s="7">
        <v>8</v>
      </c>
      <c r="T14" s="7">
        <v>3</v>
      </c>
      <c r="U14" s="7">
        <v>6</v>
      </c>
      <c r="V14" s="7">
        <v>5</v>
      </c>
      <c r="W14" s="7">
        <v>7</v>
      </c>
      <c r="X14" s="7">
        <v>8</v>
      </c>
      <c r="Y14" s="7">
        <v>6</v>
      </c>
      <c r="Z14" s="7">
        <v>8</v>
      </c>
      <c r="AA14" s="7">
        <v>9</v>
      </c>
      <c r="AB14" s="7">
        <v>5</v>
      </c>
      <c r="AC14" s="7">
        <v>6</v>
      </c>
      <c r="AD14" s="7">
        <v>10</v>
      </c>
      <c r="AE14" s="7">
        <v>6</v>
      </c>
      <c r="AF14" s="8">
        <v>4</v>
      </c>
      <c r="AG14" s="4">
        <f t="shared" si="2"/>
        <v>192</v>
      </c>
    </row>
    <row r="15" spans="1:33" ht="18.75" x14ac:dyDescent="0.25">
      <c r="A15" s="41" t="s">
        <v>46</v>
      </c>
      <c r="B15" s="7">
        <v>4</v>
      </c>
      <c r="C15" s="7">
        <v>1</v>
      </c>
      <c r="D15" s="7">
        <v>5</v>
      </c>
      <c r="E15" s="7">
        <v>4</v>
      </c>
      <c r="F15" s="7">
        <v>5</v>
      </c>
      <c r="G15" s="7">
        <v>7</v>
      </c>
      <c r="H15" s="7">
        <v>6</v>
      </c>
      <c r="I15" s="7">
        <v>7</v>
      </c>
      <c r="J15" s="7">
        <v>3</v>
      </c>
      <c r="K15" s="7">
        <v>6</v>
      </c>
      <c r="L15" s="7">
        <v>8</v>
      </c>
      <c r="M15" s="7">
        <v>4</v>
      </c>
      <c r="N15" s="7">
        <v>8</v>
      </c>
      <c r="O15" s="7">
        <v>7</v>
      </c>
      <c r="P15" s="7">
        <v>5</v>
      </c>
      <c r="Q15" s="7">
        <v>4</v>
      </c>
      <c r="R15" s="7">
        <v>9</v>
      </c>
      <c r="S15" s="7">
        <v>7</v>
      </c>
      <c r="T15" s="7">
        <v>4</v>
      </c>
      <c r="U15" s="7">
        <v>7</v>
      </c>
      <c r="V15" s="7">
        <v>4</v>
      </c>
      <c r="W15" s="7">
        <v>12</v>
      </c>
      <c r="X15" s="7">
        <v>4</v>
      </c>
      <c r="Y15" s="7">
        <v>1</v>
      </c>
      <c r="Z15" s="7">
        <v>11</v>
      </c>
      <c r="AA15" s="7">
        <v>6</v>
      </c>
      <c r="AB15" s="7">
        <v>5</v>
      </c>
      <c r="AC15" s="7">
        <v>3</v>
      </c>
      <c r="AD15" s="7">
        <v>6</v>
      </c>
      <c r="AE15" s="7">
        <v>5</v>
      </c>
      <c r="AF15" s="8"/>
      <c r="AG15" s="4">
        <f t="shared" si="2"/>
        <v>168</v>
      </c>
    </row>
    <row r="16" spans="1:33" ht="18.75" x14ac:dyDescent="0.25">
      <c r="A16" s="41" t="s">
        <v>47</v>
      </c>
      <c r="B16" s="7">
        <v>4</v>
      </c>
      <c r="C16" s="7">
        <v>2</v>
      </c>
      <c r="D16" s="7">
        <v>8</v>
      </c>
      <c r="E16" s="7">
        <v>6</v>
      </c>
      <c r="F16" s="7">
        <v>3</v>
      </c>
      <c r="G16" s="7">
        <v>5</v>
      </c>
      <c r="H16" s="7">
        <v>4</v>
      </c>
      <c r="I16" s="7">
        <v>4</v>
      </c>
      <c r="J16" s="7">
        <v>2</v>
      </c>
      <c r="K16" s="7"/>
      <c r="L16" s="7">
        <v>1</v>
      </c>
      <c r="M16" s="7">
        <v>6</v>
      </c>
      <c r="N16" s="7">
        <v>6</v>
      </c>
      <c r="O16" s="7">
        <v>2</v>
      </c>
      <c r="P16" s="7">
        <v>2</v>
      </c>
      <c r="Q16" s="7">
        <v>3</v>
      </c>
      <c r="R16" s="7">
        <v>6</v>
      </c>
      <c r="S16" s="7">
        <v>5</v>
      </c>
      <c r="T16" s="7">
        <v>2</v>
      </c>
      <c r="U16" s="7">
        <v>4</v>
      </c>
      <c r="V16" s="7">
        <v>3</v>
      </c>
      <c r="W16" s="7">
        <v>6</v>
      </c>
      <c r="X16" s="7">
        <v>4</v>
      </c>
      <c r="Y16" s="7">
        <v>6</v>
      </c>
      <c r="Z16" s="7">
        <v>4</v>
      </c>
      <c r="AA16" s="7">
        <v>3</v>
      </c>
      <c r="AB16" s="7">
        <v>6</v>
      </c>
      <c r="AC16" s="7">
        <v>6</v>
      </c>
      <c r="AD16" s="7">
        <v>1</v>
      </c>
      <c r="AE16" s="7">
        <v>3</v>
      </c>
      <c r="AF16" s="8">
        <v>2</v>
      </c>
      <c r="AG16" s="4">
        <f t="shared" si="2"/>
        <v>119</v>
      </c>
    </row>
    <row r="17" spans="1:33" ht="18.75" x14ac:dyDescent="0.25">
      <c r="A17" s="41" t="s">
        <v>48</v>
      </c>
      <c r="B17" s="7">
        <v>3</v>
      </c>
      <c r="C17" s="7">
        <v>2</v>
      </c>
      <c r="D17" s="7">
        <v>4</v>
      </c>
      <c r="E17" s="7">
        <v>5</v>
      </c>
      <c r="F17" s="7">
        <v>4</v>
      </c>
      <c r="G17" s="7">
        <v>2</v>
      </c>
      <c r="H17" s="7">
        <v>2</v>
      </c>
      <c r="I17" s="7">
        <v>3</v>
      </c>
      <c r="J17" s="7">
        <v>3</v>
      </c>
      <c r="K17" s="7">
        <v>8</v>
      </c>
      <c r="L17" s="7">
        <v>6</v>
      </c>
      <c r="M17" s="7">
        <v>6</v>
      </c>
      <c r="N17" s="7">
        <v>2</v>
      </c>
      <c r="O17" s="7">
        <v>3</v>
      </c>
      <c r="P17" s="7">
        <v>2</v>
      </c>
      <c r="Q17" s="7">
        <v>6</v>
      </c>
      <c r="R17" s="7">
        <v>2</v>
      </c>
      <c r="S17" s="7">
        <v>1</v>
      </c>
      <c r="T17" s="7">
        <v>3</v>
      </c>
      <c r="U17" s="7">
        <v>7</v>
      </c>
      <c r="V17" s="7">
        <v>3</v>
      </c>
      <c r="W17" s="7">
        <v>6</v>
      </c>
      <c r="X17" s="7">
        <v>2</v>
      </c>
      <c r="Y17" s="7">
        <v>2</v>
      </c>
      <c r="Z17" s="7">
        <v>1</v>
      </c>
      <c r="AA17" s="7">
        <v>2</v>
      </c>
      <c r="AB17" s="7">
        <v>2</v>
      </c>
      <c r="AC17" s="7">
        <v>3</v>
      </c>
      <c r="AD17" s="7">
        <v>2</v>
      </c>
      <c r="AE17" s="7">
        <v>1</v>
      </c>
      <c r="AF17" s="8">
        <v>1</v>
      </c>
      <c r="AG17" s="4">
        <f t="shared" si="2"/>
        <v>99</v>
      </c>
    </row>
    <row r="18" spans="1:33" ht="18.75" x14ac:dyDescent="0.25">
      <c r="A18" s="41" t="s">
        <v>49</v>
      </c>
      <c r="B18" s="7">
        <v>1</v>
      </c>
      <c r="C18" s="7">
        <v>4</v>
      </c>
      <c r="D18" s="7">
        <v>2</v>
      </c>
      <c r="E18" s="7">
        <v>1</v>
      </c>
      <c r="F18" s="7">
        <v>2</v>
      </c>
      <c r="G18" s="7">
        <v>3</v>
      </c>
      <c r="H18" s="7">
        <v>3</v>
      </c>
      <c r="I18" s="7">
        <v>4</v>
      </c>
      <c r="J18" s="7">
        <v>1</v>
      </c>
      <c r="K18" s="7">
        <v>5</v>
      </c>
      <c r="L18" s="7">
        <v>3</v>
      </c>
      <c r="M18" s="7">
        <v>2</v>
      </c>
      <c r="N18" s="7">
        <v>1</v>
      </c>
      <c r="O18" s="7">
        <v>2</v>
      </c>
      <c r="P18" s="7"/>
      <c r="Q18" s="7">
        <v>3</v>
      </c>
      <c r="R18" s="7">
        <v>2</v>
      </c>
      <c r="S18" s="7">
        <v>3</v>
      </c>
      <c r="T18" s="7"/>
      <c r="U18" s="7">
        <v>5</v>
      </c>
      <c r="V18" s="7">
        <v>1</v>
      </c>
      <c r="W18" s="7">
        <v>4</v>
      </c>
      <c r="X18" s="7">
        <v>1</v>
      </c>
      <c r="Y18" s="7"/>
      <c r="Z18" s="7">
        <v>1</v>
      </c>
      <c r="AA18" s="7">
        <v>2</v>
      </c>
      <c r="AB18" s="7">
        <v>2</v>
      </c>
      <c r="AC18" s="7">
        <v>3</v>
      </c>
      <c r="AD18" s="7"/>
      <c r="AE18" s="7">
        <v>3</v>
      </c>
      <c r="AF18" s="8">
        <v>2</v>
      </c>
      <c r="AG18" s="4">
        <f t="shared" si="2"/>
        <v>66</v>
      </c>
    </row>
    <row r="19" spans="1:33" ht="18.75" x14ac:dyDescent="0.25">
      <c r="A19" s="41" t="s">
        <v>50</v>
      </c>
      <c r="B19" s="7">
        <v>2</v>
      </c>
      <c r="C19" s="7">
        <v>4</v>
      </c>
      <c r="D19" s="7"/>
      <c r="E19" s="7">
        <v>4</v>
      </c>
      <c r="F19" s="7"/>
      <c r="G19" s="7">
        <v>3</v>
      </c>
      <c r="H19" s="7">
        <v>4</v>
      </c>
      <c r="I19" s="7">
        <v>3</v>
      </c>
      <c r="J19" s="7"/>
      <c r="K19" s="7">
        <v>5</v>
      </c>
      <c r="L19" s="7">
        <v>1</v>
      </c>
      <c r="M19" s="7">
        <v>3</v>
      </c>
      <c r="N19" s="7">
        <v>2</v>
      </c>
      <c r="O19" s="7">
        <v>1</v>
      </c>
      <c r="P19" s="7">
        <v>4</v>
      </c>
      <c r="Q19" s="7">
        <v>1</v>
      </c>
      <c r="R19" s="7">
        <v>1</v>
      </c>
      <c r="S19" s="7">
        <v>2</v>
      </c>
      <c r="T19" s="7">
        <v>2</v>
      </c>
      <c r="U19" s="7">
        <v>2</v>
      </c>
      <c r="V19" s="7">
        <v>1</v>
      </c>
      <c r="W19" s="7">
        <v>1</v>
      </c>
      <c r="X19" s="7">
        <v>2</v>
      </c>
      <c r="Y19" s="7">
        <v>2</v>
      </c>
      <c r="Z19" s="7">
        <v>4</v>
      </c>
      <c r="AA19" s="7">
        <v>1</v>
      </c>
      <c r="AB19" s="7">
        <v>7</v>
      </c>
      <c r="AC19" s="7">
        <v>1</v>
      </c>
      <c r="AD19" s="7">
        <v>5</v>
      </c>
      <c r="AE19" s="7">
        <v>6</v>
      </c>
      <c r="AF19" s="8">
        <v>3</v>
      </c>
      <c r="AG19" s="4">
        <f t="shared" si="2"/>
        <v>77</v>
      </c>
    </row>
    <row r="20" spans="1:33" ht="18.75" x14ac:dyDescent="0.25">
      <c r="A20" s="41" t="s">
        <v>33</v>
      </c>
      <c r="B20" s="7">
        <v>2</v>
      </c>
      <c r="C20" s="7">
        <v>1</v>
      </c>
      <c r="D20" s="7">
        <v>2</v>
      </c>
      <c r="E20" s="7">
        <v>1</v>
      </c>
      <c r="F20" s="7">
        <v>2</v>
      </c>
      <c r="G20" s="7"/>
      <c r="H20" s="7">
        <v>3</v>
      </c>
      <c r="I20" s="7">
        <v>2</v>
      </c>
      <c r="J20" s="7">
        <v>3</v>
      </c>
      <c r="K20" s="7">
        <v>2</v>
      </c>
      <c r="L20" s="7">
        <v>1</v>
      </c>
      <c r="M20" s="7">
        <v>2</v>
      </c>
      <c r="N20" s="7">
        <v>4</v>
      </c>
      <c r="O20" s="7">
        <v>2</v>
      </c>
      <c r="P20" s="7">
        <v>2</v>
      </c>
      <c r="Q20" s="7">
        <v>2</v>
      </c>
      <c r="R20" s="7"/>
      <c r="S20" s="7">
        <v>2</v>
      </c>
      <c r="T20" s="7">
        <v>3</v>
      </c>
      <c r="U20" s="7">
        <v>2</v>
      </c>
      <c r="V20" s="7">
        <v>2</v>
      </c>
      <c r="W20" s="7">
        <v>4</v>
      </c>
      <c r="X20" s="7">
        <v>2</v>
      </c>
      <c r="Y20" s="7">
        <v>1</v>
      </c>
      <c r="Z20" s="7">
        <v>2</v>
      </c>
      <c r="AA20" s="7"/>
      <c r="AB20" s="7">
        <v>2</v>
      </c>
      <c r="AC20" s="7">
        <v>1</v>
      </c>
      <c r="AD20" s="7">
        <v>2</v>
      </c>
      <c r="AE20" s="7">
        <v>3</v>
      </c>
      <c r="AF20" s="8">
        <v>4</v>
      </c>
      <c r="AG20" s="4">
        <f t="shared" si="2"/>
        <v>61</v>
      </c>
    </row>
    <row r="21" spans="1:33" ht="18.75" x14ac:dyDescent="0.25">
      <c r="A21" s="41" t="s">
        <v>34</v>
      </c>
      <c r="B21" s="7">
        <v>1</v>
      </c>
      <c r="C21" s="7">
        <v>1</v>
      </c>
      <c r="D21" s="7">
        <v>4</v>
      </c>
      <c r="E21" s="7">
        <v>1</v>
      </c>
      <c r="F21" s="7"/>
      <c r="G21" s="7">
        <v>1</v>
      </c>
      <c r="H21" s="7"/>
      <c r="I21" s="7"/>
      <c r="J21" s="7">
        <v>3</v>
      </c>
      <c r="K21" s="7">
        <v>1</v>
      </c>
      <c r="L21" s="7">
        <v>2</v>
      </c>
      <c r="M21" s="7">
        <v>1</v>
      </c>
      <c r="N21" s="7">
        <v>2</v>
      </c>
      <c r="O21" s="7">
        <v>1</v>
      </c>
      <c r="P21" s="7">
        <v>1</v>
      </c>
      <c r="Q21" s="7">
        <v>1</v>
      </c>
      <c r="R21" s="7"/>
      <c r="S21" s="7">
        <v>2</v>
      </c>
      <c r="T21" s="7">
        <v>2</v>
      </c>
      <c r="U21" s="7"/>
      <c r="V21" s="7">
        <v>2</v>
      </c>
      <c r="W21" s="7">
        <v>2</v>
      </c>
      <c r="X21" s="7">
        <v>2</v>
      </c>
      <c r="Y21" s="7"/>
      <c r="Z21" s="7"/>
      <c r="AA21" s="7"/>
      <c r="AB21" s="7"/>
      <c r="AC21" s="7">
        <v>2</v>
      </c>
      <c r="AD21" s="7">
        <v>5</v>
      </c>
      <c r="AE21" s="7">
        <v>2</v>
      </c>
      <c r="AF21" s="8"/>
      <c r="AG21" s="4">
        <f t="shared" si="2"/>
        <v>39</v>
      </c>
    </row>
    <row r="22" spans="1:33" ht="18.75" x14ac:dyDescent="0.25">
      <c r="A22" s="41" t="s">
        <v>35</v>
      </c>
      <c r="B22" s="7"/>
      <c r="C22" s="7">
        <v>2</v>
      </c>
      <c r="D22" s="7">
        <v>1</v>
      </c>
      <c r="E22" s="7">
        <v>2</v>
      </c>
      <c r="F22" s="7">
        <v>1</v>
      </c>
      <c r="G22" s="7"/>
      <c r="H22" s="7">
        <v>1</v>
      </c>
      <c r="I22" s="7">
        <v>4</v>
      </c>
      <c r="J22" s="7">
        <v>4</v>
      </c>
      <c r="K22" s="7">
        <v>1</v>
      </c>
      <c r="L22" s="7">
        <v>1</v>
      </c>
      <c r="M22" s="7">
        <v>3</v>
      </c>
      <c r="N22" s="7"/>
      <c r="O22" s="7"/>
      <c r="P22" s="7">
        <v>2</v>
      </c>
      <c r="Q22" s="7"/>
      <c r="R22" s="7"/>
      <c r="S22" s="7"/>
      <c r="T22" s="7"/>
      <c r="U22" s="7">
        <v>1</v>
      </c>
      <c r="V22" s="7"/>
      <c r="W22" s="7"/>
      <c r="X22" s="7"/>
      <c r="Y22" s="7"/>
      <c r="Z22" s="7"/>
      <c r="AA22" s="7"/>
      <c r="AB22" s="7"/>
      <c r="AC22" s="7"/>
      <c r="AD22" s="7"/>
      <c r="AE22" s="7">
        <v>1</v>
      </c>
      <c r="AF22" s="8"/>
      <c r="AG22" s="4">
        <f t="shared" si="2"/>
        <v>24</v>
      </c>
    </row>
    <row r="23" spans="1:33" ht="18.75" x14ac:dyDescent="0.25">
      <c r="A23" s="41" t="s">
        <v>36</v>
      </c>
      <c r="B23" s="7"/>
      <c r="C23" s="7">
        <v>1</v>
      </c>
      <c r="D23" s="7">
        <v>2</v>
      </c>
      <c r="E23" s="7">
        <v>1</v>
      </c>
      <c r="F23" s="7">
        <v>3</v>
      </c>
      <c r="G23" s="7"/>
      <c r="H23" s="7"/>
      <c r="I23" s="7">
        <v>2</v>
      </c>
      <c r="J23" s="7">
        <v>1</v>
      </c>
      <c r="K23" s="7"/>
      <c r="L23" s="7">
        <v>1</v>
      </c>
      <c r="M23" s="7"/>
      <c r="N23" s="7">
        <v>1</v>
      </c>
      <c r="O23" s="7"/>
      <c r="P23" s="7">
        <v>2</v>
      </c>
      <c r="Q23" s="7"/>
      <c r="R23" s="7"/>
      <c r="S23" s="7"/>
      <c r="T23" s="7"/>
      <c r="U23" s="7">
        <v>1</v>
      </c>
      <c r="V23" s="7"/>
      <c r="W23" s="7">
        <v>2</v>
      </c>
      <c r="X23" s="7"/>
      <c r="Y23" s="7"/>
      <c r="Z23" s="7"/>
      <c r="AA23" s="7">
        <v>2</v>
      </c>
      <c r="AB23" s="7">
        <v>1</v>
      </c>
      <c r="AC23" s="7"/>
      <c r="AD23" s="7"/>
      <c r="AE23" s="7"/>
      <c r="AF23" s="8"/>
      <c r="AG23" s="4">
        <f t="shared" si="2"/>
        <v>20</v>
      </c>
    </row>
    <row r="24" spans="1:33" ht="18.75" x14ac:dyDescent="0.25">
      <c r="A24" s="41" t="s">
        <v>51</v>
      </c>
      <c r="B24" s="7"/>
      <c r="C24" s="7">
        <v>1</v>
      </c>
      <c r="D24" s="7"/>
      <c r="E24" s="7"/>
      <c r="F24" s="7">
        <v>2</v>
      </c>
      <c r="G24" s="7"/>
      <c r="H24" s="7">
        <v>1</v>
      </c>
      <c r="I24" s="7">
        <v>1</v>
      </c>
      <c r="J24" s="7">
        <v>1</v>
      </c>
      <c r="K24" s="7"/>
      <c r="L24" s="7">
        <v>1</v>
      </c>
      <c r="M24" s="7">
        <v>1</v>
      </c>
      <c r="N24" s="7">
        <v>2</v>
      </c>
      <c r="O24" s="7">
        <v>1</v>
      </c>
      <c r="P24" s="7"/>
      <c r="Q24" s="7">
        <v>1</v>
      </c>
      <c r="R24" s="7"/>
      <c r="S24" s="7"/>
      <c r="T24" s="7"/>
      <c r="U24" s="7">
        <v>1</v>
      </c>
      <c r="V24" s="7">
        <v>1</v>
      </c>
      <c r="W24" s="7">
        <v>1</v>
      </c>
      <c r="X24" s="7"/>
      <c r="Y24" s="7">
        <v>2</v>
      </c>
      <c r="Z24" s="7"/>
      <c r="AA24" s="7"/>
      <c r="AB24" s="7"/>
      <c r="AC24" s="7">
        <v>1</v>
      </c>
      <c r="AD24" s="7"/>
      <c r="AE24" s="7">
        <v>1</v>
      </c>
      <c r="AF24" s="8">
        <v>1</v>
      </c>
      <c r="AG24" s="4">
        <f t="shared" si="2"/>
        <v>20</v>
      </c>
    </row>
    <row r="25" spans="1:33" ht="18.75" x14ac:dyDescent="0.25">
      <c r="A25" s="41" t="s">
        <v>52</v>
      </c>
      <c r="B25" s="7">
        <v>1</v>
      </c>
      <c r="C25" s="7"/>
      <c r="D25" s="7">
        <v>2</v>
      </c>
      <c r="E25" s="7"/>
      <c r="F25" s="7"/>
      <c r="G25" s="7"/>
      <c r="H25" s="7"/>
      <c r="I25" s="7"/>
      <c r="J25" s="7">
        <v>1</v>
      </c>
      <c r="K25" s="7"/>
      <c r="L25" s="7"/>
      <c r="M25" s="7"/>
      <c r="N25" s="7"/>
      <c r="O25" s="7">
        <v>1</v>
      </c>
      <c r="P25" s="7"/>
      <c r="Q25" s="7">
        <v>1</v>
      </c>
      <c r="R25" s="7"/>
      <c r="S25" s="7"/>
      <c r="T25" s="7"/>
      <c r="U25" s="7">
        <v>1</v>
      </c>
      <c r="V25" s="7"/>
      <c r="W25" s="7">
        <v>1</v>
      </c>
      <c r="X25" s="7">
        <v>1</v>
      </c>
      <c r="Y25" s="7">
        <v>3</v>
      </c>
      <c r="Z25" s="7"/>
      <c r="AA25" s="7">
        <v>1</v>
      </c>
      <c r="AB25" s="7"/>
      <c r="AC25" s="7"/>
      <c r="AD25" s="7"/>
      <c r="AE25" s="7"/>
      <c r="AF25" s="8">
        <v>2</v>
      </c>
      <c r="AG25" s="4">
        <f t="shared" si="2"/>
        <v>15</v>
      </c>
    </row>
    <row r="26" spans="1:33" ht="18.75" x14ac:dyDescent="0.25">
      <c r="A26" s="41" t="s">
        <v>37</v>
      </c>
      <c r="B26" s="7">
        <v>1</v>
      </c>
      <c r="C26" s="7"/>
      <c r="D26" s="7"/>
      <c r="E26" s="7"/>
      <c r="F26" s="7"/>
      <c r="G26" s="7">
        <v>1</v>
      </c>
      <c r="H26" s="7">
        <v>1</v>
      </c>
      <c r="I26" s="7"/>
      <c r="J26" s="7"/>
      <c r="K26" s="7"/>
      <c r="L26" s="7"/>
      <c r="M26" s="7">
        <v>1</v>
      </c>
      <c r="N26" s="7">
        <v>1</v>
      </c>
      <c r="O26" s="7">
        <v>1</v>
      </c>
      <c r="P26" s="7"/>
      <c r="Q26" s="7"/>
      <c r="R26" s="7"/>
      <c r="S26" s="7"/>
      <c r="T26" s="7">
        <v>3</v>
      </c>
      <c r="U26" s="7"/>
      <c r="V26" s="7"/>
      <c r="W26" s="7">
        <v>1</v>
      </c>
      <c r="X26" s="7"/>
      <c r="Y26" s="7"/>
      <c r="Z26" s="7"/>
      <c r="AA26" s="7"/>
      <c r="AB26" s="7"/>
      <c r="AC26" s="7"/>
      <c r="AD26" s="7"/>
      <c r="AE26" s="7"/>
      <c r="AF26" s="8">
        <v>1</v>
      </c>
      <c r="AG26" s="4">
        <f t="shared" si="2"/>
        <v>11</v>
      </c>
    </row>
    <row r="27" spans="1:33" ht="19.5" thickBot="1" x14ac:dyDescent="0.3">
      <c r="A27" s="81" t="s">
        <v>53</v>
      </c>
      <c r="B27" s="78">
        <v>1</v>
      </c>
      <c r="C27" s="78"/>
      <c r="D27" s="78">
        <v>1</v>
      </c>
      <c r="E27" s="78"/>
      <c r="F27" s="78"/>
      <c r="G27" s="78">
        <v>1</v>
      </c>
      <c r="H27" s="78"/>
      <c r="I27" s="78">
        <v>1</v>
      </c>
      <c r="J27" s="78"/>
      <c r="K27" s="78"/>
      <c r="L27" s="78">
        <v>2</v>
      </c>
      <c r="M27" s="78"/>
      <c r="N27" s="78"/>
      <c r="O27" s="78"/>
      <c r="P27" s="78">
        <v>1</v>
      </c>
      <c r="Q27" s="78"/>
      <c r="R27" s="78"/>
      <c r="S27" s="78">
        <v>1</v>
      </c>
      <c r="T27" s="78">
        <v>1</v>
      </c>
      <c r="U27" s="78">
        <v>1</v>
      </c>
      <c r="V27" s="78">
        <v>1</v>
      </c>
      <c r="W27" s="78"/>
      <c r="X27" s="78"/>
      <c r="Y27" s="78"/>
      <c r="Z27" s="78">
        <v>1</v>
      </c>
      <c r="AA27" s="78">
        <v>1</v>
      </c>
      <c r="AB27" s="78"/>
      <c r="AC27" s="78">
        <v>1</v>
      </c>
      <c r="AD27" s="78">
        <v>1</v>
      </c>
      <c r="AE27" s="78"/>
      <c r="AF27" s="83"/>
      <c r="AG27" s="4">
        <f t="shared" si="2"/>
        <v>15</v>
      </c>
    </row>
    <row r="28" spans="1:33" ht="18.75" x14ac:dyDescent="0.25">
      <c r="A28" s="79" t="s">
        <v>107</v>
      </c>
      <c r="B28" s="80">
        <f>SUM(B29:B52)</f>
        <v>71</v>
      </c>
      <c r="C28" s="80">
        <f t="shared" ref="C28:AF28" si="3">SUM(C29:C52)</f>
        <v>75</v>
      </c>
      <c r="D28" s="80">
        <f t="shared" si="3"/>
        <v>68</v>
      </c>
      <c r="E28" s="80">
        <f t="shared" si="3"/>
        <v>84</v>
      </c>
      <c r="F28" s="80">
        <f t="shared" si="3"/>
        <v>63</v>
      </c>
      <c r="G28" s="80">
        <f t="shared" si="3"/>
        <v>57</v>
      </c>
      <c r="H28" s="80">
        <f t="shared" si="3"/>
        <v>69</v>
      </c>
      <c r="I28" s="80">
        <f t="shared" si="3"/>
        <v>84</v>
      </c>
      <c r="J28" s="80">
        <f t="shared" si="3"/>
        <v>59</v>
      </c>
      <c r="K28" s="80">
        <f t="shared" si="3"/>
        <v>68</v>
      </c>
      <c r="L28" s="80">
        <f t="shared" si="3"/>
        <v>99</v>
      </c>
      <c r="M28" s="80">
        <f t="shared" si="3"/>
        <v>98</v>
      </c>
      <c r="N28" s="80">
        <f t="shared" si="3"/>
        <v>104</v>
      </c>
      <c r="O28" s="80">
        <f t="shared" si="3"/>
        <v>119</v>
      </c>
      <c r="P28" s="80">
        <f t="shared" si="3"/>
        <v>96</v>
      </c>
      <c r="Q28" s="80">
        <f t="shared" si="3"/>
        <v>75</v>
      </c>
      <c r="R28" s="80">
        <f t="shared" si="3"/>
        <v>68</v>
      </c>
      <c r="S28" s="80">
        <f t="shared" si="3"/>
        <v>81</v>
      </c>
      <c r="T28" s="80">
        <f t="shared" si="3"/>
        <v>71</v>
      </c>
      <c r="U28" s="80">
        <f t="shared" si="3"/>
        <v>89</v>
      </c>
      <c r="V28" s="80">
        <f t="shared" si="3"/>
        <v>72</v>
      </c>
      <c r="W28" s="80">
        <f t="shared" si="3"/>
        <v>107</v>
      </c>
      <c r="X28" s="80">
        <f t="shared" si="3"/>
        <v>77</v>
      </c>
      <c r="Y28" s="80">
        <f t="shared" si="3"/>
        <v>81</v>
      </c>
      <c r="Z28" s="80">
        <f t="shared" si="3"/>
        <v>117</v>
      </c>
      <c r="AA28" s="80">
        <f t="shared" si="3"/>
        <v>87</v>
      </c>
      <c r="AB28" s="80">
        <f t="shared" si="3"/>
        <v>92</v>
      </c>
      <c r="AC28" s="80">
        <f t="shared" si="3"/>
        <v>77</v>
      </c>
      <c r="AD28" s="80">
        <f t="shared" si="3"/>
        <v>74</v>
      </c>
      <c r="AE28" s="80">
        <f>SUM(AE29:AE52)</f>
        <v>82</v>
      </c>
      <c r="AF28" s="80">
        <f t="shared" si="3"/>
        <v>72</v>
      </c>
      <c r="AG28" s="150">
        <f t="shared" si="2"/>
        <v>2536</v>
      </c>
    </row>
    <row r="29" spans="1:33" ht="18.75" x14ac:dyDescent="0.25">
      <c r="A29" s="41" t="s">
        <v>54</v>
      </c>
      <c r="B29" s="7">
        <v>2</v>
      </c>
      <c r="C29" s="7"/>
      <c r="D29" s="7">
        <v>1</v>
      </c>
      <c r="E29" s="7">
        <v>2</v>
      </c>
      <c r="F29" s="7">
        <v>3</v>
      </c>
      <c r="G29" s="7">
        <v>1</v>
      </c>
      <c r="H29" s="7"/>
      <c r="I29" s="7">
        <v>1</v>
      </c>
      <c r="J29" s="7">
        <v>1</v>
      </c>
      <c r="K29" s="7"/>
      <c r="L29" s="7">
        <v>2</v>
      </c>
      <c r="M29" s="7">
        <v>2</v>
      </c>
      <c r="N29" s="7">
        <v>3</v>
      </c>
      <c r="O29" s="7">
        <v>1</v>
      </c>
      <c r="P29" s="7">
        <v>2</v>
      </c>
      <c r="Q29" s="7">
        <v>1</v>
      </c>
      <c r="R29" s="7"/>
      <c r="S29" s="7">
        <v>2</v>
      </c>
      <c r="T29" s="7">
        <v>2</v>
      </c>
      <c r="U29" s="7">
        <v>2</v>
      </c>
      <c r="V29" s="7">
        <v>3</v>
      </c>
      <c r="W29" s="7">
        <v>1</v>
      </c>
      <c r="X29" s="7">
        <v>2</v>
      </c>
      <c r="Y29" s="7">
        <v>1</v>
      </c>
      <c r="Z29" s="7">
        <v>1</v>
      </c>
      <c r="AA29" s="7">
        <v>2</v>
      </c>
      <c r="AB29" s="7">
        <v>1</v>
      </c>
      <c r="AC29" s="7"/>
      <c r="AD29" s="7"/>
      <c r="AE29" s="7">
        <v>1</v>
      </c>
      <c r="AF29" s="8"/>
      <c r="AG29" s="4">
        <f t="shared" si="2"/>
        <v>40</v>
      </c>
    </row>
    <row r="30" spans="1:33" ht="18.75" x14ac:dyDescent="0.25">
      <c r="A30" s="41" t="s">
        <v>55</v>
      </c>
      <c r="B30" s="7">
        <v>3</v>
      </c>
      <c r="C30" s="7">
        <v>1</v>
      </c>
      <c r="D30" s="7">
        <v>2</v>
      </c>
      <c r="E30" s="7">
        <v>9</v>
      </c>
      <c r="F30" s="7">
        <v>1</v>
      </c>
      <c r="G30" s="7">
        <v>3</v>
      </c>
      <c r="H30" s="7">
        <v>3</v>
      </c>
      <c r="I30" s="7">
        <v>6</v>
      </c>
      <c r="J30" s="7"/>
      <c r="K30" s="7">
        <v>3</v>
      </c>
      <c r="L30" s="7">
        <v>4</v>
      </c>
      <c r="M30" s="7">
        <v>2</v>
      </c>
      <c r="N30" s="7">
        <v>6</v>
      </c>
      <c r="O30" s="7">
        <v>6</v>
      </c>
      <c r="P30" s="7">
        <v>3</v>
      </c>
      <c r="Q30" s="7">
        <v>5</v>
      </c>
      <c r="R30" s="7">
        <v>4</v>
      </c>
      <c r="S30" s="7">
        <v>3</v>
      </c>
      <c r="T30" s="7">
        <v>3</v>
      </c>
      <c r="U30" s="7">
        <v>6</v>
      </c>
      <c r="V30" s="7">
        <v>1</v>
      </c>
      <c r="W30" s="7">
        <v>5</v>
      </c>
      <c r="X30" s="7">
        <v>1</v>
      </c>
      <c r="Y30" s="7">
        <v>2</v>
      </c>
      <c r="Z30" s="7">
        <v>13</v>
      </c>
      <c r="AA30" s="7">
        <v>5</v>
      </c>
      <c r="AB30" s="7">
        <v>7</v>
      </c>
      <c r="AC30" s="7">
        <v>9</v>
      </c>
      <c r="AD30" s="7">
        <v>9</v>
      </c>
      <c r="AE30" s="7">
        <v>2</v>
      </c>
      <c r="AF30" s="8">
        <v>5</v>
      </c>
      <c r="AG30" s="4">
        <f t="shared" si="2"/>
        <v>132</v>
      </c>
    </row>
    <row r="31" spans="1:33" ht="18.75" x14ac:dyDescent="0.25">
      <c r="A31" s="41" t="s">
        <v>56</v>
      </c>
      <c r="B31" s="7">
        <v>3</v>
      </c>
      <c r="C31" s="7">
        <v>4</v>
      </c>
      <c r="D31" s="7"/>
      <c r="E31" s="7">
        <v>5</v>
      </c>
      <c r="F31" s="7">
        <v>4</v>
      </c>
      <c r="G31" s="7">
        <v>2</v>
      </c>
      <c r="H31" s="7">
        <v>2</v>
      </c>
      <c r="I31" s="7">
        <v>2</v>
      </c>
      <c r="J31" s="7">
        <v>4</v>
      </c>
      <c r="K31" s="7">
        <v>3</v>
      </c>
      <c r="L31" s="7">
        <v>3</v>
      </c>
      <c r="M31" s="7">
        <v>7</v>
      </c>
      <c r="N31" s="7">
        <v>4</v>
      </c>
      <c r="O31" s="7">
        <v>8</v>
      </c>
      <c r="P31" s="7">
        <v>5</v>
      </c>
      <c r="Q31" s="7">
        <v>3</v>
      </c>
      <c r="R31" s="7">
        <v>2</v>
      </c>
      <c r="S31" s="7">
        <v>3</v>
      </c>
      <c r="T31" s="7">
        <v>2</v>
      </c>
      <c r="U31" s="7">
        <v>4</v>
      </c>
      <c r="V31" s="7">
        <v>6</v>
      </c>
      <c r="W31" s="7">
        <v>3</v>
      </c>
      <c r="X31" s="7">
        <v>5</v>
      </c>
      <c r="Y31" s="7">
        <v>6</v>
      </c>
      <c r="Z31" s="7">
        <v>7</v>
      </c>
      <c r="AA31" s="7">
        <v>7</v>
      </c>
      <c r="AB31" s="7">
        <v>9</v>
      </c>
      <c r="AC31" s="7">
        <v>6</v>
      </c>
      <c r="AD31" s="7">
        <v>7</v>
      </c>
      <c r="AE31" s="7">
        <v>4</v>
      </c>
      <c r="AF31" s="8">
        <v>1</v>
      </c>
      <c r="AG31" s="4">
        <f t="shared" si="2"/>
        <v>131</v>
      </c>
    </row>
    <row r="32" spans="1:33" ht="18.75" x14ac:dyDescent="0.25">
      <c r="A32" s="41" t="s">
        <v>38</v>
      </c>
      <c r="B32" s="7">
        <v>8</v>
      </c>
      <c r="C32" s="7">
        <v>2</v>
      </c>
      <c r="D32" s="7">
        <v>5</v>
      </c>
      <c r="E32" s="7">
        <v>5</v>
      </c>
      <c r="F32" s="7">
        <v>1</v>
      </c>
      <c r="G32" s="7">
        <v>2</v>
      </c>
      <c r="H32" s="7">
        <v>4</v>
      </c>
      <c r="I32" s="7">
        <v>2</v>
      </c>
      <c r="J32" s="7">
        <v>4</v>
      </c>
      <c r="K32" s="7">
        <v>3</v>
      </c>
      <c r="L32" s="7">
        <v>6</v>
      </c>
      <c r="M32" s="7">
        <v>2</v>
      </c>
      <c r="N32" s="7">
        <v>5</v>
      </c>
      <c r="O32" s="7">
        <v>8</v>
      </c>
      <c r="P32" s="7">
        <v>8</v>
      </c>
      <c r="Q32" s="7">
        <v>9</v>
      </c>
      <c r="R32" s="7">
        <v>3</v>
      </c>
      <c r="S32" s="7">
        <v>3</v>
      </c>
      <c r="T32" s="7">
        <v>4</v>
      </c>
      <c r="U32" s="7">
        <v>8</v>
      </c>
      <c r="V32" s="7">
        <v>1</v>
      </c>
      <c r="W32" s="7">
        <v>8</v>
      </c>
      <c r="X32" s="7">
        <v>5</v>
      </c>
      <c r="Y32" s="7">
        <v>6</v>
      </c>
      <c r="Z32" s="7">
        <v>5</v>
      </c>
      <c r="AA32" s="7">
        <v>4</v>
      </c>
      <c r="AB32" s="7">
        <v>5</v>
      </c>
      <c r="AC32" s="7">
        <v>5</v>
      </c>
      <c r="AD32" s="7">
        <v>3</v>
      </c>
      <c r="AE32" s="7">
        <v>5</v>
      </c>
      <c r="AF32" s="8">
        <v>5</v>
      </c>
      <c r="AG32" s="4">
        <f t="shared" si="2"/>
        <v>144</v>
      </c>
    </row>
    <row r="33" spans="1:33" ht="18.75" x14ac:dyDescent="0.25">
      <c r="A33" s="41" t="s">
        <v>39</v>
      </c>
      <c r="B33" s="7">
        <v>4</v>
      </c>
      <c r="C33" s="7">
        <v>9</v>
      </c>
      <c r="D33" s="7">
        <v>2</v>
      </c>
      <c r="E33" s="7">
        <v>7</v>
      </c>
      <c r="F33" s="7">
        <v>10</v>
      </c>
      <c r="G33" s="7">
        <v>5</v>
      </c>
      <c r="H33" s="7">
        <v>4</v>
      </c>
      <c r="I33" s="7">
        <v>5</v>
      </c>
      <c r="J33" s="7">
        <v>2</v>
      </c>
      <c r="K33" s="7">
        <v>3</v>
      </c>
      <c r="L33" s="7">
        <v>8</v>
      </c>
      <c r="M33" s="7">
        <v>6</v>
      </c>
      <c r="N33" s="7">
        <v>5</v>
      </c>
      <c r="O33" s="7">
        <v>20</v>
      </c>
      <c r="P33" s="7">
        <v>5</v>
      </c>
      <c r="Q33" s="7">
        <v>2</v>
      </c>
      <c r="R33" s="7">
        <v>4</v>
      </c>
      <c r="S33" s="7">
        <v>6</v>
      </c>
      <c r="T33" s="7">
        <v>4</v>
      </c>
      <c r="U33" s="7">
        <v>7</v>
      </c>
      <c r="V33" s="7">
        <v>5</v>
      </c>
      <c r="W33" s="7">
        <v>8</v>
      </c>
      <c r="X33" s="7">
        <v>4</v>
      </c>
      <c r="Y33" s="7">
        <v>3</v>
      </c>
      <c r="Z33" s="7">
        <v>11</v>
      </c>
      <c r="AA33" s="7">
        <v>8</v>
      </c>
      <c r="AB33" s="7">
        <v>7</v>
      </c>
      <c r="AC33" s="7">
        <v>6</v>
      </c>
      <c r="AD33" s="7">
        <v>4</v>
      </c>
      <c r="AE33" s="7">
        <v>7</v>
      </c>
      <c r="AF33" s="8">
        <v>4</v>
      </c>
      <c r="AG33" s="4">
        <f t="shared" si="2"/>
        <v>185</v>
      </c>
    </row>
    <row r="34" spans="1:33" ht="18.75" x14ac:dyDescent="0.25">
      <c r="A34" s="41" t="s">
        <v>40</v>
      </c>
      <c r="B34" s="7">
        <v>3</v>
      </c>
      <c r="C34" s="7">
        <v>6</v>
      </c>
      <c r="D34" s="7">
        <v>7</v>
      </c>
      <c r="E34" s="7">
        <v>1</v>
      </c>
      <c r="F34" s="7">
        <v>1</v>
      </c>
      <c r="G34" s="7">
        <v>1</v>
      </c>
      <c r="H34" s="7">
        <v>2</v>
      </c>
      <c r="I34" s="7">
        <v>2</v>
      </c>
      <c r="J34" s="7">
        <v>3</v>
      </c>
      <c r="K34" s="7">
        <v>5</v>
      </c>
      <c r="L34" s="7">
        <v>5</v>
      </c>
      <c r="M34" s="7">
        <v>4</v>
      </c>
      <c r="N34" s="7">
        <v>4</v>
      </c>
      <c r="O34" s="7">
        <v>9</v>
      </c>
      <c r="P34" s="7">
        <v>9</v>
      </c>
      <c r="Q34" s="7">
        <v>6</v>
      </c>
      <c r="R34" s="7">
        <v>5</v>
      </c>
      <c r="S34" s="7">
        <v>4</v>
      </c>
      <c r="T34" s="7">
        <v>4</v>
      </c>
      <c r="U34" s="7">
        <v>7</v>
      </c>
      <c r="V34" s="7">
        <v>8</v>
      </c>
      <c r="W34" s="7">
        <v>8</v>
      </c>
      <c r="X34" s="7">
        <v>5</v>
      </c>
      <c r="Y34" s="7">
        <v>9</v>
      </c>
      <c r="Z34" s="7">
        <v>9</v>
      </c>
      <c r="AA34" s="7">
        <v>7</v>
      </c>
      <c r="AB34" s="7">
        <v>6</v>
      </c>
      <c r="AC34" s="7">
        <v>3</v>
      </c>
      <c r="AD34" s="7">
        <v>5</v>
      </c>
      <c r="AE34" s="7">
        <v>3</v>
      </c>
      <c r="AF34" s="8">
        <v>8</v>
      </c>
      <c r="AG34" s="4">
        <f t="shared" si="2"/>
        <v>159</v>
      </c>
    </row>
    <row r="35" spans="1:33" ht="18.75" x14ac:dyDescent="0.25">
      <c r="A35" s="41" t="s">
        <v>41</v>
      </c>
      <c r="B35" s="7">
        <v>3</v>
      </c>
      <c r="C35" s="7">
        <v>4</v>
      </c>
      <c r="D35" s="7">
        <v>2</v>
      </c>
      <c r="E35" s="7">
        <v>4</v>
      </c>
      <c r="F35" s="7">
        <v>1</v>
      </c>
      <c r="G35" s="7">
        <v>3</v>
      </c>
      <c r="H35" s="7">
        <v>1</v>
      </c>
      <c r="I35" s="7">
        <v>3</v>
      </c>
      <c r="J35" s="7">
        <v>3</v>
      </c>
      <c r="K35" s="7">
        <v>3</v>
      </c>
      <c r="L35" s="7">
        <v>5</v>
      </c>
      <c r="M35" s="7">
        <v>5</v>
      </c>
      <c r="N35" s="7">
        <v>3</v>
      </c>
      <c r="O35" s="7">
        <v>1</v>
      </c>
      <c r="P35" s="7">
        <v>2</v>
      </c>
      <c r="Q35" s="7">
        <v>2</v>
      </c>
      <c r="R35" s="7">
        <v>3</v>
      </c>
      <c r="S35" s="7">
        <v>2</v>
      </c>
      <c r="T35" s="7">
        <v>4</v>
      </c>
      <c r="U35" s="7">
        <v>4</v>
      </c>
      <c r="V35" s="7">
        <v>6</v>
      </c>
      <c r="W35" s="7">
        <v>1</v>
      </c>
      <c r="X35" s="7">
        <v>6</v>
      </c>
      <c r="Y35" s="7">
        <v>7</v>
      </c>
      <c r="Z35" s="7">
        <v>6</v>
      </c>
      <c r="AA35" s="7">
        <v>9</v>
      </c>
      <c r="AB35" s="7">
        <v>6</v>
      </c>
      <c r="AC35" s="7">
        <v>6</v>
      </c>
      <c r="AD35" s="7">
        <v>1</v>
      </c>
      <c r="AE35" s="7">
        <v>8</v>
      </c>
      <c r="AF35" s="8">
        <v>7</v>
      </c>
      <c r="AG35" s="4">
        <f t="shared" si="2"/>
        <v>121</v>
      </c>
    </row>
    <row r="36" spans="1:33" ht="18.75" x14ac:dyDescent="0.25">
      <c r="A36" s="41" t="s">
        <v>42</v>
      </c>
      <c r="B36" s="7">
        <v>4</v>
      </c>
      <c r="C36" s="7">
        <v>3</v>
      </c>
      <c r="D36" s="7">
        <v>5</v>
      </c>
      <c r="E36" s="7">
        <v>3</v>
      </c>
      <c r="F36" s="7">
        <v>4</v>
      </c>
      <c r="G36" s="7">
        <v>2</v>
      </c>
      <c r="H36" s="7">
        <v>4</v>
      </c>
      <c r="I36" s="7">
        <v>2</v>
      </c>
      <c r="J36" s="7">
        <v>3</v>
      </c>
      <c r="K36" s="7">
        <v>4</v>
      </c>
      <c r="L36" s="7">
        <v>3</v>
      </c>
      <c r="M36" s="7">
        <v>6</v>
      </c>
      <c r="N36" s="7">
        <v>16</v>
      </c>
      <c r="O36" s="7">
        <v>12</v>
      </c>
      <c r="P36" s="7">
        <v>5</v>
      </c>
      <c r="Q36" s="7">
        <v>3</v>
      </c>
      <c r="R36" s="7">
        <v>9</v>
      </c>
      <c r="S36" s="7">
        <v>7</v>
      </c>
      <c r="T36" s="7">
        <v>4</v>
      </c>
      <c r="U36" s="7">
        <v>1</v>
      </c>
      <c r="V36" s="7">
        <v>4</v>
      </c>
      <c r="W36" s="7">
        <v>4</v>
      </c>
      <c r="X36" s="7">
        <v>7</v>
      </c>
      <c r="Y36" s="7">
        <v>8</v>
      </c>
      <c r="Z36" s="7">
        <v>8</v>
      </c>
      <c r="AA36" s="7">
        <v>4</v>
      </c>
      <c r="AB36" s="7">
        <v>3</v>
      </c>
      <c r="AC36" s="7">
        <v>5</v>
      </c>
      <c r="AD36" s="7">
        <v>3</v>
      </c>
      <c r="AE36" s="7">
        <v>5</v>
      </c>
      <c r="AF36" s="8">
        <v>6</v>
      </c>
      <c r="AG36" s="4">
        <f t="shared" si="2"/>
        <v>157</v>
      </c>
    </row>
    <row r="37" spans="1:33" ht="18.75" x14ac:dyDescent="0.25">
      <c r="A37" s="41" t="s">
        <v>43</v>
      </c>
      <c r="B37" s="7">
        <v>6</v>
      </c>
      <c r="C37" s="7">
        <v>8</v>
      </c>
      <c r="D37" s="7">
        <v>2</v>
      </c>
      <c r="E37" s="7">
        <v>4</v>
      </c>
      <c r="F37" s="7">
        <v>5</v>
      </c>
      <c r="G37" s="7">
        <v>1</v>
      </c>
      <c r="H37" s="7">
        <v>3</v>
      </c>
      <c r="I37" s="7">
        <v>13</v>
      </c>
      <c r="J37" s="7">
        <v>1</v>
      </c>
      <c r="K37" s="7">
        <v>3</v>
      </c>
      <c r="L37" s="7">
        <v>4</v>
      </c>
      <c r="M37" s="7">
        <v>12</v>
      </c>
      <c r="N37" s="7">
        <v>9</v>
      </c>
      <c r="O37" s="7">
        <v>10</v>
      </c>
      <c r="P37" s="7">
        <v>13</v>
      </c>
      <c r="Q37" s="7">
        <v>10</v>
      </c>
      <c r="R37" s="7">
        <v>6</v>
      </c>
      <c r="S37" s="7">
        <v>4</v>
      </c>
      <c r="T37" s="7">
        <v>7</v>
      </c>
      <c r="U37" s="7">
        <v>5</v>
      </c>
      <c r="V37" s="7">
        <v>7</v>
      </c>
      <c r="W37" s="7">
        <v>4</v>
      </c>
      <c r="X37" s="7">
        <v>3</v>
      </c>
      <c r="Y37" s="7">
        <v>8</v>
      </c>
      <c r="Z37" s="7">
        <v>10</v>
      </c>
      <c r="AA37" s="7">
        <v>7</v>
      </c>
      <c r="AB37" s="7">
        <v>7</v>
      </c>
      <c r="AC37" s="7">
        <v>4</v>
      </c>
      <c r="AD37" s="7">
        <v>6</v>
      </c>
      <c r="AE37" s="7">
        <v>7</v>
      </c>
      <c r="AF37" s="8">
        <v>7</v>
      </c>
      <c r="AG37" s="4">
        <f t="shared" si="2"/>
        <v>196</v>
      </c>
    </row>
    <row r="38" spans="1:33" ht="18.75" x14ac:dyDescent="0.25">
      <c r="A38" s="41" t="s">
        <v>44</v>
      </c>
      <c r="B38" s="7">
        <v>4</v>
      </c>
      <c r="C38" s="7">
        <v>6</v>
      </c>
      <c r="D38" s="7">
        <v>5</v>
      </c>
      <c r="E38" s="7">
        <v>4</v>
      </c>
      <c r="F38" s="7">
        <v>4</v>
      </c>
      <c r="G38" s="7">
        <v>2</v>
      </c>
      <c r="H38" s="7">
        <v>5</v>
      </c>
      <c r="I38" s="7">
        <v>5</v>
      </c>
      <c r="J38" s="7">
        <v>7</v>
      </c>
      <c r="K38" s="7">
        <v>5</v>
      </c>
      <c r="L38" s="7">
        <v>9</v>
      </c>
      <c r="M38" s="7">
        <v>7</v>
      </c>
      <c r="N38" s="7">
        <v>6</v>
      </c>
      <c r="O38" s="7">
        <v>8</v>
      </c>
      <c r="P38" s="7">
        <v>9</v>
      </c>
      <c r="Q38" s="7">
        <v>5</v>
      </c>
      <c r="R38" s="7">
        <v>6</v>
      </c>
      <c r="S38" s="7">
        <v>9</v>
      </c>
      <c r="T38" s="7">
        <v>6</v>
      </c>
      <c r="U38" s="7">
        <v>8</v>
      </c>
      <c r="V38" s="7">
        <v>8</v>
      </c>
      <c r="W38" s="7">
        <v>10</v>
      </c>
      <c r="X38" s="7">
        <v>11</v>
      </c>
      <c r="Y38" s="7">
        <v>7</v>
      </c>
      <c r="Z38" s="7">
        <v>6</v>
      </c>
      <c r="AA38" s="7">
        <v>4</v>
      </c>
      <c r="AB38" s="7">
        <v>8</v>
      </c>
      <c r="AC38" s="7">
        <v>4</v>
      </c>
      <c r="AD38" s="7">
        <v>5</v>
      </c>
      <c r="AE38" s="7">
        <v>5</v>
      </c>
      <c r="AF38" s="8">
        <v>2</v>
      </c>
      <c r="AG38" s="4">
        <f t="shared" si="2"/>
        <v>190</v>
      </c>
    </row>
    <row r="39" spans="1:33" ht="18.75" x14ac:dyDescent="0.25">
      <c r="A39" s="41" t="s">
        <v>45</v>
      </c>
      <c r="B39" s="7">
        <v>8</v>
      </c>
      <c r="C39" s="7">
        <v>4</v>
      </c>
      <c r="D39" s="7">
        <v>4</v>
      </c>
      <c r="E39" s="7">
        <v>7</v>
      </c>
      <c r="F39" s="7">
        <v>5</v>
      </c>
      <c r="G39" s="7">
        <v>6</v>
      </c>
      <c r="H39" s="7">
        <v>9</v>
      </c>
      <c r="I39" s="7">
        <v>7</v>
      </c>
      <c r="J39" s="7">
        <v>7</v>
      </c>
      <c r="K39" s="7">
        <v>4</v>
      </c>
      <c r="L39" s="7">
        <v>11</v>
      </c>
      <c r="M39" s="7">
        <v>5</v>
      </c>
      <c r="N39" s="7">
        <v>7</v>
      </c>
      <c r="O39" s="7">
        <v>10</v>
      </c>
      <c r="P39" s="7">
        <v>11</v>
      </c>
      <c r="Q39" s="7">
        <v>5</v>
      </c>
      <c r="R39" s="7">
        <v>7</v>
      </c>
      <c r="S39" s="7">
        <v>9</v>
      </c>
      <c r="T39" s="7">
        <v>11</v>
      </c>
      <c r="U39" s="7">
        <v>6</v>
      </c>
      <c r="V39" s="7">
        <v>5</v>
      </c>
      <c r="W39" s="7">
        <v>12</v>
      </c>
      <c r="X39" s="7">
        <v>6</v>
      </c>
      <c r="Y39" s="7">
        <v>6</v>
      </c>
      <c r="Z39" s="7">
        <v>13</v>
      </c>
      <c r="AA39" s="7">
        <v>11</v>
      </c>
      <c r="AB39" s="7">
        <v>4</v>
      </c>
      <c r="AC39" s="7">
        <v>5</v>
      </c>
      <c r="AD39" s="7">
        <v>7</v>
      </c>
      <c r="AE39" s="7">
        <v>8</v>
      </c>
      <c r="AF39" s="8">
        <v>10</v>
      </c>
      <c r="AG39" s="4">
        <f t="shared" si="2"/>
        <v>230</v>
      </c>
    </row>
    <row r="40" spans="1:33" ht="18.75" x14ac:dyDescent="0.25">
      <c r="A40" s="41" t="s">
        <v>46</v>
      </c>
      <c r="B40" s="7">
        <v>6</v>
      </c>
      <c r="C40" s="7">
        <v>5</v>
      </c>
      <c r="D40" s="7">
        <v>3</v>
      </c>
      <c r="E40" s="7">
        <v>8</v>
      </c>
      <c r="F40" s="7">
        <v>7</v>
      </c>
      <c r="G40" s="7">
        <v>9</v>
      </c>
      <c r="H40" s="7">
        <v>10</v>
      </c>
      <c r="I40" s="7">
        <v>8</v>
      </c>
      <c r="J40" s="7">
        <v>4</v>
      </c>
      <c r="K40" s="7">
        <v>4</v>
      </c>
      <c r="L40" s="7">
        <v>10</v>
      </c>
      <c r="M40" s="7">
        <v>7</v>
      </c>
      <c r="N40" s="7">
        <v>10</v>
      </c>
      <c r="O40" s="7">
        <v>11</v>
      </c>
      <c r="P40" s="7">
        <v>8</v>
      </c>
      <c r="Q40" s="7">
        <v>6</v>
      </c>
      <c r="R40" s="7">
        <v>6</v>
      </c>
      <c r="S40" s="7">
        <v>8</v>
      </c>
      <c r="T40" s="7">
        <v>4</v>
      </c>
      <c r="U40" s="7">
        <v>4</v>
      </c>
      <c r="V40" s="7">
        <v>4</v>
      </c>
      <c r="W40" s="7">
        <v>12</v>
      </c>
      <c r="X40" s="7">
        <v>8</v>
      </c>
      <c r="Y40" s="7">
        <v>4</v>
      </c>
      <c r="Z40" s="7">
        <v>11</v>
      </c>
      <c r="AA40" s="7">
        <v>6</v>
      </c>
      <c r="AB40" s="7">
        <v>4</v>
      </c>
      <c r="AC40" s="7">
        <v>5</v>
      </c>
      <c r="AD40" s="7">
        <v>6</v>
      </c>
      <c r="AE40" s="7">
        <v>4</v>
      </c>
      <c r="AF40" s="8">
        <v>1</v>
      </c>
      <c r="AG40" s="4">
        <f t="shared" si="2"/>
        <v>203</v>
      </c>
    </row>
    <row r="41" spans="1:33" ht="18.75" x14ac:dyDescent="0.25">
      <c r="A41" s="41" t="s">
        <v>47</v>
      </c>
      <c r="B41" s="7">
        <v>3</v>
      </c>
      <c r="C41" s="7">
        <v>3</v>
      </c>
      <c r="D41" s="7">
        <v>4</v>
      </c>
      <c r="E41" s="7">
        <v>7</v>
      </c>
      <c r="F41" s="7">
        <v>1</v>
      </c>
      <c r="G41" s="7">
        <v>7</v>
      </c>
      <c r="H41" s="7">
        <v>5</v>
      </c>
      <c r="I41" s="7">
        <v>7</v>
      </c>
      <c r="J41" s="7">
        <v>1</v>
      </c>
      <c r="K41" s="7">
        <v>5</v>
      </c>
      <c r="L41" s="7">
        <v>5</v>
      </c>
      <c r="M41" s="7">
        <v>7</v>
      </c>
      <c r="N41" s="7">
        <v>7</v>
      </c>
      <c r="O41" s="7">
        <v>3</v>
      </c>
      <c r="P41" s="7">
        <v>2</v>
      </c>
      <c r="Q41" s="7"/>
      <c r="R41" s="7">
        <v>4</v>
      </c>
      <c r="S41" s="7">
        <v>9</v>
      </c>
      <c r="T41" s="7">
        <v>1</v>
      </c>
      <c r="U41" s="7">
        <v>4</v>
      </c>
      <c r="V41" s="7">
        <v>4</v>
      </c>
      <c r="W41" s="7">
        <v>7</v>
      </c>
      <c r="X41" s="7">
        <v>2</v>
      </c>
      <c r="Y41" s="7">
        <v>5</v>
      </c>
      <c r="Z41" s="7">
        <v>7</v>
      </c>
      <c r="AA41" s="7">
        <v>3</v>
      </c>
      <c r="AB41" s="7">
        <v>9</v>
      </c>
      <c r="AC41" s="7">
        <v>6</v>
      </c>
      <c r="AD41" s="7">
        <v>3</v>
      </c>
      <c r="AE41" s="7">
        <v>4</v>
      </c>
      <c r="AF41" s="8">
        <v>1</v>
      </c>
      <c r="AG41" s="4">
        <f t="shared" si="2"/>
        <v>136</v>
      </c>
    </row>
    <row r="42" spans="1:33" ht="18.75" x14ac:dyDescent="0.25">
      <c r="A42" s="41" t="s">
        <v>48</v>
      </c>
      <c r="B42" s="7">
        <v>4</v>
      </c>
      <c r="C42" s="7">
        <v>5</v>
      </c>
      <c r="D42" s="7">
        <v>10</v>
      </c>
      <c r="E42" s="7">
        <v>7</v>
      </c>
      <c r="F42" s="7">
        <v>5</v>
      </c>
      <c r="G42" s="7">
        <v>3</v>
      </c>
      <c r="H42" s="7">
        <v>4</v>
      </c>
      <c r="I42" s="7">
        <v>3</v>
      </c>
      <c r="J42" s="7">
        <v>4</v>
      </c>
      <c r="K42" s="7">
        <v>4</v>
      </c>
      <c r="L42" s="7">
        <v>6</v>
      </c>
      <c r="M42" s="7">
        <v>10</v>
      </c>
      <c r="N42" s="7">
        <v>4</v>
      </c>
      <c r="O42" s="7">
        <v>3</v>
      </c>
      <c r="P42" s="7">
        <v>2</v>
      </c>
      <c r="Q42" s="7">
        <v>3</v>
      </c>
      <c r="R42" s="7">
        <v>6</v>
      </c>
      <c r="S42" s="7">
        <v>2</v>
      </c>
      <c r="T42" s="7">
        <v>4</v>
      </c>
      <c r="U42" s="7">
        <v>7</v>
      </c>
      <c r="V42" s="7">
        <v>2</v>
      </c>
      <c r="W42" s="7">
        <v>4</v>
      </c>
      <c r="X42" s="7">
        <v>4</v>
      </c>
      <c r="Y42" s="7">
        <v>2</v>
      </c>
      <c r="Z42" s="7">
        <v>1</v>
      </c>
      <c r="AA42" s="7">
        <v>2</v>
      </c>
      <c r="AB42" s="7">
        <v>4</v>
      </c>
      <c r="AC42" s="7">
        <v>3</v>
      </c>
      <c r="AD42" s="7">
        <v>2</v>
      </c>
      <c r="AE42" s="7">
        <v>3</v>
      </c>
      <c r="AF42" s="8">
        <v>2</v>
      </c>
      <c r="AG42" s="4">
        <f t="shared" si="2"/>
        <v>125</v>
      </c>
    </row>
    <row r="43" spans="1:33" ht="18.75" x14ac:dyDescent="0.25">
      <c r="A43" s="41" t="s">
        <v>49</v>
      </c>
      <c r="B43" s="7">
        <v>2</v>
      </c>
      <c r="C43" s="7">
        <v>5</v>
      </c>
      <c r="D43" s="7">
        <v>3</v>
      </c>
      <c r="E43" s="7">
        <v>2</v>
      </c>
      <c r="F43" s="7">
        <v>3</v>
      </c>
      <c r="G43" s="7">
        <v>3</v>
      </c>
      <c r="H43" s="7">
        <v>3</v>
      </c>
      <c r="I43" s="7">
        <v>6</v>
      </c>
      <c r="J43" s="7">
        <v>2</v>
      </c>
      <c r="K43" s="7">
        <v>6</v>
      </c>
      <c r="L43" s="7">
        <v>3</v>
      </c>
      <c r="M43" s="7">
        <v>4</v>
      </c>
      <c r="N43" s="7">
        <v>2</v>
      </c>
      <c r="O43" s="7">
        <v>2</v>
      </c>
      <c r="P43" s="7">
        <v>1</v>
      </c>
      <c r="Q43" s="7">
        <v>8</v>
      </c>
      <c r="R43" s="7"/>
      <c r="S43" s="7">
        <v>3</v>
      </c>
      <c r="T43" s="7"/>
      <c r="U43" s="7">
        <v>5</v>
      </c>
      <c r="V43" s="7">
        <v>1</v>
      </c>
      <c r="W43" s="7">
        <v>7</v>
      </c>
      <c r="X43" s="7"/>
      <c r="Y43" s="7"/>
      <c r="Z43" s="7">
        <v>2</v>
      </c>
      <c r="AA43" s="7">
        <v>3</v>
      </c>
      <c r="AB43" s="7">
        <v>2</v>
      </c>
      <c r="AC43" s="7">
        <v>4</v>
      </c>
      <c r="AD43" s="7">
        <v>1</v>
      </c>
      <c r="AE43" s="7">
        <v>4</v>
      </c>
      <c r="AF43" s="8">
        <v>2</v>
      </c>
      <c r="AG43" s="4">
        <f t="shared" si="2"/>
        <v>89</v>
      </c>
    </row>
    <row r="44" spans="1:33" ht="18.75" x14ac:dyDescent="0.25">
      <c r="A44" s="41" t="s">
        <v>50</v>
      </c>
      <c r="B44" s="7">
        <v>2</v>
      </c>
      <c r="C44" s="7">
        <v>2</v>
      </c>
      <c r="D44" s="7">
        <v>2</v>
      </c>
      <c r="E44" s="7">
        <v>3</v>
      </c>
      <c r="F44" s="7"/>
      <c r="G44" s="7">
        <v>4</v>
      </c>
      <c r="H44" s="7">
        <v>4</v>
      </c>
      <c r="I44" s="7">
        <v>3</v>
      </c>
      <c r="J44" s="7"/>
      <c r="K44" s="7">
        <v>7</v>
      </c>
      <c r="L44" s="7">
        <v>4</v>
      </c>
      <c r="M44" s="7">
        <v>4</v>
      </c>
      <c r="N44" s="7">
        <v>3</v>
      </c>
      <c r="O44" s="7">
        <v>1</v>
      </c>
      <c r="P44" s="7">
        <v>1</v>
      </c>
      <c r="Q44" s="7">
        <v>2</v>
      </c>
      <c r="R44" s="7">
        <v>3</v>
      </c>
      <c r="S44" s="7">
        <v>2</v>
      </c>
      <c r="T44" s="7">
        <v>1</v>
      </c>
      <c r="U44" s="7">
        <v>4</v>
      </c>
      <c r="V44" s="7">
        <v>1</v>
      </c>
      <c r="W44" s="7">
        <v>3</v>
      </c>
      <c r="X44" s="7">
        <v>2</v>
      </c>
      <c r="Y44" s="7">
        <v>1</v>
      </c>
      <c r="Z44" s="7">
        <v>3</v>
      </c>
      <c r="AA44" s="7">
        <v>1</v>
      </c>
      <c r="AB44" s="7">
        <v>6</v>
      </c>
      <c r="AC44" s="7">
        <v>1</v>
      </c>
      <c r="AD44" s="7">
        <v>4</v>
      </c>
      <c r="AE44" s="7">
        <v>3</v>
      </c>
      <c r="AF44" s="8">
        <v>2</v>
      </c>
      <c r="AG44" s="4">
        <f t="shared" si="2"/>
        <v>79</v>
      </c>
    </row>
    <row r="45" spans="1:33" ht="18.75" x14ac:dyDescent="0.25">
      <c r="A45" s="41" t="s">
        <v>33</v>
      </c>
      <c r="B45" s="7">
        <v>1</v>
      </c>
      <c r="C45" s="7">
        <v>2</v>
      </c>
      <c r="D45" s="7"/>
      <c r="E45" s="7">
        <v>1</v>
      </c>
      <c r="F45" s="7">
        <v>1</v>
      </c>
      <c r="G45" s="7"/>
      <c r="H45" s="7">
        <v>3</v>
      </c>
      <c r="I45" s="7">
        <v>2</v>
      </c>
      <c r="J45" s="7">
        <v>2</v>
      </c>
      <c r="K45" s="7">
        <v>4</v>
      </c>
      <c r="L45" s="7">
        <v>4</v>
      </c>
      <c r="M45" s="7">
        <v>2</v>
      </c>
      <c r="N45" s="7">
        <v>4</v>
      </c>
      <c r="O45" s="7">
        <v>1</v>
      </c>
      <c r="P45" s="7">
        <v>4</v>
      </c>
      <c r="Q45" s="7">
        <v>2</v>
      </c>
      <c r="R45" s="7"/>
      <c r="S45" s="7">
        <v>2</v>
      </c>
      <c r="T45" s="7">
        <v>3</v>
      </c>
      <c r="U45" s="7">
        <v>2</v>
      </c>
      <c r="V45" s="7">
        <v>2</v>
      </c>
      <c r="W45" s="7">
        <v>4</v>
      </c>
      <c r="X45" s="7">
        <v>1</v>
      </c>
      <c r="Y45" s="7">
        <v>1</v>
      </c>
      <c r="Z45" s="7">
        <v>3</v>
      </c>
      <c r="AA45" s="7"/>
      <c r="AB45" s="7">
        <v>2</v>
      </c>
      <c r="AC45" s="7">
        <v>1</v>
      </c>
      <c r="AD45" s="7">
        <v>3</v>
      </c>
      <c r="AE45" s="7">
        <v>4</v>
      </c>
      <c r="AF45" s="8">
        <v>4</v>
      </c>
      <c r="AG45" s="4">
        <f t="shared" si="2"/>
        <v>65</v>
      </c>
    </row>
    <row r="46" spans="1:33" ht="18.75" x14ac:dyDescent="0.25">
      <c r="A46" s="41" t="s">
        <v>34</v>
      </c>
      <c r="B46" s="7">
        <v>2</v>
      </c>
      <c r="C46" s="7">
        <v>1</v>
      </c>
      <c r="D46" s="7">
        <v>4</v>
      </c>
      <c r="E46" s="7">
        <v>1</v>
      </c>
      <c r="F46" s="7">
        <v>1</v>
      </c>
      <c r="G46" s="7"/>
      <c r="H46" s="7"/>
      <c r="I46" s="7"/>
      <c r="J46" s="7">
        <v>4</v>
      </c>
      <c r="K46" s="7"/>
      <c r="L46" s="7"/>
      <c r="M46" s="7">
        <v>1</v>
      </c>
      <c r="N46" s="7">
        <v>2</v>
      </c>
      <c r="O46" s="7">
        <v>1</v>
      </c>
      <c r="P46" s="7">
        <v>2</v>
      </c>
      <c r="Q46" s="7">
        <v>1</v>
      </c>
      <c r="R46" s="7"/>
      <c r="S46" s="7">
        <v>2</v>
      </c>
      <c r="T46" s="7">
        <v>3</v>
      </c>
      <c r="U46" s="7"/>
      <c r="V46" s="7">
        <v>3</v>
      </c>
      <c r="W46" s="7"/>
      <c r="X46" s="7">
        <v>4</v>
      </c>
      <c r="Y46" s="7">
        <v>1</v>
      </c>
      <c r="Z46" s="7"/>
      <c r="AA46" s="7"/>
      <c r="AB46" s="7">
        <v>1</v>
      </c>
      <c r="AC46" s="7">
        <v>2</v>
      </c>
      <c r="AD46" s="7">
        <v>2</v>
      </c>
      <c r="AE46" s="7">
        <v>2</v>
      </c>
      <c r="AF46" s="8">
        <v>1</v>
      </c>
      <c r="AG46" s="4">
        <f t="shared" si="2"/>
        <v>41</v>
      </c>
    </row>
    <row r="47" spans="1:33" ht="18.75" x14ac:dyDescent="0.25">
      <c r="A47" s="41" t="s">
        <v>35</v>
      </c>
      <c r="B47" s="7"/>
      <c r="C47" s="7">
        <v>2</v>
      </c>
      <c r="D47" s="7">
        <v>2</v>
      </c>
      <c r="E47" s="7">
        <v>1</v>
      </c>
      <c r="F47" s="7">
        <v>1</v>
      </c>
      <c r="G47" s="7">
        <v>1</v>
      </c>
      <c r="H47" s="7">
        <v>1</v>
      </c>
      <c r="I47" s="7">
        <v>2</v>
      </c>
      <c r="J47" s="7">
        <v>3</v>
      </c>
      <c r="K47" s="7">
        <v>2</v>
      </c>
      <c r="L47" s="7">
        <v>3</v>
      </c>
      <c r="M47" s="7">
        <v>3</v>
      </c>
      <c r="N47" s="7"/>
      <c r="O47" s="7">
        <v>1</v>
      </c>
      <c r="P47" s="7">
        <v>2</v>
      </c>
      <c r="Q47" s="7"/>
      <c r="R47" s="7"/>
      <c r="S47" s="7"/>
      <c r="T47" s="7"/>
      <c r="U47" s="7">
        <v>1</v>
      </c>
      <c r="V47" s="7"/>
      <c r="W47" s="7">
        <v>1</v>
      </c>
      <c r="X47" s="7"/>
      <c r="Y47" s="7"/>
      <c r="Z47" s="7"/>
      <c r="AA47" s="7"/>
      <c r="AB47" s="7"/>
      <c r="AC47" s="7"/>
      <c r="AD47" s="7">
        <v>2</v>
      </c>
      <c r="AE47" s="7">
        <v>2</v>
      </c>
      <c r="AF47" s="8"/>
      <c r="AG47" s="4">
        <f t="shared" si="2"/>
        <v>30</v>
      </c>
    </row>
    <row r="48" spans="1:33" ht="18.75" x14ac:dyDescent="0.25">
      <c r="A48" s="41" t="s">
        <v>36</v>
      </c>
      <c r="B48" s="7"/>
      <c r="C48" s="7">
        <v>1</v>
      </c>
      <c r="D48" s="7">
        <v>2</v>
      </c>
      <c r="E48" s="7">
        <v>2</v>
      </c>
      <c r="F48" s="7">
        <v>3</v>
      </c>
      <c r="G48" s="7"/>
      <c r="H48" s="7"/>
      <c r="I48" s="7">
        <v>2</v>
      </c>
      <c r="J48" s="7">
        <v>2</v>
      </c>
      <c r="K48" s="7"/>
      <c r="L48" s="7"/>
      <c r="M48" s="7"/>
      <c r="N48" s="7"/>
      <c r="O48" s="7"/>
      <c r="P48" s="7">
        <v>2</v>
      </c>
      <c r="Q48" s="7"/>
      <c r="R48" s="7"/>
      <c r="S48" s="7"/>
      <c r="T48" s="7"/>
      <c r="U48" s="7">
        <v>1</v>
      </c>
      <c r="V48" s="7"/>
      <c r="W48" s="7">
        <v>1</v>
      </c>
      <c r="X48" s="7"/>
      <c r="Y48" s="7"/>
      <c r="Z48" s="7"/>
      <c r="AA48" s="7">
        <v>2</v>
      </c>
      <c r="AB48" s="7">
        <v>1</v>
      </c>
      <c r="AC48" s="7"/>
      <c r="AD48" s="7"/>
      <c r="AE48" s="7"/>
      <c r="AF48" s="8"/>
      <c r="AG48" s="4">
        <f t="shared" si="2"/>
        <v>19</v>
      </c>
    </row>
    <row r="49" spans="1:33" ht="18.75" x14ac:dyDescent="0.25">
      <c r="A49" s="41" t="s">
        <v>51</v>
      </c>
      <c r="B49" s="7"/>
      <c r="C49" s="7"/>
      <c r="D49" s="7"/>
      <c r="E49" s="7">
        <v>1</v>
      </c>
      <c r="F49" s="7">
        <v>2</v>
      </c>
      <c r="G49" s="7"/>
      <c r="H49" s="7">
        <v>1</v>
      </c>
      <c r="I49" s="7">
        <v>2</v>
      </c>
      <c r="J49" s="7">
        <v>1</v>
      </c>
      <c r="K49" s="7"/>
      <c r="L49" s="7">
        <v>1</v>
      </c>
      <c r="M49" s="7">
        <v>1</v>
      </c>
      <c r="N49" s="7">
        <v>2</v>
      </c>
      <c r="O49" s="7"/>
      <c r="P49" s="7"/>
      <c r="Q49" s="7">
        <v>1</v>
      </c>
      <c r="R49" s="7"/>
      <c r="S49" s="7"/>
      <c r="T49" s="7"/>
      <c r="U49" s="7"/>
      <c r="V49" s="7">
        <v>1</v>
      </c>
      <c r="W49" s="7">
        <v>2</v>
      </c>
      <c r="X49" s="7"/>
      <c r="Y49" s="7">
        <v>2</v>
      </c>
      <c r="Z49" s="7"/>
      <c r="AA49" s="7"/>
      <c r="AB49" s="7"/>
      <c r="AC49" s="7">
        <v>1</v>
      </c>
      <c r="AD49" s="7"/>
      <c r="AE49" s="7">
        <v>1</v>
      </c>
      <c r="AF49" s="8">
        <v>1</v>
      </c>
      <c r="AG49" s="4">
        <f t="shared" si="2"/>
        <v>20</v>
      </c>
    </row>
    <row r="50" spans="1:33" ht="18.75" x14ac:dyDescent="0.25">
      <c r="A50" s="41" t="s">
        <v>52</v>
      </c>
      <c r="B50" s="7"/>
      <c r="C50" s="7">
        <v>2</v>
      </c>
      <c r="D50" s="7">
        <v>1</v>
      </c>
      <c r="E50" s="7"/>
      <c r="F50" s="7"/>
      <c r="G50" s="7"/>
      <c r="H50" s="7"/>
      <c r="I50" s="7"/>
      <c r="J50" s="7">
        <v>1</v>
      </c>
      <c r="K50" s="7"/>
      <c r="L50" s="7">
        <v>1</v>
      </c>
      <c r="M50" s="7"/>
      <c r="N50" s="7">
        <v>1</v>
      </c>
      <c r="O50" s="7">
        <v>2</v>
      </c>
      <c r="P50" s="7"/>
      <c r="Q50" s="7"/>
      <c r="R50" s="7"/>
      <c r="S50" s="7"/>
      <c r="T50" s="7"/>
      <c r="U50" s="7">
        <v>2</v>
      </c>
      <c r="V50" s="7"/>
      <c r="W50" s="7">
        <v>1</v>
      </c>
      <c r="X50" s="7"/>
      <c r="Y50" s="7">
        <v>1</v>
      </c>
      <c r="Z50" s="7"/>
      <c r="AA50" s="7">
        <v>1</v>
      </c>
      <c r="AB50" s="7"/>
      <c r="AC50" s="7"/>
      <c r="AD50" s="7"/>
      <c r="AE50" s="7"/>
      <c r="AF50" s="8">
        <v>2</v>
      </c>
      <c r="AG50" s="4">
        <f t="shared" si="2"/>
        <v>15</v>
      </c>
    </row>
    <row r="51" spans="1:33" ht="18.75" x14ac:dyDescent="0.25">
      <c r="A51" s="41" t="s">
        <v>37</v>
      </c>
      <c r="B51" s="7">
        <v>2</v>
      </c>
      <c r="C51" s="7"/>
      <c r="D51" s="7">
        <v>1</v>
      </c>
      <c r="E51" s="7"/>
      <c r="F51" s="7"/>
      <c r="G51" s="7">
        <v>1</v>
      </c>
      <c r="H51" s="7">
        <v>1</v>
      </c>
      <c r="I51" s="7"/>
      <c r="J51" s="7"/>
      <c r="K51" s="7"/>
      <c r="L51" s="7"/>
      <c r="M51" s="7">
        <v>1</v>
      </c>
      <c r="N51" s="7">
        <v>1</v>
      </c>
      <c r="O51" s="7">
        <v>1</v>
      </c>
      <c r="P51" s="7"/>
      <c r="Q51" s="7">
        <v>1</v>
      </c>
      <c r="R51" s="7"/>
      <c r="S51" s="7"/>
      <c r="T51" s="7">
        <v>3</v>
      </c>
      <c r="U51" s="7"/>
      <c r="V51" s="7"/>
      <c r="W51" s="7"/>
      <c r="X51" s="7">
        <v>1</v>
      </c>
      <c r="Y51" s="7">
        <v>1</v>
      </c>
      <c r="Z51" s="7"/>
      <c r="AA51" s="7"/>
      <c r="AB51" s="7"/>
      <c r="AC51" s="7"/>
      <c r="AD51" s="7"/>
      <c r="AE51" s="7"/>
      <c r="AF51" s="8">
        <v>1</v>
      </c>
      <c r="AG51" s="4">
        <f t="shared" si="2"/>
        <v>15</v>
      </c>
    </row>
    <row r="52" spans="1:33" ht="19.5" thickBot="1" x14ac:dyDescent="0.3">
      <c r="A52" s="77" t="s">
        <v>53</v>
      </c>
      <c r="B52" s="9">
        <v>1</v>
      </c>
      <c r="C52" s="9"/>
      <c r="D52" s="9">
        <v>1</v>
      </c>
      <c r="E52" s="9"/>
      <c r="F52" s="9"/>
      <c r="G52" s="9">
        <v>1</v>
      </c>
      <c r="H52" s="9"/>
      <c r="I52" s="9">
        <v>1</v>
      </c>
      <c r="J52" s="9"/>
      <c r="K52" s="9"/>
      <c r="L52" s="9">
        <v>2</v>
      </c>
      <c r="M52" s="9"/>
      <c r="N52" s="9"/>
      <c r="O52" s="9"/>
      <c r="P52" s="9"/>
      <c r="Q52" s="9"/>
      <c r="R52" s="9"/>
      <c r="S52" s="9">
        <v>1</v>
      </c>
      <c r="T52" s="9">
        <v>1</v>
      </c>
      <c r="U52" s="9">
        <v>1</v>
      </c>
      <c r="V52" s="9"/>
      <c r="W52" s="9">
        <v>1</v>
      </c>
      <c r="X52" s="9"/>
      <c r="Y52" s="9"/>
      <c r="Z52" s="9">
        <v>1</v>
      </c>
      <c r="AA52" s="9">
        <v>1</v>
      </c>
      <c r="AB52" s="9"/>
      <c r="AC52" s="9">
        <v>1</v>
      </c>
      <c r="AD52" s="9">
        <v>1</v>
      </c>
      <c r="AE52" s="9"/>
      <c r="AF52" s="10"/>
      <c r="AG52" s="108">
        <f t="shared" si="2"/>
        <v>14</v>
      </c>
    </row>
    <row r="53" spans="1:33" ht="19.5" thickBot="1" x14ac:dyDescent="0.3">
      <c r="A53" s="136" t="s">
        <v>108</v>
      </c>
      <c r="B53" s="135">
        <f t="shared" ref="B53:AF53" si="4">SUM(B54:B77)</f>
        <v>2</v>
      </c>
      <c r="C53" s="135">
        <f t="shared" si="4"/>
        <v>4</v>
      </c>
      <c r="D53" s="135">
        <f t="shared" si="4"/>
        <v>2</v>
      </c>
      <c r="E53" s="135">
        <f t="shared" si="4"/>
        <v>10</v>
      </c>
      <c r="F53" s="135">
        <f t="shared" si="4"/>
        <v>5</v>
      </c>
      <c r="G53" s="135">
        <f t="shared" si="4"/>
        <v>4</v>
      </c>
      <c r="H53" s="135">
        <f t="shared" si="4"/>
        <v>4</v>
      </c>
      <c r="I53" s="135">
        <f t="shared" si="4"/>
        <v>7</v>
      </c>
      <c r="J53" s="135">
        <f t="shared" si="4"/>
        <v>1</v>
      </c>
      <c r="K53" s="135">
        <f t="shared" si="4"/>
        <v>1</v>
      </c>
      <c r="L53" s="135">
        <f t="shared" si="4"/>
        <v>12</v>
      </c>
      <c r="M53" s="135">
        <f t="shared" si="4"/>
        <v>6</v>
      </c>
      <c r="N53" s="135">
        <f t="shared" si="4"/>
        <v>8</v>
      </c>
      <c r="O53" s="135">
        <f t="shared" si="4"/>
        <v>11</v>
      </c>
      <c r="P53" s="135">
        <f t="shared" si="4"/>
        <v>6</v>
      </c>
      <c r="Q53" s="135">
        <f t="shared" si="4"/>
        <v>0</v>
      </c>
      <c r="R53" s="135">
        <f t="shared" si="4"/>
        <v>1</v>
      </c>
      <c r="S53" s="135">
        <f t="shared" si="4"/>
        <v>4</v>
      </c>
      <c r="T53" s="135">
        <f t="shared" si="4"/>
        <v>0</v>
      </c>
      <c r="U53" s="135">
        <f t="shared" si="4"/>
        <v>7</v>
      </c>
      <c r="V53" s="135">
        <f t="shared" si="4"/>
        <v>0</v>
      </c>
      <c r="W53" s="135">
        <f t="shared" si="4"/>
        <v>5</v>
      </c>
      <c r="X53" s="135">
        <f t="shared" si="4"/>
        <v>5</v>
      </c>
      <c r="Y53" s="135">
        <f t="shared" si="4"/>
        <v>5</v>
      </c>
      <c r="Z53" s="135">
        <f t="shared" si="4"/>
        <v>0</v>
      </c>
      <c r="AA53" s="135">
        <f t="shared" si="4"/>
        <v>0</v>
      </c>
      <c r="AB53" s="135">
        <f t="shared" si="4"/>
        <v>0</v>
      </c>
      <c r="AC53" s="135">
        <f t="shared" si="4"/>
        <v>0</v>
      </c>
      <c r="AD53" s="135">
        <f t="shared" si="4"/>
        <v>10</v>
      </c>
      <c r="AE53" s="135">
        <f t="shared" si="4"/>
        <v>2</v>
      </c>
      <c r="AF53" s="135">
        <f t="shared" si="4"/>
        <v>1</v>
      </c>
      <c r="AG53" s="116">
        <f t="shared" si="2"/>
        <v>123</v>
      </c>
    </row>
    <row r="54" spans="1:33" ht="18.75" x14ac:dyDescent="0.25">
      <c r="A54" s="113" t="s">
        <v>54</v>
      </c>
      <c r="B54" s="114"/>
      <c r="C54" s="114"/>
      <c r="D54" s="7"/>
      <c r="E54" s="114">
        <v>2</v>
      </c>
      <c r="F54" s="114"/>
      <c r="G54" s="7"/>
      <c r="H54" s="114"/>
      <c r="I54" s="114">
        <v>1</v>
      </c>
      <c r="J54" s="114"/>
      <c r="K54" s="114"/>
      <c r="L54" s="114">
        <v>2</v>
      </c>
      <c r="M54" s="114">
        <v>1</v>
      </c>
      <c r="N54" s="114"/>
      <c r="O54" s="7">
        <v>1</v>
      </c>
      <c r="P54" s="114"/>
      <c r="Q54" s="114"/>
      <c r="R54" s="114"/>
      <c r="S54" s="114"/>
      <c r="T54" s="114"/>
      <c r="U54" s="114"/>
      <c r="V54" s="114"/>
      <c r="W54" s="114"/>
      <c r="X54" s="114"/>
      <c r="Y54" s="114"/>
      <c r="Z54" s="114"/>
      <c r="AA54" s="114"/>
      <c r="AB54" s="114"/>
      <c r="AC54" s="114"/>
      <c r="AD54" s="114"/>
      <c r="AE54" s="114"/>
      <c r="AF54" s="115"/>
      <c r="AG54" s="132">
        <f t="shared" si="2"/>
        <v>7</v>
      </c>
    </row>
    <row r="55" spans="1:33" ht="18.75" x14ac:dyDescent="0.25">
      <c r="A55" s="41" t="s">
        <v>55</v>
      </c>
      <c r="B55" s="7">
        <v>1</v>
      </c>
      <c r="C55" s="7"/>
      <c r="D55" s="7"/>
      <c r="E55" s="7"/>
      <c r="F55" s="7">
        <v>1</v>
      </c>
      <c r="G55" s="7">
        <v>1</v>
      </c>
      <c r="H55" s="7"/>
      <c r="I55" s="7"/>
      <c r="J55" s="7"/>
      <c r="K55" s="7"/>
      <c r="L55" s="7">
        <v>2</v>
      </c>
      <c r="M55" s="7"/>
      <c r="N55" s="7">
        <v>1</v>
      </c>
      <c r="O55" s="7"/>
      <c r="P55" s="7">
        <v>2</v>
      </c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>
        <v>1</v>
      </c>
      <c r="AE55" s="7"/>
      <c r="AF55" s="8"/>
      <c r="AG55" s="4">
        <f t="shared" si="2"/>
        <v>9</v>
      </c>
    </row>
    <row r="56" spans="1:33" ht="18.75" x14ac:dyDescent="0.25">
      <c r="A56" s="41" t="s">
        <v>56</v>
      </c>
      <c r="B56" s="7">
        <v>1</v>
      </c>
      <c r="C56" s="7">
        <v>1</v>
      </c>
      <c r="D56" s="7"/>
      <c r="E56" s="7">
        <v>3</v>
      </c>
      <c r="F56" s="7"/>
      <c r="G56" s="7"/>
      <c r="H56" s="7"/>
      <c r="I56" s="7"/>
      <c r="J56" s="7"/>
      <c r="K56" s="7"/>
      <c r="L56" s="7"/>
      <c r="M56" s="7"/>
      <c r="N56" s="7">
        <v>1</v>
      </c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>
        <v>1</v>
      </c>
      <c r="AE56" s="7"/>
      <c r="AF56" s="8"/>
      <c r="AG56" s="4">
        <f t="shared" si="2"/>
        <v>7</v>
      </c>
    </row>
    <row r="57" spans="1:33" ht="18.75" x14ac:dyDescent="0.25">
      <c r="A57" s="41" t="s">
        <v>38</v>
      </c>
      <c r="B57" s="7"/>
      <c r="C57" s="7"/>
      <c r="D57" s="7"/>
      <c r="E57" s="7">
        <v>2</v>
      </c>
      <c r="F57" s="7"/>
      <c r="G57" s="7">
        <v>1</v>
      </c>
      <c r="H57" s="7">
        <v>1</v>
      </c>
      <c r="I57" s="7"/>
      <c r="J57" s="7">
        <v>1</v>
      </c>
      <c r="K57" s="7"/>
      <c r="L57" s="7">
        <v>2</v>
      </c>
      <c r="M57" s="7">
        <v>3</v>
      </c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>
        <v>1</v>
      </c>
      <c r="AE57" s="7"/>
      <c r="AF57" s="8"/>
      <c r="AG57" s="4">
        <f t="shared" si="2"/>
        <v>11</v>
      </c>
    </row>
    <row r="58" spans="1:33" ht="18.75" x14ac:dyDescent="0.25">
      <c r="A58" s="41" t="s">
        <v>39</v>
      </c>
      <c r="B58" s="7"/>
      <c r="C58" s="7"/>
      <c r="D58" s="7"/>
      <c r="E58" s="7"/>
      <c r="F58" s="7"/>
      <c r="G58" s="7"/>
      <c r="H58" s="7"/>
      <c r="I58" s="7"/>
      <c r="J58" s="7"/>
      <c r="K58" s="7"/>
      <c r="L58" s="7">
        <v>2</v>
      </c>
      <c r="M58" s="7"/>
      <c r="N58" s="7">
        <v>1</v>
      </c>
      <c r="O58" s="7"/>
      <c r="P58" s="7"/>
      <c r="Q58" s="7"/>
      <c r="R58" s="7"/>
      <c r="S58" s="7">
        <v>1</v>
      </c>
      <c r="T58" s="7"/>
      <c r="U58" s="7">
        <v>1</v>
      </c>
      <c r="V58" s="7"/>
      <c r="W58" s="7"/>
      <c r="X58" s="7"/>
      <c r="Y58" s="7"/>
      <c r="Z58" s="7"/>
      <c r="AA58" s="7"/>
      <c r="AB58" s="7"/>
      <c r="AC58" s="7"/>
      <c r="AD58" s="7">
        <v>1</v>
      </c>
      <c r="AE58" s="7">
        <v>1</v>
      </c>
      <c r="AF58" s="8"/>
      <c r="AG58" s="4">
        <f t="shared" si="2"/>
        <v>7</v>
      </c>
    </row>
    <row r="59" spans="1:33" ht="18.75" x14ac:dyDescent="0.25">
      <c r="A59" s="41" t="s">
        <v>40</v>
      </c>
      <c r="B59" s="7"/>
      <c r="C59" s="7">
        <v>1</v>
      </c>
      <c r="D59" s="7"/>
      <c r="E59" s="7">
        <v>2</v>
      </c>
      <c r="F59" s="7"/>
      <c r="G59" s="7"/>
      <c r="H59" s="7"/>
      <c r="I59" s="7"/>
      <c r="J59" s="7"/>
      <c r="K59" s="7"/>
      <c r="L59" s="7">
        <v>1</v>
      </c>
      <c r="M59" s="7">
        <v>1</v>
      </c>
      <c r="N59" s="7"/>
      <c r="O59" s="7">
        <v>1</v>
      </c>
      <c r="P59" s="7"/>
      <c r="Q59" s="7"/>
      <c r="R59" s="7"/>
      <c r="S59" s="7"/>
      <c r="T59" s="7"/>
      <c r="U59" s="7"/>
      <c r="V59" s="7"/>
      <c r="W59" s="7">
        <v>1</v>
      </c>
      <c r="X59" s="7"/>
      <c r="Y59" s="7"/>
      <c r="Z59" s="7"/>
      <c r="AA59" s="7"/>
      <c r="AB59" s="7"/>
      <c r="AC59" s="7"/>
      <c r="AD59" s="7">
        <v>2</v>
      </c>
      <c r="AE59" s="7"/>
      <c r="AF59" s="8"/>
      <c r="AG59" s="4">
        <f t="shared" si="2"/>
        <v>9</v>
      </c>
    </row>
    <row r="60" spans="1:33" ht="18.75" x14ac:dyDescent="0.25">
      <c r="A60" s="41" t="s">
        <v>41</v>
      </c>
      <c r="B60" s="7"/>
      <c r="C60" s="7"/>
      <c r="D60" s="7"/>
      <c r="E60" s="7"/>
      <c r="F60" s="7"/>
      <c r="G60" s="7"/>
      <c r="H60" s="7"/>
      <c r="I60" s="7"/>
      <c r="J60" s="7"/>
      <c r="K60" s="7"/>
      <c r="L60" s="7">
        <v>1</v>
      </c>
      <c r="M60" s="7"/>
      <c r="N60" s="7">
        <v>2</v>
      </c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>
        <v>1</v>
      </c>
      <c r="AE60" s="7"/>
      <c r="AF60" s="8">
        <v>1</v>
      </c>
      <c r="AG60" s="4">
        <f t="shared" si="2"/>
        <v>5</v>
      </c>
    </row>
    <row r="61" spans="1:33" ht="18.75" x14ac:dyDescent="0.25">
      <c r="A61" s="41" t="s">
        <v>42</v>
      </c>
      <c r="B61" s="7"/>
      <c r="C61" s="7"/>
      <c r="D61" s="7">
        <v>1</v>
      </c>
      <c r="E61" s="7">
        <v>1</v>
      </c>
      <c r="F61" s="7">
        <v>1</v>
      </c>
      <c r="G61" s="7">
        <v>1</v>
      </c>
      <c r="H61" s="7"/>
      <c r="I61" s="7">
        <v>1</v>
      </c>
      <c r="J61" s="7"/>
      <c r="K61" s="7"/>
      <c r="L61" s="7">
        <v>1</v>
      </c>
      <c r="M61" s="7"/>
      <c r="N61" s="7">
        <v>1</v>
      </c>
      <c r="O61" s="7">
        <v>2</v>
      </c>
      <c r="P61" s="7"/>
      <c r="Q61" s="7"/>
      <c r="R61" s="7"/>
      <c r="S61" s="7"/>
      <c r="T61" s="7"/>
      <c r="U61" s="7"/>
      <c r="V61" s="7"/>
      <c r="W61" s="7">
        <v>1</v>
      </c>
      <c r="X61" s="7"/>
      <c r="Y61" s="7">
        <v>1</v>
      </c>
      <c r="Z61" s="7"/>
      <c r="AA61" s="7"/>
      <c r="AB61" s="7"/>
      <c r="AC61" s="7"/>
      <c r="AD61" s="7">
        <v>1</v>
      </c>
      <c r="AE61" s="7"/>
      <c r="AF61" s="8"/>
      <c r="AG61" s="4">
        <f t="shared" si="2"/>
        <v>12</v>
      </c>
    </row>
    <row r="62" spans="1:33" ht="18.75" x14ac:dyDescent="0.25">
      <c r="A62" s="41" t="s">
        <v>43</v>
      </c>
      <c r="B62" s="7"/>
      <c r="C62" s="7"/>
      <c r="D62" s="7"/>
      <c r="E62" s="7"/>
      <c r="F62" s="7">
        <v>1</v>
      </c>
      <c r="G62" s="7">
        <v>1</v>
      </c>
      <c r="H62" s="7"/>
      <c r="I62" s="7">
        <v>2</v>
      </c>
      <c r="J62" s="7"/>
      <c r="K62" s="7"/>
      <c r="L62" s="7"/>
      <c r="M62" s="7">
        <v>1</v>
      </c>
      <c r="N62" s="7"/>
      <c r="O62" s="7">
        <v>2</v>
      </c>
      <c r="P62" s="7">
        <v>1</v>
      </c>
      <c r="Q62" s="7"/>
      <c r="R62" s="7"/>
      <c r="S62" s="7"/>
      <c r="T62" s="7"/>
      <c r="U62" s="7">
        <v>1</v>
      </c>
      <c r="V62" s="7"/>
      <c r="W62" s="7"/>
      <c r="X62" s="7">
        <v>1</v>
      </c>
      <c r="Y62" s="7"/>
      <c r="Z62" s="7"/>
      <c r="AA62" s="7"/>
      <c r="AB62" s="7"/>
      <c r="AC62" s="7"/>
      <c r="AD62" s="7">
        <v>1</v>
      </c>
      <c r="AE62" s="7"/>
      <c r="AF62" s="8"/>
      <c r="AG62" s="4">
        <f t="shared" si="2"/>
        <v>11</v>
      </c>
    </row>
    <row r="63" spans="1:33" ht="18.75" x14ac:dyDescent="0.25">
      <c r="A63" s="41" t="s">
        <v>44</v>
      </c>
      <c r="B63" s="7"/>
      <c r="C63" s="7"/>
      <c r="D63" s="7"/>
      <c r="E63" s="7"/>
      <c r="F63" s="7"/>
      <c r="G63" s="7"/>
      <c r="H63" s="7">
        <v>1</v>
      </c>
      <c r="I63" s="7"/>
      <c r="J63" s="7"/>
      <c r="K63" s="7"/>
      <c r="L63" s="7"/>
      <c r="M63" s="7"/>
      <c r="N63" s="7">
        <v>1</v>
      </c>
      <c r="O63" s="7">
        <v>1</v>
      </c>
      <c r="P63" s="7"/>
      <c r="Q63" s="7"/>
      <c r="R63" s="7"/>
      <c r="S63" s="7">
        <v>1</v>
      </c>
      <c r="T63" s="7"/>
      <c r="U63" s="7">
        <v>3</v>
      </c>
      <c r="V63" s="7"/>
      <c r="W63" s="7"/>
      <c r="X63" s="7"/>
      <c r="Y63" s="7">
        <v>1</v>
      </c>
      <c r="Z63" s="7"/>
      <c r="AA63" s="7"/>
      <c r="AB63" s="7"/>
      <c r="AC63" s="7"/>
      <c r="AD63" s="7"/>
      <c r="AE63" s="7"/>
      <c r="AF63" s="8"/>
      <c r="AG63" s="4">
        <f t="shared" si="2"/>
        <v>8</v>
      </c>
    </row>
    <row r="64" spans="1:33" ht="18.75" x14ac:dyDescent="0.25">
      <c r="A64" s="41" t="s">
        <v>45</v>
      </c>
      <c r="B64" s="7"/>
      <c r="C64" s="7">
        <v>1</v>
      </c>
      <c r="D64" s="7"/>
      <c r="E64" s="7"/>
      <c r="F64" s="7">
        <v>1</v>
      </c>
      <c r="G64" s="7"/>
      <c r="H64" s="7"/>
      <c r="I64" s="7"/>
      <c r="J64" s="7"/>
      <c r="K64" s="7"/>
      <c r="L64" s="7"/>
      <c r="M64" s="7"/>
      <c r="N64" s="7"/>
      <c r="O64" s="7">
        <v>2</v>
      </c>
      <c r="P64" s="7">
        <v>2</v>
      </c>
      <c r="Q64" s="7"/>
      <c r="R64" s="7"/>
      <c r="S64" s="7">
        <v>1</v>
      </c>
      <c r="T64" s="7"/>
      <c r="U64" s="7">
        <v>1</v>
      </c>
      <c r="V64" s="7"/>
      <c r="W64" s="7">
        <v>1</v>
      </c>
      <c r="X64" s="7">
        <v>4</v>
      </c>
      <c r="Y64" s="7">
        <v>2</v>
      </c>
      <c r="Z64" s="7"/>
      <c r="AA64" s="7"/>
      <c r="AB64" s="7"/>
      <c r="AC64" s="7"/>
      <c r="AD64" s="7"/>
      <c r="AE64" s="7"/>
      <c r="AF64" s="8"/>
      <c r="AG64" s="4">
        <f t="shared" si="2"/>
        <v>15</v>
      </c>
    </row>
    <row r="65" spans="1:33" ht="18.75" x14ac:dyDescent="0.25">
      <c r="A65" s="41" t="s">
        <v>46</v>
      </c>
      <c r="B65" s="7"/>
      <c r="C65" s="7"/>
      <c r="D65" s="7"/>
      <c r="E65" s="7"/>
      <c r="F65" s="7">
        <v>1</v>
      </c>
      <c r="G65" s="7"/>
      <c r="H65" s="7">
        <v>2</v>
      </c>
      <c r="I65" s="7"/>
      <c r="J65" s="7"/>
      <c r="K65" s="7"/>
      <c r="L65" s="7"/>
      <c r="M65" s="7"/>
      <c r="N65" s="7">
        <v>1</v>
      </c>
      <c r="O65" s="7">
        <v>2</v>
      </c>
      <c r="P65" s="7">
        <v>1</v>
      </c>
      <c r="Q65" s="7"/>
      <c r="R65" s="7">
        <v>1</v>
      </c>
      <c r="S65" s="7">
        <v>1</v>
      </c>
      <c r="T65" s="7"/>
      <c r="U65" s="7"/>
      <c r="V65" s="7"/>
      <c r="W65" s="7">
        <v>1</v>
      </c>
      <c r="X65" s="7"/>
      <c r="Y65" s="7"/>
      <c r="Z65" s="7"/>
      <c r="AA65" s="7"/>
      <c r="AB65" s="7"/>
      <c r="AC65" s="7"/>
      <c r="AD65" s="7"/>
      <c r="AE65" s="7"/>
      <c r="AF65" s="8"/>
      <c r="AG65" s="4">
        <f t="shared" si="2"/>
        <v>10</v>
      </c>
    </row>
    <row r="66" spans="1:33" ht="18.75" x14ac:dyDescent="0.25">
      <c r="A66" s="41" t="s">
        <v>47</v>
      </c>
      <c r="B66" s="7"/>
      <c r="C66" s="7"/>
      <c r="D66" s="7"/>
      <c r="E66" s="7"/>
      <c r="F66" s="7"/>
      <c r="G66" s="7"/>
      <c r="H66" s="7"/>
      <c r="I66" s="7">
        <v>1</v>
      </c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>
        <v>1</v>
      </c>
      <c r="V66" s="7"/>
      <c r="W66" s="7"/>
      <c r="X66" s="7"/>
      <c r="Y66" s="7"/>
      <c r="Z66" s="7"/>
      <c r="AA66" s="7"/>
      <c r="AB66" s="7"/>
      <c r="AC66" s="7"/>
      <c r="AD66" s="7"/>
      <c r="AE66" s="7"/>
      <c r="AF66" s="8"/>
      <c r="AG66" s="4">
        <f t="shared" si="2"/>
        <v>2</v>
      </c>
    </row>
    <row r="67" spans="1:33" ht="18.75" x14ac:dyDescent="0.25">
      <c r="A67" s="41" t="s">
        <v>48</v>
      </c>
      <c r="B67" s="7"/>
      <c r="C67" s="7"/>
      <c r="D67" s="7"/>
      <c r="E67" s="7"/>
      <c r="F67" s="7"/>
      <c r="G67" s="7"/>
      <c r="H67" s="7"/>
      <c r="I67" s="7"/>
      <c r="J67" s="7"/>
      <c r="K67" s="7"/>
      <c r="L67" s="7">
        <v>1</v>
      </c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8"/>
      <c r="AG67" s="4">
        <f t="shared" si="2"/>
        <v>1</v>
      </c>
    </row>
    <row r="68" spans="1:33" ht="18.75" x14ac:dyDescent="0.25">
      <c r="A68" s="41" t="s">
        <v>49</v>
      </c>
      <c r="B68" s="7"/>
      <c r="C68" s="7"/>
      <c r="D68" s="7"/>
      <c r="E68" s="7"/>
      <c r="F68" s="7"/>
      <c r="G68" s="7"/>
      <c r="H68" s="7"/>
      <c r="I68" s="7"/>
      <c r="J68" s="7"/>
      <c r="K68" s="7">
        <v>1</v>
      </c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8"/>
      <c r="AG68" s="4">
        <f t="shared" si="2"/>
        <v>1</v>
      </c>
    </row>
    <row r="69" spans="1:33" ht="18.75" x14ac:dyDescent="0.25">
      <c r="A69" s="41" t="s">
        <v>50</v>
      </c>
      <c r="B69" s="7"/>
      <c r="C69" s="7">
        <v>1</v>
      </c>
      <c r="D69" s="7"/>
      <c r="E69" s="7"/>
      <c r="F69" s="7"/>
      <c r="G69" s="7"/>
      <c r="H69" s="7"/>
      <c r="I69" s="7">
        <v>1</v>
      </c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>
        <v>1</v>
      </c>
      <c r="AF69" s="8"/>
      <c r="AG69" s="4">
        <f t="shared" si="2"/>
        <v>3</v>
      </c>
    </row>
    <row r="70" spans="1:33" ht="18.75" x14ac:dyDescent="0.25">
      <c r="A70" s="41" t="s">
        <v>33</v>
      </c>
      <c r="B70" s="114"/>
      <c r="C70" s="114"/>
      <c r="D70" s="7"/>
      <c r="E70" s="114"/>
      <c r="F70" s="114"/>
      <c r="G70" s="7"/>
      <c r="H70" s="114"/>
      <c r="I70" s="7"/>
      <c r="J70" s="114"/>
      <c r="K70" s="114"/>
      <c r="L70" s="114"/>
      <c r="M70" s="114"/>
      <c r="N70" s="114"/>
      <c r="O70" s="7"/>
      <c r="P70" s="114"/>
      <c r="Q70" s="114"/>
      <c r="R70" s="114"/>
      <c r="S70" s="114"/>
      <c r="T70" s="114"/>
      <c r="U70" s="114"/>
      <c r="V70" s="114"/>
      <c r="W70" s="114"/>
      <c r="X70" s="114"/>
      <c r="Y70" s="114"/>
      <c r="Z70" s="114"/>
      <c r="AA70" s="114"/>
      <c r="AB70" s="114"/>
      <c r="AC70" s="114"/>
      <c r="AD70" s="114"/>
      <c r="AE70" s="114"/>
      <c r="AF70" s="115"/>
      <c r="AG70" s="4">
        <f t="shared" si="2"/>
        <v>0</v>
      </c>
    </row>
    <row r="71" spans="1:33" ht="18.75" x14ac:dyDescent="0.25">
      <c r="A71" s="41" t="s">
        <v>34</v>
      </c>
      <c r="B71" s="114"/>
      <c r="C71" s="114"/>
      <c r="D71" s="7"/>
      <c r="E71" s="114"/>
      <c r="F71" s="114"/>
      <c r="G71" s="7"/>
      <c r="H71" s="114"/>
      <c r="I71" s="7">
        <v>1</v>
      </c>
      <c r="J71" s="114"/>
      <c r="K71" s="114"/>
      <c r="L71" s="114"/>
      <c r="M71" s="114"/>
      <c r="N71" s="114"/>
      <c r="O71" s="7"/>
      <c r="P71" s="114"/>
      <c r="Q71" s="114"/>
      <c r="R71" s="114"/>
      <c r="S71" s="114"/>
      <c r="T71" s="114"/>
      <c r="U71" s="114"/>
      <c r="V71" s="114"/>
      <c r="W71" s="114">
        <v>1</v>
      </c>
      <c r="X71" s="114"/>
      <c r="Y71" s="114"/>
      <c r="Z71" s="114"/>
      <c r="AA71" s="114"/>
      <c r="AB71" s="114"/>
      <c r="AC71" s="114"/>
      <c r="AD71" s="114">
        <v>1</v>
      </c>
      <c r="AE71" s="114"/>
      <c r="AF71" s="115"/>
      <c r="AG71" s="4">
        <f t="shared" si="2"/>
        <v>3</v>
      </c>
    </row>
    <row r="72" spans="1:33" ht="18.75" x14ac:dyDescent="0.25">
      <c r="A72" s="41" t="s">
        <v>35</v>
      </c>
      <c r="B72" s="114"/>
      <c r="C72" s="114"/>
      <c r="D72" s="7">
        <v>1</v>
      </c>
      <c r="E72" s="114"/>
      <c r="F72" s="114"/>
      <c r="G72" s="7"/>
      <c r="H72" s="114"/>
      <c r="I72" s="7"/>
      <c r="J72" s="114"/>
      <c r="K72" s="114"/>
      <c r="L72" s="114"/>
      <c r="M72" s="114"/>
      <c r="N72" s="114"/>
      <c r="O72" s="7"/>
      <c r="P72" s="114"/>
      <c r="Q72" s="114"/>
      <c r="R72" s="114"/>
      <c r="S72" s="114"/>
      <c r="T72" s="114"/>
      <c r="U72" s="114"/>
      <c r="V72" s="114"/>
      <c r="W72" s="114"/>
      <c r="X72" s="114"/>
      <c r="Y72" s="114"/>
      <c r="Z72" s="114"/>
      <c r="AA72" s="114"/>
      <c r="AB72" s="114"/>
      <c r="AC72" s="114"/>
      <c r="AD72" s="114"/>
      <c r="AE72" s="114"/>
      <c r="AF72" s="115"/>
      <c r="AG72" s="4">
        <f t="shared" si="2"/>
        <v>1</v>
      </c>
    </row>
    <row r="73" spans="1:33" ht="18.75" x14ac:dyDescent="0.25">
      <c r="A73" s="41" t="s">
        <v>36</v>
      </c>
      <c r="B73" s="114"/>
      <c r="C73" s="114"/>
      <c r="D73" s="7"/>
      <c r="E73" s="114"/>
      <c r="F73" s="114"/>
      <c r="G73" s="7"/>
      <c r="H73" s="114"/>
      <c r="I73" s="7"/>
      <c r="J73" s="114"/>
      <c r="K73" s="114"/>
      <c r="L73" s="114"/>
      <c r="M73" s="114"/>
      <c r="N73" s="114"/>
      <c r="O73" s="7"/>
      <c r="P73" s="114"/>
      <c r="Q73" s="114"/>
      <c r="R73" s="114"/>
      <c r="S73" s="114"/>
      <c r="T73" s="114"/>
      <c r="U73" s="114"/>
      <c r="V73" s="114"/>
      <c r="W73" s="114"/>
      <c r="X73" s="114"/>
      <c r="Y73" s="114"/>
      <c r="Z73" s="114"/>
      <c r="AA73" s="114"/>
      <c r="AB73" s="114"/>
      <c r="AC73" s="114"/>
      <c r="AD73" s="114"/>
      <c r="AE73" s="114"/>
      <c r="AF73" s="115"/>
      <c r="AG73" s="4">
        <f t="shared" si="2"/>
        <v>0</v>
      </c>
    </row>
    <row r="74" spans="1:33" ht="18.75" x14ac:dyDescent="0.25">
      <c r="A74" s="41" t="s">
        <v>51</v>
      </c>
      <c r="B74" s="114"/>
      <c r="C74" s="114"/>
      <c r="D74" s="7"/>
      <c r="E74" s="114"/>
      <c r="F74" s="114"/>
      <c r="G74" s="7"/>
      <c r="H74" s="114"/>
      <c r="I74" s="7"/>
      <c r="J74" s="114"/>
      <c r="K74" s="114"/>
      <c r="L74" s="114"/>
      <c r="M74" s="114"/>
      <c r="N74" s="114"/>
      <c r="O74" s="7"/>
      <c r="P74" s="114"/>
      <c r="Q74" s="114"/>
      <c r="R74" s="114"/>
      <c r="S74" s="114"/>
      <c r="T74" s="114"/>
      <c r="U74" s="114"/>
      <c r="V74" s="114"/>
      <c r="W74" s="114"/>
      <c r="X74" s="114"/>
      <c r="Y74" s="114"/>
      <c r="Z74" s="114"/>
      <c r="AA74" s="114"/>
      <c r="AB74" s="114"/>
      <c r="AC74" s="114"/>
      <c r="AD74" s="114"/>
      <c r="AE74" s="114"/>
      <c r="AF74" s="115"/>
      <c r="AG74" s="4">
        <f t="shared" si="2"/>
        <v>0</v>
      </c>
    </row>
    <row r="75" spans="1:33" ht="18.75" x14ac:dyDescent="0.25">
      <c r="A75" s="41" t="s">
        <v>52</v>
      </c>
      <c r="B75" s="114"/>
      <c r="C75" s="114"/>
      <c r="D75" s="7"/>
      <c r="E75" s="114"/>
      <c r="F75" s="114"/>
      <c r="G75" s="7"/>
      <c r="H75" s="114"/>
      <c r="I75" s="7"/>
      <c r="J75" s="114"/>
      <c r="K75" s="114"/>
      <c r="L75" s="114"/>
      <c r="M75" s="114"/>
      <c r="N75" s="114"/>
      <c r="O75" s="7"/>
      <c r="P75" s="114"/>
      <c r="Q75" s="114"/>
      <c r="R75" s="114"/>
      <c r="S75" s="114"/>
      <c r="T75" s="114"/>
      <c r="U75" s="114"/>
      <c r="V75" s="114"/>
      <c r="W75" s="114"/>
      <c r="X75" s="114"/>
      <c r="Y75" s="114">
        <v>1</v>
      </c>
      <c r="Z75" s="114"/>
      <c r="AA75" s="114"/>
      <c r="AB75" s="114"/>
      <c r="AC75" s="114"/>
      <c r="AD75" s="114"/>
      <c r="AE75" s="114"/>
      <c r="AF75" s="115"/>
      <c r="AG75" s="4">
        <f t="shared" si="2"/>
        <v>1</v>
      </c>
    </row>
    <row r="76" spans="1:33" ht="18.75" x14ac:dyDescent="0.25">
      <c r="A76" s="41" t="s">
        <v>37</v>
      </c>
      <c r="B76" s="114"/>
      <c r="C76" s="114"/>
      <c r="D76" s="7"/>
      <c r="E76" s="114"/>
      <c r="F76" s="114"/>
      <c r="G76" s="7"/>
      <c r="H76" s="114"/>
      <c r="I76" s="7"/>
      <c r="J76" s="114"/>
      <c r="K76" s="114"/>
      <c r="L76" s="114"/>
      <c r="M76" s="114"/>
      <c r="N76" s="114"/>
      <c r="O76" s="7"/>
      <c r="P76" s="114"/>
      <c r="Q76" s="114"/>
      <c r="R76" s="114"/>
      <c r="S76" s="114"/>
      <c r="T76" s="114"/>
      <c r="U76" s="114"/>
      <c r="V76" s="114"/>
      <c r="W76" s="114"/>
      <c r="X76" s="114"/>
      <c r="Y76" s="114"/>
      <c r="Z76" s="114"/>
      <c r="AA76" s="114"/>
      <c r="AB76" s="114"/>
      <c r="AC76" s="114"/>
      <c r="AD76" s="114"/>
      <c r="AE76" s="114"/>
      <c r="AF76" s="115"/>
      <c r="AG76" s="4">
        <f t="shared" si="2"/>
        <v>0</v>
      </c>
    </row>
    <row r="77" spans="1:33" ht="19.5" thickBot="1" x14ac:dyDescent="0.3">
      <c r="A77" s="134" t="s">
        <v>53</v>
      </c>
      <c r="B77" s="166"/>
      <c r="C77" s="166"/>
      <c r="D77" s="9"/>
      <c r="E77" s="166"/>
      <c r="F77" s="166"/>
      <c r="G77" s="9"/>
      <c r="H77" s="166"/>
      <c r="I77" s="9"/>
      <c r="J77" s="166"/>
      <c r="K77" s="166"/>
      <c r="L77" s="166"/>
      <c r="M77" s="166"/>
      <c r="N77" s="166"/>
      <c r="O77" s="9"/>
      <c r="P77" s="166"/>
      <c r="Q77" s="166"/>
      <c r="R77" s="166"/>
      <c r="S77" s="166"/>
      <c r="T77" s="166"/>
      <c r="U77" s="166"/>
      <c r="V77" s="166"/>
      <c r="W77" s="166"/>
      <c r="X77" s="166"/>
      <c r="Y77" s="166"/>
      <c r="Z77" s="166"/>
      <c r="AA77" s="166"/>
      <c r="AB77" s="166"/>
      <c r="AC77" s="166"/>
      <c r="AD77" s="166"/>
      <c r="AE77" s="166"/>
      <c r="AF77" s="167"/>
      <c r="AG77" s="108">
        <f t="shared" si="2"/>
        <v>0</v>
      </c>
    </row>
    <row r="78" spans="1:33" ht="19.5" hidden="1" customHeight="1" thickBot="1" x14ac:dyDescent="0.3">
      <c r="A78" s="183" t="s">
        <v>99</v>
      </c>
      <c r="B78" s="185">
        <f t="shared" ref="B78:AF78" si="5">SUM(B79:B80)</f>
        <v>73</v>
      </c>
      <c r="C78" s="185">
        <f t="shared" si="5"/>
        <v>79</v>
      </c>
      <c r="D78" s="185">
        <f t="shared" si="5"/>
        <v>70</v>
      </c>
      <c r="E78" s="184">
        <f t="shared" si="5"/>
        <v>94</v>
      </c>
      <c r="F78" s="184">
        <f t="shared" si="5"/>
        <v>68</v>
      </c>
      <c r="G78" s="184">
        <f t="shared" si="5"/>
        <v>61</v>
      </c>
      <c r="H78" s="184">
        <f t="shared" si="5"/>
        <v>73</v>
      </c>
      <c r="I78" s="184">
        <f t="shared" si="5"/>
        <v>91</v>
      </c>
      <c r="J78" s="184">
        <f t="shared" si="5"/>
        <v>60</v>
      </c>
      <c r="K78" s="184">
        <f t="shared" si="5"/>
        <v>69</v>
      </c>
      <c r="L78" s="184">
        <f t="shared" si="5"/>
        <v>111</v>
      </c>
      <c r="M78" s="184">
        <f t="shared" si="5"/>
        <v>104</v>
      </c>
      <c r="N78" s="184">
        <f t="shared" si="5"/>
        <v>112</v>
      </c>
      <c r="O78" s="184">
        <f>SUM(O79:O80)</f>
        <v>130</v>
      </c>
      <c r="P78" s="184">
        <f t="shared" si="5"/>
        <v>102</v>
      </c>
      <c r="Q78" s="184">
        <f t="shared" si="5"/>
        <v>75</v>
      </c>
      <c r="R78" s="184">
        <f t="shared" si="5"/>
        <v>69</v>
      </c>
      <c r="S78" s="184">
        <f t="shared" si="5"/>
        <v>85</v>
      </c>
      <c r="T78" s="184">
        <f t="shared" si="5"/>
        <v>71</v>
      </c>
      <c r="U78" s="184">
        <f t="shared" si="5"/>
        <v>96</v>
      </c>
      <c r="V78" s="184">
        <f t="shared" si="5"/>
        <v>72</v>
      </c>
      <c r="W78" s="184">
        <f t="shared" si="5"/>
        <v>112</v>
      </c>
      <c r="X78" s="184">
        <f t="shared" si="5"/>
        <v>82</v>
      </c>
      <c r="Y78" s="184">
        <f t="shared" si="5"/>
        <v>86</v>
      </c>
      <c r="Z78" s="184">
        <f t="shared" si="5"/>
        <v>117</v>
      </c>
      <c r="AA78" s="184">
        <f t="shared" si="5"/>
        <v>87</v>
      </c>
      <c r="AB78" s="184">
        <f t="shared" si="5"/>
        <v>92</v>
      </c>
      <c r="AC78" s="184">
        <f t="shared" si="5"/>
        <v>77</v>
      </c>
      <c r="AD78" s="184">
        <f t="shared" si="5"/>
        <v>84</v>
      </c>
      <c r="AE78" s="184">
        <f t="shared" si="5"/>
        <v>84</v>
      </c>
      <c r="AF78" s="186">
        <f t="shared" si="5"/>
        <v>73</v>
      </c>
      <c r="AG78" s="116">
        <f t="shared" si="2"/>
        <v>2659</v>
      </c>
    </row>
    <row r="79" spans="1:33" ht="19.5" hidden="1" customHeight="1" thickBot="1" x14ac:dyDescent="0.3">
      <c r="A79" s="181" t="s">
        <v>58</v>
      </c>
      <c r="B79" s="114">
        <f t="shared" ref="B79:AF79" si="6">SUM(B4:B27)-B80</f>
        <v>73</v>
      </c>
      <c r="C79" s="114">
        <f t="shared" si="6"/>
        <v>79</v>
      </c>
      <c r="D79" s="114">
        <f t="shared" si="6"/>
        <v>70</v>
      </c>
      <c r="E79" s="114">
        <f t="shared" si="6"/>
        <v>94</v>
      </c>
      <c r="F79" s="114">
        <f t="shared" si="6"/>
        <v>34</v>
      </c>
      <c r="G79" s="114">
        <f t="shared" si="6"/>
        <v>35</v>
      </c>
      <c r="H79" s="114">
        <f t="shared" si="6"/>
        <v>42</v>
      </c>
      <c r="I79" s="114">
        <f t="shared" si="6"/>
        <v>91</v>
      </c>
      <c r="J79" s="114">
        <f t="shared" si="6"/>
        <v>60</v>
      </c>
      <c r="K79" s="114">
        <f t="shared" si="6"/>
        <v>69</v>
      </c>
      <c r="L79" s="114">
        <f t="shared" si="6"/>
        <v>111</v>
      </c>
      <c r="M79" s="114">
        <f t="shared" si="6"/>
        <v>44</v>
      </c>
      <c r="N79" s="114">
        <f t="shared" si="6"/>
        <v>48</v>
      </c>
      <c r="O79" s="114">
        <f t="shared" si="6"/>
        <v>38</v>
      </c>
      <c r="P79" s="114">
        <f t="shared" si="6"/>
        <v>102</v>
      </c>
      <c r="Q79" s="114">
        <f t="shared" si="6"/>
        <v>75</v>
      </c>
      <c r="R79" s="114">
        <f t="shared" si="6"/>
        <v>30</v>
      </c>
      <c r="S79" s="114">
        <f t="shared" si="6"/>
        <v>43</v>
      </c>
      <c r="T79" s="114">
        <f t="shared" si="6"/>
        <v>33</v>
      </c>
      <c r="U79" s="114">
        <f t="shared" si="6"/>
        <v>48</v>
      </c>
      <c r="V79" s="114">
        <f t="shared" si="6"/>
        <v>28</v>
      </c>
      <c r="W79" s="114">
        <f t="shared" si="6"/>
        <v>112</v>
      </c>
      <c r="X79" s="114">
        <f t="shared" si="6"/>
        <v>82</v>
      </c>
      <c r="Y79" s="114">
        <f t="shared" si="6"/>
        <v>31</v>
      </c>
      <c r="Z79" s="114">
        <f t="shared" si="6"/>
        <v>117</v>
      </c>
      <c r="AA79" s="114">
        <f t="shared" si="6"/>
        <v>30</v>
      </c>
      <c r="AB79" s="114">
        <f t="shared" si="6"/>
        <v>37</v>
      </c>
      <c r="AC79" s="114">
        <f t="shared" si="6"/>
        <v>32</v>
      </c>
      <c r="AD79" s="114">
        <f t="shared" si="6"/>
        <v>84</v>
      </c>
      <c r="AE79" s="114">
        <f t="shared" si="6"/>
        <v>84</v>
      </c>
      <c r="AF79" s="114">
        <f t="shared" si="6"/>
        <v>28</v>
      </c>
      <c r="AG79" s="132">
        <f t="shared" si="2"/>
        <v>1884</v>
      </c>
    </row>
    <row r="80" spans="1:33" ht="19.5" hidden="1" customHeight="1" thickBot="1" x14ac:dyDescent="0.3">
      <c r="A80" s="107" t="s">
        <v>57</v>
      </c>
      <c r="B80" s="11"/>
      <c r="C80" s="11"/>
      <c r="D80" s="9">
        <v>0</v>
      </c>
      <c r="E80" s="9">
        <v>0</v>
      </c>
      <c r="F80" s="9">
        <f>SUM(F4:F12)</f>
        <v>34</v>
      </c>
      <c r="G80" s="9">
        <f>SUM(G4:G12)</f>
        <v>26</v>
      </c>
      <c r="H80" s="9">
        <f>SUM(H4:H12)</f>
        <v>31</v>
      </c>
      <c r="I80" s="11"/>
      <c r="J80" s="11"/>
      <c r="K80" s="9">
        <v>0</v>
      </c>
      <c r="L80" s="9">
        <v>0</v>
      </c>
      <c r="M80" s="9">
        <f>SUM(M4:M12)</f>
        <v>60</v>
      </c>
      <c r="N80" s="9">
        <f>SUM(N4:N12)</f>
        <v>64</v>
      </c>
      <c r="O80" s="9">
        <f>SUM(O4:O12)</f>
        <v>92</v>
      </c>
      <c r="P80" s="11"/>
      <c r="Q80" s="11"/>
      <c r="R80" s="9">
        <f>SUM(R4:R12)</f>
        <v>39</v>
      </c>
      <c r="S80" s="9">
        <f>SUM(S4:S12)</f>
        <v>42</v>
      </c>
      <c r="T80" s="9">
        <f>SUM(T4:T12)</f>
        <v>38</v>
      </c>
      <c r="U80" s="9">
        <f>SUM(U4:U12)</f>
        <v>48</v>
      </c>
      <c r="V80" s="9">
        <f>SUM(V4:V12)</f>
        <v>44</v>
      </c>
      <c r="W80" s="11"/>
      <c r="X80" s="11"/>
      <c r="Y80" s="9">
        <f>SUM(Y4:Y12)</f>
        <v>55</v>
      </c>
      <c r="Z80" s="11"/>
      <c r="AA80" s="9">
        <f>SUM(AA4:AA12)</f>
        <v>57</v>
      </c>
      <c r="AB80" s="9">
        <f>SUM(AB4:AB12)</f>
        <v>55</v>
      </c>
      <c r="AC80" s="9">
        <f>SUM(AC4:AC12)</f>
        <v>45</v>
      </c>
      <c r="AD80" s="11"/>
      <c r="AE80" s="11"/>
      <c r="AF80" s="9">
        <f>SUM(AF4:AF12)</f>
        <v>45</v>
      </c>
      <c r="AG80" s="108">
        <f t="shared" si="2"/>
        <v>775</v>
      </c>
    </row>
    <row r="81" spans="1:35" ht="19.5" thickBot="1" x14ac:dyDescent="0.3">
      <c r="A81" s="183" t="s">
        <v>98</v>
      </c>
      <c r="B81" s="184">
        <f t="shared" ref="B81:AF81" si="7">SUM(B82:B83)</f>
        <v>2</v>
      </c>
      <c r="C81" s="184">
        <f t="shared" si="7"/>
        <v>4</v>
      </c>
      <c r="D81" s="184">
        <f t="shared" si="7"/>
        <v>2</v>
      </c>
      <c r="E81" s="184">
        <f t="shared" si="7"/>
        <v>10</v>
      </c>
      <c r="F81" s="184">
        <f t="shared" si="7"/>
        <v>5</v>
      </c>
      <c r="G81" s="184">
        <f t="shared" si="7"/>
        <v>4</v>
      </c>
      <c r="H81" s="184">
        <f t="shared" si="7"/>
        <v>4</v>
      </c>
      <c r="I81" s="184">
        <f t="shared" si="7"/>
        <v>7</v>
      </c>
      <c r="J81" s="184">
        <f t="shared" si="7"/>
        <v>1</v>
      </c>
      <c r="K81" s="184">
        <f t="shared" si="7"/>
        <v>1</v>
      </c>
      <c r="L81" s="184">
        <f t="shared" si="7"/>
        <v>12</v>
      </c>
      <c r="M81" s="184">
        <f t="shared" si="7"/>
        <v>6</v>
      </c>
      <c r="N81" s="184">
        <f t="shared" si="7"/>
        <v>8</v>
      </c>
      <c r="O81" s="184">
        <f t="shared" si="7"/>
        <v>11</v>
      </c>
      <c r="P81" s="184">
        <f t="shared" si="7"/>
        <v>6</v>
      </c>
      <c r="Q81" s="184">
        <f t="shared" si="7"/>
        <v>0</v>
      </c>
      <c r="R81" s="184">
        <f t="shared" si="7"/>
        <v>1</v>
      </c>
      <c r="S81" s="184">
        <f t="shared" si="7"/>
        <v>4</v>
      </c>
      <c r="T81" s="184">
        <f t="shared" si="7"/>
        <v>0</v>
      </c>
      <c r="U81" s="184">
        <f t="shared" si="7"/>
        <v>7</v>
      </c>
      <c r="V81" s="184">
        <f t="shared" si="7"/>
        <v>0</v>
      </c>
      <c r="W81" s="184">
        <f t="shared" si="7"/>
        <v>5</v>
      </c>
      <c r="X81" s="184">
        <f t="shared" si="7"/>
        <v>5</v>
      </c>
      <c r="Y81" s="184">
        <f t="shared" si="7"/>
        <v>5</v>
      </c>
      <c r="Z81" s="184">
        <f>SUM(Z82:Z83)</f>
        <v>0</v>
      </c>
      <c r="AA81" s="184">
        <f t="shared" si="7"/>
        <v>0</v>
      </c>
      <c r="AB81" s="184">
        <f t="shared" si="7"/>
        <v>0</v>
      </c>
      <c r="AC81" s="184">
        <f t="shared" si="7"/>
        <v>0</v>
      </c>
      <c r="AD81" s="184">
        <f t="shared" si="7"/>
        <v>10</v>
      </c>
      <c r="AE81" s="184">
        <f t="shared" si="7"/>
        <v>2</v>
      </c>
      <c r="AF81" s="184">
        <f t="shared" si="7"/>
        <v>1</v>
      </c>
      <c r="AG81" s="116">
        <f t="shared" si="2"/>
        <v>123</v>
      </c>
      <c r="AH81" s="180" t="str">
        <f>IF(AG81&lt;&gt;AG53,"*","")</f>
        <v/>
      </c>
    </row>
    <row r="82" spans="1:35" ht="18.75" x14ac:dyDescent="0.25">
      <c r="A82" s="181" t="s">
        <v>57</v>
      </c>
      <c r="B82" s="182"/>
      <c r="C82" s="182"/>
      <c r="D82" s="182"/>
      <c r="E82" s="114">
        <f t="shared" ref="E82:AD82" si="8">SUM(E54:E62)</f>
        <v>10</v>
      </c>
      <c r="F82" s="114">
        <f t="shared" si="8"/>
        <v>3</v>
      </c>
      <c r="G82" s="114">
        <f t="shared" si="8"/>
        <v>4</v>
      </c>
      <c r="H82" s="114">
        <f t="shared" si="8"/>
        <v>1</v>
      </c>
      <c r="I82" s="114">
        <f t="shared" si="8"/>
        <v>4</v>
      </c>
      <c r="J82" s="182"/>
      <c r="K82" s="182"/>
      <c r="L82" s="114">
        <f t="shared" si="8"/>
        <v>11</v>
      </c>
      <c r="M82" s="114">
        <f t="shared" si="8"/>
        <v>6</v>
      </c>
      <c r="N82" s="114">
        <f t="shared" si="8"/>
        <v>6</v>
      </c>
      <c r="O82" s="114">
        <f t="shared" si="8"/>
        <v>6</v>
      </c>
      <c r="P82" s="114">
        <f t="shared" si="8"/>
        <v>3</v>
      </c>
      <c r="Q82" s="182"/>
      <c r="R82" s="182"/>
      <c r="S82" s="114">
        <f t="shared" si="8"/>
        <v>1</v>
      </c>
      <c r="T82" s="114">
        <f t="shared" si="8"/>
        <v>0</v>
      </c>
      <c r="U82" s="114">
        <f t="shared" si="8"/>
        <v>2</v>
      </c>
      <c r="V82" s="182"/>
      <c r="W82" s="114">
        <f t="shared" si="8"/>
        <v>2</v>
      </c>
      <c r="X82" s="182"/>
      <c r="Y82" s="182"/>
      <c r="Z82" s="114">
        <f t="shared" si="8"/>
        <v>0</v>
      </c>
      <c r="AA82" s="114">
        <f t="shared" si="8"/>
        <v>0</v>
      </c>
      <c r="AB82" s="114">
        <f t="shared" si="8"/>
        <v>0</v>
      </c>
      <c r="AC82" s="114">
        <f t="shared" si="8"/>
        <v>0</v>
      </c>
      <c r="AD82" s="114">
        <f t="shared" si="8"/>
        <v>9</v>
      </c>
      <c r="AE82" s="182"/>
      <c r="AF82" s="182"/>
      <c r="AG82" s="132">
        <f t="shared" si="2"/>
        <v>68</v>
      </c>
    </row>
    <row r="83" spans="1:35" ht="19.5" thickBot="1" x14ac:dyDescent="0.3">
      <c r="A83" s="107" t="s">
        <v>58</v>
      </c>
      <c r="B83" s="9">
        <f t="shared" ref="B83" si="9">SUM(B54:B77)-B82</f>
        <v>2</v>
      </c>
      <c r="C83" s="9">
        <f t="shared" ref="C83" si="10">SUM(C54:C77)-C82</f>
        <v>4</v>
      </c>
      <c r="D83" s="9">
        <f t="shared" ref="D83:AF83" si="11">SUM(D54:D77)-D82</f>
        <v>2</v>
      </c>
      <c r="E83" s="9">
        <f t="shared" si="11"/>
        <v>0</v>
      </c>
      <c r="F83" s="9">
        <f t="shared" si="11"/>
        <v>2</v>
      </c>
      <c r="G83" s="9">
        <f t="shared" si="11"/>
        <v>0</v>
      </c>
      <c r="H83" s="9">
        <f t="shared" si="11"/>
        <v>3</v>
      </c>
      <c r="I83" s="9">
        <f t="shared" si="11"/>
        <v>3</v>
      </c>
      <c r="J83" s="9">
        <f t="shared" si="11"/>
        <v>1</v>
      </c>
      <c r="K83" s="9">
        <f t="shared" si="11"/>
        <v>1</v>
      </c>
      <c r="L83" s="9">
        <f t="shared" si="11"/>
        <v>1</v>
      </c>
      <c r="M83" s="9">
        <f t="shared" si="11"/>
        <v>0</v>
      </c>
      <c r="N83" s="9">
        <f t="shared" si="11"/>
        <v>2</v>
      </c>
      <c r="O83" s="9">
        <f t="shared" si="11"/>
        <v>5</v>
      </c>
      <c r="P83" s="9">
        <f t="shared" si="11"/>
        <v>3</v>
      </c>
      <c r="Q83" s="9">
        <f t="shared" si="11"/>
        <v>0</v>
      </c>
      <c r="R83" s="9">
        <f t="shared" si="11"/>
        <v>1</v>
      </c>
      <c r="S83" s="9">
        <f t="shared" si="11"/>
        <v>3</v>
      </c>
      <c r="T83" s="9">
        <f t="shared" si="11"/>
        <v>0</v>
      </c>
      <c r="U83" s="9">
        <f t="shared" si="11"/>
        <v>5</v>
      </c>
      <c r="V83" s="9">
        <f t="shared" si="11"/>
        <v>0</v>
      </c>
      <c r="W83" s="9">
        <f t="shared" si="11"/>
        <v>3</v>
      </c>
      <c r="X83" s="9">
        <f t="shared" si="11"/>
        <v>5</v>
      </c>
      <c r="Y83" s="9">
        <f t="shared" si="11"/>
        <v>5</v>
      </c>
      <c r="Z83" s="9">
        <f t="shared" si="11"/>
        <v>0</v>
      </c>
      <c r="AA83" s="9">
        <f t="shared" si="11"/>
        <v>0</v>
      </c>
      <c r="AB83" s="9">
        <f t="shared" si="11"/>
        <v>0</v>
      </c>
      <c r="AC83" s="9">
        <f t="shared" si="11"/>
        <v>0</v>
      </c>
      <c r="AD83" s="9">
        <f t="shared" si="11"/>
        <v>1</v>
      </c>
      <c r="AE83" s="9">
        <f t="shared" si="11"/>
        <v>2</v>
      </c>
      <c r="AF83" s="9">
        <f t="shared" si="11"/>
        <v>1</v>
      </c>
      <c r="AG83" s="4">
        <f t="shared" si="2"/>
        <v>55</v>
      </c>
    </row>
    <row r="84" spans="1:35" ht="19.5" thickBot="1" x14ac:dyDescent="0.3">
      <c r="A84" s="164" t="s">
        <v>146</v>
      </c>
      <c r="B84" s="165">
        <f>SUM(B85:B86)</f>
        <v>2</v>
      </c>
      <c r="C84" s="165">
        <f t="shared" ref="C84:AF84" si="12">SUM(C85:C86)</f>
        <v>4</v>
      </c>
      <c r="D84" s="165">
        <f t="shared" si="12"/>
        <v>2</v>
      </c>
      <c r="E84" s="165">
        <f t="shared" si="12"/>
        <v>10</v>
      </c>
      <c r="F84" s="165">
        <f t="shared" si="12"/>
        <v>5</v>
      </c>
      <c r="G84" s="165">
        <f t="shared" si="12"/>
        <v>4</v>
      </c>
      <c r="H84" s="165">
        <f t="shared" si="12"/>
        <v>4</v>
      </c>
      <c r="I84" s="165">
        <f t="shared" si="12"/>
        <v>7</v>
      </c>
      <c r="J84" s="165">
        <f t="shared" si="12"/>
        <v>1</v>
      </c>
      <c r="K84" s="165">
        <f t="shared" si="12"/>
        <v>1</v>
      </c>
      <c r="L84" s="165">
        <f t="shared" si="12"/>
        <v>12</v>
      </c>
      <c r="M84" s="165">
        <f t="shared" si="12"/>
        <v>6</v>
      </c>
      <c r="N84" s="165">
        <f t="shared" si="12"/>
        <v>8</v>
      </c>
      <c r="O84" s="165">
        <f t="shared" si="12"/>
        <v>11</v>
      </c>
      <c r="P84" s="165">
        <f t="shared" si="12"/>
        <v>6</v>
      </c>
      <c r="Q84" s="165">
        <f t="shared" si="12"/>
        <v>0</v>
      </c>
      <c r="R84" s="165">
        <f t="shared" si="12"/>
        <v>1</v>
      </c>
      <c r="S84" s="165">
        <f t="shared" si="12"/>
        <v>4</v>
      </c>
      <c r="T84" s="165">
        <f t="shared" si="12"/>
        <v>0</v>
      </c>
      <c r="U84" s="165">
        <f t="shared" si="12"/>
        <v>7</v>
      </c>
      <c r="V84" s="165">
        <f t="shared" si="12"/>
        <v>0</v>
      </c>
      <c r="W84" s="165">
        <f t="shared" si="12"/>
        <v>5</v>
      </c>
      <c r="X84" s="165">
        <f t="shared" si="12"/>
        <v>5</v>
      </c>
      <c r="Y84" s="165">
        <f t="shared" si="12"/>
        <v>5</v>
      </c>
      <c r="Z84" s="165">
        <f t="shared" si="12"/>
        <v>0</v>
      </c>
      <c r="AA84" s="165">
        <f t="shared" si="12"/>
        <v>0</v>
      </c>
      <c r="AB84" s="165">
        <f t="shared" si="12"/>
        <v>0</v>
      </c>
      <c r="AC84" s="165">
        <f t="shared" si="12"/>
        <v>0</v>
      </c>
      <c r="AD84" s="165">
        <f t="shared" si="12"/>
        <v>10</v>
      </c>
      <c r="AE84" s="165">
        <f t="shared" si="12"/>
        <v>2</v>
      </c>
      <c r="AF84" s="165">
        <f t="shared" si="12"/>
        <v>1</v>
      </c>
      <c r="AG84" s="171">
        <f t="shared" ref="AG84:AG126" si="13">SUM(B84:AF84)</f>
        <v>123</v>
      </c>
      <c r="AH84" s="180" t="str">
        <f>IF(AG84&lt;&gt;AG82+AG83,"*","")</f>
        <v/>
      </c>
      <c r="AI84" s="434" t="s">
        <v>1</v>
      </c>
    </row>
    <row r="85" spans="1:35" ht="18.75" x14ac:dyDescent="0.25">
      <c r="A85" s="72" t="s">
        <v>144</v>
      </c>
      <c r="B85" s="169">
        <v>1</v>
      </c>
      <c r="C85" s="169">
        <v>0</v>
      </c>
      <c r="D85" s="169">
        <v>1</v>
      </c>
      <c r="E85" s="169">
        <v>0</v>
      </c>
      <c r="F85" s="169">
        <v>0</v>
      </c>
      <c r="G85" s="169">
        <v>0</v>
      </c>
      <c r="H85" s="169">
        <v>1</v>
      </c>
      <c r="I85" s="169">
        <v>0</v>
      </c>
      <c r="J85" s="169">
        <v>0</v>
      </c>
      <c r="K85" s="169">
        <v>0</v>
      </c>
      <c r="L85" s="169">
        <v>1</v>
      </c>
      <c r="M85" s="169">
        <v>0</v>
      </c>
      <c r="N85" s="169">
        <v>1</v>
      </c>
      <c r="O85" s="169">
        <v>1</v>
      </c>
      <c r="P85" s="169">
        <v>1</v>
      </c>
      <c r="Q85" s="169">
        <v>0</v>
      </c>
      <c r="R85" s="169">
        <v>0</v>
      </c>
      <c r="S85" s="169">
        <v>0</v>
      </c>
      <c r="T85" s="169">
        <v>0</v>
      </c>
      <c r="U85" s="169">
        <v>0</v>
      </c>
      <c r="V85" s="169">
        <v>0</v>
      </c>
      <c r="W85" s="169">
        <v>0</v>
      </c>
      <c r="X85" s="169">
        <v>3</v>
      </c>
      <c r="Y85" s="169">
        <v>0</v>
      </c>
      <c r="Z85" s="169">
        <v>0</v>
      </c>
      <c r="AA85" s="169">
        <v>0</v>
      </c>
      <c r="AB85" s="169">
        <v>0</v>
      </c>
      <c r="AC85" s="169">
        <v>0</v>
      </c>
      <c r="AD85" s="169">
        <v>0</v>
      </c>
      <c r="AE85" s="169">
        <v>1</v>
      </c>
      <c r="AF85" s="170">
        <v>0</v>
      </c>
      <c r="AG85" s="168">
        <f t="shared" si="13"/>
        <v>11</v>
      </c>
      <c r="AI85" s="435"/>
    </row>
    <row r="86" spans="1:35" ht="19.5" thickBot="1" x14ac:dyDescent="0.3">
      <c r="A86" s="172" t="s">
        <v>145</v>
      </c>
      <c r="B86" s="173">
        <v>1</v>
      </c>
      <c r="C86" s="173">
        <v>4</v>
      </c>
      <c r="D86" s="173">
        <v>1</v>
      </c>
      <c r="E86" s="173">
        <v>10</v>
      </c>
      <c r="F86" s="173">
        <v>5</v>
      </c>
      <c r="G86" s="173">
        <v>4</v>
      </c>
      <c r="H86" s="173">
        <v>3</v>
      </c>
      <c r="I86" s="173">
        <v>7</v>
      </c>
      <c r="J86" s="173">
        <v>1</v>
      </c>
      <c r="K86" s="173">
        <v>1</v>
      </c>
      <c r="L86" s="173">
        <v>11</v>
      </c>
      <c r="M86" s="173">
        <v>6</v>
      </c>
      <c r="N86" s="173">
        <v>7</v>
      </c>
      <c r="O86" s="173">
        <v>10</v>
      </c>
      <c r="P86" s="173">
        <v>5</v>
      </c>
      <c r="Q86" s="173">
        <v>0</v>
      </c>
      <c r="R86" s="173">
        <v>1</v>
      </c>
      <c r="S86" s="173">
        <v>4</v>
      </c>
      <c r="T86" s="173">
        <v>0</v>
      </c>
      <c r="U86" s="173">
        <v>7</v>
      </c>
      <c r="V86" s="173">
        <v>0</v>
      </c>
      <c r="W86" s="173">
        <v>5</v>
      </c>
      <c r="X86" s="173">
        <v>2</v>
      </c>
      <c r="Y86" s="173">
        <v>5</v>
      </c>
      <c r="Z86" s="173">
        <v>0</v>
      </c>
      <c r="AA86" s="173">
        <v>0</v>
      </c>
      <c r="AB86" s="173">
        <v>0</v>
      </c>
      <c r="AC86" s="173">
        <v>0</v>
      </c>
      <c r="AD86" s="173">
        <v>10</v>
      </c>
      <c r="AE86" s="173">
        <v>1</v>
      </c>
      <c r="AF86" s="174">
        <v>1</v>
      </c>
      <c r="AG86" s="176">
        <f t="shared" si="13"/>
        <v>112</v>
      </c>
      <c r="AI86" s="436"/>
    </row>
    <row r="87" spans="1:35" ht="19.5" thickBot="1" x14ac:dyDescent="0.3">
      <c r="A87" s="177" t="s">
        <v>147</v>
      </c>
      <c r="B87" s="178">
        <f>SUM(B88:B92)</f>
        <v>2</v>
      </c>
      <c r="C87" s="178">
        <f t="shared" ref="C87:AF87" si="14">SUM(C88:C92)</f>
        <v>4</v>
      </c>
      <c r="D87" s="178">
        <f t="shared" si="14"/>
        <v>2</v>
      </c>
      <c r="E87" s="178">
        <f t="shared" si="14"/>
        <v>10</v>
      </c>
      <c r="F87" s="178">
        <f t="shared" si="14"/>
        <v>5</v>
      </c>
      <c r="G87" s="178">
        <f t="shared" si="14"/>
        <v>4</v>
      </c>
      <c r="H87" s="178">
        <f t="shared" si="14"/>
        <v>4</v>
      </c>
      <c r="I87" s="178">
        <f t="shared" si="14"/>
        <v>7</v>
      </c>
      <c r="J87" s="178">
        <f t="shared" si="14"/>
        <v>1</v>
      </c>
      <c r="K87" s="178">
        <f t="shared" si="14"/>
        <v>1</v>
      </c>
      <c r="L87" s="178">
        <f t="shared" si="14"/>
        <v>12</v>
      </c>
      <c r="M87" s="178">
        <f t="shared" si="14"/>
        <v>6</v>
      </c>
      <c r="N87" s="178">
        <f t="shared" si="14"/>
        <v>8</v>
      </c>
      <c r="O87" s="178">
        <f t="shared" si="14"/>
        <v>11</v>
      </c>
      <c r="P87" s="178">
        <f t="shared" si="14"/>
        <v>6</v>
      </c>
      <c r="Q87" s="178">
        <f t="shared" si="14"/>
        <v>0</v>
      </c>
      <c r="R87" s="178">
        <f t="shared" si="14"/>
        <v>1</v>
      </c>
      <c r="S87" s="178">
        <f t="shared" si="14"/>
        <v>4</v>
      </c>
      <c r="T87" s="178">
        <f t="shared" si="14"/>
        <v>0</v>
      </c>
      <c r="U87" s="178">
        <f t="shared" si="14"/>
        <v>7</v>
      </c>
      <c r="V87" s="178">
        <f t="shared" si="14"/>
        <v>0</v>
      </c>
      <c r="W87" s="178">
        <f t="shared" si="14"/>
        <v>5</v>
      </c>
      <c r="X87" s="178">
        <f t="shared" si="14"/>
        <v>5</v>
      </c>
      <c r="Y87" s="178">
        <f t="shared" si="14"/>
        <v>5</v>
      </c>
      <c r="Z87" s="178">
        <f t="shared" si="14"/>
        <v>0</v>
      </c>
      <c r="AA87" s="178">
        <f t="shared" si="14"/>
        <v>0</v>
      </c>
      <c r="AB87" s="178">
        <f t="shared" si="14"/>
        <v>0</v>
      </c>
      <c r="AC87" s="178">
        <f t="shared" si="14"/>
        <v>0</v>
      </c>
      <c r="AD87" s="178">
        <f t="shared" si="14"/>
        <v>10</v>
      </c>
      <c r="AE87" s="178">
        <f t="shared" si="14"/>
        <v>2</v>
      </c>
      <c r="AF87" s="178">
        <f t="shared" si="14"/>
        <v>1</v>
      </c>
      <c r="AG87" s="179">
        <f t="shared" si="13"/>
        <v>123</v>
      </c>
      <c r="AH87" s="175" t="str">
        <f>IF(AG87&lt;&gt;AG84,"*","")</f>
        <v/>
      </c>
    </row>
    <row r="88" spans="1:35" ht="18.75" x14ac:dyDescent="0.25">
      <c r="A88" s="104" t="s">
        <v>127</v>
      </c>
      <c r="B88" s="166">
        <v>2</v>
      </c>
      <c r="C88" s="166">
        <v>1</v>
      </c>
      <c r="D88" s="166">
        <v>1</v>
      </c>
      <c r="E88" s="166">
        <v>9</v>
      </c>
      <c r="F88" s="166">
        <v>4</v>
      </c>
      <c r="G88" s="166">
        <v>4</v>
      </c>
      <c r="H88" s="166">
        <v>4</v>
      </c>
      <c r="I88" s="166">
        <v>5</v>
      </c>
      <c r="J88" s="166">
        <v>1</v>
      </c>
      <c r="K88" s="166">
        <v>1</v>
      </c>
      <c r="L88" s="166">
        <v>9</v>
      </c>
      <c r="M88" s="166">
        <v>6</v>
      </c>
      <c r="N88" s="166">
        <v>6</v>
      </c>
      <c r="O88" s="166">
        <v>6</v>
      </c>
      <c r="P88" s="166">
        <v>3</v>
      </c>
      <c r="Q88" s="166"/>
      <c r="R88" s="166">
        <v>1</v>
      </c>
      <c r="S88" s="166">
        <v>2</v>
      </c>
      <c r="T88" s="166"/>
      <c r="U88" s="166">
        <v>7</v>
      </c>
      <c r="V88" s="166"/>
      <c r="W88" s="166">
        <v>1</v>
      </c>
      <c r="X88" s="166">
        <v>1</v>
      </c>
      <c r="Y88" s="166">
        <v>1</v>
      </c>
      <c r="Z88" s="166"/>
      <c r="AA88" s="166"/>
      <c r="AB88" s="166"/>
      <c r="AC88" s="166"/>
      <c r="AD88" s="166">
        <v>6</v>
      </c>
      <c r="AE88" s="166">
        <v>1</v>
      </c>
      <c r="AF88" s="167">
        <v>1</v>
      </c>
      <c r="AG88" s="132">
        <f t="shared" si="13"/>
        <v>83</v>
      </c>
    </row>
    <row r="89" spans="1:35" ht="18.75" x14ac:dyDescent="0.25">
      <c r="A89" s="105" t="s">
        <v>73</v>
      </c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10"/>
      <c r="AG89" s="4">
        <f t="shared" si="13"/>
        <v>0</v>
      </c>
    </row>
    <row r="90" spans="1:35" ht="18.75" x14ac:dyDescent="0.25">
      <c r="A90" s="105" t="s">
        <v>74</v>
      </c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10"/>
      <c r="AG90" s="4">
        <f t="shared" si="13"/>
        <v>0</v>
      </c>
    </row>
    <row r="91" spans="1:35" ht="18.75" x14ac:dyDescent="0.25">
      <c r="A91" s="105" t="s">
        <v>75</v>
      </c>
      <c r="B91" s="9"/>
      <c r="C91" s="9">
        <v>1</v>
      </c>
      <c r="D91" s="9"/>
      <c r="E91" s="9">
        <v>1</v>
      </c>
      <c r="F91" s="9"/>
      <c r="G91" s="9"/>
      <c r="H91" s="9"/>
      <c r="I91" s="9"/>
      <c r="J91" s="9"/>
      <c r="K91" s="9"/>
      <c r="L91" s="9">
        <v>1</v>
      </c>
      <c r="M91" s="9"/>
      <c r="N91" s="9"/>
      <c r="O91" s="9">
        <v>1</v>
      </c>
      <c r="P91" s="9"/>
      <c r="Q91" s="9"/>
      <c r="R91" s="9"/>
      <c r="S91" s="9">
        <v>1</v>
      </c>
      <c r="T91" s="9"/>
      <c r="U91" s="9"/>
      <c r="V91" s="9"/>
      <c r="W91" s="9">
        <v>2</v>
      </c>
      <c r="X91" s="9"/>
      <c r="Y91" s="9">
        <v>3</v>
      </c>
      <c r="Z91" s="9"/>
      <c r="AA91" s="9"/>
      <c r="AB91" s="9"/>
      <c r="AC91" s="9"/>
      <c r="AD91" s="9"/>
      <c r="AE91" s="9">
        <v>1</v>
      </c>
      <c r="AF91" s="10"/>
      <c r="AG91" s="4">
        <f t="shared" si="13"/>
        <v>11</v>
      </c>
    </row>
    <row r="92" spans="1:35" ht="19.5" thickBot="1" x14ac:dyDescent="0.3">
      <c r="A92" s="105" t="s">
        <v>76</v>
      </c>
      <c r="B92" s="9"/>
      <c r="C92" s="9">
        <v>2</v>
      </c>
      <c r="D92" s="9">
        <v>1</v>
      </c>
      <c r="E92" s="9"/>
      <c r="F92" s="9">
        <v>1</v>
      </c>
      <c r="G92" s="9"/>
      <c r="H92" s="9"/>
      <c r="I92" s="9">
        <v>2</v>
      </c>
      <c r="J92" s="9"/>
      <c r="K92" s="9"/>
      <c r="L92" s="9">
        <v>2</v>
      </c>
      <c r="M92" s="9"/>
      <c r="N92" s="9">
        <v>2</v>
      </c>
      <c r="O92" s="9">
        <v>4</v>
      </c>
      <c r="P92" s="9">
        <v>3</v>
      </c>
      <c r="Q92" s="9"/>
      <c r="R92" s="9"/>
      <c r="S92" s="9">
        <v>1</v>
      </c>
      <c r="T92" s="9"/>
      <c r="U92" s="9"/>
      <c r="V92" s="9"/>
      <c r="W92" s="9">
        <v>2</v>
      </c>
      <c r="X92" s="9">
        <v>4</v>
      </c>
      <c r="Y92" s="9">
        <v>1</v>
      </c>
      <c r="Z92" s="9"/>
      <c r="AA92" s="9"/>
      <c r="AB92" s="9"/>
      <c r="AC92" s="9"/>
      <c r="AD92" s="9">
        <v>4</v>
      </c>
      <c r="AE92" s="9"/>
      <c r="AF92" s="10"/>
      <c r="AG92" s="4">
        <f t="shared" si="13"/>
        <v>29</v>
      </c>
    </row>
    <row r="93" spans="1:35" ht="18.75" x14ac:dyDescent="0.25">
      <c r="A93" s="73" t="s">
        <v>615</v>
      </c>
      <c r="B93" s="74">
        <f t="shared" ref="B93:AF93" si="15">+B94+B100</f>
        <v>71</v>
      </c>
      <c r="C93" s="74">
        <f t="shared" si="15"/>
        <v>75</v>
      </c>
      <c r="D93" s="74">
        <f t="shared" si="15"/>
        <v>68</v>
      </c>
      <c r="E93" s="74">
        <f t="shared" si="15"/>
        <v>84</v>
      </c>
      <c r="F93" s="74">
        <f t="shared" si="15"/>
        <v>63</v>
      </c>
      <c r="G93" s="74">
        <f t="shared" si="15"/>
        <v>57</v>
      </c>
      <c r="H93" s="74">
        <f t="shared" si="15"/>
        <v>69</v>
      </c>
      <c r="I93" s="74">
        <f t="shared" si="15"/>
        <v>84</v>
      </c>
      <c r="J93" s="74">
        <f t="shared" si="15"/>
        <v>59</v>
      </c>
      <c r="K93" s="74">
        <f t="shared" si="15"/>
        <v>68</v>
      </c>
      <c r="L93" s="74">
        <f t="shared" si="15"/>
        <v>99</v>
      </c>
      <c r="M93" s="74">
        <f t="shared" si="15"/>
        <v>98</v>
      </c>
      <c r="N93" s="74">
        <f t="shared" si="15"/>
        <v>104</v>
      </c>
      <c r="O93" s="74">
        <f t="shared" si="15"/>
        <v>119</v>
      </c>
      <c r="P93" s="74">
        <f t="shared" si="15"/>
        <v>96</v>
      </c>
      <c r="Q93" s="74">
        <f t="shared" si="15"/>
        <v>75</v>
      </c>
      <c r="R93" s="74">
        <f t="shared" si="15"/>
        <v>68</v>
      </c>
      <c r="S93" s="74">
        <f t="shared" si="15"/>
        <v>81</v>
      </c>
      <c r="T93" s="74">
        <f t="shared" si="15"/>
        <v>71</v>
      </c>
      <c r="U93" s="74">
        <f t="shared" si="15"/>
        <v>89</v>
      </c>
      <c r="V93" s="74">
        <f t="shared" si="15"/>
        <v>72</v>
      </c>
      <c r="W93" s="74">
        <f t="shared" si="15"/>
        <v>107</v>
      </c>
      <c r="X93" s="74">
        <f t="shared" si="15"/>
        <v>77</v>
      </c>
      <c r="Y93" s="74">
        <f t="shared" si="15"/>
        <v>81</v>
      </c>
      <c r="Z93" s="74">
        <f t="shared" si="15"/>
        <v>117</v>
      </c>
      <c r="AA93" s="74">
        <f t="shared" si="15"/>
        <v>87</v>
      </c>
      <c r="AB93" s="74">
        <f t="shared" si="15"/>
        <v>92</v>
      </c>
      <c r="AC93" s="74">
        <f t="shared" si="15"/>
        <v>77</v>
      </c>
      <c r="AD93" s="74">
        <f t="shared" si="15"/>
        <v>74</v>
      </c>
      <c r="AE93" s="74">
        <f t="shared" si="15"/>
        <v>82</v>
      </c>
      <c r="AF93" s="84">
        <f t="shared" si="15"/>
        <v>72</v>
      </c>
      <c r="AG93" s="150">
        <f t="shared" si="13"/>
        <v>2536</v>
      </c>
      <c r="AH93" s="37" t="str">
        <f>IF(AG93&lt;&gt;AG28,"*","")</f>
        <v/>
      </c>
    </row>
    <row r="94" spans="1:35" ht="18.75" x14ac:dyDescent="0.25">
      <c r="A94" s="42" t="s">
        <v>65</v>
      </c>
      <c r="B94" s="17">
        <f t="shared" ref="B94:AF94" si="16">SUM(B95:B99)</f>
        <v>5</v>
      </c>
      <c r="C94" s="17">
        <f t="shared" si="16"/>
        <v>5</v>
      </c>
      <c r="D94" s="17">
        <f t="shared" si="16"/>
        <v>9</v>
      </c>
      <c r="E94" s="17">
        <f t="shared" si="16"/>
        <v>3</v>
      </c>
      <c r="F94" s="17">
        <f t="shared" si="16"/>
        <v>4</v>
      </c>
      <c r="G94" s="17">
        <f t="shared" si="16"/>
        <v>3</v>
      </c>
      <c r="H94" s="17">
        <f t="shared" si="16"/>
        <v>5</v>
      </c>
      <c r="I94" s="17">
        <f t="shared" si="16"/>
        <v>5</v>
      </c>
      <c r="J94" s="17">
        <f t="shared" si="16"/>
        <v>2</v>
      </c>
      <c r="K94" s="17">
        <f t="shared" si="16"/>
        <v>7</v>
      </c>
      <c r="L94" s="17">
        <f t="shared" si="16"/>
        <v>5</v>
      </c>
      <c r="M94" s="17">
        <f t="shared" si="16"/>
        <v>5</v>
      </c>
      <c r="N94" s="17">
        <f t="shared" si="16"/>
        <v>9</v>
      </c>
      <c r="O94" s="17">
        <f t="shared" si="16"/>
        <v>4</v>
      </c>
      <c r="P94" s="17">
        <f t="shared" si="16"/>
        <v>3</v>
      </c>
      <c r="Q94" s="17">
        <f t="shared" si="16"/>
        <v>7</v>
      </c>
      <c r="R94" s="17">
        <f t="shared" si="16"/>
        <v>8</v>
      </c>
      <c r="S94" s="17">
        <f t="shared" si="16"/>
        <v>8</v>
      </c>
      <c r="T94" s="17">
        <f t="shared" si="16"/>
        <v>5</v>
      </c>
      <c r="U94" s="17">
        <f t="shared" si="16"/>
        <v>5</v>
      </c>
      <c r="V94" s="17">
        <f t="shared" si="16"/>
        <v>6</v>
      </c>
      <c r="W94" s="17">
        <f t="shared" si="16"/>
        <v>5</v>
      </c>
      <c r="X94" s="17">
        <f t="shared" si="16"/>
        <v>3</v>
      </c>
      <c r="Y94" s="17">
        <f t="shared" si="16"/>
        <v>5</v>
      </c>
      <c r="Z94" s="17">
        <f t="shared" si="16"/>
        <v>6</v>
      </c>
      <c r="AA94" s="17">
        <f t="shared" si="16"/>
        <v>3</v>
      </c>
      <c r="AB94" s="17">
        <f t="shared" si="16"/>
        <v>10</v>
      </c>
      <c r="AC94" s="17">
        <f t="shared" si="16"/>
        <v>6</v>
      </c>
      <c r="AD94" s="17">
        <f t="shared" si="16"/>
        <v>2</v>
      </c>
      <c r="AE94" s="17">
        <f t="shared" si="16"/>
        <v>7</v>
      </c>
      <c r="AF94" s="18">
        <f t="shared" si="16"/>
        <v>5</v>
      </c>
      <c r="AG94" s="4">
        <f t="shared" si="13"/>
        <v>165</v>
      </c>
    </row>
    <row r="95" spans="1:35" ht="18.75" x14ac:dyDescent="0.25">
      <c r="A95" s="44" t="s">
        <v>81</v>
      </c>
      <c r="B95" s="7"/>
      <c r="C95" s="7"/>
      <c r="D95" s="7"/>
      <c r="E95" s="7"/>
      <c r="F95" s="7"/>
      <c r="G95" s="7"/>
      <c r="H95" s="7"/>
      <c r="I95" s="7">
        <v>1</v>
      </c>
      <c r="J95" s="7"/>
      <c r="K95" s="7">
        <v>1</v>
      </c>
      <c r="L95" s="7"/>
      <c r="M95" s="7">
        <v>1</v>
      </c>
      <c r="N95" s="7">
        <v>1</v>
      </c>
      <c r="O95" s="7"/>
      <c r="P95" s="7">
        <v>1</v>
      </c>
      <c r="Q95" s="7">
        <v>1</v>
      </c>
      <c r="R95" s="7"/>
      <c r="S95" s="7"/>
      <c r="T95" s="7"/>
      <c r="U95" s="7">
        <v>2</v>
      </c>
      <c r="V95" s="7"/>
      <c r="W95" s="7"/>
      <c r="X95" s="7"/>
      <c r="Y95" s="7"/>
      <c r="Z95" s="7"/>
      <c r="AA95" s="7"/>
      <c r="AB95" s="7">
        <v>2</v>
      </c>
      <c r="AC95" s="7">
        <v>1</v>
      </c>
      <c r="AD95" s="7"/>
      <c r="AE95" s="7">
        <v>1</v>
      </c>
      <c r="AF95" s="8">
        <v>1</v>
      </c>
      <c r="AG95" s="4">
        <f t="shared" si="13"/>
        <v>13</v>
      </c>
    </row>
    <row r="96" spans="1:35" ht="18.75" x14ac:dyDescent="0.25">
      <c r="A96" s="45" t="s">
        <v>82</v>
      </c>
      <c r="B96" s="7"/>
      <c r="C96" s="7">
        <v>1</v>
      </c>
      <c r="D96" s="7"/>
      <c r="E96" s="7"/>
      <c r="F96" s="7"/>
      <c r="G96" s="7"/>
      <c r="H96" s="7"/>
      <c r="I96" s="7"/>
      <c r="J96" s="7"/>
      <c r="K96" s="7">
        <v>1</v>
      </c>
      <c r="L96" s="7"/>
      <c r="M96" s="7"/>
      <c r="N96" s="7">
        <v>1</v>
      </c>
      <c r="O96" s="7"/>
      <c r="P96" s="7"/>
      <c r="Q96" s="7"/>
      <c r="R96" s="7"/>
      <c r="S96" s="141">
        <v>1</v>
      </c>
      <c r="T96" s="7"/>
      <c r="U96" s="7"/>
      <c r="V96" s="7">
        <v>1</v>
      </c>
      <c r="W96" s="7"/>
      <c r="X96" s="7"/>
      <c r="Y96" s="7"/>
      <c r="Z96" s="7"/>
      <c r="AA96" s="7"/>
      <c r="AB96" s="7"/>
      <c r="AC96" s="7"/>
      <c r="AD96" s="7"/>
      <c r="AE96" s="7"/>
      <c r="AF96" s="8"/>
      <c r="AG96" s="4">
        <f t="shared" si="13"/>
        <v>5</v>
      </c>
    </row>
    <row r="97" spans="1:33" ht="18.75" x14ac:dyDescent="0.25">
      <c r="A97" s="46" t="s">
        <v>70</v>
      </c>
      <c r="B97" s="7">
        <v>2</v>
      </c>
      <c r="C97" s="7">
        <v>2</v>
      </c>
      <c r="D97" s="7"/>
      <c r="E97" s="7">
        <v>1</v>
      </c>
      <c r="F97" s="7">
        <v>1</v>
      </c>
      <c r="G97" s="7"/>
      <c r="H97" s="7">
        <v>2</v>
      </c>
      <c r="I97" s="7">
        <v>1</v>
      </c>
      <c r="J97" s="7"/>
      <c r="K97" s="7">
        <v>2</v>
      </c>
      <c r="L97" s="7">
        <v>3</v>
      </c>
      <c r="M97" s="7">
        <v>2</v>
      </c>
      <c r="N97" s="7">
        <v>2</v>
      </c>
      <c r="O97" s="7"/>
      <c r="P97" s="7"/>
      <c r="Q97" s="7">
        <v>1</v>
      </c>
      <c r="R97" s="7">
        <v>2</v>
      </c>
      <c r="S97" s="7">
        <v>1</v>
      </c>
      <c r="T97" s="7"/>
      <c r="U97" s="7"/>
      <c r="V97" s="7"/>
      <c r="W97" s="7"/>
      <c r="X97" s="7">
        <v>1</v>
      </c>
      <c r="Y97" s="7"/>
      <c r="Z97" s="7">
        <v>4</v>
      </c>
      <c r="AA97" s="7">
        <v>1</v>
      </c>
      <c r="AB97" s="7">
        <v>2</v>
      </c>
      <c r="AC97" s="7"/>
      <c r="AD97" s="7">
        <v>1</v>
      </c>
      <c r="AE97" s="7">
        <v>1</v>
      </c>
      <c r="AF97" s="8"/>
      <c r="AG97" s="4">
        <f t="shared" si="13"/>
        <v>32</v>
      </c>
    </row>
    <row r="98" spans="1:33" ht="18.75" x14ac:dyDescent="0.25">
      <c r="A98" s="47" t="s">
        <v>6</v>
      </c>
      <c r="B98" s="7">
        <v>3</v>
      </c>
      <c r="C98" s="7">
        <v>1</v>
      </c>
      <c r="D98" s="7">
        <v>5</v>
      </c>
      <c r="E98" s="7"/>
      <c r="F98" s="7">
        <v>1</v>
      </c>
      <c r="G98" s="7"/>
      <c r="H98" s="7">
        <v>2</v>
      </c>
      <c r="I98" s="7"/>
      <c r="J98" s="7">
        <v>1</v>
      </c>
      <c r="K98" s="7">
        <v>3</v>
      </c>
      <c r="L98" s="7">
        <v>2</v>
      </c>
      <c r="M98" s="7">
        <v>1</v>
      </c>
      <c r="N98" s="7">
        <v>3</v>
      </c>
      <c r="O98" s="7">
        <v>4</v>
      </c>
      <c r="P98" s="7">
        <v>2</v>
      </c>
      <c r="Q98" s="7">
        <v>3</v>
      </c>
      <c r="R98" s="7">
        <v>2</v>
      </c>
      <c r="S98" s="7">
        <v>3</v>
      </c>
      <c r="T98" s="7">
        <v>2</v>
      </c>
      <c r="U98" s="7"/>
      <c r="V98" s="7">
        <v>2</v>
      </c>
      <c r="W98" s="7">
        <v>4</v>
      </c>
      <c r="X98" s="7">
        <v>1</v>
      </c>
      <c r="Y98" s="7">
        <v>2</v>
      </c>
      <c r="Z98" s="7"/>
      <c r="AA98" s="7">
        <v>1</v>
      </c>
      <c r="AB98" s="7">
        <v>4</v>
      </c>
      <c r="AC98" s="7"/>
      <c r="AD98" s="7">
        <v>1</v>
      </c>
      <c r="AE98" s="7">
        <v>3</v>
      </c>
      <c r="AF98" s="8"/>
      <c r="AG98" s="4">
        <f t="shared" si="13"/>
        <v>56</v>
      </c>
    </row>
    <row r="99" spans="1:33" ht="18.75" x14ac:dyDescent="0.25">
      <c r="A99" s="48" t="s">
        <v>7</v>
      </c>
      <c r="B99" s="7"/>
      <c r="C99" s="7">
        <v>1</v>
      </c>
      <c r="D99" s="7">
        <v>4</v>
      </c>
      <c r="E99" s="7">
        <v>2</v>
      </c>
      <c r="F99" s="7">
        <v>2</v>
      </c>
      <c r="G99" s="7">
        <v>3</v>
      </c>
      <c r="H99" s="7">
        <v>1</v>
      </c>
      <c r="I99" s="7">
        <v>3</v>
      </c>
      <c r="J99" s="7">
        <v>1</v>
      </c>
      <c r="K99" s="7"/>
      <c r="L99" s="7"/>
      <c r="M99" s="7">
        <v>1</v>
      </c>
      <c r="N99" s="7">
        <v>2</v>
      </c>
      <c r="O99" s="7"/>
      <c r="P99" s="7"/>
      <c r="Q99" s="7">
        <v>2</v>
      </c>
      <c r="R99" s="7">
        <v>4</v>
      </c>
      <c r="S99" s="7">
        <v>3</v>
      </c>
      <c r="T99" s="7">
        <v>3</v>
      </c>
      <c r="U99" s="7">
        <v>3</v>
      </c>
      <c r="V99" s="7">
        <v>3</v>
      </c>
      <c r="W99" s="7">
        <v>1</v>
      </c>
      <c r="X99" s="7">
        <v>1</v>
      </c>
      <c r="Y99" s="7">
        <v>3</v>
      </c>
      <c r="Z99" s="7">
        <v>2</v>
      </c>
      <c r="AA99" s="7">
        <v>1</v>
      </c>
      <c r="AB99" s="7">
        <v>2</v>
      </c>
      <c r="AC99" s="7">
        <v>5</v>
      </c>
      <c r="AD99" s="7"/>
      <c r="AE99" s="7">
        <v>2</v>
      </c>
      <c r="AF99" s="8">
        <v>4</v>
      </c>
      <c r="AG99" s="4">
        <f t="shared" si="13"/>
        <v>59</v>
      </c>
    </row>
    <row r="100" spans="1:33" ht="18.75" x14ac:dyDescent="0.25">
      <c r="A100" s="42" t="s">
        <v>66</v>
      </c>
      <c r="B100" s="17">
        <f t="shared" ref="B100:AF100" si="17">SUM(B101:B115)</f>
        <v>66</v>
      </c>
      <c r="C100" s="17">
        <f t="shared" si="17"/>
        <v>70</v>
      </c>
      <c r="D100" s="17">
        <f t="shared" si="17"/>
        <v>59</v>
      </c>
      <c r="E100" s="17">
        <f t="shared" si="17"/>
        <v>81</v>
      </c>
      <c r="F100" s="17">
        <f t="shared" si="17"/>
        <v>59</v>
      </c>
      <c r="G100" s="17">
        <f t="shared" si="17"/>
        <v>54</v>
      </c>
      <c r="H100" s="17">
        <f t="shared" si="17"/>
        <v>64</v>
      </c>
      <c r="I100" s="17">
        <f t="shared" si="17"/>
        <v>79</v>
      </c>
      <c r="J100" s="17">
        <f t="shared" si="17"/>
        <v>57</v>
      </c>
      <c r="K100" s="17">
        <f t="shared" si="17"/>
        <v>61</v>
      </c>
      <c r="L100" s="17">
        <f t="shared" si="17"/>
        <v>94</v>
      </c>
      <c r="M100" s="17">
        <f t="shared" si="17"/>
        <v>93</v>
      </c>
      <c r="N100" s="17">
        <f t="shared" si="17"/>
        <v>95</v>
      </c>
      <c r="O100" s="17">
        <f t="shared" si="17"/>
        <v>115</v>
      </c>
      <c r="P100" s="17">
        <f t="shared" si="17"/>
        <v>93</v>
      </c>
      <c r="Q100" s="17">
        <f t="shared" si="17"/>
        <v>68</v>
      </c>
      <c r="R100" s="17">
        <f t="shared" si="17"/>
        <v>60</v>
      </c>
      <c r="S100" s="17">
        <f t="shared" si="17"/>
        <v>73</v>
      </c>
      <c r="T100" s="17">
        <f t="shared" si="17"/>
        <v>66</v>
      </c>
      <c r="U100" s="17">
        <f t="shared" si="17"/>
        <v>84</v>
      </c>
      <c r="V100" s="17">
        <f t="shared" si="17"/>
        <v>66</v>
      </c>
      <c r="W100" s="17">
        <f t="shared" si="17"/>
        <v>102</v>
      </c>
      <c r="X100" s="17">
        <f t="shared" si="17"/>
        <v>74</v>
      </c>
      <c r="Y100" s="17">
        <f t="shared" si="17"/>
        <v>76</v>
      </c>
      <c r="Z100" s="17">
        <f t="shared" si="17"/>
        <v>111</v>
      </c>
      <c r="AA100" s="17">
        <f t="shared" si="17"/>
        <v>84</v>
      </c>
      <c r="AB100" s="17">
        <f t="shared" si="17"/>
        <v>82</v>
      </c>
      <c r="AC100" s="17">
        <f t="shared" si="17"/>
        <v>71</v>
      </c>
      <c r="AD100" s="17">
        <f t="shared" si="17"/>
        <v>72</v>
      </c>
      <c r="AE100" s="17">
        <f t="shared" si="17"/>
        <v>75</v>
      </c>
      <c r="AF100" s="18">
        <f t="shared" si="17"/>
        <v>67</v>
      </c>
      <c r="AG100" s="4">
        <f t="shared" si="13"/>
        <v>2371</v>
      </c>
    </row>
    <row r="101" spans="1:33" ht="18.75" x14ac:dyDescent="0.25">
      <c r="A101" s="48" t="s">
        <v>8</v>
      </c>
      <c r="B101" s="7">
        <v>3</v>
      </c>
      <c r="C101" s="7">
        <v>2</v>
      </c>
      <c r="D101" s="7">
        <v>5</v>
      </c>
      <c r="E101" s="7">
        <v>1</v>
      </c>
      <c r="F101" s="7">
        <v>1</v>
      </c>
      <c r="G101" s="7">
        <v>6</v>
      </c>
      <c r="H101" s="7">
        <v>3</v>
      </c>
      <c r="I101" s="7">
        <v>9</v>
      </c>
      <c r="J101" s="7">
        <v>2</v>
      </c>
      <c r="K101" s="7">
        <v>7</v>
      </c>
      <c r="L101" s="7">
        <v>5</v>
      </c>
      <c r="M101" s="7">
        <v>6</v>
      </c>
      <c r="N101" s="7">
        <v>4</v>
      </c>
      <c r="O101" s="7">
        <v>4</v>
      </c>
      <c r="P101" s="7">
        <v>5</v>
      </c>
      <c r="Q101" s="7">
        <v>4</v>
      </c>
      <c r="R101" s="7">
        <v>5</v>
      </c>
      <c r="S101" s="7">
        <v>3</v>
      </c>
      <c r="T101" s="7">
        <v>5</v>
      </c>
      <c r="U101" s="7">
        <v>2</v>
      </c>
      <c r="V101" s="7">
        <v>2</v>
      </c>
      <c r="W101" s="7">
        <v>8</v>
      </c>
      <c r="X101" s="7">
        <v>6</v>
      </c>
      <c r="Y101" s="7">
        <v>3</v>
      </c>
      <c r="Z101" s="7">
        <v>3</v>
      </c>
      <c r="AA101" s="7">
        <v>5</v>
      </c>
      <c r="AB101" s="7">
        <v>1</v>
      </c>
      <c r="AC101" s="7">
        <v>1</v>
      </c>
      <c r="AD101" s="7">
        <v>1</v>
      </c>
      <c r="AE101" s="7">
        <v>5</v>
      </c>
      <c r="AF101" s="8">
        <v>6</v>
      </c>
      <c r="AG101" s="4">
        <f t="shared" si="13"/>
        <v>123</v>
      </c>
    </row>
    <row r="102" spans="1:33" ht="18.75" x14ac:dyDescent="0.25">
      <c r="A102" s="48" t="s">
        <v>9</v>
      </c>
      <c r="B102" s="7">
        <v>9</v>
      </c>
      <c r="C102" s="7">
        <v>7</v>
      </c>
      <c r="D102" s="7">
        <v>2</v>
      </c>
      <c r="E102" s="7">
        <v>8</v>
      </c>
      <c r="F102" s="7">
        <v>6</v>
      </c>
      <c r="G102" s="7">
        <v>2</v>
      </c>
      <c r="H102" s="7">
        <v>4</v>
      </c>
      <c r="I102" s="7">
        <v>6</v>
      </c>
      <c r="J102" s="7">
        <v>9</v>
      </c>
      <c r="K102" s="7">
        <v>3</v>
      </c>
      <c r="L102" s="7">
        <v>9</v>
      </c>
      <c r="M102" s="7">
        <v>8</v>
      </c>
      <c r="N102" s="7">
        <v>9</v>
      </c>
      <c r="O102" s="7">
        <v>9</v>
      </c>
      <c r="P102" s="7">
        <v>8</v>
      </c>
      <c r="Q102" s="7">
        <v>7</v>
      </c>
      <c r="R102" s="7">
        <v>6</v>
      </c>
      <c r="S102" s="7">
        <v>3</v>
      </c>
      <c r="T102" s="7">
        <v>7</v>
      </c>
      <c r="U102" s="7">
        <v>9</v>
      </c>
      <c r="V102" s="7">
        <v>9</v>
      </c>
      <c r="W102" s="7">
        <v>10</v>
      </c>
      <c r="X102" s="7">
        <v>5</v>
      </c>
      <c r="Y102" s="7">
        <v>10</v>
      </c>
      <c r="Z102" s="7">
        <v>3</v>
      </c>
      <c r="AA102" s="7">
        <v>5</v>
      </c>
      <c r="AB102" s="7">
        <v>13</v>
      </c>
      <c r="AC102" s="7">
        <v>9</v>
      </c>
      <c r="AD102" s="7">
        <v>4</v>
      </c>
      <c r="AE102" s="7">
        <v>13</v>
      </c>
      <c r="AF102" s="8">
        <v>4</v>
      </c>
      <c r="AG102" s="4">
        <f t="shared" si="13"/>
        <v>216</v>
      </c>
    </row>
    <row r="103" spans="1:33" ht="18.75" x14ac:dyDescent="0.25">
      <c r="A103" s="49" t="s">
        <v>10</v>
      </c>
      <c r="B103" s="7">
        <v>6</v>
      </c>
      <c r="C103" s="7">
        <v>11</v>
      </c>
      <c r="D103" s="7">
        <v>6</v>
      </c>
      <c r="E103" s="7">
        <v>7</v>
      </c>
      <c r="F103" s="7">
        <v>8</v>
      </c>
      <c r="G103" s="7">
        <v>6</v>
      </c>
      <c r="H103" s="7">
        <v>10</v>
      </c>
      <c r="I103" s="7">
        <v>5</v>
      </c>
      <c r="J103" s="7">
        <v>7</v>
      </c>
      <c r="K103" s="7">
        <v>8</v>
      </c>
      <c r="L103" s="7">
        <v>9</v>
      </c>
      <c r="M103" s="7">
        <v>6</v>
      </c>
      <c r="N103" s="7">
        <v>12</v>
      </c>
      <c r="O103" s="7">
        <v>9</v>
      </c>
      <c r="P103" s="7">
        <v>13</v>
      </c>
      <c r="Q103" s="7">
        <v>7</v>
      </c>
      <c r="R103" s="7">
        <v>7</v>
      </c>
      <c r="S103" s="7">
        <v>13</v>
      </c>
      <c r="T103" s="7">
        <v>4</v>
      </c>
      <c r="U103" s="7">
        <v>11</v>
      </c>
      <c r="V103" s="7">
        <v>4</v>
      </c>
      <c r="W103" s="7">
        <v>8</v>
      </c>
      <c r="X103" s="7">
        <v>5</v>
      </c>
      <c r="Y103" s="7">
        <v>8</v>
      </c>
      <c r="Z103" s="7">
        <v>9</v>
      </c>
      <c r="AA103" s="7">
        <v>7</v>
      </c>
      <c r="AB103" s="7">
        <v>10</v>
      </c>
      <c r="AC103" s="7">
        <v>12</v>
      </c>
      <c r="AD103" s="7">
        <v>8</v>
      </c>
      <c r="AE103" s="7">
        <v>8</v>
      </c>
      <c r="AF103" s="8">
        <v>7</v>
      </c>
      <c r="AG103" s="4">
        <f t="shared" si="13"/>
        <v>251</v>
      </c>
    </row>
    <row r="104" spans="1:33" ht="18.75" x14ac:dyDescent="0.25">
      <c r="A104" s="49" t="s">
        <v>11</v>
      </c>
      <c r="B104" s="7">
        <v>8</v>
      </c>
      <c r="C104" s="7">
        <v>6</v>
      </c>
      <c r="D104" s="7">
        <v>7</v>
      </c>
      <c r="E104" s="7">
        <v>4</v>
      </c>
      <c r="F104" s="7">
        <v>6</v>
      </c>
      <c r="G104" s="7">
        <v>3</v>
      </c>
      <c r="H104" s="7">
        <v>4</v>
      </c>
      <c r="I104" s="7">
        <v>5</v>
      </c>
      <c r="J104" s="7">
        <v>7</v>
      </c>
      <c r="K104" s="7">
        <v>4</v>
      </c>
      <c r="L104" s="7">
        <v>7</v>
      </c>
      <c r="M104" s="7">
        <v>7</v>
      </c>
      <c r="N104" s="7">
        <v>6</v>
      </c>
      <c r="O104" s="7">
        <v>12</v>
      </c>
      <c r="P104" s="7">
        <v>7</v>
      </c>
      <c r="Q104" s="7">
        <v>7</v>
      </c>
      <c r="R104" s="7">
        <v>6</v>
      </c>
      <c r="S104" s="7">
        <v>7</v>
      </c>
      <c r="T104" s="7">
        <v>6</v>
      </c>
      <c r="U104" s="7">
        <v>6</v>
      </c>
      <c r="V104" s="7">
        <v>6</v>
      </c>
      <c r="W104" s="7">
        <v>9</v>
      </c>
      <c r="X104" s="7">
        <v>7</v>
      </c>
      <c r="Y104" s="7">
        <v>4</v>
      </c>
      <c r="Z104" s="7">
        <v>8</v>
      </c>
      <c r="AA104" s="7">
        <v>6</v>
      </c>
      <c r="AB104" s="7">
        <v>10</v>
      </c>
      <c r="AC104" s="7">
        <v>3</v>
      </c>
      <c r="AD104" s="7">
        <v>6</v>
      </c>
      <c r="AE104" s="7">
        <v>7</v>
      </c>
      <c r="AF104" s="8">
        <v>5</v>
      </c>
      <c r="AG104" s="4">
        <f t="shared" si="13"/>
        <v>196</v>
      </c>
    </row>
    <row r="105" spans="1:33" ht="18.75" x14ac:dyDescent="0.25">
      <c r="A105" s="49" t="s">
        <v>12</v>
      </c>
      <c r="B105" s="7">
        <v>8</v>
      </c>
      <c r="C105" s="7">
        <v>4</v>
      </c>
      <c r="D105" s="7">
        <v>4</v>
      </c>
      <c r="E105" s="7">
        <v>9</v>
      </c>
      <c r="F105" s="7">
        <v>7</v>
      </c>
      <c r="G105" s="7">
        <v>6</v>
      </c>
      <c r="H105" s="7">
        <v>7</v>
      </c>
      <c r="I105" s="7">
        <v>5</v>
      </c>
      <c r="J105" s="7">
        <v>5</v>
      </c>
      <c r="K105" s="7">
        <v>4</v>
      </c>
      <c r="L105" s="7">
        <v>10</v>
      </c>
      <c r="M105" s="7">
        <v>12</v>
      </c>
      <c r="N105" s="7">
        <v>5</v>
      </c>
      <c r="O105" s="7">
        <v>8</v>
      </c>
      <c r="P105" s="7">
        <v>14</v>
      </c>
      <c r="Q105" s="7">
        <v>6</v>
      </c>
      <c r="R105" s="7">
        <v>6</v>
      </c>
      <c r="S105" s="7">
        <v>2</v>
      </c>
      <c r="T105" s="7">
        <v>8</v>
      </c>
      <c r="U105" s="7">
        <v>13</v>
      </c>
      <c r="V105" s="7">
        <v>11</v>
      </c>
      <c r="W105" s="7">
        <v>9</v>
      </c>
      <c r="X105" s="7">
        <v>4</v>
      </c>
      <c r="Y105" s="7">
        <v>6</v>
      </c>
      <c r="Z105" s="7">
        <v>7</v>
      </c>
      <c r="AA105" s="7">
        <v>9</v>
      </c>
      <c r="AB105" s="7">
        <v>4</v>
      </c>
      <c r="AC105" s="7">
        <v>7</v>
      </c>
      <c r="AD105" s="7">
        <v>6</v>
      </c>
      <c r="AE105" s="7">
        <v>10</v>
      </c>
      <c r="AF105" s="8">
        <v>6</v>
      </c>
      <c r="AG105" s="4">
        <f t="shared" si="13"/>
        <v>222</v>
      </c>
    </row>
    <row r="106" spans="1:33" ht="18.75" x14ac:dyDescent="0.25">
      <c r="A106" s="49" t="s">
        <v>13</v>
      </c>
      <c r="B106" s="7">
        <v>6</v>
      </c>
      <c r="C106" s="7">
        <v>5</v>
      </c>
      <c r="D106" s="7">
        <v>7</v>
      </c>
      <c r="E106" s="7">
        <v>3</v>
      </c>
      <c r="F106" s="7">
        <v>2</v>
      </c>
      <c r="G106" s="7">
        <v>4</v>
      </c>
      <c r="H106" s="7">
        <v>2</v>
      </c>
      <c r="I106" s="7">
        <v>4</v>
      </c>
      <c r="J106" s="7">
        <v>8</v>
      </c>
      <c r="K106" s="7">
        <v>5</v>
      </c>
      <c r="L106" s="7">
        <v>6</v>
      </c>
      <c r="M106" s="7">
        <v>6</v>
      </c>
      <c r="N106" s="7">
        <v>7</v>
      </c>
      <c r="O106" s="7">
        <v>5</v>
      </c>
      <c r="P106" s="7">
        <v>6</v>
      </c>
      <c r="Q106" s="7">
        <v>9</v>
      </c>
      <c r="R106" s="7">
        <v>2</v>
      </c>
      <c r="S106" s="7">
        <v>12</v>
      </c>
      <c r="T106" s="7">
        <v>5</v>
      </c>
      <c r="U106" s="7">
        <v>11</v>
      </c>
      <c r="V106" s="7">
        <v>7</v>
      </c>
      <c r="W106" s="7">
        <v>11</v>
      </c>
      <c r="X106" s="7">
        <v>9</v>
      </c>
      <c r="Y106" s="7">
        <v>4</v>
      </c>
      <c r="Z106" s="7">
        <v>11</v>
      </c>
      <c r="AA106" s="7">
        <v>7</v>
      </c>
      <c r="AB106" s="7">
        <v>5</v>
      </c>
      <c r="AC106" s="7">
        <v>3</v>
      </c>
      <c r="AD106" s="7">
        <v>7</v>
      </c>
      <c r="AE106" s="7">
        <v>2</v>
      </c>
      <c r="AF106" s="8">
        <v>4</v>
      </c>
      <c r="AG106" s="4">
        <f t="shared" si="13"/>
        <v>185</v>
      </c>
    </row>
    <row r="107" spans="1:33" ht="18.75" x14ac:dyDescent="0.25">
      <c r="A107" s="49" t="s">
        <v>14</v>
      </c>
      <c r="B107" s="7">
        <v>7</v>
      </c>
      <c r="C107" s="7">
        <v>7</v>
      </c>
      <c r="D107" s="7">
        <v>3</v>
      </c>
      <c r="E107" s="7">
        <v>10</v>
      </c>
      <c r="F107" s="7">
        <v>6</v>
      </c>
      <c r="G107" s="7">
        <v>5</v>
      </c>
      <c r="H107" s="7">
        <v>6</v>
      </c>
      <c r="I107" s="7">
        <v>8</v>
      </c>
      <c r="J107" s="7">
        <v>2</v>
      </c>
      <c r="K107" s="7">
        <v>4</v>
      </c>
      <c r="L107" s="7">
        <v>9</v>
      </c>
      <c r="M107" s="7">
        <v>6</v>
      </c>
      <c r="N107" s="7">
        <v>7</v>
      </c>
      <c r="O107" s="7">
        <v>9</v>
      </c>
      <c r="P107" s="7">
        <v>3</v>
      </c>
      <c r="Q107" s="7">
        <v>6</v>
      </c>
      <c r="R107" s="7">
        <v>6</v>
      </c>
      <c r="S107" s="7">
        <v>6</v>
      </c>
      <c r="T107" s="7">
        <v>7</v>
      </c>
      <c r="U107" s="7">
        <v>4</v>
      </c>
      <c r="V107" s="7">
        <v>6</v>
      </c>
      <c r="W107" s="7">
        <v>7</v>
      </c>
      <c r="X107" s="7">
        <v>12</v>
      </c>
      <c r="Y107" s="7">
        <v>13</v>
      </c>
      <c r="Z107" s="7">
        <v>10</v>
      </c>
      <c r="AA107" s="7">
        <v>6</v>
      </c>
      <c r="AB107" s="7">
        <v>3</v>
      </c>
      <c r="AC107" s="7">
        <v>6</v>
      </c>
      <c r="AD107" s="7">
        <v>11</v>
      </c>
      <c r="AE107" s="7">
        <v>3</v>
      </c>
      <c r="AF107" s="8">
        <v>7</v>
      </c>
      <c r="AG107" s="4">
        <f t="shared" si="13"/>
        <v>205</v>
      </c>
    </row>
    <row r="108" spans="1:33" ht="18.75" x14ac:dyDescent="0.25">
      <c r="A108" s="49" t="s">
        <v>15</v>
      </c>
      <c r="B108" s="7">
        <v>2</v>
      </c>
      <c r="C108" s="7">
        <v>6</v>
      </c>
      <c r="D108" s="7">
        <v>11</v>
      </c>
      <c r="E108" s="7">
        <v>6</v>
      </c>
      <c r="F108" s="7">
        <v>2</v>
      </c>
      <c r="G108" s="7">
        <v>3</v>
      </c>
      <c r="H108" s="7">
        <v>10</v>
      </c>
      <c r="I108" s="7">
        <v>9</v>
      </c>
      <c r="J108" s="7">
        <v>3</v>
      </c>
      <c r="K108" s="7">
        <v>6</v>
      </c>
      <c r="L108" s="7">
        <v>13</v>
      </c>
      <c r="M108" s="7">
        <v>6</v>
      </c>
      <c r="N108" s="7">
        <v>10</v>
      </c>
      <c r="O108" s="7">
        <v>11</v>
      </c>
      <c r="P108" s="7">
        <v>8</v>
      </c>
      <c r="Q108" s="7">
        <v>5</v>
      </c>
      <c r="R108" s="7">
        <v>4</v>
      </c>
      <c r="S108" s="7">
        <v>6</v>
      </c>
      <c r="T108" s="7">
        <v>2</v>
      </c>
      <c r="U108" s="7">
        <v>4</v>
      </c>
      <c r="V108" s="7">
        <v>3</v>
      </c>
      <c r="W108" s="7">
        <v>10</v>
      </c>
      <c r="X108" s="7">
        <v>9</v>
      </c>
      <c r="Y108" s="7">
        <v>7</v>
      </c>
      <c r="Z108" s="7">
        <v>14</v>
      </c>
      <c r="AA108" s="7">
        <v>6</v>
      </c>
      <c r="AB108" s="7">
        <v>8</v>
      </c>
      <c r="AC108" s="7">
        <v>10</v>
      </c>
      <c r="AD108" s="7">
        <v>7</v>
      </c>
      <c r="AE108" s="7">
        <v>4</v>
      </c>
      <c r="AF108" s="8">
        <v>9</v>
      </c>
      <c r="AG108" s="4">
        <f t="shared" si="13"/>
        <v>214</v>
      </c>
    </row>
    <row r="109" spans="1:33" ht="18.75" x14ac:dyDescent="0.25">
      <c r="A109" s="49" t="s">
        <v>16</v>
      </c>
      <c r="B109" s="7">
        <v>6</v>
      </c>
      <c r="C109" s="7">
        <v>9</v>
      </c>
      <c r="D109" s="7">
        <v>4</v>
      </c>
      <c r="E109" s="7">
        <v>7</v>
      </c>
      <c r="F109" s="7">
        <v>6</v>
      </c>
      <c r="G109" s="7">
        <v>3</v>
      </c>
      <c r="H109" s="7">
        <v>8</v>
      </c>
      <c r="I109" s="7">
        <v>11</v>
      </c>
      <c r="J109" s="7">
        <v>4</v>
      </c>
      <c r="K109" s="7">
        <v>5</v>
      </c>
      <c r="L109" s="7">
        <v>5</v>
      </c>
      <c r="M109" s="7">
        <v>11</v>
      </c>
      <c r="N109" s="7">
        <v>6</v>
      </c>
      <c r="O109" s="7">
        <v>10</v>
      </c>
      <c r="P109" s="7">
        <v>4</v>
      </c>
      <c r="Q109" s="7">
        <v>7</v>
      </c>
      <c r="R109" s="7">
        <v>8</v>
      </c>
      <c r="S109" s="7">
        <v>5</v>
      </c>
      <c r="T109" s="7">
        <v>8</v>
      </c>
      <c r="U109" s="7">
        <v>6</v>
      </c>
      <c r="V109" s="7">
        <v>5</v>
      </c>
      <c r="W109" s="7">
        <v>6</v>
      </c>
      <c r="X109" s="7">
        <v>5</v>
      </c>
      <c r="Y109" s="7">
        <v>3</v>
      </c>
      <c r="Z109" s="7">
        <v>4</v>
      </c>
      <c r="AA109" s="7">
        <v>9</v>
      </c>
      <c r="AB109" s="7">
        <v>7</v>
      </c>
      <c r="AC109" s="7">
        <v>3</v>
      </c>
      <c r="AD109" s="7">
        <v>3</v>
      </c>
      <c r="AE109" s="7">
        <v>11</v>
      </c>
      <c r="AF109" s="8">
        <v>6</v>
      </c>
      <c r="AG109" s="4">
        <f t="shared" si="13"/>
        <v>195</v>
      </c>
    </row>
    <row r="110" spans="1:33" ht="18.75" x14ac:dyDescent="0.25">
      <c r="A110" s="49" t="s">
        <v>17</v>
      </c>
      <c r="B110" s="7">
        <v>4</v>
      </c>
      <c r="C110" s="7">
        <v>4</v>
      </c>
      <c r="D110" s="7">
        <v>1</v>
      </c>
      <c r="E110" s="7">
        <v>9</v>
      </c>
      <c r="F110" s="7">
        <v>6</v>
      </c>
      <c r="G110" s="7">
        <v>4</v>
      </c>
      <c r="H110" s="7">
        <v>1</v>
      </c>
      <c r="I110" s="7">
        <v>8</v>
      </c>
      <c r="J110" s="7">
        <v>5</v>
      </c>
      <c r="K110" s="7">
        <v>5</v>
      </c>
      <c r="L110" s="7">
        <v>6</v>
      </c>
      <c r="M110" s="7">
        <v>7</v>
      </c>
      <c r="N110" s="7">
        <v>7</v>
      </c>
      <c r="O110" s="7">
        <v>11</v>
      </c>
      <c r="P110" s="7">
        <v>5</v>
      </c>
      <c r="Q110" s="7"/>
      <c r="R110" s="7">
        <v>2</v>
      </c>
      <c r="S110" s="7">
        <v>5</v>
      </c>
      <c r="T110" s="7">
        <v>2</v>
      </c>
      <c r="U110" s="7">
        <v>6</v>
      </c>
      <c r="V110" s="7"/>
      <c r="W110" s="7">
        <v>4</v>
      </c>
      <c r="X110" s="7">
        <v>4</v>
      </c>
      <c r="Y110" s="7">
        <v>8</v>
      </c>
      <c r="Z110" s="7">
        <v>11</v>
      </c>
      <c r="AA110" s="7">
        <v>4</v>
      </c>
      <c r="AB110" s="7">
        <v>6</v>
      </c>
      <c r="AC110" s="7">
        <v>6</v>
      </c>
      <c r="AD110" s="7">
        <v>7</v>
      </c>
      <c r="AE110" s="7">
        <v>3</v>
      </c>
      <c r="AF110" s="8">
        <v>2</v>
      </c>
      <c r="AG110" s="4">
        <f t="shared" si="13"/>
        <v>153</v>
      </c>
    </row>
    <row r="111" spans="1:33" ht="18.75" x14ac:dyDescent="0.25">
      <c r="A111" s="49" t="s">
        <v>18</v>
      </c>
      <c r="B111" s="7">
        <v>2</v>
      </c>
      <c r="C111" s="7">
        <v>3</v>
      </c>
      <c r="D111" s="7">
        <v>3</v>
      </c>
      <c r="E111" s="7">
        <v>9</v>
      </c>
      <c r="F111" s="7">
        <v>4</v>
      </c>
      <c r="G111" s="7">
        <v>4</v>
      </c>
      <c r="H111" s="7">
        <v>2</v>
      </c>
      <c r="I111" s="7">
        <v>6</v>
      </c>
      <c r="J111" s="7">
        <v>1</v>
      </c>
      <c r="K111" s="7">
        <v>4</v>
      </c>
      <c r="L111" s="7">
        <v>6</v>
      </c>
      <c r="M111" s="7">
        <v>8</v>
      </c>
      <c r="N111" s="7">
        <v>7</v>
      </c>
      <c r="O111" s="7">
        <v>10</v>
      </c>
      <c r="P111" s="7">
        <v>8</v>
      </c>
      <c r="Q111" s="7">
        <v>3</v>
      </c>
      <c r="R111" s="7">
        <v>5</v>
      </c>
      <c r="S111" s="7">
        <v>4</v>
      </c>
      <c r="T111" s="7">
        <v>2</v>
      </c>
      <c r="U111" s="7">
        <v>2</v>
      </c>
      <c r="V111" s="7">
        <v>6</v>
      </c>
      <c r="W111" s="7">
        <v>11</v>
      </c>
      <c r="X111" s="7">
        <v>1</v>
      </c>
      <c r="Y111" s="7">
        <v>3</v>
      </c>
      <c r="Z111" s="7">
        <v>12</v>
      </c>
      <c r="AA111" s="7">
        <v>8</v>
      </c>
      <c r="AB111" s="7">
        <v>4</v>
      </c>
      <c r="AC111" s="7">
        <v>3</v>
      </c>
      <c r="AD111" s="7">
        <v>3</v>
      </c>
      <c r="AE111" s="7">
        <v>4</v>
      </c>
      <c r="AF111" s="8">
        <v>1</v>
      </c>
      <c r="AG111" s="4">
        <f t="shared" si="13"/>
        <v>149</v>
      </c>
    </row>
    <row r="112" spans="1:33" ht="18.75" x14ac:dyDescent="0.25">
      <c r="A112" s="49" t="s">
        <v>19</v>
      </c>
      <c r="B112" s="7">
        <v>2</v>
      </c>
      <c r="C112" s="7">
        <v>2</v>
      </c>
      <c r="D112" s="7">
        <v>2</v>
      </c>
      <c r="E112" s="7">
        <v>4</v>
      </c>
      <c r="F112" s="7">
        <v>2</v>
      </c>
      <c r="G112" s="7">
        <v>3</v>
      </c>
      <c r="H112" s="7">
        <v>3</v>
      </c>
      <c r="I112" s="7">
        <v>1</v>
      </c>
      <c r="J112" s="7">
        <v>2</v>
      </c>
      <c r="K112" s="7">
        <v>3</v>
      </c>
      <c r="L112" s="7">
        <v>6</v>
      </c>
      <c r="M112" s="7">
        <v>3</v>
      </c>
      <c r="N112" s="7">
        <v>6</v>
      </c>
      <c r="O112" s="7">
        <v>4</v>
      </c>
      <c r="P112" s="7">
        <v>4</v>
      </c>
      <c r="Q112" s="7">
        <v>1</v>
      </c>
      <c r="R112" s="7">
        <v>1</v>
      </c>
      <c r="S112" s="7">
        <v>3</v>
      </c>
      <c r="T112" s="7">
        <v>1</v>
      </c>
      <c r="U112" s="7">
        <v>3</v>
      </c>
      <c r="V112" s="7"/>
      <c r="W112" s="7">
        <v>5</v>
      </c>
      <c r="X112" s="7">
        <v>5</v>
      </c>
      <c r="Y112" s="7">
        <v>3</v>
      </c>
      <c r="Z112" s="7">
        <v>7</v>
      </c>
      <c r="AA112" s="7">
        <v>6</v>
      </c>
      <c r="AB112" s="7">
        <v>4</v>
      </c>
      <c r="AC112" s="7">
        <v>3</v>
      </c>
      <c r="AD112" s="7">
        <v>3</v>
      </c>
      <c r="AE112" s="7">
        <v>4</v>
      </c>
      <c r="AF112" s="8">
        <v>3</v>
      </c>
      <c r="AG112" s="4">
        <f>SUM(B112:AF112)</f>
        <v>99</v>
      </c>
    </row>
    <row r="113" spans="1:33" ht="18.75" x14ac:dyDescent="0.25">
      <c r="A113" s="49" t="s">
        <v>20</v>
      </c>
      <c r="B113" s="7">
        <v>2</v>
      </c>
      <c r="C113" s="7">
        <v>1</v>
      </c>
      <c r="D113" s="7">
        <v>1</v>
      </c>
      <c r="E113" s="7">
        <v>2</v>
      </c>
      <c r="F113" s="7">
        <v>2</v>
      </c>
      <c r="G113" s="7">
        <v>4</v>
      </c>
      <c r="H113" s="7">
        <v>2</v>
      </c>
      <c r="I113" s="7"/>
      <c r="J113" s="7">
        <v>1</v>
      </c>
      <c r="K113" s="7">
        <v>1</v>
      </c>
      <c r="L113" s="7">
        <v>1</v>
      </c>
      <c r="M113" s="7">
        <v>4</v>
      </c>
      <c r="N113" s="7">
        <v>1</v>
      </c>
      <c r="O113" s="7">
        <v>3</v>
      </c>
      <c r="P113" s="7">
        <v>4</v>
      </c>
      <c r="Q113" s="7">
        <v>3</v>
      </c>
      <c r="R113" s="7">
        <v>1</v>
      </c>
      <c r="S113" s="7">
        <v>3</v>
      </c>
      <c r="T113" s="7">
        <v>4</v>
      </c>
      <c r="U113" s="7">
        <v>3</v>
      </c>
      <c r="V113" s="7">
        <v>4</v>
      </c>
      <c r="W113" s="7">
        <v>2</v>
      </c>
      <c r="X113" s="7">
        <v>2</v>
      </c>
      <c r="Y113" s="7">
        <v>2</v>
      </c>
      <c r="Z113" s="7">
        <v>7</v>
      </c>
      <c r="AA113" s="7">
        <v>5</v>
      </c>
      <c r="AB113" s="7">
        <v>4</v>
      </c>
      <c r="AC113" s="7">
        <v>2</v>
      </c>
      <c r="AD113" s="7">
        <v>4</v>
      </c>
      <c r="AE113" s="7">
        <v>1</v>
      </c>
      <c r="AF113" s="8">
        <v>1</v>
      </c>
      <c r="AG113" s="4">
        <f t="shared" si="13"/>
        <v>77</v>
      </c>
    </row>
    <row r="114" spans="1:33" ht="18.75" x14ac:dyDescent="0.25">
      <c r="A114" s="49" t="s">
        <v>21</v>
      </c>
      <c r="B114" s="7">
        <v>1</v>
      </c>
      <c r="C114" s="7">
        <v>3</v>
      </c>
      <c r="D114" s="7">
        <v>3</v>
      </c>
      <c r="E114" s="7">
        <v>2</v>
      </c>
      <c r="F114" s="7">
        <v>1</v>
      </c>
      <c r="G114" s="7">
        <v>1</v>
      </c>
      <c r="H114" s="7">
        <v>2</v>
      </c>
      <c r="I114" s="7">
        <v>2</v>
      </c>
      <c r="J114" s="7">
        <v>1</v>
      </c>
      <c r="K114" s="7">
        <v>2</v>
      </c>
      <c r="L114" s="7">
        <v>2</v>
      </c>
      <c r="M114" s="7">
        <v>3</v>
      </c>
      <c r="N114" s="7">
        <v>8</v>
      </c>
      <c r="O114" s="7">
        <v>10</v>
      </c>
      <c r="P114" s="7">
        <v>4</v>
      </c>
      <c r="Q114" s="7">
        <v>3</v>
      </c>
      <c r="R114" s="7">
        <v>1</v>
      </c>
      <c r="S114" s="7">
        <v>1</v>
      </c>
      <c r="T114" s="7">
        <v>5</v>
      </c>
      <c r="U114" s="7">
        <v>4</v>
      </c>
      <c r="V114" s="7">
        <v>3</v>
      </c>
      <c r="W114" s="7">
        <v>2</v>
      </c>
      <c r="X114" s="7"/>
      <c r="Y114" s="7">
        <v>2</v>
      </c>
      <c r="Z114" s="7">
        <v>5</v>
      </c>
      <c r="AA114" s="7">
        <v>1</v>
      </c>
      <c r="AB114" s="7">
        <v>3</v>
      </c>
      <c r="AC114" s="7">
        <v>3</v>
      </c>
      <c r="AD114" s="7">
        <v>2</v>
      </c>
      <c r="AE114" s="7"/>
      <c r="AF114" s="8">
        <v>6</v>
      </c>
      <c r="AG114" s="4">
        <f t="shared" si="13"/>
        <v>86</v>
      </c>
    </row>
    <row r="115" spans="1:33" ht="19.5" thickBot="1" x14ac:dyDescent="0.3">
      <c r="A115" s="76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2"/>
      <c r="AG115" s="4">
        <f t="shared" si="13"/>
        <v>0</v>
      </c>
    </row>
    <row r="116" spans="1:33" ht="18.75" x14ac:dyDescent="0.25">
      <c r="A116" s="73" t="s">
        <v>61</v>
      </c>
      <c r="B116" s="74">
        <f t="shared" ref="B116:AF116" si="18">SUM(B117:B129)</f>
        <v>31</v>
      </c>
      <c r="C116" s="74">
        <f t="shared" si="18"/>
        <v>33</v>
      </c>
      <c r="D116" s="74">
        <f t="shared" si="18"/>
        <v>35</v>
      </c>
      <c r="E116" s="74">
        <f t="shared" si="18"/>
        <v>56</v>
      </c>
      <c r="F116" s="74">
        <f t="shared" si="18"/>
        <v>30</v>
      </c>
      <c r="G116" s="74">
        <f t="shared" si="18"/>
        <v>27</v>
      </c>
      <c r="H116" s="74">
        <f t="shared" si="18"/>
        <v>29</v>
      </c>
      <c r="I116" s="74">
        <f t="shared" si="18"/>
        <v>47</v>
      </c>
      <c r="J116" s="74">
        <f t="shared" si="18"/>
        <v>29</v>
      </c>
      <c r="K116" s="74">
        <f t="shared" si="18"/>
        <v>25</v>
      </c>
      <c r="L116" s="74">
        <f t="shared" si="18"/>
        <v>59</v>
      </c>
      <c r="M116" s="74">
        <f t="shared" si="18"/>
        <v>56</v>
      </c>
      <c r="N116" s="74">
        <f t="shared" si="18"/>
        <v>64</v>
      </c>
      <c r="O116" s="74">
        <f t="shared" si="18"/>
        <v>73</v>
      </c>
      <c r="P116" s="74">
        <f t="shared" si="18"/>
        <v>54</v>
      </c>
      <c r="Q116" s="74">
        <f t="shared" si="18"/>
        <v>36</v>
      </c>
      <c r="R116" s="74">
        <f t="shared" si="18"/>
        <v>21</v>
      </c>
      <c r="S116" s="74">
        <f t="shared" si="18"/>
        <v>40</v>
      </c>
      <c r="T116" s="74">
        <f t="shared" si="18"/>
        <v>37</v>
      </c>
      <c r="U116" s="74">
        <f t="shared" si="18"/>
        <v>53</v>
      </c>
      <c r="V116" s="74">
        <f t="shared" si="18"/>
        <v>38</v>
      </c>
      <c r="W116" s="74">
        <f t="shared" si="18"/>
        <v>58</v>
      </c>
      <c r="X116" s="74">
        <f t="shared" si="18"/>
        <v>26</v>
      </c>
      <c r="Y116" s="74">
        <f t="shared" si="18"/>
        <v>30</v>
      </c>
      <c r="Z116" s="74">
        <f t="shared" si="18"/>
        <v>73</v>
      </c>
      <c r="AA116" s="74">
        <f t="shared" si="18"/>
        <v>55</v>
      </c>
      <c r="AB116" s="74">
        <f t="shared" si="18"/>
        <v>45</v>
      </c>
      <c r="AC116" s="74">
        <f t="shared" si="18"/>
        <v>37</v>
      </c>
      <c r="AD116" s="74">
        <f t="shared" si="18"/>
        <v>45</v>
      </c>
      <c r="AE116" s="74">
        <f t="shared" si="18"/>
        <v>35</v>
      </c>
      <c r="AF116" s="84">
        <f t="shared" si="18"/>
        <v>27</v>
      </c>
      <c r="AG116" s="4">
        <f t="shared" si="13"/>
        <v>1304</v>
      </c>
    </row>
    <row r="117" spans="1:33" ht="18.75" x14ac:dyDescent="0.25">
      <c r="A117" s="43" t="s">
        <v>59</v>
      </c>
      <c r="B117" s="7">
        <v>19</v>
      </c>
      <c r="C117" s="7">
        <v>20</v>
      </c>
      <c r="D117" s="7">
        <v>26</v>
      </c>
      <c r="E117" s="7">
        <v>46</v>
      </c>
      <c r="F117" s="7">
        <v>23</v>
      </c>
      <c r="G117" s="7">
        <v>23</v>
      </c>
      <c r="H117" s="7">
        <v>22</v>
      </c>
      <c r="I117" s="7">
        <v>35</v>
      </c>
      <c r="J117" s="7">
        <v>21</v>
      </c>
      <c r="K117" s="7">
        <v>19</v>
      </c>
      <c r="L117" s="7">
        <v>47</v>
      </c>
      <c r="M117" s="7">
        <v>43</v>
      </c>
      <c r="N117" s="7">
        <v>50</v>
      </c>
      <c r="O117" s="7">
        <v>58</v>
      </c>
      <c r="P117" s="7">
        <v>38</v>
      </c>
      <c r="Q117" s="7">
        <v>24</v>
      </c>
      <c r="R117" s="7">
        <v>15</v>
      </c>
      <c r="S117" s="7">
        <v>26</v>
      </c>
      <c r="T117" s="7">
        <v>26</v>
      </c>
      <c r="U117" s="7">
        <v>37</v>
      </c>
      <c r="V117" s="7">
        <v>27</v>
      </c>
      <c r="W117" s="7">
        <v>38</v>
      </c>
      <c r="X117" s="7">
        <v>24</v>
      </c>
      <c r="Y117" s="7">
        <v>17</v>
      </c>
      <c r="Z117" s="7">
        <v>61</v>
      </c>
      <c r="AA117" s="7">
        <v>44</v>
      </c>
      <c r="AB117" s="7">
        <v>33</v>
      </c>
      <c r="AC117" s="7">
        <v>30</v>
      </c>
      <c r="AD117" s="7">
        <v>33</v>
      </c>
      <c r="AE117" s="7">
        <v>23</v>
      </c>
      <c r="AF117" s="8">
        <v>19</v>
      </c>
      <c r="AG117" s="4">
        <f t="shared" si="13"/>
        <v>967</v>
      </c>
    </row>
    <row r="118" spans="1:33" ht="19.5" hidden="1" customHeight="1" thickBot="1" x14ac:dyDescent="0.25">
      <c r="A118" s="43" t="s">
        <v>23</v>
      </c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8"/>
      <c r="AG118" s="4">
        <f t="shared" si="13"/>
        <v>0</v>
      </c>
    </row>
    <row r="119" spans="1:33" ht="19.5" hidden="1" customHeight="1" thickBot="1" x14ac:dyDescent="0.25">
      <c r="A119" s="43" t="s">
        <v>24</v>
      </c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8"/>
      <c r="AG119" s="4">
        <f t="shared" si="13"/>
        <v>0</v>
      </c>
    </row>
    <row r="120" spans="1:33" ht="19.5" hidden="1" customHeight="1" thickBot="1" x14ac:dyDescent="0.25">
      <c r="A120" s="43" t="s">
        <v>25</v>
      </c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8"/>
      <c r="AG120" s="4">
        <f t="shared" si="13"/>
        <v>0</v>
      </c>
    </row>
    <row r="121" spans="1:33" ht="19.5" hidden="1" customHeight="1" thickBot="1" x14ac:dyDescent="0.25">
      <c r="A121" s="43" t="s">
        <v>26</v>
      </c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8"/>
      <c r="AG121" s="4">
        <f t="shared" si="13"/>
        <v>0</v>
      </c>
    </row>
    <row r="122" spans="1:33" ht="19.5" hidden="1" customHeight="1" thickBot="1" x14ac:dyDescent="0.25">
      <c r="A122" s="43" t="s">
        <v>27</v>
      </c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8"/>
      <c r="AG122" s="4">
        <f t="shared" si="13"/>
        <v>0</v>
      </c>
    </row>
    <row r="123" spans="1:33" ht="19.5" hidden="1" customHeight="1" thickBot="1" x14ac:dyDescent="0.25">
      <c r="A123" s="43" t="s">
        <v>28</v>
      </c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8"/>
      <c r="AG123" s="4">
        <f t="shared" si="13"/>
        <v>0</v>
      </c>
    </row>
    <row r="124" spans="1:33" ht="19.5" hidden="1" customHeight="1" thickBot="1" x14ac:dyDescent="0.25">
      <c r="A124" s="43" t="s">
        <v>29</v>
      </c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8"/>
      <c r="AG124" s="4">
        <f t="shared" si="13"/>
        <v>0</v>
      </c>
    </row>
    <row r="125" spans="1:33" ht="19.5" hidden="1" customHeight="1" thickBot="1" x14ac:dyDescent="0.25">
      <c r="A125" s="41" t="s">
        <v>30</v>
      </c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8"/>
      <c r="AG125" s="4">
        <f t="shared" si="13"/>
        <v>0</v>
      </c>
    </row>
    <row r="126" spans="1:33" ht="19.5" hidden="1" customHeight="1" thickBot="1" x14ac:dyDescent="0.25">
      <c r="A126" s="41" t="s">
        <v>31</v>
      </c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8"/>
      <c r="AG126" s="4">
        <f t="shared" si="13"/>
        <v>0</v>
      </c>
    </row>
    <row r="127" spans="1:33" ht="19.5" hidden="1" customHeight="1" thickBot="1" x14ac:dyDescent="0.25">
      <c r="A127" s="41" t="s">
        <v>32</v>
      </c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8"/>
      <c r="AG127" s="4">
        <f t="shared" ref="AG127:AG133" si="19">SUM(B127:AF127)</f>
        <v>0</v>
      </c>
    </row>
    <row r="128" spans="1:33" ht="19.5" hidden="1" customHeight="1" thickBot="1" x14ac:dyDescent="0.25">
      <c r="A128" s="43" t="s">
        <v>60</v>
      </c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8"/>
      <c r="AG128" s="4">
        <f t="shared" si="19"/>
        <v>0</v>
      </c>
    </row>
    <row r="129" spans="1:35" ht="19.5" thickBot="1" x14ac:dyDescent="0.3">
      <c r="A129" s="75" t="s">
        <v>86</v>
      </c>
      <c r="B129" s="13">
        <f>3+9</f>
        <v>12</v>
      </c>
      <c r="C129" s="13">
        <f>8+5</f>
        <v>13</v>
      </c>
      <c r="D129" s="13">
        <f>3+6</f>
        <v>9</v>
      </c>
      <c r="E129" s="13">
        <f>6+4</f>
        <v>10</v>
      </c>
      <c r="F129" s="13">
        <f>5+2</f>
        <v>7</v>
      </c>
      <c r="G129" s="13">
        <f>3+1</f>
        <v>4</v>
      </c>
      <c r="H129" s="13">
        <f>6+1</f>
        <v>7</v>
      </c>
      <c r="I129" s="13">
        <f>4+8</f>
        <v>12</v>
      </c>
      <c r="J129" s="13">
        <f>5+3</f>
        <v>8</v>
      </c>
      <c r="K129" s="13">
        <f>2+4</f>
        <v>6</v>
      </c>
      <c r="L129" s="13">
        <f>3+9</f>
        <v>12</v>
      </c>
      <c r="M129" s="13">
        <f>10+3</f>
        <v>13</v>
      </c>
      <c r="N129" s="13">
        <f>6+1+7</f>
        <v>14</v>
      </c>
      <c r="O129" s="13">
        <f>8+7</f>
        <v>15</v>
      </c>
      <c r="P129" s="13">
        <f>11+5</f>
        <v>16</v>
      </c>
      <c r="Q129" s="13">
        <f>7+5</f>
        <v>12</v>
      </c>
      <c r="R129" s="13">
        <f>2+4</f>
        <v>6</v>
      </c>
      <c r="S129" s="13">
        <f>11+3</f>
        <v>14</v>
      </c>
      <c r="T129" s="13">
        <f>2+9</f>
        <v>11</v>
      </c>
      <c r="U129" s="13">
        <f>10+6</f>
        <v>16</v>
      </c>
      <c r="V129" s="13">
        <f>5+6</f>
        <v>11</v>
      </c>
      <c r="W129" s="13">
        <f>1+13+6</f>
        <v>20</v>
      </c>
      <c r="X129" s="13">
        <f>1+1</f>
        <v>2</v>
      </c>
      <c r="Y129" s="13">
        <f>7+6</f>
        <v>13</v>
      </c>
      <c r="Z129" s="13">
        <f>9+3</f>
        <v>12</v>
      </c>
      <c r="AA129" s="13">
        <f>5+6</f>
        <v>11</v>
      </c>
      <c r="AB129" s="13">
        <f>9+3</f>
        <v>12</v>
      </c>
      <c r="AC129" s="13">
        <f>5+2</f>
        <v>7</v>
      </c>
      <c r="AD129" s="13">
        <f>4+1+7</f>
        <v>12</v>
      </c>
      <c r="AE129" s="13">
        <f>9+3</f>
        <v>12</v>
      </c>
      <c r="AF129" s="14">
        <f>4+4</f>
        <v>8</v>
      </c>
      <c r="AG129" s="4">
        <f t="shared" si="19"/>
        <v>337</v>
      </c>
    </row>
    <row r="130" spans="1:35" ht="18.75" x14ac:dyDescent="0.25">
      <c r="A130" s="73" t="s">
        <v>109</v>
      </c>
      <c r="B130" s="74">
        <f t="shared" ref="B130:AF130" si="20">SUM(B131:B143)</f>
        <v>71</v>
      </c>
      <c r="C130" s="74">
        <f t="shared" si="20"/>
        <v>75</v>
      </c>
      <c r="D130" s="74">
        <f t="shared" si="20"/>
        <v>68</v>
      </c>
      <c r="E130" s="74">
        <f t="shared" si="20"/>
        <v>84</v>
      </c>
      <c r="F130" s="74">
        <f t="shared" si="20"/>
        <v>63</v>
      </c>
      <c r="G130" s="74">
        <f t="shared" si="20"/>
        <v>57</v>
      </c>
      <c r="H130" s="74">
        <f t="shared" si="20"/>
        <v>69</v>
      </c>
      <c r="I130" s="74">
        <f t="shared" si="20"/>
        <v>84</v>
      </c>
      <c r="J130" s="74">
        <f t="shared" si="20"/>
        <v>59</v>
      </c>
      <c r="K130" s="74">
        <f t="shared" si="20"/>
        <v>68</v>
      </c>
      <c r="L130" s="74">
        <f t="shared" si="20"/>
        <v>99</v>
      </c>
      <c r="M130" s="74">
        <f t="shared" si="20"/>
        <v>98</v>
      </c>
      <c r="N130" s="74">
        <f t="shared" si="20"/>
        <v>104</v>
      </c>
      <c r="O130" s="74">
        <f t="shared" si="20"/>
        <v>119</v>
      </c>
      <c r="P130" s="74">
        <f t="shared" si="20"/>
        <v>96</v>
      </c>
      <c r="Q130" s="74">
        <f t="shared" si="20"/>
        <v>75</v>
      </c>
      <c r="R130" s="74">
        <f t="shared" si="20"/>
        <v>68</v>
      </c>
      <c r="S130" s="74">
        <f t="shared" si="20"/>
        <v>81</v>
      </c>
      <c r="T130" s="74">
        <f t="shared" si="20"/>
        <v>71</v>
      </c>
      <c r="U130" s="74">
        <f t="shared" si="20"/>
        <v>89</v>
      </c>
      <c r="V130" s="74">
        <f t="shared" si="20"/>
        <v>72</v>
      </c>
      <c r="W130" s="74">
        <f t="shared" si="20"/>
        <v>107</v>
      </c>
      <c r="X130" s="74">
        <f t="shared" si="20"/>
        <v>77</v>
      </c>
      <c r="Y130" s="74">
        <f t="shared" si="20"/>
        <v>81</v>
      </c>
      <c r="Z130" s="74">
        <f t="shared" si="20"/>
        <v>117</v>
      </c>
      <c r="AA130" s="74">
        <f t="shared" si="20"/>
        <v>87</v>
      </c>
      <c r="AB130" s="74">
        <f t="shared" si="20"/>
        <v>92</v>
      </c>
      <c r="AC130" s="74">
        <f t="shared" si="20"/>
        <v>77</v>
      </c>
      <c r="AD130" s="74">
        <f t="shared" si="20"/>
        <v>74</v>
      </c>
      <c r="AE130" s="74">
        <f t="shared" si="20"/>
        <v>82</v>
      </c>
      <c r="AF130" s="84">
        <f t="shared" si="20"/>
        <v>72</v>
      </c>
      <c r="AG130" s="150">
        <f t="shared" si="19"/>
        <v>2536</v>
      </c>
      <c r="AH130" s="1" t="str">
        <f>IF(AG130&lt;&gt;AG93,"*","")</f>
        <v/>
      </c>
    </row>
    <row r="131" spans="1:35" ht="18.75" x14ac:dyDescent="0.25">
      <c r="A131" s="43" t="s">
        <v>59</v>
      </c>
      <c r="B131" s="7">
        <v>19</v>
      </c>
      <c r="C131" s="7">
        <v>20</v>
      </c>
      <c r="D131" s="7">
        <v>26</v>
      </c>
      <c r="E131" s="7">
        <v>39</v>
      </c>
      <c r="F131" s="7">
        <v>21</v>
      </c>
      <c r="G131" s="7">
        <v>20</v>
      </c>
      <c r="H131" s="7">
        <v>21</v>
      </c>
      <c r="I131" s="7">
        <v>32</v>
      </c>
      <c r="J131" s="7">
        <v>21</v>
      </c>
      <c r="K131" s="7">
        <v>8</v>
      </c>
      <c r="L131" s="7">
        <v>38</v>
      </c>
      <c r="M131" s="7">
        <v>40</v>
      </c>
      <c r="N131" s="7">
        <v>45</v>
      </c>
      <c r="O131" s="7">
        <v>51</v>
      </c>
      <c r="P131" s="7">
        <v>36</v>
      </c>
      <c r="Q131" s="7">
        <v>24</v>
      </c>
      <c r="R131" s="7">
        <v>15</v>
      </c>
      <c r="S131" s="7">
        <v>25</v>
      </c>
      <c r="T131" s="7">
        <v>26</v>
      </c>
      <c r="U131" s="7">
        <v>35</v>
      </c>
      <c r="V131" s="7">
        <v>27</v>
      </c>
      <c r="W131" s="7">
        <v>34</v>
      </c>
      <c r="X131" s="7">
        <v>24</v>
      </c>
      <c r="Y131" s="7">
        <v>16</v>
      </c>
      <c r="Z131" s="7">
        <v>61</v>
      </c>
      <c r="AA131" s="7">
        <v>44</v>
      </c>
      <c r="AB131" s="7">
        <v>33</v>
      </c>
      <c r="AC131" s="7">
        <v>30</v>
      </c>
      <c r="AD131" s="7">
        <v>28</v>
      </c>
      <c r="AE131" s="7">
        <v>23</v>
      </c>
      <c r="AF131" s="8">
        <v>19</v>
      </c>
      <c r="AG131" s="4">
        <f t="shared" si="19"/>
        <v>901</v>
      </c>
    </row>
    <row r="132" spans="1:35" ht="18.75" x14ac:dyDescent="0.25">
      <c r="A132" s="43" t="s">
        <v>23</v>
      </c>
      <c r="B132" s="7">
        <v>3</v>
      </c>
      <c r="C132" s="7">
        <v>5</v>
      </c>
      <c r="D132" s="7">
        <v>5</v>
      </c>
      <c r="E132" s="7">
        <v>4</v>
      </c>
      <c r="F132" s="7">
        <v>4</v>
      </c>
      <c r="G132" s="7">
        <v>2</v>
      </c>
      <c r="H132" s="7">
        <v>5</v>
      </c>
      <c r="I132" s="7">
        <v>8</v>
      </c>
      <c r="J132" s="7">
        <v>8</v>
      </c>
      <c r="K132" s="7">
        <v>19</v>
      </c>
      <c r="L132" s="7">
        <v>3</v>
      </c>
      <c r="M132" s="7">
        <v>3</v>
      </c>
      <c r="N132" s="7">
        <v>6</v>
      </c>
      <c r="O132" s="7">
        <v>6</v>
      </c>
      <c r="P132" s="7">
        <v>6</v>
      </c>
      <c r="Q132" s="7">
        <v>5</v>
      </c>
      <c r="R132" s="7">
        <v>5</v>
      </c>
      <c r="S132" s="7">
        <v>4</v>
      </c>
      <c r="T132" s="7">
        <v>2</v>
      </c>
      <c r="U132" s="7">
        <v>6</v>
      </c>
      <c r="V132" s="7">
        <v>4</v>
      </c>
      <c r="W132" s="7">
        <v>17</v>
      </c>
      <c r="X132" s="7">
        <v>10</v>
      </c>
      <c r="Y132" s="7">
        <v>7</v>
      </c>
      <c r="Z132" s="7">
        <v>5</v>
      </c>
      <c r="AA132" s="7">
        <v>5</v>
      </c>
      <c r="AB132" s="7">
        <v>2</v>
      </c>
      <c r="AC132" s="7">
        <v>6</v>
      </c>
      <c r="AD132" s="7">
        <v>6</v>
      </c>
      <c r="AE132" s="7">
        <v>8</v>
      </c>
      <c r="AF132" s="8">
        <v>6</v>
      </c>
      <c r="AG132" s="4">
        <f t="shared" si="19"/>
        <v>185</v>
      </c>
    </row>
    <row r="133" spans="1:35" ht="18.75" x14ac:dyDescent="0.25">
      <c r="A133" s="43" t="s">
        <v>24</v>
      </c>
      <c r="B133" s="7">
        <v>10</v>
      </c>
      <c r="C133" s="7">
        <v>3</v>
      </c>
      <c r="D133" s="7">
        <v>2</v>
      </c>
      <c r="E133" s="7">
        <v>5</v>
      </c>
      <c r="F133" s="7">
        <v>6</v>
      </c>
      <c r="G133" s="7">
        <v>4</v>
      </c>
      <c r="H133" s="7">
        <v>5</v>
      </c>
      <c r="I133" s="7">
        <v>6</v>
      </c>
      <c r="J133" s="7">
        <v>2</v>
      </c>
      <c r="K133" s="7">
        <v>4</v>
      </c>
      <c r="L133" s="7">
        <v>6</v>
      </c>
      <c r="M133" s="7">
        <v>5</v>
      </c>
      <c r="N133" s="7">
        <v>7</v>
      </c>
      <c r="O133" s="7">
        <v>6</v>
      </c>
      <c r="P133" s="7">
        <v>6</v>
      </c>
      <c r="Q133" s="7">
        <v>4</v>
      </c>
      <c r="R133" s="7">
        <v>3</v>
      </c>
      <c r="S133" s="7">
        <v>8</v>
      </c>
      <c r="T133" s="7">
        <v>13</v>
      </c>
      <c r="U133" s="7">
        <v>6</v>
      </c>
      <c r="V133" s="7">
        <v>2</v>
      </c>
      <c r="W133" s="7">
        <v>8</v>
      </c>
      <c r="X133" s="7">
        <v>2</v>
      </c>
      <c r="Y133" s="7">
        <v>13</v>
      </c>
      <c r="Z133" s="7">
        <v>5</v>
      </c>
      <c r="AA133" s="7">
        <v>3</v>
      </c>
      <c r="AB133" s="7">
        <v>8</v>
      </c>
      <c r="AC133" s="7">
        <v>11</v>
      </c>
      <c r="AD133" s="7">
        <v>6</v>
      </c>
      <c r="AE133" s="7">
        <v>7</v>
      </c>
      <c r="AF133" s="8">
        <v>7</v>
      </c>
      <c r="AG133" s="4">
        <f t="shared" si="19"/>
        <v>183</v>
      </c>
    </row>
    <row r="134" spans="1:35" ht="18.75" x14ac:dyDescent="0.25">
      <c r="A134" s="43" t="s">
        <v>25</v>
      </c>
      <c r="B134" s="7">
        <v>4</v>
      </c>
      <c r="C134" s="7">
        <v>6</v>
      </c>
      <c r="D134" s="7">
        <v>2</v>
      </c>
      <c r="E134" s="7">
        <v>2</v>
      </c>
      <c r="F134" s="7">
        <v>4</v>
      </c>
      <c r="G134" s="7">
        <f>1+5</f>
        <v>6</v>
      </c>
      <c r="H134" s="7">
        <v>2</v>
      </c>
      <c r="I134" s="7">
        <f>1+2</f>
        <v>3</v>
      </c>
      <c r="J134" s="7">
        <v>2</v>
      </c>
      <c r="K134" s="7">
        <v>4</v>
      </c>
      <c r="L134" s="7">
        <f>4+1</f>
        <v>5</v>
      </c>
      <c r="M134" s="7">
        <v>4</v>
      </c>
      <c r="N134" s="7">
        <f>1+4</f>
        <v>5</v>
      </c>
      <c r="O134" s="7">
        <v>6</v>
      </c>
      <c r="P134" s="7">
        <v>6</v>
      </c>
      <c r="Q134" s="7">
        <f>1+5</f>
        <v>6</v>
      </c>
      <c r="R134" s="7">
        <f>1+1</f>
        <v>2</v>
      </c>
      <c r="S134" s="7">
        <v>5</v>
      </c>
      <c r="T134" s="7">
        <v>3</v>
      </c>
      <c r="U134" s="7">
        <v>8</v>
      </c>
      <c r="V134" s="7">
        <v>5</v>
      </c>
      <c r="W134" s="7">
        <v>6</v>
      </c>
      <c r="X134" s="7">
        <v>3</v>
      </c>
      <c r="Y134" s="7">
        <v>5</v>
      </c>
      <c r="Z134" s="7">
        <v>4</v>
      </c>
      <c r="AA134" s="7">
        <v>2</v>
      </c>
      <c r="AB134" s="7">
        <v>1</v>
      </c>
      <c r="AC134" s="7">
        <v>4</v>
      </c>
      <c r="AD134" s="7">
        <v>5</v>
      </c>
      <c r="AE134" s="7">
        <v>9</v>
      </c>
      <c r="AF134" s="8">
        <f>1+7</f>
        <v>8</v>
      </c>
      <c r="AG134" s="4">
        <f t="shared" ref="AG134:AG147" si="21">SUM(B134:AF134)</f>
        <v>137</v>
      </c>
    </row>
    <row r="135" spans="1:35" ht="18.75" x14ac:dyDescent="0.25">
      <c r="A135" s="43" t="s">
        <v>26</v>
      </c>
      <c r="B135" s="7">
        <v>5</v>
      </c>
      <c r="C135" s="7">
        <v>6</v>
      </c>
      <c r="D135" s="7">
        <v>8</v>
      </c>
      <c r="E135" s="7">
        <v>3</v>
      </c>
      <c r="F135" s="7">
        <v>3</v>
      </c>
      <c r="G135" s="7">
        <v>3</v>
      </c>
      <c r="H135" s="7">
        <v>3</v>
      </c>
      <c r="I135" s="7">
        <v>2</v>
      </c>
      <c r="J135" s="7">
        <v>4</v>
      </c>
      <c r="K135" s="7">
        <v>6</v>
      </c>
      <c r="L135" s="7">
        <v>4</v>
      </c>
      <c r="M135" s="7">
        <v>8</v>
      </c>
      <c r="N135" s="7">
        <v>6</v>
      </c>
      <c r="O135" s="7">
        <v>4</v>
      </c>
      <c r="P135" s="7">
        <v>3</v>
      </c>
      <c r="Q135" s="7">
        <v>2</v>
      </c>
      <c r="R135" s="7">
        <v>4</v>
      </c>
      <c r="S135" s="7">
        <v>3</v>
      </c>
      <c r="T135" s="7">
        <v>5</v>
      </c>
      <c r="U135" s="7">
        <v>5</v>
      </c>
      <c r="V135" s="7">
        <v>3</v>
      </c>
      <c r="W135" s="7">
        <v>4</v>
      </c>
      <c r="X135" s="7">
        <v>7</v>
      </c>
      <c r="Y135" s="7">
        <v>7</v>
      </c>
      <c r="Z135" s="7">
        <v>1</v>
      </c>
      <c r="AA135" s="7">
        <v>2</v>
      </c>
      <c r="AB135" s="7">
        <v>8</v>
      </c>
      <c r="AC135" s="7"/>
      <c r="AD135" s="7"/>
      <c r="AE135" s="7">
        <v>3</v>
      </c>
      <c r="AF135" s="8">
        <v>6</v>
      </c>
      <c r="AG135" s="4">
        <f t="shared" si="21"/>
        <v>128</v>
      </c>
    </row>
    <row r="136" spans="1:35" ht="18.75" x14ac:dyDescent="0.25">
      <c r="A136" s="43" t="s">
        <v>27</v>
      </c>
      <c r="B136" s="7">
        <v>12</v>
      </c>
      <c r="C136" s="7">
        <v>13</v>
      </c>
      <c r="D136" s="7">
        <v>9</v>
      </c>
      <c r="E136" s="7">
        <v>12</v>
      </c>
      <c r="F136" s="7">
        <v>9</v>
      </c>
      <c r="G136" s="7">
        <v>14</v>
      </c>
      <c r="H136" s="7">
        <v>13</v>
      </c>
      <c r="I136" s="7">
        <v>17</v>
      </c>
      <c r="J136" s="7">
        <v>6</v>
      </c>
      <c r="K136" s="7">
        <v>10</v>
      </c>
      <c r="L136" s="7">
        <v>20</v>
      </c>
      <c r="M136" s="7">
        <v>13</v>
      </c>
      <c r="N136" s="7">
        <v>9</v>
      </c>
      <c r="O136" s="7">
        <v>10</v>
      </c>
      <c r="P136" s="7">
        <v>8</v>
      </c>
      <c r="Q136" s="7">
        <v>11</v>
      </c>
      <c r="R136" s="7">
        <v>15</v>
      </c>
      <c r="S136" s="7">
        <v>10</v>
      </c>
      <c r="T136" s="7">
        <v>7</v>
      </c>
      <c r="U136" s="7">
        <v>7</v>
      </c>
      <c r="V136" s="7">
        <v>13</v>
      </c>
      <c r="W136" s="7">
        <v>12</v>
      </c>
      <c r="X136" s="7">
        <v>12</v>
      </c>
      <c r="Y136" s="7">
        <v>14</v>
      </c>
      <c r="Z136" s="7">
        <v>15</v>
      </c>
      <c r="AA136" s="7">
        <v>13</v>
      </c>
      <c r="AB136" s="7">
        <v>9</v>
      </c>
      <c r="AC136" s="7">
        <v>9</v>
      </c>
      <c r="AD136" s="7">
        <v>6</v>
      </c>
      <c r="AE136" s="7">
        <v>12</v>
      </c>
      <c r="AF136" s="8">
        <v>14</v>
      </c>
      <c r="AG136" s="4">
        <f t="shared" si="21"/>
        <v>354</v>
      </c>
    </row>
    <row r="137" spans="1:35" ht="18.75" x14ac:dyDescent="0.25">
      <c r="A137" s="43" t="s">
        <v>28</v>
      </c>
      <c r="B137" s="7">
        <v>3</v>
      </c>
      <c r="C137" s="7">
        <v>5</v>
      </c>
      <c r="D137" s="7">
        <v>4</v>
      </c>
      <c r="E137" s="7">
        <f>1+2</f>
        <v>3</v>
      </c>
      <c r="F137" s="7">
        <v>2</v>
      </c>
      <c r="G137" s="7">
        <v>2</v>
      </c>
      <c r="H137" s="7">
        <v>4</v>
      </c>
      <c r="I137" s="7">
        <v>1</v>
      </c>
      <c r="J137" s="7">
        <v>4</v>
      </c>
      <c r="K137" s="7">
        <f>5+1</f>
        <v>6</v>
      </c>
      <c r="L137" s="7">
        <v>6</v>
      </c>
      <c r="M137" s="7">
        <v>4</v>
      </c>
      <c r="N137" s="7">
        <v>2</v>
      </c>
      <c r="O137" s="7">
        <v>6</v>
      </c>
      <c r="P137" s="7">
        <f>4+3</f>
        <v>7</v>
      </c>
      <c r="Q137" s="7">
        <f>2+1</f>
        <v>3</v>
      </c>
      <c r="R137" s="7">
        <v>7</v>
      </c>
      <c r="S137" s="7">
        <v>5</v>
      </c>
      <c r="T137" s="7">
        <v>1</v>
      </c>
      <c r="U137" s="7">
        <v>3</v>
      </c>
      <c r="V137" s="7">
        <v>2</v>
      </c>
      <c r="W137" s="7">
        <v>1</v>
      </c>
      <c r="X137" s="7">
        <f>8+3</f>
        <v>11</v>
      </c>
      <c r="Y137" s="7">
        <v>2</v>
      </c>
      <c r="Z137" s="7">
        <f>1+1</f>
        <v>2</v>
      </c>
      <c r="AA137" s="7">
        <v>1</v>
      </c>
      <c r="AB137" s="7">
        <f>4+3</f>
        <v>7</v>
      </c>
      <c r="AC137" s="7">
        <f>1+1</f>
        <v>2</v>
      </c>
      <c r="AD137" s="7">
        <v>4</v>
      </c>
      <c r="AE137" s="7">
        <f>2+1</f>
        <v>3</v>
      </c>
      <c r="AF137" s="8">
        <v>2</v>
      </c>
      <c r="AG137" s="4">
        <f t="shared" si="21"/>
        <v>115</v>
      </c>
    </row>
    <row r="138" spans="1:35" ht="18.75" x14ac:dyDescent="0.25">
      <c r="A138" s="43" t="s">
        <v>29</v>
      </c>
      <c r="B138" s="7"/>
      <c r="C138" s="7"/>
      <c r="D138" s="7">
        <v>1</v>
      </c>
      <c r="E138" s="7"/>
      <c r="F138" s="7">
        <v>2</v>
      </c>
      <c r="G138" s="7"/>
      <c r="H138" s="7">
        <v>1</v>
      </c>
      <c r="I138" s="7">
        <v>1</v>
      </c>
      <c r="J138" s="7">
        <v>1</v>
      </c>
      <c r="K138" s="7">
        <v>3</v>
      </c>
      <c r="L138" s="7">
        <v>2</v>
      </c>
      <c r="M138" s="7">
        <v>3</v>
      </c>
      <c r="N138" s="7">
        <v>2</v>
      </c>
      <c r="O138" s="7">
        <v>1</v>
      </c>
      <c r="P138" s="7"/>
      <c r="Q138" s="7">
        <v>1</v>
      </c>
      <c r="R138" s="7">
        <v>1</v>
      </c>
      <c r="S138" s="7"/>
      <c r="T138" s="7"/>
      <c r="U138" s="7"/>
      <c r="V138" s="7"/>
      <c r="W138" s="7">
        <v>1</v>
      </c>
      <c r="X138" s="7">
        <v>2</v>
      </c>
      <c r="Y138" s="7">
        <v>2</v>
      </c>
      <c r="Z138" s="7">
        <v>1</v>
      </c>
      <c r="AA138" s="7">
        <v>2</v>
      </c>
      <c r="AB138" s="7">
        <v>2</v>
      </c>
      <c r="AC138" s="7">
        <v>1</v>
      </c>
      <c r="AD138" s="7"/>
      <c r="AE138" s="7"/>
      <c r="AF138" s="8"/>
      <c r="AG138" s="4">
        <f t="shared" si="21"/>
        <v>30</v>
      </c>
    </row>
    <row r="139" spans="1:35" ht="18.75" x14ac:dyDescent="0.25">
      <c r="A139" s="41" t="s">
        <v>30</v>
      </c>
      <c r="B139" s="7">
        <v>1</v>
      </c>
      <c r="C139" s="7">
        <f>3+1</f>
        <v>4</v>
      </c>
      <c r="D139" s="7">
        <v>1</v>
      </c>
      <c r="E139" s="7">
        <f>2+1</f>
        <v>3</v>
      </c>
      <c r="F139" s="7">
        <v>6</v>
      </c>
      <c r="G139" s="7"/>
      <c r="H139" s="7">
        <v>5</v>
      </c>
      <c r="I139" s="7"/>
      <c r="J139" s="7">
        <v>1</v>
      </c>
      <c r="K139" s="7">
        <v>1</v>
      </c>
      <c r="L139" s="7">
        <f>1+1</f>
        <v>2</v>
      </c>
      <c r="M139" s="7"/>
      <c r="N139" s="7">
        <f>5+2</f>
        <v>7</v>
      </c>
      <c r="O139" s="7">
        <v>6</v>
      </c>
      <c r="P139" s="7">
        <f>3+2</f>
        <v>5</v>
      </c>
      <c r="Q139" s="7">
        <v>4</v>
      </c>
      <c r="R139" s="7">
        <v>3</v>
      </c>
      <c r="S139" s="7">
        <v>1</v>
      </c>
      <c r="T139" s="7">
        <v>2</v>
      </c>
      <c r="U139" s="7">
        <f>1+1</f>
        <v>2</v>
      </c>
      <c r="V139" s="7">
        <v>2</v>
      </c>
      <c r="W139" s="7">
        <v>2</v>
      </c>
      <c r="X139" s="7">
        <v>4</v>
      </c>
      <c r="Y139" s="7">
        <v>3</v>
      </c>
      <c r="Z139" s="7">
        <v>3</v>
      </c>
      <c r="AA139" s="7">
        <v>1</v>
      </c>
      <c r="AB139" s="7">
        <v>4</v>
      </c>
      <c r="AC139" s="7"/>
      <c r="AD139" s="7">
        <f>1+1</f>
        <v>2</v>
      </c>
      <c r="AE139" s="7">
        <v>1</v>
      </c>
      <c r="AF139" s="8"/>
      <c r="AG139" s="4">
        <f t="shared" si="21"/>
        <v>76</v>
      </c>
    </row>
    <row r="140" spans="1:35" ht="18.75" x14ac:dyDescent="0.25">
      <c r="A140" s="41" t="s">
        <v>31</v>
      </c>
      <c r="B140" s="7">
        <v>1</v>
      </c>
      <c r="C140" s="7"/>
      <c r="D140" s="7"/>
      <c r="E140" s="7">
        <v>1</v>
      </c>
      <c r="F140" s="7"/>
      <c r="G140" s="7">
        <v>1</v>
      </c>
      <c r="H140" s="7">
        <v>1</v>
      </c>
      <c r="I140" s="7">
        <v>2</v>
      </c>
      <c r="J140" s="7"/>
      <c r="K140" s="7"/>
      <c r="L140" s="7"/>
      <c r="M140" s="7">
        <v>1</v>
      </c>
      <c r="N140" s="7">
        <v>2</v>
      </c>
      <c r="O140" s="7">
        <v>1</v>
      </c>
      <c r="P140" s="7"/>
      <c r="Q140" s="7"/>
      <c r="R140" s="7">
        <v>2</v>
      </c>
      <c r="S140" s="7">
        <v>4</v>
      </c>
      <c r="T140" s="7">
        <v>1</v>
      </c>
      <c r="U140" s="7">
        <v>1</v>
      </c>
      <c r="V140" s="7"/>
      <c r="W140" s="7"/>
      <c r="X140" s="7"/>
      <c r="Y140" s="7"/>
      <c r="Z140" s="7">
        <v>1</v>
      </c>
      <c r="AA140" s="7">
        <v>2</v>
      </c>
      <c r="AB140" s="7">
        <v>3</v>
      </c>
      <c r="AC140" s="7">
        <v>3</v>
      </c>
      <c r="AD140" s="7">
        <v>1</v>
      </c>
      <c r="AE140" s="7"/>
      <c r="AF140" s="8">
        <v>1</v>
      </c>
      <c r="AG140" s="4">
        <f t="shared" si="21"/>
        <v>29</v>
      </c>
    </row>
    <row r="141" spans="1:35" ht="18.75" x14ac:dyDescent="0.25">
      <c r="A141" s="41" t="s">
        <v>32</v>
      </c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>
        <v>1</v>
      </c>
      <c r="M141" s="7">
        <v>1</v>
      </c>
      <c r="N141" s="7"/>
      <c r="O141" s="7">
        <f>1+1</f>
        <v>2</v>
      </c>
      <c r="P141" s="7">
        <v>3</v>
      </c>
      <c r="Q141" s="7">
        <v>1</v>
      </c>
      <c r="R141" s="7"/>
      <c r="S141" s="7"/>
      <c r="T141" s="7"/>
      <c r="U141" s="7">
        <v>1</v>
      </c>
      <c r="V141" s="7"/>
      <c r="W141" s="7"/>
      <c r="X141" s="7">
        <v>1</v>
      </c>
      <c r="Y141" s="7"/>
      <c r="Z141" s="7">
        <v>1</v>
      </c>
      <c r="AA141" s="7"/>
      <c r="AB141" s="7"/>
      <c r="AC141" s="7">
        <v>1</v>
      </c>
      <c r="AD141" s="7">
        <v>2</v>
      </c>
      <c r="AE141" s="7"/>
      <c r="AF141" s="8"/>
      <c r="AG141" s="4">
        <f t="shared" si="21"/>
        <v>14</v>
      </c>
    </row>
    <row r="142" spans="1:35" ht="18.75" x14ac:dyDescent="0.25">
      <c r="A142" s="43" t="s">
        <v>60</v>
      </c>
      <c r="B142" s="7">
        <v>1</v>
      </c>
      <c r="C142" s="7"/>
      <c r="D142" s="7">
        <v>1</v>
      </c>
      <c r="E142" s="7">
        <f>1+1+1</f>
        <v>3</v>
      </c>
      <c r="F142" s="7"/>
      <c r="G142" s="7">
        <f>1</f>
        <v>1</v>
      </c>
      <c r="H142" s="7">
        <f>1+1</f>
        <v>2</v>
      </c>
      <c r="I142" s="7">
        <f>1+1</f>
        <v>2</v>
      </c>
      <c r="J142" s="7">
        <f>1+1</f>
        <v>2</v>
      </c>
      <c r="K142" s="7">
        <f>1+1</f>
        <v>2</v>
      </c>
      <c r="L142" s="7">
        <f>1+1</f>
        <v>2</v>
      </c>
      <c r="M142" s="7">
        <f>1+1+1+1+1+1</f>
        <v>6</v>
      </c>
      <c r="N142" s="7">
        <v>1</v>
      </c>
      <c r="O142" s="7">
        <f>1+3+1+1</f>
        <v>6</v>
      </c>
      <c r="P142" s="7">
        <f>1</f>
        <v>1</v>
      </c>
      <c r="Q142" s="7">
        <f>1+1</f>
        <v>2</v>
      </c>
      <c r="R142" s="7">
        <f>1+1+2+1</f>
        <v>5</v>
      </c>
      <c r="S142" s="7">
        <f>1+1+1</f>
        <v>3</v>
      </c>
      <c r="T142" s="7">
        <v>9</v>
      </c>
      <c r="U142" s="7">
        <v>1</v>
      </c>
      <c r="V142" s="7">
        <f>1+2</f>
        <v>3</v>
      </c>
      <c r="W142" s="7">
        <f>1+1</f>
        <v>2</v>
      </c>
      <c r="X142" s="7"/>
      <c r="Y142" s="7">
        <v>1</v>
      </c>
      <c r="Z142" s="7">
        <f>1+3+1+1</f>
        <v>6</v>
      </c>
      <c r="AA142" s="7">
        <v>1</v>
      </c>
      <c r="AB142" s="7">
        <f>1+1+1</f>
        <v>3</v>
      </c>
      <c r="AC142" s="7">
        <f>1+1+1</f>
        <v>3</v>
      </c>
      <c r="AD142" s="7">
        <f>1+1</f>
        <v>2</v>
      </c>
      <c r="AE142" s="7">
        <f>1+2+1+1</f>
        <v>5</v>
      </c>
      <c r="AF142" s="8">
        <f>1+1</f>
        <v>2</v>
      </c>
      <c r="AG142" s="4">
        <f t="shared" si="21"/>
        <v>78</v>
      </c>
    </row>
    <row r="143" spans="1:35" ht="19.5" thickBot="1" x14ac:dyDescent="0.3">
      <c r="A143" s="75" t="s">
        <v>86</v>
      </c>
      <c r="B143" s="13">
        <f>3+9</f>
        <v>12</v>
      </c>
      <c r="C143" s="13">
        <f>8+5</f>
        <v>13</v>
      </c>
      <c r="D143" s="13">
        <f>3+6</f>
        <v>9</v>
      </c>
      <c r="E143" s="13">
        <f>5+4</f>
        <v>9</v>
      </c>
      <c r="F143" s="13">
        <f>4+2</f>
        <v>6</v>
      </c>
      <c r="G143" s="13">
        <f>1+3</f>
        <v>4</v>
      </c>
      <c r="H143" s="13">
        <f>6+1</f>
        <v>7</v>
      </c>
      <c r="I143" s="13">
        <f>3+7</f>
        <v>10</v>
      </c>
      <c r="J143" s="13">
        <f>5+3</f>
        <v>8</v>
      </c>
      <c r="K143" s="13">
        <f>1+4</f>
        <v>5</v>
      </c>
      <c r="L143" s="13">
        <f>2+8</f>
        <v>10</v>
      </c>
      <c r="M143" s="13">
        <f>8+2</f>
        <v>10</v>
      </c>
      <c r="N143" s="13">
        <f>5+1+6</f>
        <v>12</v>
      </c>
      <c r="O143" s="13">
        <f>7+7</f>
        <v>14</v>
      </c>
      <c r="P143" s="13">
        <f>10+5</f>
        <v>15</v>
      </c>
      <c r="Q143" s="13">
        <v>12</v>
      </c>
      <c r="R143" s="13">
        <f>2+4</f>
        <v>6</v>
      </c>
      <c r="S143" s="13">
        <f>10+3</f>
        <v>13</v>
      </c>
      <c r="T143" s="13">
        <v>2</v>
      </c>
      <c r="U143" s="13">
        <f>5+9</f>
        <v>14</v>
      </c>
      <c r="V143" s="13">
        <f>5+6</f>
        <v>11</v>
      </c>
      <c r="W143" s="13">
        <f>1+13+6</f>
        <v>20</v>
      </c>
      <c r="X143" s="13">
        <v>1</v>
      </c>
      <c r="Y143" s="13">
        <f>5+6</f>
        <v>11</v>
      </c>
      <c r="Z143" s="13">
        <f>9+3</f>
        <v>12</v>
      </c>
      <c r="AA143" s="13">
        <f>5+6</f>
        <v>11</v>
      </c>
      <c r="AB143" s="13">
        <f>9+3</f>
        <v>12</v>
      </c>
      <c r="AC143" s="13">
        <f>5+2</f>
        <v>7</v>
      </c>
      <c r="AD143" s="13">
        <f>4+1+7</f>
        <v>12</v>
      </c>
      <c r="AE143" s="13">
        <f>9+2</f>
        <v>11</v>
      </c>
      <c r="AF143" s="14">
        <f>4+3</f>
        <v>7</v>
      </c>
      <c r="AG143" s="108">
        <f t="shared" si="21"/>
        <v>306</v>
      </c>
    </row>
    <row r="144" spans="1:35" ht="19.5" thickBot="1" x14ac:dyDescent="0.3">
      <c r="A144" s="164" t="s">
        <v>89</v>
      </c>
      <c r="B144" s="165">
        <f t="shared" ref="B144:AD144" si="22">+B146+B156+B158+B167</f>
        <v>71</v>
      </c>
      <c r="C144" s="165">
        <f t="shared" si="22"/>
        <v>75</v>
      </c>
      <c r="D144" s="165">
        <f t="shared" si="22"/>
        <v>68</v>
      </c>
      <c r="E144" s="165">
        <f t="shared" si="22"/>
        <v>84</v>
      </c>
      <c r="F144" s="165">
        <f t="shared" si="22"/>
        <v>63</v>
      </c>
      <c r="G144" s="165">
        <f t="shared" si="22"/>
        <v>57</v>
      </c>
      <c r="H144" s="165">
        <f t="shared" si="22"/>
        <v>69</v>
      </c>
      <c r="I144" s="165">
        <f t="shared" si="22"/>
        <v>84</v>
      </c>
      <c r="J144" s="165">
        <f t="shared" si="22"/>
        <v>59</v>
      </c>
      <c r="K144" s="165">
        <f t="shared" si="22"/>
        <v>68</v>
      </c>
      <c r="L144" s="165">
        <f t="shared" si="22"/>
        <v>99</v>
      </c>
      <c r="M144" s="165">
        <f t="shared" si="22"/>
        <v>98</v>
      </c>
      <c r="N144" s="165">
        <f t="shared" si="22"/>
        <v>104</v>
      </c>
      <c r="O144" s="165">
        <f t="shared" si="22"/>
        <v>119</v>
      </c>
      <c r="P144" s="165">
        <f t="shared" si="22"/>
        <v>96</v>
      </c>
      <c r="Q144" s="165">
        <f t="shared" si="22"/>
        <v>75</v>
      </c>
      <c r="R144" s="165">
        <f t="shared" si="22"/>
        <v>68</v>
      </c>
      <c r="S144" s="165">
        <f t="shared" si="22"/>
        <v>81</v>
      </c>
      <c r="T144" s="165">
        <f t="shared" si="22"/>
        <v>71</v>
      </c>
      <c r="U144" s="165">
        <f t="shared" si="22"/>
        <v>89</v>
      </c>
      <c r="V144" s="165">
        <f t="shared" si="22"/>
        <v>72</v>
      </c>
      <c r="W144" s="165">
        <f t="shared" si="22"/>
        <v>107</v>
      </c>
      <c r="X144" s="165">
        <f t="shared" si="22"/>
        <v>77</v>
      </c>
      <c r="Y144" s="165">
        <f t="shared" si="22"/>
        <v>81</v>
      </c>
      <c r="Z144" s="165">
        <f t="shared" si="22"/>
        <v>117</v>
      </c>
      <c r="AA144" s="165">
        <f t="shared" si="22"/>
        <v>87</v>
      </c>
      <c r="AB144" s="165">
        <f t="shared" si="22"/>
        <v>92</v>
      </c>
      <c r="AC144" s="165">
        <f t="shared" si="22"/>
        <v>77</v>
      </c>
      <c r="AD144" s="165">
        <f t="shared" si="22"/>
        <v>74</v>
      </c>
      <c r="AE144" s="165">
        <f>+AE146+AE156+AE158+AE167</f>
        <v>82</v>
      </c>
      <c r="AF144" s="165">
        <f t="shared" ref="AF144" si="23">+AF146+AF156+AF158+AF167</f>
        <v>72</v>
      </c>
      <c r="AG144" s="116">
        <f t="shared" si="21"/>
        <v>2536</v>
      </c>
      <c r="AH144" s="38" t="str">
        <f>IF(AG144&lt;&gt;AG93,"*","")</f>
        <v/>
      </c>
      <c r="AI144" t="s">
        <v>140</v>
      </c>
    </row>
    <row r="145" spans="1:34" ht="19.5" thickBot="1" x14ac:dyDescent="0.3">
      <c r="A145" s="160" t="s">
        <v>98</v>
      </c>
      <c r="B145" s="161">
        <f t="shared" ref="B145:AD145" si="24">+B149+B155+B157+B172</f>
        <v>2</v>
      </c>
      <c r="C145" s="161">
        <f t="shared" si="24"/>
        <v>4</v>
      </c>
      <c r="D145" s="161">
        <f t="shared" si="24"/>
        <v>2</v>
      </c>
      <c r="E145" s="161">
        <f t="shared" si="24"/>
        <v>10</v>
      </c>
      <c r="F145" s="161">
        <f t="shared" si="24"/>
        <v>5</v>
      </c>
      <c r="G145" s="161">
        <f t="shared" si="24"/>
        <v>4</v>
      </c>
      <c r="H145" s="161">
        <f t="shared" si="24"/>
        <v>4</v>
      </c>
      <c r="I145" s="161">
        <f t="shared" si="24"/>
        <v>7</v>
      </c>
      <c r="J145" s="161">
        <f t="shared" si="24"/>
        <v>1</v>
      </c>
      <c r="K145" s="161">
        <f t="shared" si="24"/>
        <v>1</v>
      </c>
      <c r="L145" s="161">
        <f t="shared" si="24"/>
        <v>12</v>
      </c>
      <c r="M145" s="161">
        <f t="shared" si="24"/>
        <v>6</v>
      </c>
      <c r="N145" s="161">
        <f t="shared" si="24"/>
        <v>8</v>
      </c>
      <c r="O145" s="161">
        <f t="shared" si="24"/>
        <v>11</v>
      </c>
      <c r="P145" s="161">
        <f t="shared" si="24"/>
        <v>6</v>
      </c>
      <c r="Q145" s="161">
        <f t="shared" si="24"/>
        <v>0</v>
      </c>
      <c r="R145" s="161">
        <f t="shared" si="24"/>
        <v>1</v>
      </c>
      <c r="S145" s="161">
        <f t="shared" si="24"/>
        <v>4</v>
      </c>
      <c r="T145" s="161">
        <f t="shared" si="24"/>
        <v>0</v>
      </c>
      <c r="U145" s="161">
        <f t="shared" si="24"/>
        <v>7</v>
      </c>
      <c r="V145" s="161">
        <f t="shared" si="24"/>
        <v>0</v>
      </c>
      <c r="W145" s="161">
        <f t="shared" si="24"/>
        <v>5</v>
      </c>
      <c r="X145" s="161">
        <f t="shared" si="24"/>
        <v>5</v>
      </c>
      <c r="Y145" s="161">
        <f t="shared" si="24"/>
        <v>5</v>
      </c>
      <c r="Z145" s="161">
        <f t="shared" si="24"/>
        <v>0</v>
      </c>
      <c r="AA145" s="161">
        <f t="shared" si="24"/>
        <v>0</v>
      </c>
      <c r="AB145" s="161">
        <f t="shared" si="24"/>
        <v>0</v>
      </c>
      <c r="AC145" s="161">
        <f t="shared" si="24"/>
        <v>0</v>
      </c>
      <c r="AD145" s="161">
        <f t="shared" si="24"/>
        <v>10</v>
      </c>
      <c r="AE145" s="161">
        <f>+AE149+AE155+AE157+AE172</f>
        <v>2</v>
      </c>
      <c r="AF145" s="162">
        <f t="shared" ref="AF145" si="25">+AF149+AF155+AF157+AF172</f>
        <v>1</v>
      </c>
      <c r="AG145" s="163">
        <f t="shared" si="21"/>
        <v>123</v>
      </c>
      <c r="AH145" s="1"/>
    </row>
    <row r="146" spans="1:34" ht="19.5" thickBot="1" x14ac:dyDescent="0.3">
      <c r="A146" s="117" t="s">
        <v>69</v>
      </c>
      <c r="B146" s="118">
        <f t="shared" ref="B146:AG147" si="26">+B148+B154</f>
        <v>0</v>
      </c>
      <c r="C146" s="118">
        <f t="shared" si="26"/>
        <v>0</v>
      </c>
      <c r="D146" s="118">
        <f t="shared" si="26"/>
        <v>0</v>
      </c>
      <c r="E146" s="118">
        <f t="shared" si="26"/>
        <v>0</v>
      </c>
      <c r="F146" s="118">
        <f t="shared" si="26"/>
        <v>0</v>
      </c>
      <c r="G146" s="118">
        <f t="shared" si="26"/>
        <v>0</v>
      </c>
      <c r="H146" s="118">
        <f t="shared" si="26"/>
        <v>0</v>
      </c>
      <c r="I146" s="118">
        <f t="shared" si="26"/>
        <v>0</v>
      </c>
      <c r="J146" s="118">
        <f t="shared" si="26"/>
        <v>0</v>
      </c>
      <c r="K146" s="118">
        <f t="shared" si="26"/>
        <v>0</v>
      </c>
      <c r="L146" s="118">
        <f t="shared" si="26"/>
        <v>0</v>
      </c>
      <c r="M146" s="118">
        <f t="shared" si="26"/>
        <v>0</v>
      </c>
      <c r="N146" s="118">
        <f t="shared" si="26"/>
        <v>0</v>
      </c>
      <c r="O146" s="118">
        <f t="shared" si="26"/>
        <v>0</v>
      </c>
      <c r="P146" s="118">
        <f t="shared" si="26"/>
        <v>0</v>
      </c>
      <c r="Q146" s="118">
        <f t="shared" si="26"/>
        <v>0</v>
      </c>
      <c r="R146" s="118">
        <f t="shared" si="26"/>
        <v>0</v>
      </c>
      <c r="S146" s="118">
        <f t="shared" si="26"/>
        <v>0</v>
      </c>
      <c r="T146" s="118">
        <f t="shared" si="26"/>
        <v>0</v>
      </c>
      <c r="U146" s="118">
        <f t="shared" si="26"/>
        <v>0</v>
      </c>
      <c r="V146" s="118">
        <f t="shared" si="26"/>
        <v>0</v>
      </c>
      <c r="W146" s="118">
        <f t="shared" si="26"/>
        <v>0</v>
      </c>
      <c r="X146" s="118">
        <f t="shared" si="26"/>
        <v>0</v>
      </c>
      <c r="Y146" s="118">
        <f t="shared" si="26"/>
        <v>0</v>
      </c>
      <c r="Z146" s="118">
        <f t="shared" si="26"/>
        <v>0</v>
      </c>
      <c r="AA146" s="118">
        <f t="shared" si="26"/>
        <v>0</v>
      </c>
      <c r="AB146" s="118">
        <f t="shared" si="26"/>
        <v>0</v>
      </c>
      <c r="AC146" s="118">
        <f t="shared" si="26"/>
        <v>0</v>
      </c>
      <c r="AD146" s="118">
        <f t="shared" si="26"/>
        <v>0</v>
      </c>
      <c r="AE146" s="118">
        <f t="shared" si="26"/>
        <v>0</v>
      </c>
      <c r="AF146" s="119">
        <f t="shared" si="26"/>
        <v>0</v>
      </c>
      <c r="AG146" s="120">
        <f t="shared" si="26"/>
        <v>0</v>
      </c>
    </row>
    <row r="147" spans="1:34" ht="19.5" thickBot="1" x14ac:dyDescent="0.3">
      <c r="A147" s="153" t="s">
        <v>130</v>
      </c>
      <c r="B147" s="154">
        <f t="shared" si="26"/>
        <v>0</v>
      </c>
      <c r="C147" s="154">
        <f t="shared" si="26"/>
        <v>0</v>
      </c>
      <c r="D147" s="154">
        <f t="shared" si="26"/>
        <v>0</v>
      </c>
      <c r="E147" s="154">
        <f t="shared" si="26"/>
        <v>0</v>
      </c>
      <c r="F147" s="154">
        <f t="shared" si="26"/>
        <v>0</v>
      </c>
      <c r="G147" s="154">
        <f t="shared" si="26"/>
        <v>0</v>
      </c>
      <c r="H147" s="154">
        <f t="shared" si="26"/>
        <v>0</v>
      </c>
      <c r="I147" s="154">
        <f t="shared" si="26"/>
        <v>0</v>
      </c>
      <c r="J147" s="154">
        <f t="shared" si="26"/>
        <v>0</v>
      </c>
      <c r="K147" s="154">
        <f t="shared" si="26"/>
        <v>0</v>
      </c>
      <c r="L147" s="154">
        <f t="shared" si="26"/>
        <v>0</v>
      </c>
      <c r="M147" s="154">
        <f t="shared" si="26"/>
        <v>0</v>
      </c>
      <c r="N147" s="154">
        <f t="shared" si="26"/>
        <v>0</v>
      </c>
      <c r="O147" s="154">
        <f t="shared" si="26"/>
        <v>0</v>
      </c>
      <c r="P147" s="154">
        <f t="shared" si="26"/>
        <v>0</v>
      </c>
      <c r="Q147" s="154">
        <f t="shared" si="26"/>
        <v>0</v>
      </c>
      <c r="R147" s="154">
        <f t="shared" si="26"/>
        <v>0</v>
      </c>
      <c r="S147" s="154">
        <f t="shared" si="26"/>
        <v>0</v>
      </c>
      <c r="T147" s="154">
        <f t="shared" si="26"/>
        <v>0</v>
      </c>
      <c r="U147" s="154">
        <f t="shared" si="26"/>
        <v>0</v>
      </c>
      <c r="V147" s="154">
        <f t="shared" si="26"/>
        <v>0</v>
      </c>
      <c r="W147" s="154">
        <f t="shared" si="26"/>
        <v>0</v>
      </c>
      <c r="X147" s="154">
        <f t="shared" si="26"/>
        <v>0</v>
      </c>
      <c r="Y147" s="154">
        <f t="shared" si="26"/>
        <v>0</v>
      </c>
      <c r="Z147" s="154">
        <f t="shared" si="26"/>
        <v>0</v>
      </c>
      <c r="AA147" s="154">
        <f t="shared" si="26"/>
        <v>0</v>
      </c>
      <c r="AB147" s="154">
        <f>+AB149+AB155</f>
        <v>0</v>
      </c>
      <c r="AC147" s="154">
        <f t="shared" si="26"/>
        <v>0</v>
      </c>
      <c r="AD147" s="154">
        <f t="shared" si="26"/>
        <v>0</v>
      </c>
      <c r="AE147" s="154">
        <f t="shared" si="26"/>
        <v>0</v>
      </c>
      <c r="AF147" s="155"/>
      <c r="AG147" s="156">
        <f t="shared" si="21"/>
        <v>0</v>
      </c>
    </row>
    <row r="148" spans="1:34" ht="19.5" thickBot="1" x14ac:dyDescent="0.3">
      <c r="A148" s="125" t="s">
        <v>68</v>
      </c>
      <c r="B148" s="126">
        <f>SUM(B150:B153)</f>
        <v>0</v>
      </c>
      <c r="C148" s="126">
        <f t="shared" ref="C148:AF148" si="27">SUM(C150:C153)</f>
        <v>0</v>
      </c>
      <c r="D148" s="126">
        <f t="shared" si="27"/>
        <v>0</v>
      </c>
      <c r="E148" s="126">
        <f t="shared" si="27"/>
        <v>0</v>
      </c>
      <c r="F148" s="126">
        <f t="shared" si="27"/>
        <v>0</v>
      </c>
      <c r="G148" s="126">
        <f t="shared" si="27"/>
        <v>0</v>
      </c>
      <c r="H148" s="126">
        <f t="shared" si="27"/>
        <v>0</v>
      </c>
      <c r="I148" s="126">
        <f t="shared" si="27"/>
        <v>0</v>
      </c>
      <c r="J148" s="126">
        <f t="shared" si="27"/>
        <v>0</v>
      </c>
      <c r="K148" s="126">
        <f t="shared" si="27"/>
        <v>0</v>
      </c>
      <c r="L148" s="126">
        <f t="shared" si="27"/>
        <v>0</v>
      </c>
      <c r="M148" s="126">
        <f t="shared" si="27"/>
        <v>0</v>
      </c>
      <c r="N148" s="126">
        <f t="shared" si="27"/>
        <v>0</v>
      </c>
      <c r="O148" s="126">
        <f t="shared" si="27"/>
        <v>0</v>
      </c>
      <c r="P148" s="126">
        <f t="shared" si="27"/>
        <v>0</v>
      </c>
      <c r="Q148" s="126">
        <f t="shared" si="27"/>
        <v>0</v>
      </c>
      <c r="R148" s="126">
        <f t="shared" si="27"/>
        <v>0</v>
      </c>
      <c r="S148" s="126">
        <f t="shared" si="27"/>
        <v>0</v>
      </c>
      <c r="T148" s="126">
        <f t="shared" si="27"/>
        <v>0</v>
      </c>
      <c r="U148" s="126">
        <f t="shared" si="27"/>
        <v>0</v>
      </c>
      <c r="V148" s="126">
        <f t="shared" si="27"/>
        <v>0</v>
      </c>
      <c r="W148" s="126">
        <f t="shared" si="27"/>
        <v>0</v>
      </c>
      <c r="X148" s="126">
        <f t="shared" si="27"/>
        <v>0</v>
      </c>
      <c r="Y148" s="126">
        <f t="shared" si="27"/>
        <v>0</v>
      </c>
      <c r="Z148" s="126">
        <f t="shared" si="27"/>
        <v>0</v>
      </c>
      <c r="AA148" s="126">
        <f t="shared" si="27"/>
        <v>0</v>
      </c>
      <c r="AB148" s="126">
        <f t="shared" si="27"/>
        <v>0</v>
      </c>
      <c r="AC148" s="126">
        <f t="shared" si="27"/>
        <v>0</v>
      </c>
      <c r="AD148" s="126">
        <f t="shared" si="27"/>
        <v>0</v>
      </c>
      <c r="AE148" s="126">
        <f t="shared" si="27"/>
        <v>0</v>
      </c>
      <c r="AF148" s="127">
        <f t="shared" si="27"/>
        <v>0</v>
      </c>
      <c r="AG148" s="128">
        <f t="shared" ref="AG148:AG232" si="28">SUM(B148:AF148)</f>
        <v>0</v>
      </c>
    </row>
    <row r="149" spans="1:34" ht="19.5" thickBot="1" x14ac:dyDescent="0.3">
      <c r="A149" s="153" t="s">
        <v>131</v>
      </c>
      <c r="B149" s="154"/>
      <c r="C149" s="154"/>
      <c r="D149" s="154"/>
      <c r="E149" s="154"/>
      <c r="F149" s="154"/>
      <c r="G149" s="154"/>
      <c r="H149" s="154"/>
      <c r="I149" s="154"/>
      <c r="J149" s="154"/>
      <c r="K149" s="154"/>
      <c r="L149" s="154"/>
      <c r="M149" s="154"/>
      <c r="N149" s="154"/>
      <c r="O149" s="154"/>
      <c r="P149" s="154"/>
      <c r="Q149" s="154"/>
      <c r="R149" s="154"/>
      <c r="S149" s="154"/>
      <c r="T149" s="154"/>
      <c r="U149" s="154"/>
      <c r="V149" s="154"/>
      <c r="W149" s="154"/>
      <c r="X149" s="154"/>
      <c r="Y149" s="154"/>
      <c r="Z149" s="154"/>
      <c r="AA149" s="154"/>
      <c r="AB149" s="154"/>
      <c r="AC149" s="154"/>
      <c r="AD149" s="154"/>
      <c r="AE149" s="154"/>
      <c r="AF149" s="155"/>
      <c r="AG149" s="156">
        <f t="shared" si="28"/>
        <v>0</v>
      </c>
    </row>
    <row r="150" spans="1:34" ht="18.75" x14ac:dyDescent="0.25">
      <c r="A150" s="129" t="s">
        <v>100</v>
      </c>
      <c r="B150" s="130"/>
      <c r="C150" s="130"/>
      <c r="D150" s="130"/>
      <c r="E150" s="130"/>
      <c r="F150" s="130"/>
      <c r="G150" s="130"/>
      <c r="H150" s="130"/>
      <c r="I150" s="130"/>
      <c r="J150" s="130"/>
      <c r="K150" s="130"/>
      <c r="L150" s="130"/>
      <c r="M150" s="130"/>
      <c r="N150" s="130"/>
      <c r="O150" s="130"/>
      <c r="P150" s="130"/>
      <c r="Q150" s="130"/>
      <c r="R150" s="130"/>
      <c r="S150" s="130"/>
      <c r="T150" s="130"/>
      <c r="U150" s="130"/>
      <c r="V150" s="130"/>
      <c r="W150" s="130"/>
      <c r="X150" s="130"/>
      <c r="Y150" s="130"/>
      <c r="Z150" s="130"/>
      <c r="AA150" s="130"/>
      <c r="AB150" s="130"/>
      <c r="AC150" s="130"/>
      <c r="AD150" s="130"/>
      <c r="AE150" s="130"/>
      <c r="AF150" s="131"/>
      <c r="AG150" s="132">
        <f t="shared" si="28"/>
        <v>0</v>
      </c>
    </row>
    <row r="151" spans="1:34" ht="18.75" x14ac:dyDescent="0.25">
      <c r="A151" s="50" t="s">
        <v>101</v>
      </c>
      <c r="B151" s="29"/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  <c r="AA151" s="29"/>
      <c r="AB151" s="29"/>
      <c r="AC151" s="29"/>
      <c r="AD151" s="29"/>
      <c r="AE151" s="29"/>
      <c r="AF151" s="21"/>
      <c r="AG151" s="4">
        <f t="shared" si="28"/>
        <v>0</v>
      </c>
    </row>
    <row r="152" spans="1:34" ht="18.75" x14ac:dyDescent="0.25">
      <c r="A152" s="50" t="s">
        <v>102</v>
      </c>
      <c r="B152" s="29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  <c r="AA152" s="29"/>
      <c r="AB152" s="29"/>
      <c r="AC152" s="29"/>
      <c r="AD152" s="29"/>
      <c r="AE152" s="29"/>
      <c r="AF152" s="21"/>
      <c r="AG152" s="4">
        <f t="shared" si="28"/>
        <v>0</v>
      </c>
    </row>
    <row r="153" spans="1:34" ht="19.5" thickBot="1" x14ac:dyDescent="0.3">
      <c r="A153" s="71" t="s">
        <v>103</v>
      </c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  <c r="AA153" s="30"/>
      <c r="AB153" s="30"/>
      <c r="AC153" s="30"/>
      <c r="AD153" s="30"/>
      <c r="AE153" s="30"/>
      <c r="AF153" s="22"/>
      <c r="AG153" s="28">
        <f t="shared" si="28"/>
        <v>0</v>
      </c>
    </row>
    <row r="154" spans="1:34" ht="19.5" thickBot="1" x14ac:dyDescent="0.3">
      <c r="A154" s="125" t="s">
        <v>67</v>
      </c>
      <c r="B154" s="126"/>
      <c r="C154" s="126"/>
      <c r="D154" s="126"/>
      <c r="E154" s="126"/>
      <c r="F154" s="126"/>
      <c r="G154" s="126"/>
      <c r="H154" s="126"/>
      <c r="I154" s="126"/>
      <c r="J154" s="126"/>
      <c r="K154" s="126"/>
      <c r="L154" s="126"/>
      <c r="M154" s="126"/>
      <c r="N154" s="126"/>
      <c r="O154" s="126"/>
      <c r="P154" s="126"/>
      <c r="Q154" s="126"/>
      <c r="R154" s="126"/>
      <c r="S154" s="126"/>
      <c r="T154" s="126"/>
      <c r="U154" s="126"/>
      <c r="V154" s="126"/>
      <c r="W154" s="126"/>
      <c r="X154" s="126"/>
      <c r="Y154" s="126"/>
      <c r="Z154" s="126"/>
      <c r="AA154" s="126"/>
      <c r="AB154" s="126"/>
      <c r="AC154" s="126"/>
      <c r="AD154" s="126"/>
      <c r="AE154" s="126"/>
      <c r="AF154" s="127"/>
      <c r="AG154" s="128">
        <f t="shared" si="28"/>
        <v>0</v>
      </c>
    </row>
    <row r="155" spans="1:34" ht="19.5" thickBot="1" x14ac:dyDescent="0.3">
      <c r="A155" s="153" t="s">
        <v>132</v>
      </c>
      <c r="B155" s="154"/>
      <c r="C155" s="154"/>
      <c r="D155" s="154"/>
      <c r="E155" s="154"/>
      <c r="F155" s="154"/>
      <c r="G155" s="154"/>
      <c r="H155" s="154"/>
      <c r="I155" s="154"/>
      <c r="J155" s="154"/>
      <c r="K155" s="154"/>
      <c r="L155" s="154"/>
      <c r="M155" s="154"/>
      <c r="N155" s="154"/>
      <c r="O155" s="154"/>
      <c r="P155" s="154"/>
      <c r="Q155" s="154"/>
      <c r="R155" s="154"/>
      <c r="S155" s="154"/>
      <c r="T155" s="154"/>
      <c r="U155" s="154"/>
      <c r="V155" s="154"/>
      <c r="W155" s="154"/>
      <c r="X155" s="154"/>
      <c r="Y155" s="154"/>
      <c r="Z155" s="154"/>
      <c r="AA155" s="154"/>
      <c r="AB155" s="154"/>
      <c r="AC155" s="154"/>
      <c r="AD155" s="154"/>
      <c r="AE155" s="154"/>
      <c r="AF155" s="155"/>
      <c r="AG155" s="156">
        <f t="shared" si="28"/>
        <v>0</v>
      </c>
    </row>
    <row r="156" spans="1:34" ht="18.75" x14ac:dyDescent="0.25">
      <c r="A156" s="69" t="s">
        <v>62</v>
      </c>
      <c r="B156" s="56">
        <v>69</v>
      </c>
      <c r="C156" s="56">
        <v>67</v>
      </c>
      <c r="D156" s="56">
        <v>63</v>
      </c>
      <c r="E156" s="56">
        <v>79</v>
      </c>
      <c r="F156" s="56">
        <v>53</v>
      </c>
      <c r="G156" s="56">
        <v>47</v>
      </c>
      <c r="H156" s="56">
        <v>58</v>
      </c>
      <c r="I156" s="56">
        <v>74</v>
      </c>
      <c r="J156" s="56">
        <v>57</v>
      </c>
      <c r="K156" s="56">
        <v>58</v>
      </c>
      <c r="L156" s="56">
        <v>89</v>
      </c>
      <c r="M156" s="56">
        <v>92</v>
      </c>
      <c r="N156" s="56">
        <v>86</v>
      </c>
      <c r="O156" s="56">
        <v>103</v>
      </c>
      <c r="P156" s="56">
        <v>87</v>
      </c>
      <c r="Q156" s="56">
        <v>67</v>
      </c>
      <c r="R156" s="56">
        <v>58</v>
      </c>
      <c r="S156" s="56">
        <v>69</v>
      </c>
      <c r="T156" s="56">
        <v>64</v>
      </c>
      <c r="U156" s="56">
        <v>74</v>
      </c>
      <c r="V156" s="56">
        <v>64</v>
      </c>
      <c r="W156" s="56">
        <v>91</v>
      </c>
      <c r="X156" s="56">
        <v>55</v>
      </c>
      <c r="Y156" s="56">
        <v>74</v>
      </c>
      <c r="Z156" s="56">
        <v>107</v>
      </c>
      <c r="AA156" s="56">
        <v>80</v>
      </c>
      <c r="AB156" s="56">
        <v>74</v>
      </c>
      <c r="AC156" s="56">
        <v>63</v>
      </c>
      <c r="AD156" s="56">
        <v>66</v>
      </c>
      <c r="AE156" s="56">
        <v>75</v>
      </c>
      <c r="AF156" s="85">
        <v>60</v>
      </c>
      <c r="AG156" s="95">
        <f t="shared" si="28"/>
        <v>2223</v>
      </c>
      <c r="AH156" s="2" t="s">
        <v>84</v>
      </c>
    </row>
    <row r="157" spans="1:34" ht="19.5" thickBot="1" x14ac:dyDescent="0.3">
      <c r="A157" s="75" t="s">
        <v>1</v>
      </c>
      <c r="B157" s="13">
        <v>2</v>
      </c>
      <c r="C157" s="13">
        <v>4</v>
      </c>
      <c r="D157" s="13">
        <v>2</v>
      </c>
      <c r="E157" s="13">
        <v>10</v>
      </c>
      <c r="F157" s="13">
        <v>5</v>
      </c>
      <c r="G157" s="13">
        <v>4</v>
      </c>
      <c r="H157" s="13">
        <v>4</v>
      </c>
      <c r="I157" s="13">
        <v>7</v>
      </c>
      <c r="J157" s="13">
        <v>1</v>
      </c>
      <c r="K157" s="13">
        <v>1</v>
      </c>
      <c r="L157" s="13">
        <v>12</v>
      </c>
      <c r="M157" s="13">
        <v>6</v>
      </c>
      <c r="N157" s="13">
        <v>7</v>
      </c>
      <c r="O157" s="13">
        <v>11</v>
      </c>
      <c r="P157" s="13">
        <v>6</v>
      </c>
      <c r="Q157" s="13">
        <v>0</v>
      </c>
      <c r="R157" s="13">
        <v>1</v>
      </c>
      <c r="S157" s="13">
        <v>4</v>
      </c>
      <c r="T157" s="13">
        <v>0</v>
      </c>
      <c r="U157" s="13">
        <v>7</v>
      </c>
      <c r="V157" s="13">
        <v>0</v>
      </c>
      <c r="W157" s="13">
        <v>5</v>
      </c>
      <c r="X157" s="13">
        <v>5</v>
      </c>
      <c r="Y157" s="13">
        <v>5</v>
      </c>
      <c r="Z157" s="13">
        <v>0</v>
      </c>
      <c r="AA157" s="13">
        <v>0</v>
      </c>
      <c r="AB157" s="13">
        <v>0</v>
      </c>
      <c r="AC157" s="13">
        <v>0</v>
      </c>
      <c r="AD157" s="13">
        <v>10</v>
      </c>
      <c r="AE157" s="13">
        <v>2</v>
      </c>
      <c r="AF157" s="14">
        <v>1</v>
      </c>
      <c r="AG157" s="157">
        <f t="shared" si="28"/>
        <v>122</v>
      </c>
      <c r="AH157" s="2"/>
    </row>
    <row r="158" spans="1:34" ht="19.5" thickBot="1" x14ac:dyDescent="0.3">
      <c r="A158" s="121" t="s">
        <v>22</v>
      </c>
      <c r="B158" s="122">
        <f t="shared" ref="B158:AF158" si="29">SUM(B159:B166)</f>
        <v>1</v>
      </c>
      <c r="C158" s="122">
        <f t="shared" si="29"/>
        <v>4</v>
      </c>
      <c r="D158" s="122">
        <f t="shared" si="29"/>
        <v>4</v>
      </c>
      <c r="E158" s="122">
        <f t="shared" si="29"/>
        <v>3</v>
      </c>
      <c r="F158" s="122">
        <f t="shared" si="29"/>
        <v>5</v>
      </c>
      <c r="G158" s="122">
        <f t="shared" si="29"/>
        <v>8</v>
      </c>
      <c r="H158" s="122">
        <f t="shared" si="29"/>
        <v>6</v>
      </c>
      <c r="I158" s="122">
        <f t="shared" si="29"/>
        <v>9</v>
      </c>
      <c r="J158" s="122">
        <f t="shared" si="29"/>
        <v>2</v>
      </c>
      <c r="K158" s="122">
        <f t="shared" si="29"/>
        <v>9</v>
      </c>
      <c r="L158" s="122">
        <f t="shared" si="29"/>
        <v>7</v>
      </c>
      <c r="M158" s="122">
        <f t="shared" si="29"/>
        <v>4</v>
      </c>
      <c r="N158" s="122">
        <f t="shared" si="29"/>
        <v>9</v>
      </c>
      <c r="O158" s="122">
        <f t="shared" si="29"/>
        <v>8</v>
      </c>
      <c r="P158" s="122">
        <f t="shared" si="29"/>
        <v>2</v>
      </c>
      <c r="Q158" s="122">
        <f t="shared" si="29"/>
        <v>5</v>
      </c>
      <c r="R158" s="122">
        <f t="shared" si="29"/>
        <v>5</v>
      </c>
      <c r="S158" s="122">
        <f t="shared" si="29"/>
        <v>7</v>
      </c>
      <c r="T158" s="122">
        <f t="shared" si="29"/>
        <v>3</v>
      </c>
      <c r="U158" s="122">
        <f t="shared" si="29"/>
        <v>8</v>
      </c>
      <c r="V158" s="122">
        <f t="shared" si="29"/>
        <v>6</v>
      </c>
      <c r="W158" s="122">
        <f t="shared" si="29"/>
        <v>8</v>
      </c>
      <c r="X158" s="122">
        <f t="shared" si="29"/>
        <v>19</v>
      </c>
      <c r="Y158" s="122">
        <f t="shared" si="29"/>
        <v>5</v>
      </c>
      <c r="Z158" s="122">
        <f t="shared" si="29"/>
        <v>4</v>
      </c>
      <c r="AA158" s="122">
        <f t="shared" si="29"/>
        <v>2</v>
      </c>
      <c r="AB158" s="122">
        <f t="shared" si="29"/>
        <v>10</v>
      </c>
      <c r="AC158" s="122">
        <f t="shared" si="29"/>
        <v>10</v>
      </c>
      <c r="AD158" s="122">
        <f t="shared" si="29"/>
        <v>4</v>
      </c>
      <c r="AE158" s="122">
        <f t="shared" si="29"/>
        <v>6</v>
      </c>
      <c r="AF158" s="123">
        <f t="shared" si="29"/>
        <v>9</v>
      </c>
      <c r="AG158" s="124">
        <f t="shared" si="28"/>
        <v>192</v>
      </c>
    </row>
    <row r="159" spans="1:34" ht="18.75" x14ac:dyDescent="0.25">
      <c r="A159" s="129" t="s">
        <v>23</v>
      </c>
      <c r="B159" s="130"/>
      <c r="C159" s="130">
        <v>1</v>
      </c>
      <c r="D159" s="130">
        <v>1</v>
      </c>
      <c r="E159" s="130"/>
      <c r="F159" s="130"/>
      <c r="G159" s="130">
        <v>1</v>
      </c>
      <c r="H159" s="130">
        <v>3</v>
      </c>
      <c r="I159" s="130">
        <v>3</v>
      </c>
      <c r="J159" s="130">
        <v>1</v>
      </c>
      <c r="K159" s="130">
        <v>2</v>
      </c>
      <c r="L159" s="130"/>
      <c r="M159" s="130">
        <v>1</v>
      </c>
      <c r="N159" s="130">
        <v>1</v>
      </c>
      <c r="O159" s="130">
        <v>2</v>
      </c>
      <c r="P159" s="130">
        <v>1</v>
      </c>
      <c r="Q159" s="130">
        <v>3</v>
      </c>
      <c r="R159" s="130">
        <v>2</v>
      </c>
      <c r="S159" s="130">
        <v>1</v>
      </c>
      <c r="T159" s="130">
        <v>1</v>
      </c>
      <c r="U159" s="130">
        <v>2</v>
      </c>
      <c r="V159" s="130">
        <v>1</v>
      </c>
      <c r="W159" s="130">
        <v>3</v>
      </c>
      <c r="X159" s="130">
        <v>3</v>
      </c>
      <c r="Y159" s="130">
        <v>1</v>
      </c>
      <c r="Z159" s="130">
        <v>1</v>
      </c>
      <c r="AA159" s="130">
        <v>1</v>
      </c>
      <c r="AB159" s="130">
        <v>2</v>
      </c>
      <c r="AC159" s="130"/>
      <c r="AD159" s="130"/>
      <c r="AE159" s="130">
        <v>1</v>
      </c>
      <c r="AF159" s="131">
        <v>2</v>
      </c>
      <c r="AG159" s="132">
        <f t="shared" si="28"/>
        <v>41</v>
      </c>
    </row>
    <row r="160" spans="1:34" ht="18.75" x14ac:dyDescent="0.25">
      <c r="A160" s="50" t="s">
        <v>24</v>
      </c>
      <c r="B160" s="29"/>
      <c r="C160" s="29"/>
      <c r="D160" s="29">
        <v>3</v>
      </c>
      <c r="E160" s="29"/>
      <c r="F160" s="29">
        <v>1</v>
      </c>
      <c r="G160" s="29">
        <v>3</v>
      </c>
      <c r="H160" s="29">
        <v>2</v>
      </c>
      <c r="I160" s="29">
        <v>3</v>
      </c>
      <c r="J160" s="29"/>
      <c r="K160" s="29"/>
      <c r="L160" s="29">
        <v>3</v>
      </c>
      <c r="M160" s="29">
        <v>1</v>
      </c>
      <c r="N160" s="29">
        <v>1</v>
      </c>
      <c r="O160" s="29">
        <v>1</v>
      </c>
      <c r="P160" s="29"/>
      <c r="Q160" s="29"/>
      <c r="R160" s="29"/>
      <c r="S160" s="29">
        <v>2</v>
      </c>
      <c r="T160" s="29">
        <v>2</v>
      </c>
      <c r="U160" s="29">
        <v>3</v>
      </c>
      <c r="V160" s="29">
        <v>2</v>
      </c>
      <c r="W160" s="29">
        <v>1</v>
      </c>
      <c r="X160" s="29">
        <v>2</v>
      </c>
      <c r="Y160" s="29"/>
      <c r="Z160" s="29"/>
      <c r="AA160" s="29">
        <v>1</v>
      </c>
      <c r="AB160" s="29">
        <v>5</v>
      </c>
      <c r="AC160" s="29">
        <v>4</v>
      </c>
      <c r="AD160" s="29">
        <v>2</v>
      </c>
      <c r="AE160" s="29">
        <v>2</v>
      </c>
      <c r="AF160" s="21">
        <v>1</v>
      </c>
      <c r="AG160" s="4">
        <f t="shared" si="28"/>
        <v>45</v>
      </c>
    </row>
    <row r="161" spans="1:34" ht="18.75" x14ac:dyDescent="0.25">
      <c r="A161" s="50" t="s">
        <v>59</v>
      </c>
      <c r="B161" s="29">
        <v>1</v>
      </c>
      <c r="C161" s="29"/>
      <c r="D161" s="29"/>
      <c r="E161" s="29"/>
      <c r="F161" s="29"/>
      <c r="G161" s="29"/>
      <c r="H161" s="29"/>
      <c r="I161" s="29"/>
      <c r="J161" s="29"/>
      <c r="K161" s="29">
        <v>3</v>
      </c>
      <c r="L161" s="29"/>
      <c r="M161" s="29"/>
      <c r="N161" s="29">
        <v>1</v>
      </c>
      <c r="O161" s="29"/>
      <c r="P161" s="29"/>
      <c r="Q161" s="29">
        <v>1</v>
      </c>
      <c r="R161" s="29"/>
      <c r="S161" s="29"/>
      <c r="T161" s="29"/>
      <c r="U161" s="29"/>
      <c r="V161" s="29"/>
      <c r="W161" s="29"/>
      <c r="X161" s="29">
        <v>4</v>
      </c>
      <c r="Y161" s="29"/>
      <c r="Z161" s="29"/>
      <c r="AA161" s="29"/>
      <c r="AB161" s="29"/>
      <c r="AC161" s="29">
        <v>2</v>
      </c>
      <c r="AD161" s="29"/>
      <c r="AE161" s="29"/>
      <c r="AF161" s="21">
        <v>2</v>
      </c>
      <c r="AG161" s="4">
        <f t="shared" si="28"/>
        <v>14</v>
      </c>
    </row>
    <row r="162" spans="1:34" ht="18.75" x14ac:dyDescent="0.25">
      <c r="A162" s="50" t="s">
        <v>25</v>
      </c>
      <c r="B162" s="29"/>
      <c r="C162" s="29">
        <v>1</v>
      </c>
      <c r="D162" s="29"/>
      <c r="E162" s="29">
        <v>1</v>
      </c>
      <c r="F162" s="29">
        <v>2</v>
      </c>
      <c r="G162" s="29">
        <v>2</v>
      </c>
      <c r="H162" s="29">
        <v>1</v>
      </c>
      <c r="I162" s="29">
        <v>1</v>
      </c>
      <c r="J162" s="29"/>
      <c r="K162" s="29">
        <v>1</v>
      </c>
      <c r="L162" s="29">
        <v>1</v>
      </c>
      <c r="M162" s="29">
        <v>1</v>
      </c>
      <c r="N162" s="29">
        <v>2</v>
      </c>
      <c r="O162" s="29">
        <v>2</v>
      </c>
      <c r="P162" s="29"/>
      <c r="Q162" s="29"/>
      <c r="R162" s="29"/>
      <c r="S162" s="29">
        <v>1</v>
      </c>
      <c r="T162" s="29"/>
      <c r="U162" s="29"/>
      <c r="V162" s="29">
        <v>1</v>
      </c>
      <c r="W162" s="29">
        <v>1</v>
      </c>
      <c r="X162" s="29"/>
      <c r="Y162" s="29"/>
      <c r="Z162" s="29">
        <v>2</v>
      </c>
      <c r="AA162" s="29"/>
      <c r="AB162" s="29"/>
      <c r="AC162" s="29"/>
      <c r="AD162" s="29">
        <v>1</v>
      </c>
      <c r="AE162" s="29">
        <v>2</v>
      </c>
      <c r="AF162" s="21">
        <v>1</v>
      </c>
      <c r="AG162" s="4">
        <f t="shared" si="28"/>
        <v>24</v>
      </c>
    </row>
    <row r="163" spans="1:34" ht="18.75" x14ac:dyDescent="0.25">
      <c r="A163" s="50" t="s">
        <v>26</v>
      </c>
      <c r="B163" s="29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  <c r="AA163" s="29"/>
      <c r="AB163" s="29"/>
      <c r="AC163" s="29"/>
      <c r="AD163" s="29"/>
      <c r="AE163" s="29"/>
      <c r="AF163" s="21"/>
      <c r="AG163" s="4">
        <f t="shared" si="28"/>
        <v>0</v>
      </c>
    </row>
    <row r="164" spans="1:34" ht="18.75" x14ac:dyDescent="0.25">
      <c r="A164" s="50" t="s">
        <v>27</v>
      </c>
      <c r="B164" s="29"/>
      <c r="C164" s="29"/>
      <c r="D164" s="29"/>
      <c r="E164" s="29">
        <v>2</v>
      </c>
      <c r="F164" s="29">
        <v>2</v>
      </c>
      <c r="G164" s="29">
        <v>1</v>
      </c>
      <c r="H164" s="29"/>
      <c r="I164" s="29">
        <v>2</v>
      </c>
      <c r="J164" s="29"/>
      <c r="K164" s="29">
        <v>1</v>
      </c>
      <c r="L164" s="29"/>
      <c r="M164" s="29"/>
      <c r="N164" s="29">
        <v>2</v>
      </c>
      <c r="O164" s="29">
        <v>3</v>
      </c>
      <c r="P164" s="29">
        <v>1</v>
      </c>
      <c r="Q164" s="29"/>
      <c r="R164" s="29"/>
      <c r="S164" s="29">
        <v>2</v>
      </c>
      <c r="T164" s="29"/>
      <c r="U164" s="29"/>
      <c r="V164" s="29"/>
      <c r="W164" s="29"/>
      <c r="X164" s="29"/>
      <c r="Y164" s="29"/>
      <c r="Z164" s="29">
        <v>1</v>
      </c>
      <c r="AA164" s="29"/>
      <c r="AB164" s="29">
        <v>2</v>
      </c>
      <c r="AC164" s="29"/>
      <c r="AD164" s="29"/>
      <c r="AE164" s="29"/>
      <c r="AF164" s="21">
        <v>1</v>
      </c>
      <c r="AG164" s="4">
        <f t="shared" si="28"/>
        <v>20</v>
      </c>
    </row>
    <row r="165" spans="1:34" ht="18.75" x14ac:dyDescent="0.25">
      <c r="A165" s="50" t="s">
        <v>28</v>
      </c>
      <c r="B165" s="29"/>
      <c r="C165" s="29">
        <v>2</v>
      </c>
      <c r="D165" s="29"/>
      <c r="E165" s="29"/>
      <c r="F165" s="29"/>
      <c r="G165" s="29">
        <v>1</v>
      </c>
      <c r="H165" s="29"/>
      <c r="I165" s="29"/>
      <c r="J165" s="29">
        <v>1</v>
      </c>
      <c r="K165" s="29">
        <v>2</v>
      </c>
      <c r="L165" s="29">
        <v>3</v>
      </c>
      <c r="M165" s="29">
        <v>1</v>
      </c>
      <c r="N165" s="29">
        <v>2</v>
      </c>
      <c r="O165" s="29"/>
      <c r="P165" s="29"/>
      <c r="Q165" s="29">
        <v>1</v>
      </c>
      <c r="R165" s="29">
        <v>3</v>
      </c>
      <c r="S165" s="29">
        <v>1</v>
      </c>
      <c r="T165" s="29"/>
      <c r="U165" s="29">
        <v>3</v>
      </c>
      <c r="V165" s="29">
        <v>2</v>
      </c>
      <c r="W165" s="29">
        <v>3</v>
      </c>
      <c r="X165" s="29">
        <v>10</v>
      </c>
      <c r="Y165" s="29">
        <v>4</v>
      </c>
      <c r="Z165" s="29"/>
      <c r="AA165" s="29"/>
      <c r="AB165" s="29">
        <v>1</v>
      </c>
      <c r="AC165" s="29">
        <v>4</v>
      </c>
      <c r="AD165" s="29">
        <v>1</v>
      </c>
      <c r="AE165" s="29">
        <v>1</v>
      </c>
      <c r="AF165" s="21">
        <v>2</v>
      </c>
      <c r="AG165" s="4">
        <f t="shared" si="28"/>
        <v>48</v>
      </c>
    </row>
    <row r="166" spans="1:34" ht="19.5" thickBot="1" x14ac:dyDescent="0.3">
      <c r="A166" s="71" t="s">
        <v>29</v>
      </c>
      <c r="B166" s="30"/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  <c r="AA166" s="30"/>
      <c r="AB166" s="30"/>
      <c r="AC166" s="30"/>
      <c r="AD166" s="30"/>
      <c r="AE166" s="30"/>
      <c r="AF166" s="22"/>
      <c r="AG166" s="28">
        <f t="shared" si="28"/>
        <v>0</v>
      </c>
    </row>
    <row r="167" spans="1:34" ht="18.75" x14ac:dyDescent="0.25">
      <c r="A167" s="69" t="s">
        <v>71</v>
      </c>
      <c r="B167" s="56">
        <v>1</v>
      </c>
      <c r="C167" s="56">
        <f t="shared" ref="C167:AF167" si="30">SUM(C168:C171)</f>
        <v>4</v>
      </c>
      <c r="D167" s="56">
        <f t="shared" si="30"/>
        <v>1</v>
      </c>
      <c r="E167" s="56">
        <f t="shared" si="30"/>
        <v>2</v>
      </c>
      <c r="F167" s="56">
        <f t="shared" si="30"/>
        <v>5</v>
      </c>
      <c r="G167" s="56">
        <f t="shared" si="30"/>
        <v>2</v>
      </c>
      <c r="H167" s="56">
        <f t="shared" si="30"/>
        <v>5</v>
      </c>
      <c r="I167" s="56">
        <f t="shared" si="30"/>
        <v>1</v>
      </c>
      <c r="J167" s="56">
        <f t="shared" si="30"/>
        <v>0</v>
      </c>
      <c r="K167" s="56">
        <f t="shared" si="30"/>
        <v>1</v>
      </c>
      <c r="L167" s="56">
        <f t="shared" si="30"/>
        <v>3</v>
      </c>
      <c r="M167" s="56">
        <f t="shared" si="30"/>
        <v>2</v>
      </c>
      <c r="N167" s="56">
        <f t="shared" si="30"/>
        <v>9</v>
      </c>
      <c r="O167" s="56">
        <f t="shared" si="30"/>
        <v>8</v>
      </c>
      <c r="P167" s="56">
        <f t="shared" si="30"/>
        <v>7</v>
      </c>
      <c r="Q167" s="56">
        <f t="shared" si="30"/>
        <v>3</v>
      </c>
      <c r="R167" s="56">
        <f t="shared" si="30"/>
        <v>5</v>
      </c>
      <c r="S167" s="56">
        <f t="shared" si="30"/>
        <v>5</v>
      </c>
      <c r="T167" s="56">
        <f t="shared" si="30"/>
        <v>4</v>
      </c>
      <c r="U167" s="56">
        <f t="shared" si="30"/>
        <v>7</v>
      </c>
      <c r="V167" s="56">
        <f t="shared" si="30"/>
        <v>2</v>
      </c>
      <c r="W167" s="56">
        <f t="shared" si="30"/>
        <v>8</v>
      </c>
      <c r="X167" s="56">
        <f t="shared" si="30"/>
        <v>3</v>
      </c>
      <c r="Y167" s="56">
        <f t="shared" si="30"/>
        <v>2</v>
      </c>
      <c r="Z167" s="56">
        <f t="shared" si="30"/>
        <v>6</v>
      </c>
      <c r="AA167" s="56">
        <f t="shared" si="30"/>
        <v>5</v>
      </c>
      <c r="AB167" s="56">
        <f t="shared" si="30"/>
        <v>8</v>
      </c>
      <c r="AC167" s="56">
        <f t="shared" si="30"/>
        <v>4</v>
      </c>
      <c r="AD167" s="56">
        <f t="shared" si="30"/>
        <v>4</v>
      </c>
      <c r="AE167" s="56">
        <f t="shared" si="30"/>
        <v>1</v>
      </c>
      <c r="AF167" s="85">
        <f t="shared" si="30"/>
        <v>3</v>
      </c>
      <c r="AG167" s="95">
        <f t="shared" si="28"/>
        <v>121</v>
      </c>
    </row>
    <row r="168" spans="1:34" ht="18.75" x14ac:dyDescent="0.25">
      <c r="A168" s="51" t="s">
        <v>30</v>
      </c>
      <c r="B168" s="29"/>
      <c r="C168" s="29">
        <v>3</v>
      </c>
      <c r="D168" s="29">
        <v>1</v>
      </c>
      <c r="E168" s="29"/>
      <c r="F168" s="29">
        <v>5</v>
      </c>
      <c r="G168" s="29">
        <v>1</v>
      </c>
      <c r="H168" s="29">
        <v>4</v>
      </c>
      <c r="I168" s="29"/>
      <c r="J168" s="29"/>
      <c r="K168" s="29">
        <v>1</v>
      </c>
      <c r="L168" s="29">
        <v>1</v>
      </c>
      <c r="M168" s="29"/>
      <c r="N168" s="29">
        <v>5</v>
      </c>
      <c r="O168" s="29">
        <v>6</v>
      </c>
      <c r="P168" s="29">
        <v>1</v>
      </c>
      <c r="Q168" s="29">
        <v>2</v>
      </c>
      <c r="R168" s="29">
        <v>3</v>
      </c>
      <c r="S168" s="29">
        <v>1</v>
      </c>
      <c r="T168" s="29">
        <v>3</v>
      </c>
      <c r="U168" s="29">
        <v>3</v>
      </c>
      <c r="V168" s="29">
        <v>2</v>
      </c>
      <c r="W168" s="29">
        <v>2</v>
      </c>
      <c r="X168" s="29">
        <v>2</v>
      </c>
      <c r="Y168" s="29">
        <v>2</v>
      </c>
      <c r="Z168" s="29">
        <v>3</v>
      </c>
      <c r="AA168" s="29">
        <v>1</v>
      </c>
      <c r="AB168" s="29">
        <v>4</v>
      </c>
      <c r="AC168" s="29">
        <v>1</v>
      </c>
      <c r="AD168" s="29">
        <v>2</v>
      </c>
      <c r="AE168" s="29">
        <v>1</v>
      </c>
      <c r="AF168" s="21">
        <v>2</v>
      </c>
      <c r="AG168" s="4">
        <f t="shared" si="28"/>
        <v>62</v>
      </c>
    </row>
    <row r="169" spans="1:34" ht="18.75" x14ac:dyDescent="0.25">
      <c r="A169" s="51" t="s">
        <v>31</v>
      </c>
      <c r="B169" s="29"/>
      <c r="C169" s="29">
        <v>1</v>
      </c>
      <c r="D169" s="29"/>
      <c r="E169" s="29">
        <v>1</v>
      </c>
      <c r="F169" s="29"/>
      <c r="G169" s="29">
        <v>1</v>
      </c>
      <c r="H169" s="29">
        <v>1</v>
      </c>
      <c r="I169" s="29">
        <v>1</v>
      </c>
      <c r="J169" s="29"/>
      <c r="K169" s="29"/>
      <c r="L169" s="29"/>
      <c r="M169" s="29"/>
      <c r="N169" s="29">
        <v>2</v>
      </c>
      <c r="O169" s="29">
        <v>1</v>
      </c>
      <c r="P169" s="29"/>
      <c r="Q169" s="29"/>
      <c r="R169" s="29">
        <v>1</v>
      </c>
      <c r="S169" s="29">
        <v>2</v>
      </c>
      <c r="T169" s="29">
        <v>1</v>
      </c>
      <c r="U169" s="29">
        <v>2</v>
      </c>
      <c r="V169" s="29"/>
      <c r="W169" s="29">
        <v>6</v>
      </c>
      <c r="X169" s="29"/>
      <c r="Y169" s="29"/>
      <c r="Z169" s="29">
        <v>1</v>
      </c>
      <c r="AA169" s="29">
        <v>4</v>
      </c>
      <c r="AB169" s="29">
        <v>3</v>
      </c>
      <c r="AC169" s="29">
        <v>2</v>
      </c>
      <c r="AD169" s="29"/>
      <c r="AE169" s="29"/>
      <c r="AF169" s="21">
        <v>1</v>
      </c>
      <c r="AG169" s="4">
        <f t="shared" si="28"/>
        <v>31</v>
      </c>
    </row>
    <row r="170" spans="1:34" ht="18.75" x14ac:dyDescent="0.25">
      <c r="A170" s="51" t="s">
        <v>32</v>
      </c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>
        <v>1</v>
      </c>
      <c r="M170" s="29">
        <v>1</v>
      </c>
      <c r="N170" s="29"/>
      <c r="O170" s="29">
        <v>1</v>
      </c>
      <c r="P170" s="29">
        <v>3</v>
      </c>
      <c r="Q170" s="29">
        <v>1</v>
      </c>
      <c r="R170" s="29">
        <v>1</v>
      </c>
      <c r="S170" s="29">
        <v>2</v>
      </c>
      <c r="T170" s="29"/>
      <c r="U170" s="29">
        <v>2</v>
      </c>
      <c r="V170" s="29"/>
      <c r="W170" s="29"/>
      <c r="X170" s="29">
        <v>1</v>
      </c>
      <c r="Y170" s="29"/>
      <c r="Z170" s="29">
        <v>2</v>
      </c>
      <c r="AA170" s="29"/>
      <c r="AB170" s="29"/>
      <c r="AC170" s="29">
        <v>1</v>
      </c>
      <c r="AD170" s="29">
        <v>2</v>
      </c>
      <c r="AE170" s="29"/>
      <c r="AF170" s="21"/>
      <c r="AG170" s="4">
        <f t="shared" si="28"/>
        <v>18</v>
      </c>
    </row>
    <row r="171" spans="1:34" ht="19.5" thickBot="1" x14ac:dyDescent="0.3">
      <c r="A171" s="70" t="s">
        <v>87</v>
      </c>
      <c r="B171" s="30"/>
      <c r="C171" s="30"/>
      <c r="D171" s="30"/>
      <c r="E171" s="30">
        <v>1</v>
      </c>
      <c r="F171" s="30"/>
      <c r="G171" s="30"/>
      <c r="H171" s="30"/>
      <c r="I171" s="30"/>
      <c r="J171" s="30"/>
      <c r="K171" s="30"/>
      <c r="L171" s="30">
        <v>1</v>
      </c>
      <c r="M171" s="30">
        <v>1</v>
      </c>
      <c r="N171" s="30">
        <v>2</v>
      </c>
      <c r="O171" s="30"/>
      <c r="P171" s="30">
        <f>2+1</f>
        <v>3</v>
      </c>
      <c r="Q171" s="30"/>
      <c r="R171" s="30"/>
      <c r="S171" s="30"/>
      <c r="T171" s="30"/>
      <c r="U171" s="30"/>
      <c r="V171" s="30"/>
      <c r="W171" s="30"/>
      <c r="X171" s="30"/>
      <c r="Y171" s="30"/>
      <c r="Z171" s="30"/>
      <c r="AA171" s="30"/>
      <c r="AB171" s="30">
        <v>1</v>
      </c>
      <c r="AC171" s="30"/>
      <c r="AD171" s="30"/>
      <c r="AE171" s="30"/>
      <c r="AF171" s="22"/>
      <c r="AG171" s="28">
        <f t="shared" si="28"/>
        <v>9</v>
      </c>
    </row>
    <row r="172" spans="1:34" ht="19.5" thickBot="1" x14ac:dyDescent="0.3">
      <c r="A172" s="158" t="s">
        <v>128</v>
      </c>
      <c r="B172" s="151"/>
      <c r="C172" s="151"/>
      <c r="D172" s="151"/>
      <c r="E172" s="151"/>
      <c r="F172" s="151"/>
      <c r="G172" s="151"/>
      <c r="H172" s="151"/>
      <c r="I172" s="151"/>
      <c r="J172" s="151"/>
      <c r="K172" s="151"/>
      <c r="L172" s="151"/>
      <c r="M172" s="151"/>
      <c r="N172" s="151">
        <v>1</v>
      </c>
      <c r="O172" s="151"/>
      <c r="P172" s="151"/>
      <c r="Q172" s="151"/>
      <c r="R172" s="151"/>
      <c r="S172" s="151"/>
      <c r="T172" s="151"/>
      <c r="U172" s="151"/>
      <c r="V172" s="151"/>
      <c r="W172" s="151"/>
      <c r="X172" s="151"/>
      <c r="Y172" s="151"/>
      <c r="Z172" s="151"/>
      <c r="AA172" s="151"/>
      <c r="AB172" s="151"/>
      <c r="AC172" s="151"/>
      <c r="AD172" s="151"/>
      <c r="AE172" s="151"/>
      <c r="AF172" s="152"/>
      <c r="AG172" s="159">
        <f t="shared" si="28"/>
        <v>1</v>
      </c>
    </row>
    <row r="173" spans="1:34" ht="18.75" x14ac:dyDescent="0.25">
      <c r="A173" s="68" t="s">
        <v>2</v>
      </c>
      <c r="B173" s="15">
        <v>0</v>
      </c>
      <c r="C173" s="15">
        <v>0</v>
      </c>
      <c r="D173" s="15">
        <v>2</v>
      </c>
      <c r="E173" s="15">
        <v>0</v>
      </c>
      <c r="F173" s="15">
        <v>0</v>
      </c>
      <c r="G173" s="15">
        <v>0</v>
      </c>
      <c r="H173" s="15">
        <v>0</v>
      </c>
      <c r="I173" s="15">
        <v>1</v>
      </c>
      <c r="J173" s="15">
        <v>0</v>
      </c>
      <c r="K173" s="15">
        <v>0</v>
      </c>
      <c r="L173" s="15">
        <v>0</v>
      </c>
      <c r="M173" s="15">
        <v>0</v>
      </c>
      <c r="N173" s="15">
        <v>0</v>
      </c>
      <c r="O173" s="15">
        <v>0</v>
      </c>
      <c r="P173" s="15">
        <v>0</v>
      </c>
      <c r="Q173" s="15">
        <v>0</v>
      </c>
      <c r="R173" s="15">
        <v>1</v>
      </c>
      <c r="S173" s="15">
        <v>0</v>
      </c>
      <c r="T173" s="15">
        <v>0</v>
      </c>
      <c r="U173" s="15">
        <v>1</v>
      </c>
      <c r="V173" s="15">
        <v>0</v>
      </c>
      <c r="W173" s="15">
        <v>0</v>
      </c>
      <c r="X173" s="15">
        <v>0</v>
      </c>
      <c r="Y173" s="15">
        <v>0</v>
      </c>
      <c r="Z173" s="15">
        <v>0</v>
      </c>
      <c r="AA173" s="15">
        <v>0</v>
      </c>
      <c r="AB173" s="15">
        <v>0</v>
      </c>
      <c r="AC173" s="15">
        <v>0</v>
      </c>
      <c r="AD173" s="15">
        <v>0</v>
      </c>
      <c r="AE173" s="15">
        <v>0</v>
      </c>
      <c r="AF173" s="23">
        <v>2</v>
      </c>
      <c r="AG173" s="5">
        <f t="shared" si="28"/>
        <v>7</v>
      </c>
      <c r="AH173" s="2" t="s">
        <v>137</v>
      </c>
    </row>
    <row r="174" spans="1:34" ht="19.5" thickBot="1" x14ac:dyDescent="0.3">
      <c r="A174" s="146" t="s">
        <v>3</v>
      </c>
      <c r="B174" s="16">
        <f>SUM(B175:B176)</f>
        <v>0</v>
      </c>
      <c r="C174" s="16">
        <f t="shared" ref="C174:AF174" si="31">SUM(C175:C176)</f>
        <v>4</v>
      </c>
      <c r="D174" s="16">
        <f t="shared" si="31"/>
        <v>2</v>
      </c>
      <c r="E174" s="16">
        <f t="shared" si="31"/>
        <v>7</v>
      </c>
      <c r="F174" s="16">
        <f t="shared" si="31"/>
        <v>1</v>
      </c>
      <c r="G174" s="16">
        <f t="shared" si="31"/>
        <v>1</v>
      </c>
      <c r="H174" s="16">
        <f t="shared" si="31"/>
        <v>2</v>
      </c>
      <c r="I174" s="16">
        <f t="shared" si="31"/>
        <v>2</v>
      </c>
      <c r="J174" s="16">
        <f t="shared" si="31"/>
        <v>1</v>
      </c>
      <c r="K174" s="16">
        <f t="shared" si="31"/>
        <v>1</v>
      </c>
      <c r="L174" s="16">
        <f t="shared" si="31"/>
        <v>6</v>
      </c>
      <c r="M174" s="16">
        <f t="shared" si="31"/>
        <v>5</v>
      </c>
      <c r="N174" s="16">
        <f t="shared" si="31"/>
        <v>4</v>
      </c>
      <c r="O174" s="16">
        <f t="shared" si="31"/>
        <v>2</v>
      </c>
      <c r="P174" s="16">
        <f t="shared" si="31"/>
        <v>1</v>
      </c>
      <c r="Q174" s="16">
        <f t="shared" si="31"/>
        <v>7</v>
      </c>
      <c r="R174" s="16">
        <f t="shared" si="31"/>
        <v>2</v>
      </c>
      <c r="S174" s="16">
        <f t="shared" si="31"/>
        <v>4</v>
      </c>
      <c r="T174" s="16">
        <f t="shared" si="31"/>
        <v>5</v>
      </c>
      <c r="U174" s="16">
        <f t="shared" si="31"/>
        <v>2</v>
      </c>
      <c r="V174" s="16">
        <f t="shared" si="31"/>
        <v>4</v>
      </c>
      <c r="W174" s="16">
        <f t="shared" si="31"/>
        <v>2</v>
      </c>
      <c r="X174" s="16">
        <f t="shared" si="31"/>
        <v>1</v>
      </c>
      <c r="Y174" s="16">
        <f t="shared" si="31"/>
        <v>3</v>
      </c>
      <c r="Z174" s="16">
        <f t="shared" si="31"/>
        <v>4</v>
      </c>
      <c r="AA174" s="16">
        <f t="shared" si="31"/>
        <v>2</v>
      </c>
      <c r="AB174" s="16">
        <f t="shared" si="31"/>
        <v>2</v>
      </c>
      <c r="AC174" s="16">
        <f t="shared" si="31"/>
        <v>4</v>
      </c>
      <c r="AD174" s="16">
        <f t="shared" si="31"/>
        <v>4</v>
      </c>
      <c r="AE174" s="16">
        <f t="shared" si="31"/>
        <v>2</v>
      </c>
      <c r="AF174" s="24">
        <f t="shared" si="31"/>
        <v>5</v>
      </c>
      <c r="AG174" s="6">
        <f t="shared" si="28"/>
        <v>92</v>
      </c>
      <c r="AH174" s="2" t="s">
        <v>138</v>
      </c>
    </row>
    <row r="175" spans="1:34" ht="18.75" x14ac:dyDescent="0.25">
      <c r="A175" s="133" t="s">
        <v>120</v>
      </c>
      <c r="B175" s="15">
        <v>0</v>
      </c>
      <c r="C175" s="15">
        <v>1</v>
      </c>
      <c r="D175" s="15">
        <v>0</v>
      </c>
      <c r="E175" s="15">
        <v>0</v>
      </c>
      <c r="F175" s="15">
        <v>0</v>
      </c>
      <c r="G175" s="15">
        <v>0</v>
      </c>
      <c r="H175" s="15">
        <v>0</v>
      </c>
      <c r="I175" s="15">
        <v>0</v>
      </c>
      <c r="J175" s="15">
        <v>0</v>
      </c>
      <c r="K175" s="15">
        <v>0</v>
      </c>
      <c r="L175" s="15">
        <v>1</v>
      </c>
      <c r="M175" s="15">
        <v>0</v>
      </c>
      <c r="N175" s="15">
        <v>0</v>
      </c>
      <c r="O175" s="15">
        <v>0</v>
      </c>
      <c r="P175" s="15">
        <v>0</v>
      </c>
      <c r="Q175" s="15">
        <v>1</v>
      </c>
      <c r="R175" s="15">
        <v>0</v>
      </c>
      <c r="S175" s="15">
        <v>1</v>
      </c>
      <c r="T175" s="15">
        <v>0</v>
      </c>
      <c r="U175" s="15">
        <v>0</v>
      </c>
      <c r="V175" s="15">
        <v>1</v>
      </c>
      <c r="W175" s="15">
        <v>0</v>
      </c>
      <c r="X175" s="15">
        <v>0</v>
      </c>
      <c r="Y175" s="15">
        <v>0</v>
      </c>
      <c r="Z175" s="15">
        <v>0</v>
      </c>
      <c r="AA175" s="15">
        <v>0</v>
      </c>
      <c r="AB175" s="15">
        <v>1</v>
      </c>
      <c r="AC175" s="15">
        <v>0</v>
      </c>
      <c r="AD175" s="15">
        <v>0</v>
      </c>
      <c r="AE175" s="15">
        <v>0</v>
      </c>
      <c r="AF175" s="23">
        <v>0</v>
      </c>
      <c r="AG175" s="5">
        <f t="shared" si="28"/>
        <v>6</v>
      </c>
      <c r="AH175" s="2" t="s">
        <v>138</v>
      </c>
    </row>
    <row r="176" spans="1:34" ht="19.5" thickBot="1" x14ac:dyDescent="0.3">
      <c r="A176" s="104" t="s">
        <v>119</v>
      </c>
      <c r="B176" s="101">
        <v>0</v>
      </c>
      <c r="C176" s="101">
        <v>3</v>
      </c>
      <c r="D176" s="101">
        <v>2</v>
      </c>
      <c r="E176" s="101">
        <v>7</v>
      </c>
      <c r="F176" s="101">
        <v>1</v>
      </c>
      <c r="G176" s="101">
        <v>1</v>
      </c>
      <c r="H176" s="101">
        <v>2</v>
      </c>
      <c r="I176" s="101">
        <v>2</v>
      </c>
      <c r="J176" s="101">
        <v>1</v>
      </c>
      <c r="K176" s="101">
        <v>1</v>
      </c>
      <c r="L176" s="101">
        <v>5</v>
      </c>
      <c r="M176" s="101">
        <v>5</v>
      </c>
      <c r="N176" s="101">
        <v>4</v>
      </c>
      <c r="O176" s="101">
        <v>2</v>
      </c>
      <c r="P176" s="101">
        <v>1</v>
      </c>
      <c r="Q176" s="101">
        <v>6</v>
      </c>
      <c r="R176" s="101">
        <v>2</v>
      </c>
      <c r="S176" s="101">
        <v>3</v>
      </c>
      <c r="T176" s="101">
        <v>5</v>
      </c>
      <c r="U176" s="101">
        <v>2</v>
      </c>
      <c r="V176" s="101">
        <v>3</v>
      </c>
      <c r="W176" s="101">
        <v>2</v>
      </c>
      <c r="X176" s="101">
        <v>1</v>
      </c>
      <c r="Y176" s="101">
        <v>3</v>
      </c>
      <c r="Z176" s="101">
        <v>4</v>
      </c>
      <c r="AA176" s="101">
        <v>2</v>
      </c>
      <c r="AB176" s="101">
        <v>1</v>
      </c>
      <c r="AC176" s="101">
        <v>4</v>
      </c>
      <c r="AD176" s="101">
        <v>4</v>
      </c>
      <c r="AE176" s="101">
        <v>2</v>
      </c>
      <c r="AF176" s="102">
        <v>5</v>
      </c>
      <c r="AG176" s="103">
        <f t="shared" si="28"/>
        <v>86</v>
      </c>
      <c r="AH176" s="2" t="s">
        <v>138</v>
      </c>
    </row>
    <row r="177" spans="1:34" ht="18.75" x14ac:dyDescent="0.25">
      <c r="A177" s="64" t="s">
        <v>105</v>
      </c>
      <c r="B177" s="65"/>
      <c r="C177" s="65"/>
      <c r="D177" s="65"/>
      <c r="E177" s="65"/>
      <c r="F177" s="65"/>
      <c r="G177" s="65"/>
      <c r="H177" s="65"/>
      <c r="I177" s="65"/>
      <c r="J177" s="65"/>
      <c r="K177" s="65"/>
      <c r="L177" s="65"/>
      <c r="M177" s="65"/>
      <c r="N177" s="65"/>
      <c r="O177" s="65"/>
      <c r="P177" s="65"/>
      <c r="Q177" s="65"/>
      <c r="R177" s="65"/>
      <c r="S177" s="65"/>
      <c r="T177" s="65"/>
      <c r="U177" s="65"/>
      <c r="V177" s="65"/>
      <c r="W177" s="65"/>
      <c r="X177" s="65"/>
      <c r="Y177" s="65"/>
      <c r="Z177" s="65"/>
      <c r="AA177" s="65"/>
      <c r="AB177" s="65"/>
      <c r="AC177" s="65"/>
      <c r="AD177" s="65"/>
      <c r="AE177" s="65"/>
      <c r="AF177" s="86"/>
      <c r="AG177" s="96">
        <f t="shared" si="28"/>
        <v>0</v>
      </c>
    </row>
    <row r="178" spans="1:34" ht="19.5" thickBot="1" x14ac:dyDescent="0.3">
      <c r="A178" s="66" t="s">
        <v>104</v>
      </c>
      <c r="B178" s="67"/>
      <c r="C178" s="67"/>
      <c r="D178" s="67"/>
      <c r="E178" s="67"/>
      <c r="F178" s="67"/>
      <c r="G178" s="67"/>
      <c r="H178" s="67"/>
      <c r="I178" s="67"/>
      <c r="J178" s="67"/>
      <c r="K178" s="67"/>
      <c r="L178" s="67"/>
      <c r="M178" s="67"/>
      <c r="N178" s="67"/>
      <c r="O178" s="67"/>
      <c r="P178" s="67"/>
      <c r="Q178" s="67"/>
      <c r="R178" s="67"/>
      <c r="S178" s="67"/>
      <c r="T178" s="67"/>
      <c r="U178" s="67"/>
      <c r="V178" s="67"/>
      <c r="W178" s="67"/>
      <c r="X178" s="67"/>
      <c r="Y178" s="67"/>
      <c r="Z178" s="67"/>
      <c r="AA178" s="67"/>
      <c r="AB178" s="67"/>
      <c r="AC178" s="67"/>
      <c r="AD178" s="67"/>
      <c r="AE178" s="67"/>
      <c r="AF178" s="87"/>
      <c r="AG178" s="32">
        <f t="shared" si="28"/>
        <v>0</v>
      </c>
    </row>
    <row r="179" spans="1:34" ht="19.5" thickBot="1" x14ac:dyDescent="0.3">
      <c r="A179" s="219" t="s">
        <v>149</v>
      </c>
      <c r="B179" s="220">
        <f t="shared" ref="B179:AF179" si="32">SUM(B180:B205)</f>
        <v>10</v>
      </c>
      <c r="C179" s="220">
        <f t="shared" si="32"/>
        <v>22</v>
      </c>
      <c r="D179" s="220">
        <f t="shared" si="32"/>
        <v>20</v>
      </c>
      <c r="E179" s="220">
        <f t="shared" si="32"/>
        <v>8</v>
      </c>
      <c r="F179" s="220">
        <f t="shared" si="32"/>
        <v>8</v>
      </c>
      <c r="G179" s="220">
        <f t="shared" si="32"/>
        <v>23</v>
      </c>
      <c r="H179" s="220">
        <f t="shared" si="32"/>
        <v>29</v>
      </c>
      <c r="I179" s="220">
        <f t="shared" si="32"/>
        <v>25</v>
      </c>
      <c r="J179" s="220">
        <f t="shared" si="32"/>
        <v>24</v>
      </c>
      <c r="K179" s="220">
        <f t="shared" si="32"/>
        <v>23</v>
      </c>
      <c r="L179" s="220">
        <f t="shared" si="32"/>
        <v>28</v>
      </c>
      <c r="M179" s="220">
        <f t="shared" si="32"/>
        <v>26</v>
      </c>
      <c r="N179" s="220">
        <f t="shared" si="32"/>
        <v>37</v>
      </c>
      <c r="O179" s="220">
        <f t="shared" si="32"/>
        <v>45</v>
      </c>
      <c r="P179" s="220">
        <f t="shared" si="32"/>
        <v>39</v>
      </c>
      <c r="Q179" s="220">
        <f t="shared" si="32"/>
        <v>28</v>
      </c>
      <c r="R179" s="220">
        <f t="shared" si="32"/>
        <v>23</v>
      </c>
      <c r="S179" s="220">
        <f t="shared" si="32"/>
        <v>40</v>
      </c>
      <c r="T179" s="220">
        <f t="shared" si="32"/>
        <v>27</v>
      </c>
      <c r="U179" s="220">
        <f t="shared" si="32"/>
        <v>47</v>
      </c>
      <c r="V179" s="220">
        <f t="shared" si="32"/>
        <v>27</v>
      </c>
      <c r="W179" s="220">
        <f t="shared" si="32"/>
        <v>51</v>
      </c>
      <c r="X179" s="220">
        <f t="shared" si="32"/>
        <v>37</v>
      </c>
      <c r="Y179" s="220">
        <f t="shared" si="32"/>
        <v>31</v>
      </c>
      <c r="Z179" s="220">
        <f t="shared" si="32"/>
        <v>29</v>
      </c>
      <c r="AA179" s="220">
        <f t="shared" si="32"/>
        <v>34</v>
      </c>
      <c r="AB179" s="220">
        <f t="shared" si="32"/>
        <v>44</v>
      </c>
      <c r="AC179" s="220">
        <f t="shared" si="32"/>
        <v>30</v>
      </c>
      <c r="AD179" s="220">
        <f t="shared" si="32"/>
        <v>28</v>
      </c>
      <c r="AE179" s="220">
        <f t="shared" si="32"/>
        <v>40</v>
      </c>
      <c r="AF179" s="221">
        <f t="shared" si="32"/>
        <v>26</v>
      </c>
      <c r="AG179" s="156">
        <f t="shared" si="28"/>
        <v>909</v>
      </c>
      <c r="AH179" s="38"/>
    </row>
    <row r="180" spans="1:34" ht="18.75" x14ac:dyDescent="0.25">
      <c r="A180" s="109" t="s">
        <v>4</v>
      </c>
      <c r="B180" s="216">
        <v>5</v>
      </c>
      <c r="C180" s="216">
        <v>6</v>
      </c>
      <c r="D180" s="216">
        <v>7</v>
      </c>
      <c r="E180" s="216">
        <v>8</v>
      </c>
      <c r="F180" s="216">
        <v>6</v>
      </c>
      <c r="G180" s="216">
        <v>6</v>
      </c>
      <c r="H180" s="216">
        <v>4</v>
      </c>
      <c r="I180" s="216">
        <v>8</v>
      </c>
      <c r="J180" s="216">
        <v>11</v>
      </c>
      <c r="K180" s="216">
        <v>13</v>
      </c>
      <c r="L180" s="216">
        <v>7</v>
      </c>
      <c r="M180" s="216">
        <v>2</v>
      </c>
      <c r="N180" s="217">
        <v>4</v>
      </c>
      <c r="O180" s="217">
        <v>6</v>
      </c>
      <c r="P180" s="217">
        <v>6</v>
      </c>
      <c r="Q180" s="217">
        <v>8</v>
      </c>
      <c r="R180" s="217">
        <v>3</v>
      </c>
      <c r="S180" s="217">
        <v>3</v>
      </c>
      <c r="T180" s="217">
        <v>2</v>
      </c>
      <c r="U180" s="217">
        <v>4</v>
      </c>
      <c r="V180" s="217">
        <v>1</v>
      </c>
      <c r="W180" s="217">
        <v>6</v>
      </c>
      <c r="X180" s="217">
        <v>6</v>
      </c>
      <c r="Y180" s="217">
        <v>6</v>
      </c>
      <c r="Z180" s="217">
        <v>2</v>
      </c>
      <c r="AA180" s="217">
        <v>4</v>
      </c>
      <c r="AB180" s="217">
        <v>3</v>
      </c>
      <c r="AC180" s="217">
        <v>5</v>
      </c>
      <c r="AD180" s="217">
        <v>2</v>
      </c>
      <c r="AE180" s="217">
        <v>14</v>
      </c>
      <c r="AF180" s="218">
        <v>7</v>
      </c>
      <c r="AG180" s="31">
        <f t="shared" si="28"/>
        <v>175</v>
      </c>
    </row>
    <row r="181" spans="1:34" ht="18.75" x14ac:dyDescent="0.25">
      <c r="A181" s="109" t="s">
        <v>122</v>
      </c>
      <c r="B181" s="147"/>
      <c r="C181" s="147"/>
      <c r="D181" s="147"/>
      <c r="E181" s="147"/>
      <c r="F181" s="147"/>
      <c r="G181" s="147"/>
      <c r="H181" s="147"/>
      <c r="I181" s="147"/>
      <c r="J181" s="147"/>
      <c r="K181" s="147"/>
      <c r="L181" s="147"/>
      <c r="M181" s="14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>
        <v>1</v>
      </c>
      <c r="Z181" s="17"/>
      <c r="AA181" s="17"/>
      <c r="AB181" s="17"/>
      <c r="AC181" s="17"/>
      <c r="AD181" s="17"/>
      <c r="AE181" s="17"/>
      <c r="AF181" s="18"/>
      <c r="AG181" s="4">
        <f t="shared" si="28"/>
        <v>1</v>
      </c>
    </row>
    <row r="182" spans="1:34" ht="18.75" x14ac:dyDescent="0.25">
      <c r="A182" s="109" t="s">
        <v>123</v>
      </c>
      <c r="B182" s="147"/>
      <c r="C182" s="147"/>
      <c r="D182" s="147">
        <v>1</v>
      </c>
      <c r="E182" s="147"/>
      <c r="F182" s="147"/>
      <c r="G182" s="147"/>
      <c r="H182" s="147"/>
      <c r="I182" s="147"/>
      <c r="J182" s="147"/>
      <c r="K182" s="147"/>
      <c r="L182" s="147">
        <v>1</v>
      </c>
      <c r="M182" s="147">
        <v>1</v>
      </c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>
        <v>1</v>
      </c>
      <c r="AA182" s="17">
        <v>1</v>
      </c>
      <c r="AB182" s="17"/>
      <c r="AC182" s="17"/>
      <c r="AD182" s="17">
        <v>1</v>
      </c>
      <c r="AE182" s="17"/>
      <c r="AF182" s="18"/>
      <c r="AG182" s="4">
        <f t="shared" si="28"/>
        <v>6</v>
      </c>
    </row>
    <row r="183" spans="1:34" ht="18.75" x14ac:dyDescent="0.25">
      <c r="A183" s="109" t="s">
        <v>614</v>
      </c>
      <c r="B183" s="147"/>
      <c r="C183" s="147"/>
      <c r="D183" s="147"/>
      <c r="E183" s="147"/>
      <c r="F183" s="147"/>
      <c r="G183" s="147"/>
      <c r="H183" s="147"/>
      <c r="I183" s="147"/>
      <c r="J183" s="147"/>
      <c r="K183" s="147"/>
      <c r="L183" s="147"/>
      <c r="M183" s="14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  <c r="AE183" s="17"/>
      <c r="AF183" s="18"/>
      <c r="AG183" s="4">
        <f t="shared" si="28"/>
        <v>0</v>
      </c>
    </row>
    <row r="184" spans="1:34" s="398" customFormat="1" ht="18.75" x14ac:dyDescent="0.25">
      <c r="A184" s="393" t="s">
        <v>621</v>
      </c>
      <c r="B184" s="394">
        <v>1</v>
      </c>
      <c r="C184" s="394">
        <v>14</v>
      </c>
      <c r="D184" s="394">
        <v>9</v>
      </c>
      <c r="E184" s="394"/>
      <c r="F184" s="394"/>
      <c r="G184" s="394">
        <v>17</v>
      </c>
      <c r="H184" s="394">
        <v>19</v>
      </c>
      <c r="I184" s="394">
        <v>14</v>
      </c>
      <c r="J184" s="394">
        <v>12</v>
      </c>
      <c r="K184" s="394">
        <v>10</v>
      </c>
      <c r="L184" s="394">
        <v>20</v>
      </c>
      <c r="M184" s="394">
        <v>22</v>
      </c>
      <c r="N184" s="395">
        <v>32</v>
      </c>
      <c r="O184" s="395">
        <v>39</v>
      </c>
      <c r="P184" s="395">
        <v>30</v>
      </c>
      <c r="Q184" s="395">
        <v>18</v>
      </c>
      <c r="R184" s="395">
        <v>20</v>
      </c>
      <c r="S184" s="395">
        <v>34</v>
      </c>
      <c r="T184" s="395">
        <v>23</v>
      </c>
      <c r="U184" s="395">
        <v>39</v>
      </c>
      <c r="V184" s="395">
        <v>24</v>
      </c>
      <c r="W184" s="395">
        <v>40</v>
      </c>
      <c r="X184" s="395">
        <v>30</v>
      </c>
      <c r="Y184" s="395">
        <v>22</v>
      </c>
      <c r="Z184" s="395">
        <v>26</v>
      </c>
      <c r="AA184" s="395">
        <v>28</v>
      </c>
      <c r="AB184" s="395">
        <v>41</v>
      </c>
      <c r="AC184" s="395">
        <v>24</v>
      </c>
      <c r="AD184" s="395">
        <v>20</v>
      </c>
      <c r="AE184" s="395">
        <v>23</v>
      </c>
      <c r="AF184" s="396">
        <v>19</v>
      </c>
      <c r="AG184" s="397">
        <f t="shared" si="28"/>
        <v>670</v>
      </c>
    </row>
    <row r="185" spans="1:34" ht="18.75" x14ac:dyDescent="0.25">
      <c r="A185" s="109" t="s">
        <v>165</v>
      </c>
      <c r="B185" s="147"/>
      <c r="C185" s="147"/>
      <c r="D185" s="147"/>
      <c r="E185" s="147"/>
      <c r="F185" s="147"/>
      <c r="G185" s="147"/>
      <c r="H185" s="147"/>
      <c r="I185" s="147"/>
      <c r="J185" s="147"/>
      <c r="K185" s="147"/>
      <c r="L185" s="147"/>
      <c r="M185" s="14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  <c r="AF185" s="18"/>
      <c r="AG185" s="4">
        <f t="shared" si="28"/>
        <v>0</v>
      </c>
    </row>
    <row r="186" spans="1:34" ht="18.75" x14ac:dyDescent="0.25">
      <c r="A186" s="109" t="s">
        <v>141</v>
      </c>
      <c r="B186" s="147"/>
      <c r="C186" s="147"/>
      <c r="D186" s="147"/>
      <c r="E186" s="147"/>
      <c r="F186" s="147"/>
      <c r="G186" s="147"/>
      <c r="H186" s="147"/>
      <c r="I186" s="147"/>
      <c r="J186" s="147"/>
      <c r="K186" s="147"/>
      <c r="L186" s="147"/>
      <c r="M186" s="14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  <c r="AF186" s="18"/>
      <c r="AG186" s="4">
        <f t="shared" si="28"/>
        <v>0</v>
      </c>
    </row>
    <row r="187" spans="1:34" ht="18.75" x14ac:dyDescent="0.25">
      <c r="A187" s="109" t="s">
        <v>613</v>
      </c>
      <c r="B187" s="147"/>
      <c r="C187" s="147"/>
      <c r="D187" s="147"/>
      <c r="E187" s="147"/>
      <c r="F187" s="147"/>
      <c r="G187" s="147"/>
      <c r="H187" s="147"/>
      <c r="I187" s="147"/>
      <c r="J187" s="147"/>
      <c r="K187" s="147"/>
      <c r="L187" s="147"/>
      <c r="M187" s="14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  <c r="AF187" s="18"/>
      <c r="AG187" s="4">
        <f t="shared" si="28"/>
        <v>0</v>
      </c>
    </row>
    <row r="188" spans="1:34" ht="18.75" x14ac:dyDescent="0.25">
      <c r="A188" s="109" t="s">
        <v>139</v>
      </c>
      <c r="B188" s="147">
        <v>2</v>
      </c>
      <c r="C188" s="147"/>
      <c r="D188" s="147">
        <v>1</v>
      </c>
      <c r="E188" s="147"/>
      <c r="F188" s="147"/>
      <c r="G188" s="147"/>
      <c r="H188" s="147"/>
      <c r="I188" s="147"/>
      <c r="J188" s="147"/>
      <c r="K188" s="147"/>
      <c r="L188" s="147"/>
      <c r="M188" s="147"/>
      <c r="N188" s="17"/>
      <c r="O188" s="17"/>
      <c r="P188" s="17"/>
      <c r="Q188" s="17"/>
      <c r="R188" s="17"/>
      <c r="S188" s="17"/>
      <c r="T188" s="17"/>
      <c r="U188" s="17"/>
      <c r="V188" s="17">
        <v>2</v>
      </c>
      <c r="W188" s="17"/>
      <c r="X188" s="17"/>
      <c r="Y188" s="17">
        <v>1</v>
      </c>
      <c r="Z188" s="17"/>
      <c r="AA188" s="17"/>
      <c r="AB188" s="17"/>
      <c r="AC188" s="17"/>
      <c r="AD188" s="17"/>
      <c r="AE188" s="17"/>
      <c r="AF188" s="18"/>
      <c r="AG188" s="4">
        <f t="shared" si="28"/>
        <v>6</v>
      </c>
    </row>
    <row r="189" spans="1:34" ht="18.75" x14ac:dyDescent="0.25">
      <c r="A189" s="110" t="s">
        <v>63</v>
      </c>
      <c r="B189" s="147"/>
      <c r="C189" s="147"/>
      <c r="D189" s="147"/>
      <c r="E189" s="147"/>
      <c r="F189" s="147"/>
      <c r="G189" s="147"/>
      <c r="H189" s="147"/>
      <c r="I189" s="147"/>
      <c r="J189" s="147"/>
      <c r="K189" s="147"/>
      <c r="L189" s="147"/>
      <c r="M189" s="14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  <c r="AE189" s="17"/>
      <c r="AF189" s="18"/>
      <c r="AG189" s="4">
        <f t="shared" si="28"/>
        <v>0</v>
      </c>
    </row>
    <row r="190" spans="1:34" ht="18.75" x14ac:dyDescent="0.25">
      <c r="A190" s="110" t="s">
        <v>142</v>
      </c>
      <c r="B190" s="147"/>
      <c r="C190" s="147"/>
      <c r="D190" s="147"/>
      <c r="E190" s="147"/>
      <c r="F190" s="147"/>
      <c r="G190" s="147"/>
      <c r="H190" s="147"/>
      <c r="I190" s="147"/>
      <c r="J190" s="147"/>
      <c r="K190" s="147"/>
      <c r="L190" s="147"/>
      <c r="M190" s="14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  <c r="AE190" s="17"/>
      <c r="AF190" s="18"/>
      <c r="AG190" s="4">
        <f t="shared" si="28"/>
        <v>0</v>
      </c>
    </row>
    <row r="191" spans="1:34" ht="18.75" x14ac:dyDescent="0.25">
      <c r="A191" s="110" t="s">
        <v>168</v>
      </c>
      <c r="B191" s="147"/>
      <c r="C191" s="147"/>
      <c r="D191" s="147"/>
      <c r="E191" s="147"/>
      <c r="F191" s="147"/>
      <c r="G191" s="147"/>
      <c r="H191" s="147"/>
      <c r="I191" s="147"/>
      <c r="J191" s="147"/>
      <c r="K191" s="147"/>
      <c r="L191" s="147"/>
      <c r="M191" s="14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  <c r="AE191" s="17"/>
      <c r="AF191" s="18"/>
      <c r="AG191" s="4">
        <f t="shared" si="28"/>
        <v>0</v>
      </c>
    </row>
    <row r="192" spans="1:34" ht="18.75" x14ac:dyDescent="0.25">
      <c r="A192" s="110" t="s">
        <v>169</v>
      </c>
      <c r="B192" s="147"/>
      <c r="C192" s="147"/>
      <c r="D192" s="147"/>
      <c r="E192" s="147"/>
      <c r="F192" s="147"/>
      <c r="G192" s="147"/>
      <c r="H192" s="147"/>
      <c r="I192" s="147"/>
      <c r="J192" s="147"/>
      <c r="K192" s="147"/>
      <c r="L192" s="147"/>
      <c r="M192" s="14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  <c r="AE192" s="17"/>
      <c r="AF192" s="18"/>
      <c r="AG192" s="4">
        <f t="shared" si="28"/>
        <v>0</v>
      </c>
    </row>
    <row r="193" spans="1:34" ht="18.75" x14ac:dyDescent="0.25">
      <c r="A193" s="236" t="s">
        <v>5</v>
      </c>
      <c r="B193" s="237">
        <v>1</v>
      </c>
      <c r="C193" s="237">
        <v>2</v>
      </c>
      <c r="D193" s="237">
        <v>2</v>
      </c>
      <c r="E193" s="237"/>
      <c r="F193" s="237">
        <v>2</v>
      </c>
      <c r="G193" s="237"/>
      <c r="H193" s="237">
        <v>6</v>
      </c>
      <c r="I193" s="237">
        <v>3</v>
      </c>
      <c r="J193" s="237">
        <v>1</v>
      </c>
      <c r="K193" s="237"/>
      <c r="L193" s="237"/>
      <c r="M193" s="237">
        <v>1</v>
      </c>
      <c r="N193" s="238">
        <v>1</v>
      </c>
      <c r="O193" s="238"/>
      <c r="P193" s="238">
        <v>3</v>
      </c>
      <c r="Q193" s="238">
        <v>1</v>
      </c>
      <c r="R193" s="238"/>
      <c r="S193" s="238">
        <v>3</v>
      </c>
      <c r="T193" s="238">
        <v>1</v>
      </c>
      <c r="U193" s="238">
        <v>3</v>
      </c>
      <c r="V193" s="238"/>
      <c r="W193" s="238">
        <v>4</v>
      </c>
      <c r="X193" s="238">
        <v>1</v>
      </c>
      <c r="Y193" s="238">
        <v>1</v>
      </c>
      <c r="Z193" s="238"/>
      <c r="AA193" s="238">
        <v>1</v>
      </c>
      <c r="AB193" s="238"/>
      <c r="AC193" s="238">
        <v>1</v>
      </c>
      <c r="AD193" s="238">
        <v>5</v>
      </c>
      <c r="AE193" s="238">
        <v>3</v>
      </c>
      <c r="AF193" s="239"/>
      <c r="AG193" s="240">
        <f t="shared" si="28"/>
        <v>46</v>
      </c>
    </row>
    <row r="194" spans="1:34" ht="18.75" x14ac:dyDescent="0.25">
      <c r="A194" s="111" t="s">
        <v>174</v>
      </c>
      <c r="B194" s="147"/>
      <c r="C194" s="147"/>
      <c r="D194" s="147"/>
      <c r="E194" s="147"/>
      <c r="F194" s="147"/>
      <c r="G194" s="147"/>
      <c r="H194" s="147"/>
      <c r="I194" s="147"/>
      <c r="J194" s="147"/>
      <c r="K194" s="147"/>
      <c r="L194" s="147"/>
      <c r="M194" s="14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  <c r="AE194" s="17"/>
      <c r="AF194" s="18"/>
      <c r="AG194" s="4">
        <f t="shared" si="28"/>
        <v>0</v>
      </c>
    </row>
    <row r="195" spans="1:34" ht="18.75" x14ac:dyDescent="0.25">
      <c r="A195" s="111" t="s">
        <v>171</v>
      </c>
      <c r="B195" s="147"/>
      <c r="C195" s="147"/>
      <c r="D195" s="147"/>
      <c r="E195" s="147"/>
      <c r="F195" s="147"/>
      <c r="G195" s="147"/>
      <c r="H195" s="147"/>
      <c r="I195" s="147"/>
      <c r="J195" s="147"/>
      <c r="K195" s="147"/>
      <c r="L195" s="147"/>
      <c r="M195" s="14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  <c r="AE195" s="17"/>
      <c r="AF195" s="18"/>
      <c r="AG195" s="4">
        <f t="shared" si="28"/>
        <v>0</v>
      </c>
    </row>
    <row r="196" spans="1:34" ht="18.75" x14ac:dyDescent="0.25">
      <c r="A196" s="111" t="s">
        <v>173</v>
      </c>
      <c r="B196" s="147"/>
      <c r="C196" s="147"/>
      <c r="D196" s="147"/>
      <c r="E196" s="147"/>
      <c r="F196" s="147"/>
      <c r="G196" s="147"/>
      <c r="H196" s="147"/>
      <c r="I196" s="147"/>
      <c r="J196" s="147"/>
      <c r="K196" s="147"/>
      <c r="L196" s="147"/>
      <c r="M196" s="14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  <c r="AE196" s="17"/>
      <c r="AF196" s="18"/>
      <c r="AG196" s="4">
        <f t="shared" si="28"/>
        <v>0</v>
      </c>
    </row>
    <row r="197" spans="1:34" ht="18.75" x14ac:dyDescent="0.25">
      <c r="A197" s="111" t="s">
        <v>88</v>
      </c>
      <c r="B197" s="147"/>
      <c r="C197" s="147"/>
      <c r="D197" s="147"/>
      <c r="E197" s="147"/>
      <c r="F197" s="147"/>
      <c r="G197" s="147"/>
      <c r="H197" s="147"/>
      <c r="I197" s="147"/>
      <c r="J197" s="147"/>
      <c r="K197" s="147"/>
      <c r="L197" s="147"/>
      <c r="M197" s="14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  <c r="AE197" s="17"/>
      <c r="AF197" s="18"/>
      <c r="AG197" s="4">
        <f t="shared" si="28"/>
        <v>0</v>
      </c>
    </row>
    <row r="198" spans="1:34" ht="18.75" x14ac:dyDescent="0.25">
      <c r="A198" s="111" t="s">
        <v>617</v>
      </c>
      <c r="B198" s="147"/>
      <c r="C198" s="147"/>
      <c r="D198" s="147"/>
      <c r="E198" s="147"/>
      <c r="F198" s="147"/>
      <c r="G198" s="147"/>
      <c r="H198" s="147"/>
      <c r="I198" s="147"/>
      <c r="J198" s="147"/>
      <c r="K198" s="147"/>
      <c r="L198" s="147"/>
      <c r="M198" s="14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  <c r="AE198" s="17"/>
      <c r="AF198" s="18"/>
      <c r="AG198" s="4">
        <f t="shared" si="28"/>
        <v>0</v>
      </c>
    </row>
    <row r="199" spans="1:34" ht="18.75" x14ac:dyDescent="0.25">
      <c r="A199" s="111" t="s">
        <v>143</v>
      </c>
      <c r="B199" s="147"/>
      <c r="C199" s="147"/>
      <c r="D199" s="147"/>
      <c r="E199" s="147"/>
      <c r="F199" s="147"/>
      <c r="G199" s="147"/>
      <c r="H199" s="147"/>
      <c r="I199" s="147"/>
      <c r="J199" s="147"/>
      <c r="K199" s="147"/>
      <c r="L199" s="147"/>
      <c r="M199" s="147"/>
      <c r="N199" s="17"/>
      <c r="O199" s="17"/>
      <c r="P199" s="17"/>
      <c r="Q199" s="17">
        <v>1</v>
      </c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  <c r="AE199" s="17"/>
      <c r="AF199" s="18"/>
      <c r="AG199" s="4">
        <f t="shared" si="28"/>
        <v>1</v>
      </c>
    </row>
    <row r="200" spans="1:34" ht="18.75" x14ac:dyDescent="0.25">
      <c r="A200" s="110" t="s">
        <v>124</v>
      </c>
      <c r="B200" s="147"/>
      <c r="C200" s="147"/>
      <c r="D200" s="147"/>
      <c r="E200" s="147"/>
      <c r="F200" s="147"/>
      <c r="G200" s="147"/>
      <c r="H200" s="147"/>
      <c r="I200" s="147"/>
      <c r="J200" s="147"/>
      <c r="K200" s="147"/>
      <c r="L200" s="147"/>
      <c r="M200" s="14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  <c r="AE200" s="17"/>
      <c r="AF200" s="18"/>
      <c r="AG200" s="4">
        <f t="shared" si="28"/>
        <v>0</v>
      </c>
    </row>
    <row r="201" spans="1:34" ht="18.75" x14ac:dyDescent="0.25">
      <c r="A201" s="110" t="s">
        <v>167</v>
      </c>
      <c r="B201" s="147"/>
      <c r="C201" s="147"/>
      <c r="D201" s="147"/>
      <c r="E201" s="147"/>
      <c r="F201" s="147"/>
      <c r="G201" s="147"/>
      <c r="H201" s="147"/>
      <c r="I201" s="147"/>
      <c r="J201" s="147"/>
      <c r="K201" s="147"/>
      <c r="L201" s="147"/>
      <c r="M201" s="14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  <c r="AD201" s="17"/>
      <c r="AE201" s="17"/>
      <c r="AF201" s="18"/>
      <c r="AG201" s="4">
        <f t="shared" si="28"/>
        <v>0</v>
      </c>
    </row>
    <row r="202" spans="1:34" ht="18.75" x14ac:dyDescent="0.25">
      <c r="A202" s="110" t="s">
        <v>125</v>
      </c>
      <c r="B202" s="147">
        <v>1</v>
      </c>
      <c r="C202" s="147"/>
      <c r="D202" s="147"/>
      <c r="E202" s="147"/>
      <c r="F202" s="147"/>
      <c r="G202" s="147"/>
      <c r="H202" s="147"/>
      <c r="I202" s="147"/>
      <c r="J202" s="147"/>
      <c r="K202" s="147"/>
      <c r="L202" s="147"/>
      <c r="M202" s="147"/>
      <c r="N202" s="17"/>
      <c r="O202" s="17"/>
      <c r="P202" s="17"/>
      <c r="Q202" s="17"/>
      <c r="R202" s="17"/>
      <c r="S202" s="17"/>
      <c r="T202" s="17">
        <v>1</v>
      </c>
      <c r="U202" s="17">
        <v>1</v>
      </c>
      <c r="V202" s="17"/>
      <c r="W202" s="17">
        <v>1</v>
      </c>
      <c r="X202" s="17"/>
      <c r="Y202" s="17"/>
      <c r="Z202" s="17"/>
      <c r="AA202" s="17"/>
      <c r="AB202" s="17"/>
      <c r="AC202" s="17"/>
      <c r="AD202" s="17"/>
      <c r="AE202" s="17"/>
      <c r="AF202" s="18"/>
      <c r="AG202" s="4">
        <f t="shared" si="28"/>
        <v>4</v>
      </c>
    </row>
    <row r="203" spans="1:34" ht="18.75" x14ac:dyDescent="0.25">
      <c r="A203" s="110" t="s">
        <v>126</v>
      </c>
      <c r="B203" s="202"/>
      <c r="C203" s="202"/>
      <c r="D203" s="202"/>
      <c r="E203" s="202"/>
      <c r="F203" s="202"/>
      <c r="G203" s="202"/>
      <c r="H203" s="202"/>
      <c r="I203" s="202"/>
      <c r="J203" s="202"/>
      <c r="K203" s="202"/>
      <c r="L203" s="202"/>
      <c r="M203" s="202"/>
      <c r="N203" s="203"/>
      <c r="O203" s="203"/>
      <c r="P203" s="203"/>
      <c r="Q203" s="203"/>
      <c r="R203" s="203"/>
      <c r="S203" s="203"/>
      <c r="T203" s="203"/>
      <c r="U203" s="203"/>
      <c r="V203" s="203"/>
      <c r="W203" s="203"/>
      <c r="X203" s="203"/>
      <c r="Y203" s="203"/>
      <c r="Z203" s="203"/>
      <c r="AA203" s="203"/>
      <c r="AB203" s="203"/>
      <c r="AC203" s="203"/>
      <c r="AD203" s="203"/>
      <c r="AE203" s="203"/>
      <c r="AF203" s="204"/>
      <c r="AG203" s="4">
        <f t="shared" si="28"/>
        <v>0</v>
      </c>
    </row>
    <row r="204" spans="1:34" ht="18.75" x14ac:dyDescent="0.25">
      <c r="A204" s="112" t="s">
        <v>170</v>
      </c>
      <c r="B204" s="202"/>
      <c r="C204" s="202"/>
      <c r="D204" s="202"/>
      <c r="E204" s="202"/>
      <c r="F204" s="202"/>
      <c r="G204" s="202"/>
      <c r="H204" s="202"/>
      <c r="I204" s="202"/>
      <c r="J204" s="202"/>
      <c r="K204" s="202"/>
      <c r="L204" s="202"/>
      <c r="M204" s="202"/>
      <c r="N204" s="203"/>
      <c r="O204" s="203"/>
      <c r="P204" s="203"/>
      <c r="Q204" s="203"/>
      <c r="R204" s="203"/>
      <c r="S204" s="203"/>
      <c r="T204" s="203"/>
      <c r="U204" s="203"/>
      <c r="V204" s="203"/>
      <c r="W204" s="203"/>
      <c r="X204" s="203"/>
      <c r="Y204" s="203"/>
      <c r="Z204" s="203"/>
      <c r="AA204" s="203"/>
      <c r="AB204" s="203"/>
      <c r="AC204" s="203"/>
      <c r="AD204" s="203"/>
      <c r="AE204" s="203"/>
      <c r="AF204" s="204"/>
      <c r="AG204" s="4">
        <f t="shared" si="28"/>
        <v>0</v>
      </c>
    </row>
    <row r="205" spans="1:34" ht="19.5" thickBot="1" x14ac:dyDescent="0.3">
      <c r="A205" s="231" t="s">
        <v>166</v>
      </c>
      <c r="B205" s="202"/>
      <c r="C205" s="202"/>
      <c r="D205" s="202"/>
      <c r="E205" s="202"/>
      <c r="F205" s="202"/>
      <c r="G205" s="202"/>
      <c r="H205" s="202"/>
      <c r="I205" s="202"/>
      <c r="J205" s="202"/>
      <c r="K205" s="202"/>
      <c r="L205" s="202"/>
      <c r="M205" s="202"/>
      <c r="N205" s="203"/>
      <c r="O205" s="203"/>
      <c r="P205" s="203"/>
      <c r="Q205" s="203"/>
      <c r="R205" s="203"/>
      <c r="S205" s="203"/>
      <c r="T205" s="203"/>
      <c r="U205" s="203"/>
      <c r="V205" s="203"/>
      <c r="W205" s="203"/>
      <c r="X205" s="203"/>
      <c r="Y205" s="203"/>
      <c r="Z205" s="203"/>
      <c r="AA205" s="203"/>
      <c r="AB205" s="203"/>
      <c r="AC205" s="203"/>
      <c r="AD205" s="203"/>
      <c r="AE205" s="203"/>
      <c r="AF205" s="204"/>
      <c r="AG205" s="28">
        <f t="shared" si="28"/>
        <v>0</v>
      </c>
    </row>
    <row r="206" spans="1:34" ht="19.5" thickBot="1" x14ac:dyDescent="0.3">
      <c r="A206" s="215" t="s">
        <v>83</v>
      </c>
      <c r="B206" s="209">
        <f>SUM(B207:B211)</f>
        <v>71</v>
      </c>
      <c r="C206" s="210">
        <f t="shared" ref="C206:AF206" si="33">SUM(C207:C211)</f>
        <v>75</v>
      </c>
      <c r="D206" s="210">
        <f t="shared" si="33"/>
        <v>68</v>
      </c>
      <c r="E206" s="210">
        <f t="shared" si="33"/>
        <v>84</v>
      </c>
      <c r="F206" s="210">
        <f t="shared" si="33"/>
        <v>63</v>
      </c>
      <c r="G206" s="210">
        <f t="shared" si="33"/>
        <v>57</v>
      </c>
      <c r="H206" s="210">
        <f t="shared" si="33"/>
        <v>69</v>
      </c>
      <c r="I206" s="210">
        <f t="shared" si="33"/>
        <v>84</v>
      </c>
      <c r="J206" s="210">
        <f t="shared" si="33"/>
        <v>59</v>
      </c>
      <c r="K206" s="210">
        <f t="shared" si="33"/>
        <v>68</v>
      </c>
      <c r="L206" s="210">
        <f t="shared" si="33"/>
        <v>99</v>
      </c>
      <c r="M206" s="210">
        <f t="shared" si="33"/>
        <v>98</v>
      </c>
      <c r="N206" s="211">
        <f t="shared" si="33"/>
        <v>104</v>
      </c>
      <c r="O206" s="211">
        <f t="shared" si="33"/>
        <v>119</v>
      </c>
      <c r="P206" s="211">
        <f t="shared" si="33"/>
        <v>96</v>
      </c>
      <c r="Q206" s="211">
        <f t="shared" si="33"/>
        <v>75</v>
      </c>
      <c r="R206" s="211">
        <f t="shared" si="33"/>
        <v>68</v>
      </c>
      <c r="S206" s="211">
        <f t="shared" si="33"/>
        <v>81</v>
      </c>
      <c r="T206" s="211">
        <f t="shared" si="33"/>
        <v>71</v>
      </c>
      <c r="U206" s="211">
        <f t="shared" si="33"/>
        <v>89</v>
      </c>
      <c r="V206" s="211">
        <f t="shared" si="33"/>
        <v>72</v>
      </c>
      <c r="W206" s="211">
        <f t="shared" si="33"/>
        <v>107</v>
      </c>
      <c r="X206" s="211">
        <f t="shared" si="33"/>
        <v>77</v>
      </c>
      <c r="Y206" s="211">
        <f t="shared" si="33"/>
        <v>81</v>
      </c>
      <c r="Z206" s="211">
        <f t="shared" si="33"/>
        <v>117</v>
      </c>
      <c r="AA206" s="211">
        <f t="shared" si="33"/>
        <v>87</v>
      </c>
      <c r="AB206" s="211">
        <f t="shared" si="33"/>
        <v>92</v>
      </c>
      <c r="AC206" s="211">
        <f t="shared" si="33"/>
        <v>77</v>
      </c>
      <c r="AD206" s="211">
        <f t="shared" si="33"/>
        <v>74</v>
      </c>
      <c r="AE206" s="211">
        <f t="shared" si="33"/>
        <v>82</v>
      </c>
      <c r="AF206" s="212">
        <f t="shared" si="33"/>
        <v>72</v>
      </c>
      <c r="AG206" s="213">
        <f t="shared" si="28"/>
        <v>2536</v>
      </c>
      <c r="AH206" s="180" t="str">
        <f>IF(AG206&lt;&gt;AG93,"X","")</f>
        <v/>
      </c>
    </row>
    <row r="207" spans="1:34" ht="18.75" x14ac:dyDescent="0.25">
      <c r="A207" s="214" t="s">
        <v>72</v>
      </c>
      <c r="B207" s="205"/>
      <c r="C207" s="205"/>
      <c r="D207" s="205"/>
      <c r="E207" s="205"/>
      <c r="F207" s="205"/>
      <c r="G207" s="205"/>
      <c r="H207" s="205"/>
      <c r="I207" s="205"/>
      <c r="J207" s="205"/>
      <c r="K207" s="205"/>
      <c r="L207" s="205"/>
      <c r="M207" s="205"/>
      <c r="N207" s="206"/>
      <c r="O207" s="206"/>
      <c r="P207" s="206"/>
      <c r="Q207" s="206"/>
      <c r="R207" s="206"/>
      <c r="S207" s="206"/>
      <c r="T207" s="206"/>
      <c r="U207" s="206"/>
      <c r="V207" s="206"/>
      <c r="W207" s="206"/>
      <c r="X207" s="206"/>
      <c r="Y207" s="206"/>
      <c r="Z207" s="206"/>
      <c r="AA207" s="206"/>
      <c r="AB207" s="206"/>
      <c r="AC207" s="206"/>
      <c r="AD207" s="206"/>
      <c r="AE207" s="206"/>
      <c r="AF207" s="207"/>
      <c r="AG207" s="208">
        <f t="shared" si="28"/>
        <v>0</v>
      </c>
    </row>
    <row r="208" spans="1:34" ht="18.75" x14ac:dyDescent="0.25">
      <c r="A208" s="52" t="s">
        <v>73</v>
      </c>
      <c r="B208" s="148"/>
      <c r="C208" s="148"/>
      <c r="D208" s="148">
        <v>1</v>
      </c>
      <c r="E208" s="148">
        <v>1</v>
      </c>
      <c r="F208" s="148"/>
      <c r="G208" s="148">
        <v>1</v>
      </c>
      <c r="H208" s="148"/>
      <c r="I208" s="148">
        <v>1</v>
      </c>
      <c r="J208" s="148"/>
      <c r="K208" s="148"/>
      <c r="L208" s="148">
        <v>1</v>
      </c>
      <c r="M208" s="148"/>
      <c r="N208" s="33"/>
      <c r="O208" s="33">
        <v>1</v>
      </c>
      <c r="P208" s="33"/>
      <c r="Q208" s="33"/>
      <c r="R208" s="33"/>
      <c r="S208" s="33"/>
      <c r="T208" s="33"/>
      <c r="U208" s="33"/>
      <c r="V208" s="33"/>
      <c r="W208" s="33"/>
      <c r="X208" s="33">
        <v>1</v>
      </c>
      <c r="Y208" s="33"/>
      <c r="Z208" s="33"/>
      <c r="AA208" s="33"/>
      <c r="AB208" s="33"/>
      <c r="AC208" s="33"/>
      <c r="AD208" s="33"/>
      <c r="AE208" s="33">
        <v>2</v>
      </c>
      <c r="AF208" s="88"/>
      <c r="AG208" s="97">
        <f t="shared" si="28"/>
        <v>9</v>
      </c>
    </row>
    <row r="209" spans="1:34" ht="18.75" x14ac:dyDescent="0.25">
      <c r="A209" s="52" t="s">
        <v>74</v>
      </c>
      <c r="B209" s="148">
        <v>9</v>
      </c>
      <c r="C209" s="148">
        <v>14</v>
      </c>
      <c r="D209" s="148">
        <v>12</v>
      </c>
      <c r="E209" s="148">
        <v>10</v>
      </c>
      <c r="F209" s="148">
        <v>8</v>
      </c>
      <c r="G209" s="148">
        <v>6</v>
      </c>
      <c r="H209" s="148">
        <v>11</v>
      </c>
      <c r="I209" s="148">
        <v>13</v>
      </c>
      <c r="J209" s="148">
        <v>12</v>
      </c>
      <c r="K209" s="148">
        <v>15</v>
      </c>
      <c r="L209" s="148">
        <v>11</v>
      </c>
      <c r="M209" s="148">
        <v>5</v>
      </c>
      <c r="N209" s="33">
        <v>10</v>
      </c>
      <c r="O209" s="33">
        <v>14</v>
      </c>
      <c r="P209" s="33">
        <v>11</v>
      </c>
      <c r="Q209" s="33">
        <v>12</v>
      </c>
      <c r="R209" s="33">
        <v>8</v>
      </c>
      <c r="S209" s="33">
        <v>7</v>
      </c>
      <c r="T209" s="33">
        <v>9</v>
      </c>
      <c r="U209" s="33">
        <v>8</v>
      </c>
      <c r="V209" s="33">
        <v>6</v>
      </c>
      <c r="W209" s="33">
        <v>16</v>
      </c>
      <c r="X209" s="33">
        <v>7</v>
      </c>
      <c r="Y209" s="33">
        <v>14</v>
      </c>
      <c r="Z209" s="33">
        <v>6</v>
      </c>
      <c r="AA209" s="33">
        <v>8</v>
      </c>
      <c r="AB209" s="33">
        <v>3</v>
      </c>
      <c r="AC209" s="33">
        <v>8</v>
      </c>
      <c r="AD209" s="33">
        <v>9</v>
      </c>
      <c r="AE209" s="33">
        <v>20</v>
      </c>
      <c r="AF209" s="88">
        <v>11</v>
      </c>
      <c r="AG209" s="97">
        <f t="shared" si="28"/>
        <v>313</v>
      </c>
    </row>
    <row r="210" spans="1:34" ht="18.75" x14ac:dyDescent="0.25">
      <c r="A210" s="52" t="s">
        <v>75</v>
      </c>
      <c r="B210" s="148">
        <v>31</v>
      </c>
      <c r="C210" s="148">
        <v>34</v>
      </c>
      <c r="D210" s="148">
        <v>36</v>
      </c>
      <c r="E210" s="148">
        <v>16</v>
      </c>
      <c r="F210" s="148">
        <v>18</v>
      </c>
      <c r="G210" s="148">
        <v>22</v>
      </c>
      <c r="H210" s="148">
        <v>26</v>
      </c>
      <c r="I210" s="148">
        <v>25</v>
      </c>
      <c r="J210" s="148">
        <v>21</v>
      </c>
      <c r="K210" s="148">
        <v>34</v>
      </c>
      <c r="L210" s="148">
        <v>50</v>
      </c>
      <c r="M210" s="148">
        <v>39</v>
      </c>
      <c r="N210" s="33">
        <v>25</v>
      </c>
      <c r="O210" s="33">
        <v>26</v>
      </c>
      <c r="P210" s="33">
        <v>39</v>
      </c>
      <c r="Q210" s="33">
        <v>22</v>
      </c>
      <c r="R210" s="33">
        <v>25</v>
      </c>
      <c r="S210" s="33">
        <v>21</v>
      </c>
      <c r="T210" s="33">
        <v>37</v>
      </c>
      <c r="U210" s="33">
        <v>42</v>
      </c>
      <c r="V210" s="33">
        <v>35</v>
      </c>
      <c r="W210" s="33">
        <v>30</v>
      </c>
      <c r="X210" s="33">
        <v>30</v>
      </c>
      <c r="Y210" s="33">
        <v>53</v>
      </c>
      <c r="Z210" s="33">
        <v>42</v>
      </c>
      <c r="AA210" s="33">
        <v>24</v>
      </c>
      <c r="AB210" s="33">
        <v>38</v>
      </c>
      <c r="AC210" s="33">
        <v>43</v>
      </c>
      <c r="AD210" s="33">
        <v>32</v>
      </c>
      <c r="AE210" s="33">
        <v>21</v>
      </c>
      <c r="AF210" s="88">
        <v>48</v>
      </c>
      <c r="AG210" s="97">
        <f t="shared" si="28"/>
        <v>985</v>
      </c>
    </row>
    <row r="211" spans="1:34" ht="19.5" thickBot="1" x14ac:dyDescent="0.3">
      <c r="A211" s="63" t="s">
        <v>76</v>
      </c>
      <c r="B211" s="149">
        <v>31</v>
      </c>
      <c r="C211" s="149">
        <v>27</v>
      </c>
      <c r="D211" s="149">
        <v>19</v>
      </c>
      <c r="E211" s="149">
        <v>57</v>
      </c>
      <c r="F211" s="149">
        <v>37</v>
      </c>
      <c r="G211" s="149">
        <v>28</v>
      </c>
      <c r="H211" s="149">
        <v>32</v>
      </c>
      <c r="I211" s="149">
        <v>45</v>
      </c>
      <c r="J211" s="149">
        <v>26</v>
      </c>
      <c r="K211" s="149">
        <v>19</v>
      </c>
      <c r="L211" s="149">
        <v>37</v>
      </c>
      <c r="M211" s="149">
        <v>54</v>
      </c>
      <c r="N211" s="34">
        <v>69</v>
      </c>
      <c r="O211" s="34">
        <v>78</v>
      </c>
      <c r="P211" s="34">
        <v>46</v>
      </c>
      <c r="Q211" s="34">
        <v>41</v>
      </c>
      <c r="R211" s="34">
        <v>35</v>
      </c>
      <c r="S211" s="34">
        <v>53</v>
      </c>
      <c r="T211" s="34">
        <v>25</v>
      </c>
      <c r="U211" s="34">
        <v>39</v>
      </c>
      <c r="V211" s="34">
        <v>31</v>
      </c>
      <c r="W211" s="34">
        <v>61</v>
      </c>
      <c r="X211" s="34">
        <v>39</v>
      </c>
      <c r="Y211" s="34">
        <v>14</v>
      </c>
      <c r="Z211" s="34">
        <v>69</v>
      </c>
      <c r="AA211" s="34">
        <v>55</v>
      </c>
      <c r="AB211" s="34">
        <v>51</v>
      </c>
      <c r="AC211" s="34">
        <v>26</v>
      </c>
      <c r="AD211" s="34">
        <v>33</v>
      </c>
      <c r="AE211" s="34">
        <v>39</v>
      </c>
      <c r="AF211" s="89">
        <v>13</v>
      </c>
      <c r="AG211" s="35">
        <f t="shared" si="28"/>
        <v>1229</v>
      </c>
    </row>
    <row r="212" spans="1:34" ht="19.5" thickBot="1" x14ac:dyDescent="0.3">
      <c r="A212" s="121" t="s">
        <v>622</v>
      </c>
      <c r="B212" s="404">
        <v>9</v>
      </c>
      <c r="C212" s="404">
        <v>11</v>
      </c>
      <c r="D212" s="404">
        <v>7</v>
      </c>
      <c r="E212" s="404">
        <v>12</v>
      </c>
      <c r="F212" s="404">
        <v>17</v>
      </c>
      <c r="G212" s="404">
        <v>12</v>
      </c>
      <c r="H212" s="404">
        <v>15</v>
      </c>
      <c r="I212" s="404">
        <v>22</v>
      </c>
      <c r="J212" s="404">
        <v>6</v>
      </c>
      <c r="K212" s="404">
        <v>8</v>
      </c>
      <c r="L212" s="404">
        <v>20</v>
      </c>
      <c r="M212" s="404">
        <v>10</v>
      </c>
      <c r="N212" s="122">
        <v>25</v>
      </c>
      <c r="O212" s="122">
        <v>28</v>
      </c>
      <c r="P212" s="122">
        <v>25</v>
      </c>
      <c r="Q212" s="122">
        <v>17</v>
      </c>
      <c r="R212" s="122">
        <v>19</v>
      </c>
      <c r="S212" s="122">
        <v>27</v>
      </c>
      <c r="T212" s="122">
        <v>13</v>
      </c>
      <c r="U212" s="122">
        <v>26</v>
      </c>
      <c r="V212" s="122">
        <v>15</v>
      </c>
      <c r="W212" s="122">
        <v>32</v>
      </c>
      <c r="X212" s="122">
        <v>28</v>
      </c>
      <c r="Y212" s="122">
        <v>16</v>
      </c>
      <c r="Z212" s="122">
        <v>19</v>
      </c>
      <c r="AA212" s="122">
        <v>18</v>
      </c>
      <c r="AB212" s="122">
        <v>33</v>
      </c>
      <c r="AC212" s="122">
        <v>21</v>
      </c>
      <c r="AD212" s="122">
        <v>17</v>
      </c>
      <c r="AE212" s="122">
        <v>12</v>
      </c>
      <c r="AF212" s="123">
        <v>16</v>
      </c>
      <c r="AG212" s="124">
        <f t="shared" si="28"/>
        <v>556</v>
      </c>
    </row>
    <row r="213" spans="1:34" ht="18.75" x14ac:dyDescent="0.25">
      <c r="A213" s="414" t="s">
        <v>624</v>
      </c>
      <c r="B213" s="415">
        <v>9</v>
      </c>
      <c r="C213" s="415">
        <v>10</v>
      </c>
      <c r="D213" s="415">
        <v>7</v>
      </c>
      <c r="E213" s="415">
        <v>12</v>
      </c>
      <c r="F213" s="415">
        <v>17</v>
      </c>
      <c r="G213" s="415">
        <v>12</v>
      </c>
      <c r="H213" s="415">
        <v>15</v>
      </c>
      <c r="I213" s="415">
        <v>21</v>
      </c>
      <c r="J213" s="415">
        <v>5</v>
      </c>
      <c r="K213" s="415">
        <v>8</v>
      </c>
      <c r="L213" s="415">
        <v>20</v>
      </c>
      <c r="M213" s="415">
        <v>3</v>
      </c>
      <c r="N213" s="416">
        <v>25</v>
      </c>
      <c r="O213" s="416">
        <v>27</v>
      </c>
      <c r="P213" s="416">
        <v>22</v>
      </c>
      <c r="Q213" s="416">
        <v>17</v>
      </c>
      <c r="R213" s="416">
        <v>17</v>
      </c>
      <c r="S213" s="416">
        <v>27</v>
      </c>
      <c r="T213" s="416">
        <v>10</v>
      </c>
      <c r="U213" s="416">
        <v>25</v>
      </c>
      <c r="V213" s="416">
        <v>9</v>
      </c>
      <c r="W213" s="416">
        <v>27</v>
      </c>
      <c r="X213" s="416">
        <v>24</v>
      </c>
      <c r="Y213" s="416">
        <v>15</v>
      </c>
      <c r="Z213" s="416">
        <v>18</v>
      </c>
      <c r="AA213" s="416">
        <v>15</v>
      </c>
      <c r="AB213" s="416">
        <v>30</v>
      </c>
      <c r="AC213" s="416">
        <v>19</v>
      </c>
      <c r="AD213" s="416">
        <v>16</v>
      </c>
      <c r="AE213" s="416">
        <v>12</v>
      </c>
      <c r="AF213" s="417">
        <v>16</v>
      </c>
      <c r="AG213" s="418">
        <f t="shared" si="28"/>
        <v>510</v>
      </c>
    </row>
    <row r="214" spans="1:34" ht="18.75" x14ac:dyDescent="0.25">
      <c r="A214" s="419" t="s">
        <v>626</v>
      </c>
      <c r="B214" s="420"/>
      <c r="C214" s="420">
        <v>1</v>
      </c>
      <c r="D214" s="420"/>
      <c r="E214" s="420"/>
      <c r="F214" s="420"/>
      <c r="G214" s="420"/>
      <c r="H214" s="420"/>
      <c r="I214" s="420"/>
      <c r="J214" s="420"/>
      <c r="K214" s="420"/>
      <c r="L214" s="420"/>
      <c r="M214" s="420">
        <v>1</v>
      </c>
      <c r="N214" s="421"/>
      <c r="O214" s="421"/>
      <c r="P214" s="421"/>
      <c r="Q214" s="421"/>
      <c r="R214" s="421"/>
      <c r="S214" s="421"/>
      <c r="T214" s="421"/>
      <c r="U214" s="421"/>
      <c r="V214" s="421"/>
      <c r="W214" s="421"/>
      <c r="X214" s="421"/>
      <c r="Y214" s="421"/>
      <c r="Z214" s="421"/>
      <c r="AA214" s="421"/>
      <c r="AB214" s="421"/>
      <c r="AC214" s="421"/>
      <c r="AD214" s="421"/>
      <c r="AE214" s="421"/>
      <c r="AF214" s="422"/>
      <c r="AG214" s="397">
        <f t="shared" si="28"/>
        <v>2</v>
      </c>
    </row>
    <row r="215" spans="1:34" ht="18.75" x14ac:dyDescent="0.25">
      <c r="A215" s="423" t="s">
        <v>627</v>
      </c>
      <c r="B215" s="420"/>
      <c r="C215" s="420"/>
      <c r="D215" s="420"/>
      <c r="E215" s="420"/>
      <c r="F215" s="420"/>
      <c r="G215" s="420"/>
      <c r="H215" s="420"/>
      <c r="I215" s="420"/>
      <c r="J215" s="420"/>
      <c r="K215" s="420"/>
      <c r="L215" s="420"/>
      <c r="M215" s="420"/>
      <c r="N215" s="421"/>
      <c r="O215" s="421"/>
      <c r="P215" s="421"/>
      <c r="Q215" s="421"/>
      <c r="R215" s="421"/>
      <c r="S215" s="421"/>
      <c r="T215" s="421"/>
      <c r="U215" s="421"/>
      <c r="V215" s="421"/>
      <c r="W215" s="421"/>
      <c r="X215" s="421"/>
      <c r="Y215" s="421"/>
      <c r="Z215" s="421"/>
      <c r="AA215" s="421"/>
      <c r="AB215" s="421"/>
      <c r="AC215" s="421"/>
      <c r="AD215" s="421"/>
      <c r="AE215" s="421"/>
      <c r="AF215" s="422"/>
      <c r="AG215" s="397">
        <f t="shared" si="28"/>
        <v>0</v>
      </c>
    </row>
    <row r="216" spans="1:34" ht="19.5" thickBot="1" x14ac:dyDescent="0.3">
      <c r="A216" s="424" t="s">
        <v>623</v>
      </c>
      <c r="B216" s="412"/>
      <c r="C216" s="412"/>
      <c r="D216" s="412"/>
      <c r="E216" s="412"/>
      <c r="F216" s="412"/>
      <c r="G216" s="412"/>
      <c r="H216" s="412"/>
      <c r="I216" s="412">
        <v>1</v>
      </c>
      <c r="J216" s="412">
        <v>1</v>
      </c>
      <c r="K216" s="412"/>
      <c r="L216" s="412"/>
      <c r="M216" s="412">
        <v>5</v>
      </c>
      <c r="N216" s="425"/>
      <c r="O216" s="425">
        <v>1</v>
      </c>
      <c r="P216" s="425">
        <v>3</v>
      </c>
      <c r="Q216" s="425"/>
      <c r="R216" s="425">
        <v>2</v>
      </c>
      <c r="S216" s="425"/>
      <c r="T216" s="425">
        <v>3</v>
      </c>
      <c r="U216" s="425">
        <v>1</v>
      </c>
      <c r="V216" s="425">
        <v>6</v>
      </c>
      <c r="W216" s="425">
        <v>5</v>
      </c>
      <c r="X216" s="425">
        <v>4</v>
      </c>
      <c r="Y216" s="425">
        <v>1</v>
      </c>
      <c r="Z216" s="425">
        <v>1</v>
      </c>
      <c r="AA216" s="425">
        <v>3</v>
      </c>
      <c r="AB216" s="425">
        <v>3</v>
      </c>
      <c r="AC216" s="425">
        <v>2</v>
      </c>
      <c r="AD216" s="425">
        <v>1</v>
      </c>
      <c r="AE216" s="425"/>
      <c r="AF216" s="426"/>
      <c r="AG216" s="397">
        <f>SUM(B216:AF216)</f>
        <v>43</v>
      </c>
    </row>
    <row r="217" spans="1:34" ht="18.75" x14ac:dyDescent="0.25">
      <c r="A217" s="69" t="s">
        <v>628</v>
      </c>
      <c r="B217" s="407"/>
      <c r="C217" s="407"/>
      <c r="D217" s="407"/>
      <c r="E217" s="407"/>
      <c r="F217" s="407"/>
      <c r="G217" s="407"/>
      <c r="H217" s="407"/>
      <c r="I217" s="407"/>
      <c r="J217" s="407"/>
      <c r="K217" s="407"/>
      <c r="L217" s="407"/>
      <c r="M217" s="407"/>
      <c r="N217" s="56"/>
      <c r="O217" s="56"/>
      <c r="P217" s="56"/>
      <c r="Q217" s="56"/>
      <c r="R217" s="56"/>
      <c r="S217" s="56"/>
      <c r="T217" s="56"/>
      <c r="U217" s="56"/>
      <c r="V217" s="56"/>
      <c r="W217" s="56"/>
      <c r="X217" s="56"/>
      <c r="Y217" s="56"/>
      <c r="Z217" s="56"/>
      <c r="AA217" s="56"/>
      <c r="AB217" s="56"/>
      <c r="AC217" s="56"/>
      <c r="AD217" s="56"/>
      <c r="AE217" s="56"/>
      <c r="AF217" s="85"/>
      <c r="AG217" s="95">
        <f>SUM(B217:AF217)</f>
        <v>0</v>
      </c>
    </row>
    <row r="218" spans="1:34" ht="19.5" thickBot="1" x14ac:dyDescent="0.3">
      <c r="A218" s="424" t="s">
        <v>629</v>
      </c>
      <c r="B218" s="412">
        <f>+B212-B217</f>
        <v>9</v>
      </c>
      <c r="C218" s="412">
        <f t="shared" ref="C218:AF218" si="34">+C212-C217</f>
        <v>11</v>
      </c>
      <c r="D218" s="412">
        <f t="shared" si="34"/>
        <v>7</v>
      </c>
      <c r="E218" s="412">
        <f t="shared" si="34"/>
        <v>12</v>
      </c>
      <c r="F218" s="412">
        <f t="shared" si="34"/>
        <v>17</v>
      </c>
      <c r="G218" s="412">
        <f t="shared" si="34"/>
        <v>12</v>
      </c>
      <c r="H218" s="412">
        <f t="shared" si="34"/>
        <v>15</v>
      </c>
      <c r="I218" s="412">
        <f t="shared" si="34"/>
        <v>22</v>
      </c>
      <c r="J218" s="412">
        <f t="shared" si="34"/>
        <v>6</v>
      </c>
      <c r="K218" s="412">
        <f t="shared" si="34"/>
        <v>8</v>
      </c>
      <c r="L218" s="412">
        <f t="shared" si="34"/>
        <v>20</v>
      </c>
      <c r="M218" s="412">
        <f t="shared" si="34"/>
        <v>10</v>
      </c>
      <c r="N218" s="425">
        <f t="shared" si="34"/>
        <v>25</v>
      </c>
      <c r="O218" s="425">
        <f t="shared" si="34"/>
        <v>28</v>
      </c>
      <c r="P218" s="425">
        <f t="shared" si="34"/>
        <v>25</v>
      </c>
      <c r="Q218" s="425">
        <f t="shared" si="34"/>
        <v>17</v>
      </c>
      <c r="R218" s="425">
        <f t="shared" si="34"/>
        <v>19</v>
      </c>
      <c r="S218" s="425">
        <f t="shared" si="34"/>
        <v>27</v>
      </c>
      <c r="T218" s="425">
        <f t="shared" si="34"/>
        <v>13</v>
      </c>
      <c r="U218" s="425">
        <f t="shared" si="34"/>
        <v>26</v>
      </c>
      <c r="V218" s="425">
        <f t="shared" si="34"/>
        <v>15</v>
      </c>
      <c r="W218" s="425">
        <f t="shared" si="34"/>
        <v>32</v>
      </c>
      <c r="X218" s="425">
        <f t="shared" si="34"/>
        <v>28</v>
      </c>
      <c r="Y218" s="425">
        <f t="shared" si="34"/>
        <v>16</v>
      </c>
      <c r="Z218" s="425">
        <f t="shared" si="34"/>
        <v>19</v>
      </c>
      <c r="AA218" s="425">
        <f t="shared" si="34"/>
        <v>18</v>
      </c>
      <c r="AB218" s="425">
        <f t="shared" si="34"/>
        <v>33</v>
      </c>
      <c r="AC218" s="425">
        <f t="shared" si="34"/>
        <v>21</v>
      </c>
      <c r="AD218" s="425">
        <f t="shared" si="34"/>
        <v>17</v>
      </c>
      <c r="AE218" s="425">
        <f t="shared" si="34"/>
        <v>12</v>
      </c>
      <c r="AF218" s="428">
        <f t="shared" si="34"/>
        <v>16</v>
      </c>
      <c r="AG218" s="413">
        <f>SUM(B218:AF218)</f>
        <v>556</v>
      </c>
    </row>
    <row r="219" spans="1:34" ht="19.5" thickBot="1" x14ac:dyDescent="0.3">
      <c r="A219" s="60" t="s">
        <v>64</v>
      </c>
      <c r="B219" s="61"/>
      <c r="C219" s="61"/>
      <c r="D219" s="61"/>
      <c r="E219" s="61"/>
      <c r="F219" s="61"/>
      <c r="G219" s="61"/>
      <c r="H219" s="61"/>
      <c r="I219" s="61"/>
      <c r="J219" s="61"/>
      <c r="K219" s="61"/>
      <c r="L219" s="61"/>
      <c r="M219" s="61"/>
      <c r="N219" s="61"/>
      <c r="O219" s="61"/>
      <c r="P219" s="61"/>
      <c r="Q219" s="61"/>
      <c r="R219" s="61"/>
      <c r="S219" s="61"/>
      <c r="T219" s="61"/>
      <c r="U219" s="61"/>
      <c r="V219" s="61"/>
      <c r="W219" s="61"/>
      <c r="X219" s="61"/>
      <c r="Y219" s="61"/>
      <c r="Z219" s="61"/>
      <c r="AA219" s="61"/>
      <c r="AB219" s="61"/>
      <c r="AC219" s="61"/>
      <c r="AD219" s="61"/>
      <c r="AE219" s="61"/>
      <c r="AF219" s="90"/>
      <c r="AG219" s="98"/>
    </row>
    <row r="220" spans="1:34" ht="18.75" x14ac:dyDescent="0.25">
      <c r="A220" s="43" t="s">
        <v>77</v>
      </c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  <c r="AC220" s="19"/>
      <c r="AD220" s="19"/>
      <c r="AE220" s="19"/>
      <c r="AF220" s="25"/>
      <c r="AG220" s="99">
        <f t="shared" si="28"/>
        <v>0</v>
      </c>
      <c r="AH220" s="437" t="s">
        <v>85</v>
      </c>
    </row>
    <row r="221" spans="1:34" ht="18.75" x14ac:dyDescent="0.25">
      <c r="A221" s="53" t="s">
        <v>110</v>
      </c>
      <c r="B221" s="39"/>
      <c r="C221" s="39"/>
      <c r="D221" s="39"/>
      <c r="E221" s="39"/>
      <c r="F221" s="39"/>
      <c r="G221" s="39"/>
      <c r="H221" s="39"/>
      <c r="I221" s="39"/>
      <c r="J221" s="39"/>
      <c r="K221" s="39"/>
      <c r="L221" s="39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  <c r="Y221" s="39"/>
      <c r="Z221" s="39"/>
      <c r="AA221" s="39"/>
      <c r="AB221" s="39"/>
      <c r="AC221" s="39"/>
      <c r="AD221" s="39"/>
      <c r="AE221" s="39"/>
      <c r="AF221" s="91"/>
      <c r="AG221" s="100">
        <f t="shared" si="28"/>
        <v>0</v>
      </c>
      <c r="AH221" s="438"/>
    </row>
    <row r="222" spans="1:34" ht="18.75" x14ac:dyDescent="0.25">
      <c r="A222" s="53" t="s">
        <v>111</v>
      </c>
      <c r="B222" s="39"/>
      <c r="C222" s="39"/>
      <c r="D222" s="39"/>
      <c r="E222" s="39"/>
      <c r="F222" s="39"/>
      <c r="G222" s="39"/>
      <c r="H222" s="39"/>
      <c r="I222" s="39"/>
      <c r="J222" s="39"/>
      <c r="K222" s="39"/>
      <c r="L222" s="39"/>
      <c r="M222" s="39"/>
      <c r="N222" s="39"/>
      <c r="O222" s="39"/>
      <c r="P222" s="39"/>
      <c r="Q222" s="39"/>
      <c r="R222" s="39"/>
      <c r="S222" s="39"/>
      <c r="T222" s="39"/>
      <c r="U222" s="39"/>
      <c r="V222" s="39"/>
      <c r="W222" s="39"/>
      <c r="X222" s="39"/>
      <c r="Y222" s="39"/>
      <c r="Z222" s="39"/>
      <c r="AA222" s="39"/>
      <c r="AB222" s="39"/>
      <c r="AC222" s="39"/>
      <c r="AD222" s="39"/>
      <c r="AE222" s="39"/>
      <c r="AF222" s="91"/>
      <c r="AG222" s="100">
        <f t="shared" si="28"/>
        <v>0</v>
      </c>
      <c r="AH222" s="438"/>
    </row>
    <row r="223" spans="1:34" ht="18.75" x14ac:dyDescent="0.25">
      <c r="A223" s="53" t="s">
        <v>112</v>
      </c>
      <c r="B223" s="39"/>
      <c r="C223" s="39"/>
      <c r="D223" s="39"/>
      <c r="E223" s="39"/>
      <c r="F223" s="39"/>
      <c r="G223" s="39"/>
      <c r="H223" s="39"/>
      <c r="I223" s="39"/>
      <c r="J223" s="39"/>
      <c r="K223" s="39"/>
      <c r="L223" s="39"/>
      <c r="M223" s="39"/>
      <c r="N223" s="39"/>
      <c r="O223" s="39"/>
      <c r="P223" s="39"/>
      <c r="Q223" s="39"/>
      <c r="R223" s="39"/>
      <c r="S223" s="39"/>
      <c r="T223" s="39"/>
      <c r="U223" s="39"/>
      <c r="V223" s="39"/>
      <c r="W223" s="39"/>
      <c r="X223" s="39"/>
      <c r="Y223" s="39"/>
      <c r="Z223" s="39"/>
      <c r="AA223" s="39"/>
      <c r="AB223" s="39"/>
      <c r="AC223" s="39"/>
      <c r="AD223" s="39"/>
      <c r="AE223" s="39"/>
      <c r="AF223" s="91"/>
      <c r="AG223" s="100">
        <f t="shared" si="28"/>
        <v>0</v>
      </c>
      <c r="AH223" s="438"/>
    </row>
    <row r="224" spans="1:34" ht="18.75" x14ac:dyDescent="0.25">
      <c r="A224" s="53" t="s">
        <v>113</v>
      </c>
      <c r="B224" s="39"/>
      <c r="C224" s="39"/>
      <c r="D224" s="39"/>
      <c r="E224" s="39"/>
      <c r="F224" s="39"/>
      <c r="G224" s="39"/>
      <c r="H224" s="39"/>
      <c r="I224" s="39"/>
      <c r="J224" s="39"/>
      <c r="K224" s="39"/>
      <c r="L224" s="39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  <c r="Y224" s="39"/>
      <c r="Z224" s="39"/>
      <c r="AA224" s="39"/>
      <c r="AB224" s="39"/>
      <c r="AC224" s="39"/>
      <c r="AD224" s="39"/>
      <c r="AE224" s="39"/>
      <c r="AF224" s="91"/>
      <c r="AG224" s="100">
        <f t="shared" si="28"/>
        <v>0</v>
      </c>
      <c r="AH224" s="438"/>
    </row>
    <row r="225" spans="1:34" ht="18.75" x14ac:dyDescent="0.25">
      <c r="A225" s="53" t="s">
        <v>114</v>
      </c>
      <c r="B225" s="39"/>
      <c r="C225" s="39"/>
      <c r="D225" s="39"/>
      <c r="E225" s="39"/>
      <c r="F225" s="39"/>
      <c r="G225" s="39"/>
      <c r="H225" s="39"/>
      <c r="I225" s="39"/>
      <c r="J225" s="39"/>
      <c r="K225" s="39"/>
      <c r="L225" s="39"/>
      <c r="M225" s="39"/>
      <c r="N225" s="39"/>
      <c r="O225" s="39"/>
      <c r="P225" s="39"/>
      <c r="Q225" s="39"/>
      <c r="R225" s="39"/>
      <c r="S225" s="39"/>
      <c r="T225" s="39"/>
      <c r="U225" s="39"/>
      <c r="V225" s="39"/>
      <c r="W225" s="39"/>
      <c r="X225" s="39"/>
      <c r="Y225" s="39"/>
      <c r="Z225" s="39"/>
      <c r="AA225" s="39"/>
      <c r="AB225" s="39"/>
      <c r="AC225" s="39"/>
      <c r="AD225" s="39"/>
      <c r="AE225" s="39"/>
      <c r="AF225" s="91"/>
      <c r="AG225" s="100">
        <f t="shared" ref="AG225:AG227" si="35">SUM(B225:AF225)</f>
        <v>0</v>
      </c>
      <c r="AH225" s="438"/>
    </row>
    <row r="226" spans="1:34" ht="18.75" x14ac:dyDescent="0.25">
      <c r="A226" s="53" t="s">
        <v>115</v>
      </c>
      <c r="B226" s="39"/>
      <c r="C226" s="39"/>
      <c r="D226" s="39"/>
      <c r="E226" s="39"/>
      <c r="F226" s="39"/>
      <c r="G226" s="39"/>
      <c r="H226" s="39"/>
      <c r="I226" s="39"/>
      <c r="J226" s="39"/>
      <c r="K226" s="39"/>
      <c r="L226" s="39"/>
      <c r="M226" s="39"/>
      <c r="N226" s="39"/>
      <c r="O226" s="39"/>
      <c r="P226" s="39"/>
      <c r="Q226" s="39"/>
      <c r="R226" s="39"/>
      <c r="S226" s="39"/>
      <c r="T226" s="39"/>
      <c r="U226" s="39"/>
      <c r="V226" s="39"/>
      <c r="W226" s="39"/>
      <c r="X226" s="39"/>
      <c r="Y226" s="39"/>
      <c r="Z226" s="39"/>
      <c r="AA226" s="39"/>
      <c r="AB226" s="39"/>
      <c r="AC226" s="39"/>
      <c r="AD226" s="39"/>
      <c r="AE226" s="39"/>
      <c r="AF226" s="91"/>
      <c r="AG226" s="100">
        <f t="shared" si="35"/>
        <v>0</v>
      </c>
      <c r="AH226" s="438"/>
    </row>
    <row r="227" spans="1:34" ht="18.75" x14ac:dyDescent="0.25">
      <c r="A227" s="53" t="s">
        <v>116</v>
      </c>
      <c r="B227" s="39"/>
      <c r="C227" s="39"/>
      <c r="D227" s="39"/>
      <c r="E227" s="39"/>
      <c r="F227" s="39"/>
      <c r="G227" s="39"/>
      <c r="H227" s="39"/>
      <c r="I227" s="39"/>
      <c r="J227" s="39"/>
      <c r="K227" s="39"/>
      <c r="L227" s="39"/>
      <c r="M227" s="39"/>
      <c r="N227" s="39"/>
      <c r="O227" s="39"/>
      <c r="P227" s="39"/>
      <c r="Q227" s="39"/>
      <c r="R227" s="39"/>
      <c r="S227" s="39"/>
      <c r="T227" s="39"/>
      <c r="U227" s="39"/>
      <c r="V227" s="39"/>
      <c r="W227" s="39"/>
      <c r="X227" s="39"/>
      <c r="Y227" s="39"/>
      <c r="Z227" s="39"/>
      <c r="AA227" s="39"/>
      <c r="AB227" s="39"/>
      <c r="AC227" s="39"/>
      <c r="AD227" s="39"/>
      <c r="AE227" s="39"/>
      <c r="AF227" s="91"/>
      <c r="AG227" s="100">
        <f t="shared" si="35"/>
        <v>0</v>
      </c>
      <c r="AH227" s="438"/>
    </row>
    <row r="228" spans="1:34" ht="18.75" x14ac:dyDescent="0.25">
      <c r="A228" s="53" t="s">
        <v>117</v>
      </c>
      <c r="B228" s="39"/>
      <c r="C228" s="39"/>
      <c r="D228" s="39"/>
      <c r="E228" s="39"/>
      <c r="F228" s="39"/>
      <c r="G228" s="39"/>
      <c r="H228" s="39"/>
      <c r="I228" s="39"/>
      <c r="J228" s="39"/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39"/>
      <c r="AA228" s="39"/>
      <c r="AB228" s="39"/>
      <c r="AC228" s="39"/>
      <c r="AD228" s="39"/>
      <c r="AE228" s="39"/>
      <c r="AF228" s="91"/>
      <c r="AG228" s="100">
        <f t="shared" si="28"/>
        <v>0</v>
      </c>
      <c r="AH228" s="438"/>
    </row>
    <row r="229" spans="1:34" ht="18.75" x14ac:dyDescent="0.25">
      <c r="A229" s="43" t="s">
        <v>150</v>
      </c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  <c r="AB229" s="19"/>
      <c r="AC229" s="19"/>
      <c r="AD229" s="19"/>
      <c r="AE229" s="19"/>
      <c r="AF229" s="25"/>
      <c r="AG229" s="99">
        <f t="shared" si="28"/>
        <v>0</v>
      </c>
      <c r="AH229" s="438"/>
    </row>
    <row r="230" spans="1:34" ht="18.75" x14ac:dyDescent="0.25">
      <c r="A230" s="43" t="s">
        <v>78</v>
      </c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  <c r="AC230" s="19"/>
      <c r="AD230" s="19"/>
      <c r="AE230" s="19"/>
      <c r="AF230" s="25"/>
      <c r="AG230" s="99">
        <f t="shared" si="28"/>
        <v>0</v>
      </c>
      <c r="AH230" s="438"/>
    </row>
    <row r="231" spans="1:34" ht="19.5" thickBot="1" x14ac:dyDescent="0.3">
      <c r="A231" s="43" t="s">
        <v>79</v>
      </c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19"/>
      <c r="AD231" s="19"/>
      <c r="AE231" s="19"/>
      <c r="AF231" s="25"/>
      <c r="AG231" s="99">
        <f t="shared" si="28"/>
        <v>0</v>
      </c>
      <c r="AH231" s="439"/>
    </row>
    <row r="232" spans="1:34" ht="24" thickBot="1" x14ac:dyDescent="0.3">
      <c r="A232" s="62" t="s">
        <v>118</v>
      </c>
      <c r="B232" s="20">
        <f>+B231+B230+B220+B229</f>
        <v>0</v>
      </c>
      <c r="C232" s="20">
        <f t="shared" ref="C232:AF232" si="36">+C231+C230+C220+C229</f>
        <v>0</v>
      </c>
      <c r="D232" s="20">
        <f t="shared" si="36"/>
        <v>0</v>
      </c>
      <c r="E232" s="20">
        <f t="shared" si="36"/>
        <v>0</v>
      </c>
      <c r="F232" s="20">
        <f t="shared" si="36"/>
        <v>0</v>
      </c>
      <c r="G232" s="20">
        <f t="shared" si="36"/>
        <v>0</v>
      </c>
      <c r="H232" s="20">
        <f t="shared" si="36"/>
        <v>0</v>
      </c>
      <c r="I232" s="20">
        <f t="shared" si="36"/>
        <v>0</v>
      </c>
      <c r="J232" s="20">
        <f t="shared" si="36"/>
        <v>0</v>
      </c>
      <c r="K232" s="20">
        <f t="shared" si="36"/>
        <v>0</v>
      </c>
      <c r="L232" s="20">
        <f t="shared" si="36"/>
        <v>0</v>
      </c>
      <c r="M232" s="20">
        <f t="shared" si="36"/>
        <v>0</v>
      </c>
      <c r="N232" s="20">
        <f t="shared" si="36"/>
        <v>0</v>
      </c>
      <c r="O232" s="20">
        <f t="shared" si="36"/>
        <v>0</v>
      </c>
      <c r="P232" s="20">
        <f t="shared" si="36"/>
        <v>0</v>
      </c>
      <c r="Q232" s="20">
        <f t="shared" si="36"/>
        <v>0</v>
      </c>
      <c r="R232" s="20">
        <f t="shared" si="36"/>
        <v>0</v>
      </c>
      <c r="S232" s="20">
        <f t="shared" si="36"/>
        <v>0</v>
      </c>
      <c r="T232" s="20">
        <f t="shared" si="36"/>
        <v>0</v>
      </c>
      <c r="U232" s="20">
        <f t="shared" si="36"/>
        <v>0</v>
      </c>
      <c r="V232" s="20">
        <f t="shared" si="36"/>
        <v>0</v>
      </c>
      <c r="W232" s="20">
        <f t="shared" si="36"/>
        <v>0</v>
      </c>
      <c r="X232" s="20">
        <f t="shared" si="36"/>
        <v>0</v>
      </c>
      <c r="Y232" s="20">
        <f t="shared" si="36"/>
        <v>0</v>
      </c>
      <c r="Z232" s="20">
        <f t="shared" si="36"/>
        <v>0</v>
      </c>
      <c r="AA232" s="20">
        <f t="shared" si="36"/>
        <v>0</v>
      </c>
      <c r="AB232" s="20">
        <f t="shared" si="36"/>
        <v>0</v>
      </c>
      <c r="AC232" s="20">
        <f t="shared" si="36"/>
        <v>0</v>
      </c>
      <c r="AD232" s="20">
        <f t="shared" si="36"/>
        <v>0</v>
      </c>
      <c r="AE232" s="20">
        <f t="shared" si="36"/>
        <v>0</v>
      </c>
      <c r="AF232" s="26">
        <f t="shared" si="36"/>
        <v>0</v>
      </c>
      <c r="AG232" s="99">
        <f t="shared" si="28"/>
        <v>0</v>
      </c>
      <c r="AH232" s="36"/>
    </row>
    <row r="233" spans="1:34" ht="18.75" x14ac:dyDescent="0.25">
      <c r="A233" s="57" t="s">
        <v>90</v>
      </c>
      <c r="B233" s="27"/>
      <c r="C233" s="27"/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  <c r="AA233" s="27"/>
      <c r="AB233" s="27"/>
      <c r="AC233" s="27"/>
      <c r="AD233" s="27"/>
      <c r="AE233" s="27"/>
      <c r="AF233" s="92"/>
      <c r="AG233" s="31">
        <f t="shared" ref="AG233:AG246" si="37">SUM(B233:AF233)</f>
        <v>0</v>
      </c>
      <c r="AH233" s="440" t="s">
        <v>96</v>
      </c>
    </row>
    <row r="234" spans="1:34" ht="18.75" x14ac:dyDescent="0.25">
      <c r="A234" s="54" t="s">
        <v>91</v>
      </c>
      <c r="B234" s="40"/>
      <c r="C234" s="40"/>
      <c r="D234" s="40"/>
      <c r="E234" s="40"/>
      <c r="F234" s="40"/>
      <c r="G234" s="40"/>
      <c r="H234" s="40"/>
      <c r="I234" s="40"/>
      <c r="J234" s="40"/>
      <c r="K234" s="40"/>
      <c r="L234" s="40"/>
      <c r="M234" s="40"/>
      <c r="N234" s="40"/>
      <c r="O234" s="40"/>
      <c r="P234" s="40"/>
      <c r="Q234" s="40"/>
      <c r="R234" s="40"/>
      <c r="S234" s="40"/>
      <c r="T234" s="40"/>
      <c r="U234" s="40"/>
      <c r="V234" s="40"/>
      <c r="W234" s="40"/>
      <c r="X234" s="40"/>
      <c r="Y234" s="40"/>
      <c r="Z234" s="40"/>
      <c r="AA234" s="40"/>
      <c r="AB234" s="40"/>
      <c r="AC234" s="40"/>
      <c r="AD234" s="40"/>
      <c r="AE234" s="40"/>
      <c r="AF234" s="93"/>
      <c r="AG234" s="99">
        <f t="shared" si="37"/>
        <v>0</v>
      </c>
      <c r="AH234" s="441"/>
    </row>
    <row r="235" spans="1:34" ht="19.5" thickBot="1" x14ac:dyDescent="0.3">
      <c r="A235" s="58" t="s">
        <v>97</v>
      </c>
      <c r="B235" s="59"/>
      <c r="C235" s="59"/>
      <c r="D235" s="59"/>
      <c r="E235" s="59"/>
      <c r="F235" s="59"/>
      <c r="G235" s="59"/>
      <c r="H235" s="59"/>
      <c r="I235" s="59"/>
      <c r="J235" s="59"/>
      <c r="K235" s="59"/>
      <c r="L235" s="59"/>
      <c r="M235" s="59"/>
      <c r="N235" s="59"/>
      <c r="O235" s="59"/>
      <c r="P235" s="59"/>
      <c r="Q235" s="59"/>
      <c r="R235" s="59"/>
      <c r="S235" s="59"/>
      <c r="T235" s="59"/>
      <c r="U235" s="59"/>
      <c r="V235" s="59"/>
      <c r="W235" s="59"/>
      <c r="X235" s="59"/>
      <c r="Y235" s="59"/>
      <c r="Z235" s="59"/>
      <c r="AA235" s="59"/>
      <c r="AB235" s="59"/>
      <c r="AC235" s="59"/>
      <c r="AD235" s="59"/>
      <c r="AE235" s="59"/>
      <c r="AF235" s="94"/>
      <c r="AG235" s="28">
        <f t="shared" si="37"/>
        <v>0</v>
      </c>
      <c r="AH235" s="442"/>
    </row>
    <row r="236" spans="1:34" ht="18.75" x14ac:dyDescent="0.25">
      <c r="A236" s="55" t="s">
        <v>92</v>
      </c>
      <c r="B236" s="118">
        <f>SUM(B237:B239)</f>
        <v>0</v>
      </c>
      <c r="C236" s="118">
        <f t="shared" ref="C236:AF236" si="38">SUM(C237:C239)</f>
        <v>0</v>
      </c>
      <c r="D236" s="118">
        <f t="shared" si="38"/>
        <v>0</v>
      </c>
      <c r="E236" s="118">
        <f t="shared" si="38"/>
        <v>0</v>
      </c>
      <c r="F236" s="118">
        <f t="shared" si="38"/>
        <v>0</v>
      </c>
      <c r="G236" s="118">
        <f t="shared" si="38"/>
        <v>0</v>
      </c>
      <c r="H236" s="118">
        <f t="shared" si="38"/>
        <v>0</v>
      </c>
      <c r="I236" s="118">
        <f t="shared" si="38"/>
        <v>0</v>
      </c>
      <c r="J236" s="118">
        <f t="shared" si="38"/>
        <v>0</v>
      </c>
      <c r="K236" s="118">
        <f t="shared" si="38"/>
        <v>0</v>
      </c>
      <c r="L236" s="118">
        <f t="shared" si="38"/>
        <v>0</v>
      </c>
      <c r="M236" s="118">
        <f t="shared" si="38"/>
        <v>0</v>
      </c>
      <c r="N236" s="118">
        <f t="shared" si="38"/>
        <v>0</v>
      </c>
      <c r="O236" s="118">
        <f t="shared" si="38"/>
        <v>0</v>
      </c>
      <c r="P236" s="118">
        <f t="shared" si="38"/>
        <v>0</v>
      </c>
      <c r="Q236" s="118">
        <f t="shared" si="38"/>
        <v>0</v>
      </c>
      <c r="R236" s="118">
        <f t="shared" si="38"/>
        <v>0</v>
      </c>
      <c r="S236" s="118">
        <f t="shared" si="38"/>
        <v>0</v>
      </c>
      <c r="T236" s="118">
        <f t="shared" si="38"/>
        <v>0</v>
      </c>
      <c r="U236" s="118">
        <f t="shared" si="38"/>
        <v>0</v>
      </c>
      <c r="V236" s="118">
        <f t="shared" si="38"/>
        <v>0</v>
      </c>
      <c r="W236" s="118">
        <f t="shared" si="38"/>
        <v>0</v>
      </c>
      <c r="X236" s="118">
        <f t="shared" si="38"/>
        <v>0</v>
      </c>
      <c r="Y236" s="118">
        <f t="shared" si="38"/>
        <v>0</v>
      </c>
      <c r="Z236" s="118">
        <f t="shared" si="38"/>
        <v>0</v>
      </c>
      <c r="AA236" s="118">
        <f t="shared" si="38"/>
        <v>0</v>
      </c>
      <c r="AB236" s="118">
        <f t="shared" si="38"/>
        <v>0</v>
      </c>
      <c r="AC236" s="118">
        <f t="shared" si="38"/>
        <v>0</v>
      </c>
      <c r="AD236" s="118">
        <f t="shared" si="38"/>
        <v>0</v>
      </c>
      <c r="AE236" s="118">
        <f t="shared" si="38"/>
        <v>0</v>
      </c>
      <c r="AF236" s="118">
        <f t="shared" si="38"/>
        <v>0</v>
      </c>
      <c r="AG236" s="95">
        <f t="shared" si="37"/>
        <v>0</v>
      </c>
      <c r="AH236" s="440" t="s">
        <v>93</v>
      </c>
    </row>
    <row r="237" spans="1:34" ht="18.75" x14ac:dyDescent="0.25">
      <c r="A237" s="139" t="s">
        <v>94</v>
      </c>
      <c r="B237" s="140"/>
      <c r="C237" s="140"/>
      <c r="D237" s="140"/>
      <c r="E237" s="140"/>
      <c r="F237" s="140"/>
      <c r="G237" s="140"/>
      <c r="H237" s="140"/>
      <c r="I237" s="140"/>
      <c r="J237" s="140"/>
      <c r="K237" s="140"/>
      <c r="L237" s="140"/>
      <c r="M237" s="140"/>
      <c r="N237" s="145"/>
      <c r="O237" s="140"/>
      <c r="P237" s="140"/>
      <c r="Q237" s="140"/>
      <c r="R237" s="140"/>
      <c r="S237" s="140"/>
      <c r="T237" s="140"/>
      <c r="U237" s="140"/>
      <c r="V237" s="140"/>
      <c r="W237" s="140"/>
      <c r="X237" s="140"/>
      <c r="Y237" s="140"/>
      <c r="Z237" s="142"/>
      <c r="AA237" s="140"/>
      <c r="AB237" s="140"/>
      <c r="AC237" s="140"/>
      <c r="AD237" s="140"/>
      <c r="AE237" s="140"/>
      <c r="AF237" s="144"/>
      <c r="AG237" s="143">
        <f t="shared" si="37"/>
        <v>0</v>
      </c>
      <c r="AH237" s="441"/>
    </row>
    <row r="238" spans="1:34" ht="18.75" x14ac:dyDescent="0.25">
      <c r="A238" s="139" t="s">
        <v>95</v>
      </c>
      <c r="B238" s="140"/>
      <c r="C238" s="140"/>
      <c r="D238" s="140"/>
      <c r="E238" s="140"/>
      <c r="F238" s="140"/>
      <c r="G238" s="140"/>
      <c r="H238" s="140"/>
      <c r="I238" s="140"/>
      <c r="J238" s="140"/>
      <c r="K238" s="140"/>
      <c r="L238" s="140"/>
      <c r="M238" s="140"/>
      <c r="N238" s="145"/>
      <c r="O238" s="140"/>
      <c r="P238" s="140"/>
      <c r="Q238" s="140"/>
      <c r="R238" s="140"/>
      <c r="S238" s="140"/>
      <c r="T238" s="140"/>
      <c r="U238" s="140"/>
      <c r="V238" s="140"/>
      <c r="W238" s="140"/>
      <c r="X238" s="140"/>
      <c r="Y238" s="140"/>
      <c r="Z238" s="142"/>
      <c r="AA238" s="140"/>
      <c r="AB238" s="140"/>
      <c r="AC238" s="140"/>
      <c r="AD238" s="140"/>
      <c r="AE238" s="140"/>
      <c r="AF238" s="144"/>
      <c r="AG238" s="143">
        <f t="shared" si="37"/>
        <v>0</v>
      </c>
      <c r="AH238" s="441"/>
    </row>
    <row r="239" spans="1:34" ht="19.5" thickBot="1" x14ac:dyDescent="0.3">
      <c r="A239" s="190" t="s">
        <v>106</v>
      </c>
      <c r="B239" s="191"/>
      <c r="C239" s="191"/>
      <c r="D239" s="191"/>
      <c r="E239" s="191"/>
      <c r="F239" s="191"/>
      <c r="G239" s="191"/>
      <c r="H239" s="191"/>
      <c r="I239" s="191"/>
      <c r="J239" s="191"/>
      <c r="K239" s="192"/>
      <c r="L239" s="192"/>
      <c r="M239" s="192"/>
      <c r="N239" s="193"/>
      <c r="O239" s="194"/>
      <c r="P239" s="194"/>
      <c r="Q239" s="194"/>
      <c r="R239" s="194"/>
      <c r="S239" s="194"/>
      <c r="T239" s="194"/>
      <c r="U239" s="194"/>
      <c r="V239" s="194"/>
      <c r="W239" s="194"/>
      <c r="X239" s="194"/>
      <c r="Y239" s="194"/>
      <c r="Z239" s="194"/>
      <c r="AA239" s="194"/>
      <c r="AB239" s="194"/>
      <c r="AC239" s="194"/>
      <c r="AD239" s="194"/>
      <c r="AE239" s="194"/>
      <c r="AF239" s="195"/>
      <c r="AG239" s="108">
        <f t="shared" si="37"/>
        <v>0</v>
      </c>
      <c r="AH239" s="442"/>
    </row>
    <row r="240" spans="1:34" ht="24" hidden="1" thickBot="1" x14ac:dyDescent="0.3">
      <c r="A240" s="198" t="s">
        <v>148</v>
      </c>
      <c r="B240" s="199">
        <f>SUM(B241:B246)</f>
        <v>0</v>
      </c>
      <c r="C240" s="199">
        <f t="shared" ref="C240:AF240" si="39">SUM(C241:C246)</f>
        <v>0</v>
      </c>
      <c r="D240" s="199">
        <f t="shared" si="39"/>
        <v>0</v>
      </c>
      <c r="E240" s="199">
        <f t="shared" si="39"/>
        <v>0</v>
      </c>
      <c r="F240" s="199">
        <f t="shared" si="39"/>
        <v>0</v>
      </c>
      <c r="G240" s="199">
        <f t="shared" si="39"/>
        <v>0</v>
      </c>
      <c r="H240" s="199">
        <f t="shared" si="39"/>
        <v>0</v>
      </c>
      <c r="I240" s="199">
        <f t="shared" si="39"/>
        <v>0</v>
      </c>
      <c r="J240" s="199">
        <f t="shared" si="39"/>
        <v>0</v>
      </c>
      <c r="K240" s="199">
        <f t="shared" si="39"/>
        <v>0</v>
      </c>
      <c r="L240" s="199">
        <f t="shared" si="39"/>
        <v>0</v>
      </c>
      <c r="M240" s="199">
        <f t="shared" si="39"/>
        <v>0</v>
      </c>
      <c r="N240" s="199">
        <f t="shared" si="39"/>
        <v>0</v>
      </c>
      <c r="O240" s="199">
        <f t="shared" si="39"/>
        <v>0</v>
      </c>
      <c r="P240" s="199">
        <f t="shared" si="39"/>
        <v>0</v>
      </c>
      <c r="Q240" s="199">
        <f t="shared" si="39"/>
        <v>0</v>
      </c>
      <c r="R240" s="199">
        <f t="shared" si="39"/>
        <v>0</v>
      </c>
      <c r="S240" s="199">
        <f t="shared" si="39"/>
        <v>0</v>
      </c>
      <c r="T240" s="199">
        <f t="shared" si="39"/>
        <v>0</v>
      </c>
      <c r="U240" s="199">
        <f t="shared" si="39"/>
        <v>0</v>
      </c>
      <c r="V240" s="199">
        <f t="shared" si="39"/>
        <v>0</v>
      </c>
      <c r="W240" s="199">
        <f t="shared" si="39"/>
        <v>0</v>
      </c>
      <c r="X240" s="199">
        <f t="shared" si="39"/>
        <v>0</v>
      </c>
      <c r="Y240" s="199">
        <f t="shared" si="39"/>
        <v>0</v>
      </c>
      <c r="Z240" s="199">
        <f t="shared" si="39"/>
        <v>0</v>
      </c>
      <c r="AA240" s="199">
        <f t="shared" si="39"/>
        <v>0</v>
      </c>
      <c r="AB240" s="199">
        <f t="shared" si="39"/>
        <v>0</v>
      </c>
      <c r="AC240" s="199">
        <f t="shared" si="39"/>
        <v>0</v>
      </c>
      <c r="AD240" s="199">
        <f t="shared" si="39"/>
        <v>0</v>
      </c>
      <c r="AE240" s="199">
        <f t="shared" si="39"/>
        <v>0</v>
      </c>
      <c r="AF240" s="200">
        <f t="shared" si="39"/>
        <v>0</v>
      </c>
      <c r="AG240" s="201">
        <f t="shared" si="37"/>
        <v>0</v>
      </c>
    </row>
    <row r="241" spans="1:33" ht="38.25" hidden="1" customHeight="1" x14ac:dyDescent="0.3">
      <c r="A241" s="227" t="s">
        <v>159</v>
      </c>
      <c r="B241" s="189"/>
      <c r="C241" s="189"/>
      <c r="D241" s="189"/>
      <c r="E241" s="189"/>
      <c r="F241" s="189"/>
      <c r="G241" s="189"/>
      <c r="H241" s="189"/>
      <c r="I241" s="189"/>
      <c r="J241" s="189"/>
      <c r="K241" s="189"/>
      <c r="L241" s="189"/>
      <c r="M241" s="189"/>
      <c r="N241" s="189"/>
      <c r="O241" s="189"/>
      <c r="P241" s="189"/>
      <c r="Q241" s="189"/>
      <c r="R241" s="189"/>
      <c r="S241" s="189"/>
      <c r="T241" s="189"/>
      <c r="U241" s="189"/>
      <c r="V241" s="189"/>
      <c r="W241" s="189"/>
      <c r="X241" s="189"/>
      <c r="Y241" s="189"/>
      <c r="Z241" s="189"/>
      <c r="AA241" s="189"/>
      <c r="AB241" s="189"/>
      <c r="AC241" s="189"/>
      <c r="AD241" s="189"/>
      <c r="AE241" s="189"/>
      <c r="AF241" s="196"/>
      <c r="AG241" s="197">
        <f t="shared" si="37"/>
        <v>0</v>
      </c>
    </row>
    <row r="242" spans="1:33" ht="40.5" hidden="1" customHeight="1" x14ac:dyDescent="0.3">
      <c r="A242" s="227" t="s">
        <v>160</v>
      </c>
      <c r="B242" s="189"/>
      <c r="C242" s="189"/>
      <c r="D242" s="189"/>
      <c r="E242" s="189"/>
      <c r="F242" s="189"/>
      <c r="G242" s="189"/>
      <c r="H242" s="189"/>
      <c r="I242" s="189"/>
      <c r="J242" s="189"/>
      <c r="K242" s="189"/>
      <c r="L242" s="189"/>
      <c r="M242" s="189"/>
      <c r="N242" s="189"/>
      <c r="O242" s="189"/>
      <c r="P242" s="189"/>
      <c r="Q242" s="189"/>
      <c r="R242" s="189"/>
      <c r="S242" s="189"/>
      <c r="T242" s="189"/>
      <c r="U242" s="189"/>
      <c r="V242" s="189"/>
      <c r="W242" s="189"/>
      <c r="X242" s="189"/>
      <c r="Y242" s="189"/>
      <c r="Z242" s="189"/>
      <c r="AA242" s="189"/>
      <c r="AB242" s="189"/>
      <c r="AC242" s="189"/>
      <c r="AD242" s="189"/>
      <c r="AE242" s="189"/>
      <c r="AF242" s="196"/>
      <c r="AG242" s="197"/>
    </row>
    <row r="243" spans="1:33" ht="40.5" hidden="1" customHeight="1" x14ac:dyDescent="0.3">
      <c r="A243" s="227" t="s">
        <v>161</v>
      </c>
      <c r="B243" s="189"/>
      <c r="C243" s="189"/>
      <c r="D243" s="189"/>
      <c r="E243" s="189"/>
      <c r="F243" s="189"/>
      <c r="G243" s="189"/>
      <c r="H243" s="189"/>
      <c r="I243" s="189"/>
      <c r="J243" s="189"/>
      <c r="K243" s="189"/>
      <c r="L243" s="189"/>
      <c r="M243" s="189"/>
      <c r="N243" s="189"/>
      <c r="O243" s="189"/>
      <c r="P243" s="189"/>
      <c r="Q243" s="189"/>
      <c r="R243" s="189"/>
      <c r="S243" s="189"/>
      <c r="T243" s="189"/>
      <c r="U243" s="189"/>
      <c r="V243" s="189"/>
      <c r="W243" s="189"/>
      <c r="X243" s="189"/>
      <c r="Y243" s="189"/>
      <c r="Z243" s="189"/>
      <c r="AA243" s="189"/>
      <c r="AB243" s="189"/>
      <c r="AC243" s="189"/>
      <c r="AD243" s="189"/>
      <c r="AE243" s="189"/>
      <c r="AF243" s="196"/>
      <c r="AG243" s="197"/>
    </row>
    <row r="244" spans="1:33" ht="40.5" hidden="1" customHeight="1" x14ac:dyDescent="0.3">
      <c r="A244" s="227" t="s">
        <v>162</v>
      </c>
      <c r="B244" s="189"/>
      <c r="C244" s="189"/>
      <c r="D244" s="189"/>
      <c r="E244" s="189"/>
      <c r="F244" s="189"/>
      <c r="G244" s="189"/>
      <c r="H244" s="189"/>
      <c r="I244" s="189"/>
      <c r="J244" s="189"/>
      <c r="K244" s="189"/>
      <c r="L244" s="189"/>
      <c r="M244" s="189"/>
      <c r="N244" s="189"/>
      <c r="O244" s="189"/>
      <c r="P244" s="189"/>
      <c r="Q244" s="189"/>
      <c r="R244" s="189"/>
      <c r="S244" s="189"/>
      <c r="T244" s="189"/>
      <c r="U244" s="189"/>
      <c r="V244" s="189"/>
      <c r="W244" s="189"/>
      <c r="X244" s="189"/>
      <c r="Y244" s="189"/>
      <c r="Z244" s="189"/>
      <c r="AA244" s="189"/>
      <c r="AB244" s="189"/>
      <c r="AC244" s="189"/>
      <c r="AD244" s="189"/>
      <c r="AE244" s="189"/>
      <c r="AF244" s="196"/>
      <c r="AG244" s="197"/>
    </row>
    <row r="245" spans="1:33" ht="40.5" hidden="1" customHeight="1" x14ac:dyDescent="0.3">
      <c r="A245" s="228" t="s">
        <v>163</v>
      </c>
      <c r="B245" s="137"/>
      <c r="C245" s="137"/>
      <c r="D245" s="137"/>
      <c r="E245" s="137"/>
      <c r="F245" s="137"/>
      <c r="G245" s="137"/>
      <c r="H245" s="137"/>
      <c r="I245" s="137"/>
      <c r="J245" s="137"/>
      <c r="K245" s="137"/>
      <c r="L245" s="137"/>
      <c r="M245" s="137"/>
      <c r="N245" s="137"/>
      <c r="O245" s="137"/>
      <c r="P245" s="137"/>
      <c r="Q245" s="137"/>
      <c r="R245" s="137"/>
      <c r="S245" s="137"/>
      <c r="T245" s="137"/>
      <c r="U245" s="137"/>
      <c r="V245" s="137"/>
      <c r="W245" s="137"/>
      <c r="X245" s="137"/>
      <c r="Y245" s="137"/>
      <c r="Z245" s="137"/>
      <c r="AA245" s="137"/>
      <c r="AB245" s="137"/>
      <c r="AC245" s="137"/>
      <c r="AD245" s="137"/>
      <c r="AE245" s="137"/>
      <c r="AF245" s="188"/>
      <c r="AG245" s="138">
        <f t="shared" si="37"/>
        <v>0</v>
      </c>
    </row>
    <row r="246" spans="1:33" ht="39.75" hidden="1" customHeight="1" thickBot="1" x14ac:dyDescent="0.3">
      <c r="A246" s="229" t="s">
        <v>164</v>
      </c>
      <c r="B246" s="222"/>
      <c r="C246" s="222"/>
      <c r="D246" s="222"/>
      <c r="E246" s="222"/>
      <c r="F246" s="222"/>
      <c r="G246" s="222"/>
      <c r="H246" s="222"/>
      <c r="I246" s="222"/>
      <c r="J246" s="222"/>
      <c r="K246" s="222"/>
      <c r="L246" s="222"/>
      <c r="M246" s="222"/>
      <c r="N246" s="222"/>
      <c r="O246" s="222"/>
      <c r="P246" s="222"/>
      <c r="Q246" s="222"/>
      <c r="R246" s="222"/>
      <c r="S246" s="222"/>
      <c r="T246" s="222"/>
      <c r="U246" s="222"/>
      <c r="V246" s="222"/>
      <c r="W246" s="222"/>
      <c r="X246" s="222"/>
      <c r="Y246" s="222"/>
      <c r="Z246" s="222"/>
      <c r="AA246" s="222"/>
      <c r="AB246" s="222"/>
      <c r="AC246" s="222"/>
      <c r="AD246" s="222"/>
      <c r="AE246" s="222"/>
      <c r="AF246" s="223"/>
      <c r="AG246" s="224">
        <f t="shared" si="37"/>
        <v>0</v>
      </c>
    </row>
    <row r="247" spans="1:33" ht="21.75" x14ac:dyDescent="0.25">
      <c r="A247" s="225" t="s">
        <v>151</v>
      </c>
      <c r="B247" s="363"/>
      <c r="C247" s="363"/>
      <c r="D247" s="363"/>
      <c r="E247" s="363"/>
      <c r="F247" s="363"/>
      <c r="G247" s="363"/>
      <c r="H247" s="363"/>
      <c r="I247" s="363"/>
      <c r="J247" s="363"/>
      <c r="K247" s="363"/>
      <c r="L247" s="363"/>
      <c r="M247" s="363"/>
      <c r="N247" s="363"/>
      <c r="O247" s="363"/>
      <c r="P247" s="363"/>
      <c r="Q247" s="363"/>
      <c r="R247" s="363"/>
      <c r="S247" s="363"/>
      <c r="T247" s="363"/>
      <c r="U247" s="363"/>
      <c r="V247" s="363"/>
      <c r="W247" s="363"/>
      <c r="X247" s="363"/>
      <c r="Y247" s="363"/>
      <c r="Z247" s="363"/>
      <c r="AA247" s="363"/>
      <c r="AB247" s="363"/>
      <c r="AC247" s="363"/>
      <c r="AD247" s="363"/>
      <c r="AE247" s="363"/>
      <c r="AF247" s="367"/>
      <c r="AG247" s="369">
        <f>SUM(B247:AF247)</f>
        <v>0</v>
      </c>
    </row>
    <row r="248" spans="1:33" ht="22.5" thickBot="1" x14ac:dyDescent="0.3">
      <c r="A248" s="226" t="s">
        <v>152</v>
      </c>
      <c r="B248" s="364"/>
      <c r="C248" s="364"/>
      <c r="D248" s="364"/>
      <c r="E248" s="364"/>
      <c r="F248" s="364"/>
      <c r="G248" s="364"/>
      <c r="H248" s="364"/>
      <c r="I248" s="364"/>
      <c r="J248" s="364"/>
      <c r="K248" s="364"/>
      <c r="L248" s="364"/>
      <c r="M248" s="364"/>
      <c r="N248" s="364"/>
      <c r="O248" s="364"/>
      <c r="P248" s="364"/>
      <c r="Q248" s="364"/>
      <c r="R248" s="364"/>
      <c r="S248" s="364"/>
      <c r="T248" s="364"/>
      <c r="U248" s="364"/>
      <c r="V248" s="364"/>
      <c r="W248" s="364"/>
      <c r="X248" s="364"/>
      <c r="Y248" s="364"/>
      <c r="Z248" s="364"/>
      <c r="AA248" s="364"/>
      <c r="AB248" s="364"/>
      <c r="AC248" s="364"/>
      <c r="AD248" s="364"/>
      <c r="AE248" s="364"/>
      <c r="AF248" s="368"/>
      <c r="AG248" s="370">
        <f>SUM(B248:AF248)</f>
        <v>0</v>
      </c>
    </row>
    <row r="268" ht="18.75" customHeight="1" x14ac:dyDescent="0.25"/>
    <row r="269" ht="18.75" customHeight="1" x14ac:dyDescent="0.25"/>
    <row r="270" ht="18.75" customHeight="1" x14ac:dyDescent="0.25"/>
    <row r="271" ht="18.75" customHeight="1" x14ac:dyDescent="0.25"/>
    <row r="272" ht="18.75" customHeight="1" x14ac:dyDescent="0.25"/>
    <row r="273" ht="18.75" customHeight="1" x14ac:dyDescent="0.25"/>
    <row r="274" ht="18.75" customHeight="1" x14ac:dyDescent="0.25"/>
    <row r="275" ht="18.75" customHeight="1" x14ac:dyDescent="0.25"/>
    <row r="276" ht="18.75" customHeight="1" x14ac:dyDescent="0.25"/>
    <row r="277" ht="18.75" customHeight="1" x14ac:dyDescent="0.25"/>
    <row r="278" ht="18.75" customHeight="1" x14ac:dyDescent="0.25"/>
    <row r="279" ht="19.5" customHeight="1" x14ac:dyDescent="0.25"/>
    <row r="281" ht="18.75" customHeight="1" x14ac:dyDescent="0.25"/>
    <row r="284" ht="18.75" customHeight="1" x14ac:dyDescent="0.25"/>
  </sheetData>
  <dataConsolidate/>
  <mergeCells count="5">
    <mergeCell ref="A1:AG1"/>
    <mergeCell ref="AI84:AI86"/>
    <mergeCell ref="AH220:AH231"/>
    <mergeCell ref="AH233:AH235"/>
    <mergeCell ref="AH236:AH239"/>
  </mergeCells>
  <conditionalFormatting sqref="B29:AF52">
    <cfRule type="cellIs" dxfId="82" priority="7" operator="lessThan">
      <formula>0</formula>
    </cfRule>
  </conditionalFormatting>
  <conditionalFormatting sqref="D54:D77">
    <cfRule type="cellIs" dxfId="81" priority="3" operator="lessThan">
      <formula>0</formula>
    </cfRule>
  </conditionalFormatting>
  <conditionalFormatting sqref="G54:G77">
    <cfRule type="cellIs" dxfId="80" priority="2" operator="lessThan">
      <formula>0</formula>
    </cfRule>
  </conditionalFormatting>
  <conditionalFormatting sqref="O54:O77">
    <cfRule type="cellIs" dxfId="79" priority="1" operator="lessThan">
      <formula>0</formula>
    </cfRule>
  </conditionalFormatting>
  <conditionalFormatting sqref="AH81">
    <cfRule type="cellIs" dxfId="78" priority="5" operator="equal">
      <formula>"*"</formula>
    </cfRule>
  </conditionalFormatting>
  <conditionalFormatting sqref="AH84 AH87">
    <cfRule type="cellIs" dxfId="77" priority="6" operator="equal">
      <formula>"*"</formula>
    </cfRule>
  </conditionalFormatting>
  <conditionalFormatting sqref="AH93">
    <cfRule type="cellIs" dxfId="76" priority="11" operator="equal">
      <formula>"*"</formula>
    </cfRule>
  </conditionalFormatting>
  <conditionalFormatting sqref="AH130">
    <cfRule type="cellIs" dxfId="75" priority="9" operator="equal">
      <formula>"*"</formula>
    </cfRule>
  </conditionalFormatting>
  <conditionalFormatting sqref="AH144:AH145">
    <cfRule type="cellIs" dxfId="74" priority="10" operator="equal">
      <formula>"*"</formula>
    </cfRule>
  </conditionalFormatting>
  <conditionalFormatting sqref="AH179">
    <cfRule type="cellIs" dxfId="73" priority="8" operator="equal">
      <formula>"*"</formula>
    </cfRule>
  </conditionalFormatting>
  <conditionalFormatting sqref="AH206">
    <cfRule type="cellIs" dxfId="72" priority="4" operator="equal">
      <formula>"X"</formula>
    </cfRule>
  </conditionalFormatting>
  <dataValidations disablePrompts="1" count="1">
    <dataValidation type="whole" allowBlank="1" showInputMessage="1" showErrorMessage="1" errorTitle="ERROR" error="Por favor ingrese solo Números" sqref="A98:A99 A101:A115" xr:uid="{00000000-0002-0000-0700-000000000000}">
      <formula1>0</formula1>
      <formula2>1000000000</formula2>
    </dataValidation>
  </dataValidations>
  <pageMargins left="0.7" right="0.7" top="0.75" bottom="0.75" header="0.3" footer="0.3"/>
  <pageSetup orientation="portrait" horizontalDpi="0" verticalDpi="0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I284"/>
  <sheetViews>
    <sheetView zoomScale="80" zoomScaleNormal="80" workbookViewId="0">
      <pane xSplit="1" ySplit="3" topLeftCell="G4" activePane="bottomRight" state="frozen"/>
      <selection activeCell="AG3" sqref="AG3"/>
      <selection pane="topRight" activeCell="AG3" sqref="AG3"/>
      <selection pane="bottomLeft" activeCell="AG3" sqref="AG3"/>
      <selection pane="bottomRight" activeCell="AE4" sqref="AE4"/>
    </sheetView>
  </sheetViews>
  <sheetFormatPr baseColWidth="10" defaultRowHeight="15" x14ac:dyDescent="0.25"/>
  <cols>
    <col min="1" max="1" width="34.7109375" customWidth="1"/>
    <col min="2" max="13" width="8.28515625" customWidth="1"/>
    <col min="14" max="14" width="10.140625" customWidth="1"/>
    <col min="15" max="27" width="8.28515625" customWidth="1"/>
    <col min="28" max="28" width="9.7109375" customWidth="1"/>
    <col min="29" max="32" width="8.28515625" customWidth="1"/>
    <col min="33" max="33" width="11.140625" customWidth="1"/>
    <col min="34" max="34" width="12.42578125" customWidth="1"/>
  </cols>
  <sheetData>
    <row r="1" spans="1:33" ht="21.75" thickBot="1" x14ac:dyDescent="0.3">
      <c r="A1" s="431"/>
      <c r="B1" s="432"/>
      <c r="C1" s="432"/>
      <c r="D1" s="432"/>
      <c r="E1" s="432"/>
      <c r="F1" s="432"/>
      <c r="G1" s="432"/>
      <c r="H1" s="432"/>
      <c r="I1" s="432"/>
      <c r="J1" s="432"/>
      <c r="K1" s="432"/>
      <c r="L1" s="432"/>
      <c r="M1" s="432"/>
      <c r="N1" s="432"/>
      <c r="O1" s="432"/>
      <c r="P1" s="432"/>
      <c r="Q1" s="432"/>
      <c r="R1" s="432"/>
      <c r="S1" s="432"/>
      <c r="T1" s="432"/>
      <c r="U1" s="432"/>
      <c r="V1" s="432"/>
      <c r="W1" s="432"/>
      <c r="X1" s="432"/>
      <c r="Y1" s="432"/>
      <c r="Z1" s="432"/>
      <c r="AA1" s="432"/>
      <c r="AB1" s="432"/>
      <c r="AC1" s="432"/>
      <c r="AD1" s="432"/>
      <c r="AE1" s="432"/>
      <c r="AF1" s="432"/>
      <c r="AG1" s="433"/>
    </row>
    <row r="2" spans="1:33" ht="21.75" thickBot="1" x14ac:dyDescent="0.3">
      <c r="A2" s="82" t="s">
        <v>158</v>
      </c>
      <c r="B2" s="230">
        <v>1</v>
      </c>
      <c r="C2" s="230">
        <f t="shared" ref="C2:AA2" si="0">+B2+1</f>
        <v>2</v>
      </c>
      <c r="D2" s="230">
        <f t="shared" si="0"/>
        <v>3</v>
      </c>
      <c r="E2" s="230">
        <f t="shared" si="0"/>
        <v>4</v>
      </c>
      <c r="F2" s="230">
        <f t="shared" si="0"/>
        <v>5</v>
      </c>
      <c r="G2" s="230">
        <f t="shared" si="0"/>
        <v>6</v>
      </c>
      <c r="H2" s="230">
        <f t="shared" si="0"/>
        <v>7</v>
      </c>
      <c r="I2" s="230">
        <f t="shared" si="0"/>
        <v>8</v>
      </c>
      <c r="J2" s="230">
        <f t="shared" si="0"/>
        <v>9</v>
      </c>
      <c r="K2" s="230">
        <f t="shared" si="0"/>
        <v>10</v>
      </c>
      <c r="L2" s="230">
        <f t="shared" si="0"/>
        <v>11</v>
      </c>
      <c r="M2" s="230">
        <f t="shared" si="0"/>
        <v>12</v>
      </c>
      <c r="N2" s="230">
        <f t="shared" si="0"/>
        <v>13</v>
      </c>
      <c r="O2" s="230">
        <f t="shared" si="0"/>
        <v>14</v>
      </c>
      <c r="P2" s="230">
        <f t="shared" si="0"/>
        <v>15</v>
      </c>
      <c r="Q2" s="230">
        <f t="shared" si="0"/>
        <v>16</v>
      </c>
      <c r="R2" s="230">
        <f t="shared" si="0"/>
        <v>17</v>
      </c>
      <c r="S2" s="230">
        <f t="shared" si="0"/>
        <v>18</v>
      </c>
      <c r="T2" s="230">
        <f t="shared" si="0"/>
        <v>19</v>
      </c>
      <c r="U2" s="230">
        <f t="shared" si="0"/>
        <v>20</v>
      </c>
      <c r="V2" s="230">
        <f t="shared" si="0"/>
        <v>21</v>
      </c>
      <c r="W2" s="230">
        <f t="shared" si="0"/>
        <v>22</v>
      </c>
      <c r="X2" s="230">
        <f t="shared" si="0"/>
        <v>23</v>
      </c>
      <c r="Y2" s="230">
        <f t="shared" si="0"/>
        <v>24</v>
      </c>
      <c r="Z2" s="230">
        <f t="shared" si="0"/>
        <v>25</v>
      </c>
      <c r="AA2" s="230">
        <f t="shared" si="0"/>
        <v>26</v>
      </c>
      <c r="AB2" s="230">
        <v>27</v>
      </c>
      <c r="AC2" s="230">
        <f>+AB2+1</f>
        <v>28</v>
      </c>
      <c r="AD2" s="230">
        <v>29</v>
      </c>
      <c r="AE2" s="230">
        <v>30</v>
      </c>
      <c r="AF2" s="230">
        <v>31</v>
      </c>
      <c r="AG2" s="3" t="s">
        <v>80</v>
      </c>
    </row>
    <row r="3" spans="1:33" ht="19.5" thickBot="1" x14ac:dyDescent="0.3">
      <c r="A3" s="136" t="s">
        <v>0</v>
      </c>
      <c r="B3" s="135">
        <f t="shared" ref="B3:AF3" si="1">SUM(B4:B27)</f>
        <v>91</v>
      </c>
      <c r="C3" s="135">
        <f t="shared" si="1"/>
        <v>74</v>
      </c>
      <c r="D3" s="135">
        <f t="shared" si="1"/>
        <v>102</v>
      </c>
      <c r="E3" s="135">
        <f t="shared" si="1"/>
        <v>95</v>
      </c>
      <c r="F3" s="135">
        <f t="shared" si="1"/>
        <v>105</v>
      </c>
      <c r="G3" s="135">
        <f t="shared" si="1"/>
        <v>61</v>
      </c>
      <c r="H3" s="135">
        <f t="shared" si="1"/>
        <v>81</v>
      </c>
      <c r="I3" s="135">
        <f t="shared" si="1"/>
        <v>117</v>
      </c>
      <c r="J3" s="135">
        <f t="shared" si="1"/>
        <v>115</v>
      </c>
      <c r="K3" s="135">
        <f t="shared" si="1"/>
        <v>129</v>
      </c>
      <c r="L3" s="135">
        <f t="shared" si="1"/>
        <v>102</v>
      </c>
      <c r="M3" s="135">
        <f t="shared" si="1"/>
        <v>133</v>
      </c>
      <c r="N3" s="135">
        <f t="shared" si="1"/>
        <v>105</v>
      </c>
      <c r="O3" s="135">
        <f t="shared" si="1"/>
        <v>78</v>
      </c>
      <c r="P3" s="135">
        <f t="shared" si="1"/>
        <v>101</v>
      </c>
      <c r="Q3" s="135">
        <f t="shared" si="1"/>
        <v>74</v>
      </c>
      <c r="R3" s="135">
        <f t="shared" si="1"/>
        <v>86</v>
      </c>
      <c r="S3" s="135">
        <f t="shared" si="1"/>
        <v>65</v>
      </c>
      <c r="T3" s="135">
        <f t="shared" si="1"/>
        <v>98</v>
      </c>
      <c r="U3" s="135">
        <f t="shared" si="1"/>
        <v>70</v>
      </c>
      <c r="V3" s="135">
        <f t="shared" si="1"/>
        <v>75</v>
      </c>
      <c r="W3" s="135">
        <f t="shared" si="1"/>
        <v>113</v>
      </c>
      <c r="X3" s="135">
        <f t="shared" si="1"/>
        <v>105</v>
      </c>
      <c r="Y3" s="135">
        <f t="shared" si="1"/>
        <v>96</v>
      </c>
      <c r="Z3" s="135">
        <f t="shared" si="1"/>
        <v>131</v>
      </c>
      <c r="AA3" s="135">
        <f t="shared" si="1"/>
        <v>109</v>
      </c>
      <c r="AB3" s="135">
        <f t="shared" si="1"/>
        <v>86</v>
      </c>
      <c r="AC3" s="135">
        <f t="shared" si="1"/>
        <v>66</v>
      </c>
      <c r="AD3" s="135">
        <f t="shared" si="1"/>
        <v>64</v>
      </c>
      <c r="AE3" s="135">
        <f t="shared" si="1"/>
        <v>118</v>
      </c>
      <c r="AF3" s="135">
        <f t="shared" si="1"/>
        <v>0</v>
      </c>
      <c r="AG3" s="187">
        <f>SUM(B3:AF3)</f>
        <v>2845</v>
      </c>
    </row>
    <row r="4" spans="1:33" ht="18.75" x14ac:dyDescent="0.25">
      <c r="A4" s="113" t="s">
        <v>54</v>
      </c>
      <c r="B4" s="114">
        <v>5</v>
      </c>
      <c r="C4" s="114">
        <v>3</v>
      </c>
      <c r="D4" s="114">
        <v>3</v>
      </c>
      <c r="E4" s="114">
        <v>6</v>
      </c>
      <c r="F4" s="114">
        <v>2</v>
      </c>
      <c r="G4" s="114">
        <v>1</v>
      </c>
      <c r="H4" s="114"/>
      <c r="I4" s="114">
        <v>5</v>
      </c>
      <c r="J4" s="114">
        <v>7</v>
      </c>
      <c r="K4" s="114">
        <v>4</v>
      </c>
      <c r="L4" s="114">
        <v>2</v>
      </c>
      <c r="M4" s="114">
        <v>9</v>
      </c>
      <c r="N4" s="114"/>
      <c r="O4" s="114">
        <v>1</v>
      </c>
      <c r="P4" s="114">
        <v>9</v>
      </c>
      <c r="Q4" s="114">
        <v>2</v>
      </c>
      <c r="R4" s="114">
        <v>1</v>
      </c>
      <c r="S4" s="114">
        <v>3</v>
      </c>
      <c r="T4" s="114">
        <v>2</v>
      </c>
      <c r="U4" s="114">
        <v>2</v>
      </c>
      <c r="V4" s="114">
        <v>2</v>
      </c>
      <c r="W4" s="114">
        <v>4</v>
      </c>
      <c r="X4" s="114">
        <v>7</v>
      </c>
      <c r="Y4" s="114">
        <v>5</v>
      </c>
      <c r="Z4" s="114">
        <v>7</v>
      </c>
      <c r="AA4" s="114">
        <v>10</v>
      </c>
      <c r="AB4" s="114">
        <v>1</v>
      </c>
      <c r="AC4" s="114">
        <v>1</v>
      </c>
      <c r="AD4" s="114"/>
      <c r="AE4" s="114">
        <v>9</v>
      </c>
      <c r="AF4" s="115"/>
      <c r="AG4" s="132">
        <f t="shared" ref="AG4:AG83" si="2">SUM(B4:AF4)</f>
        <v>113</v>
      </c>
    </row>
    <row r="5" spans="1:33" ht="18.75" x14ac:dyDescent="0.25">
      <c r="A5" s="41" t="s">
        <v>55</v>
      </c>
      <c r="B5" s="7">
        <v>5</v>
      </c>
      <c r="C5" s="7">
        <v>7</v>
      </c>
      <c r="D5" s="7">
        <v>11</v>
      </c>
      <c r="E5" s="7">
        <v>4</v>
      </c>
      <c r="F5" s="7">
        <v>5</v>
      </c>
      <c r="G5" s="7">
        <v>3</v>
      </c>
      <c r="H5" s="7">
        <v>4</v>
      </c>
      <c r="I5" s="7">
        <v>8</v>
      </c>
      <c r="J5" s="7">
        <v>6</v>
      </c>
      <c r="K5" s="7">
        <v>3</v>
      </c>
      <c r="L5" s="7">
        <v>9</v>
      </c>
      <c r="M5" s="7">
        <v>7</v>
      </c>
      <c r="N5" s="7">
        <v>4</v>
      </c>
      <c r="O5" s="7">
        <v>2</v>
      </c>
      <c r="P5" s="7">
        <v>7</v>
      </c>
      <c r="Q5" s="7">
        <v>4</v>
      </c>
      <c r="R5" s="7">
        <v>3</v>
      </c>
      <c r="S5" s="7">
        <v>3</v>
      </c>
      <c r="T5" s="7">
        <v>2</v>
      </c>
      <c r="U5" s="7">
        <v>3</v>
      </c>
      <c r="V5" s="7">
        <v>5</v>
      </c>
      <c r="W5" s="7">
        <v>10</v>
      </c>
      <c r="X5" s="7">
        <v>7</v>
      </c>
      <c r="Y5" s="7">
        <v>2</v>
      </c>
      <c r="Z5" s="7">
        <v>12</v>
      </c>
      <c r="AA5" s="7">
        <v>6</v>
      </c>
      <c r="AB5" s="7">
        <v>3</v>
      </c>
      <c r="AC5" s="7"/>
      <c r="AD5" s="7">
        <v>2</v>
      </c>
      <c r="AE5" s="7">
        <v>7</v>
      </c>
      <c r="AF5" s="8"/>
      <c r="AG5" s="4">
        <f t="shared" si="2"/>
        <v>154</v>
      </c>
    </row>
    <row r="6" spans="1:33" ht="18.75" x14ac:dyDescent="0.25">
      <c r="A6" s="41" t="s">
        <v>56</v>
      </c>
      <c r="B6" s="7">
        <v>3</v>
      </c>
      <c r="C6" s="7">
        <v>2</v>
      </c>
      <c r="D6" s="7">
        <v>6</v>
      </c>
      <c r="E6" s="7">
        <v>7</v>
      </c>
      <c r="F6" s="7">
        <v>3</v>
      </c>
      <c r="G6" s="7">
        <v>3</v>
      </c>
      <c r="H6" s="7">
        <v>4</v>
      </c>
      <c r="I6" s="7">
        <v>11</v>
      </c>
      <c r="J6" s="7">
        <v>9</v>
      </c>
      <c r="K6" s="7">
        <v>10</v>
      </c>
      <c r="L6" s="7">
        <v>7</v>
      </c>
      <c r="M6" s="7">
        <v>9</v>
      </c>
      <c r="N6" s="7">
        <v>5</v>
      </c>
      <c r="O6" s="7">
        <v>1</v>
      </c>
      <c r="P6" s="7">
        <v>4</v>
      </c>
      <c r="Q6" s="7">
        <v>3</v>
      </c>
      <c r="R6" s="7">
        <v>8</v>
      </c>
      <c r="S6" s="7">
        <v>4</v>
      </c>
      <c r="T6" s="7">
        <v>7</v>
      </c>
      <c r="U6" s="7">
        <v>4</v>
      </c>
      <c r="V6" s="7">
        <v>5</v>
      </c>
      <c r="W6" s="7">
        <v>5</v>
      </c>
      <c r="X6" s="7">
        <v>8</v>
      </c>
      <c r="Y6" s="7">
        <v>2</v>
      </c>
      <c r="Z6" s="7">
        <v>8</v>
      </c>
      <c r="AA6" s="7">
        <v>6</v>
      </c>
      <c r="AB6" s="7">
        <v>5</v>
      </c>
      <c r="AC6" s="7">
        <v>6</v>
      </c>
      <c r="AD6" s="7">
        <v>2</v>
      </c>
      <c r="AE6" s="7">
        <v>9</v>
      </c>
      <c r="AF6" s="8"/>
      <c r="AG6" s="4">
        <f t="shared" si="2"/>
        <v>166</v>
      </c>
    </row>
    <row r="7" spans="1:33" ht="18.75" x14ac:dyDescent="0.25">
      <c r="A7" s="41" t="s">
        <v>38</v>
      </c>
      <c r="B7" s="7">
        <v>8</v>
      </c>
      <c r="C7" s="7">
        <v>6</v>
      </c>
      <c r="D7" s="7">
        <v>8</v>
      </c>
      <c r="E7" s="7">
        <v>7</v>
      </c>
      <c r="F7" s="7">
        <v>8</v>
      </c>
      <c r="G7" s="7">
        <v>2</v>
      </c>
      <c r="H7" s="7">
        <v>5</v>
      </c>
      <c r="I7" s="7">
        <v>5</v>
      </c>
      <c r="J7" s="7">
        <v>6</v>
      </c>
      <c r="K7" s="7">
        <v>11</v>
      </c>
      <c r="L7" s="7">
        <v>18</v>
      </c>
      <c r="M7" s="7">
        <v>13</v>
      </c>
      <c r="N7" s="7">
        <v>4</v>
      </c>
      <c r="O7" s="7">
        <v>5</v>
      </c>
      <c r="P7" s="7">
        <v>9</v>
      </c>
      <c r="Q7" s="7">
        <v>10</v>
      </c>
      <c r="R7" s="7">
        <v>7</v>
      </c>
      <c r="S7" s="7">
        <v>8</v>
      </c>
      <c r="T7" s="7">
        <v>10</v>
      </c>
      <c r="U7" s="7">
        <v>6</v>
      </c>
      <c r="V7" s="7">
        <v>3</v>
      </c>
      <c r="W7" s="7">
        <v>8</v>
      </c>
      <c r="X7" s="7">
        <v>7</v>
      </c>
      <c r="Y7" s="7">
        <v>7</v>
      </c>
      <c r="Z7" s="7">
        <v>15</v>
      </c>
      <c r="AA7" s="7">
        <v>6</v>
      </c>
      <c r="AB7" s="7">
        <v>7</v>
      </c>
      <c r="AC7" s="7">
        <v>8</v>
      </c>
      <c r="AD7" s="7">
        <v>4</v>
      </c>
      <c r="AE7" s="7">
        <v>9</v>
      </c>
      <c r="AF7" s="8"/>
      <c r="AG7" s="4">
        <f t="shared" si="2"/>
        <v>230</v>
      </c>
    </row>
    <row r="8" spans="1:33" ht="18.75" x14ac:dyDescent="0.25">
      <c r="A8" s="41" t="s">
        <v>39</v>
      </c>
      <c r="B8" s="7">
        <v>7</v>
      </c>
      <c r="C8" s="7">
        <v>5</v>
      </c>
      <c r="D8" s="7">
        <v>5</v>
      </c>
      <c r="E8" s="7">
        <v>3</v>
      </c>
      <c r="F8" s="7">
        <v>6</v>
      </c>
      <c r="G8" s="7">
        <v>3</v>
      </c>
      <c r="H8" s="7">
        <v>10</v>
      </c>
      <c r="I8" s="7">
        <v>6</v>
      </c>
      <c r="J8" s="7">
        <v>9</v>
      </c>
      <c r="K8" s="7">
        <v>12</v>
      </c>
      <c r="L8" s="7">
        <v>14</v>
      </c>
      <c r="M8" s="7">
        <v>15</v>
      </c>
      <c r="N8" s="7">
        <v>7</v>
      </c>
      <c r="O8" s="7">
        <v>6</v>
      </c>
      <c r="P8" s="7">
        <v>5</v>
      </c>
      <c r="Q8" s="7">
        <v>6</v>
      </c>
      <c r="R8" s="7">
        <v>7</v>
      </c>
      <c r="S8" s="7">
        <v>3</v>
      </c>
      <c r="T8" s="7">
        <v>5</v>
      </c>
      <c r="U8" s="7">
        <v>10</v>
      </c>
      <c r="V8" s="7">
        <v>7</v>
      </c>
      <c r="W8" s="7">
        <v>10</v>
      </c>
      <c r="X8" s="7">
        <v>11</v>
      </c>
      <c r="Y8" s="7">
        <v>7</v>
      </c>
      <c r="Z8" s="7">
        <v>10</v>
      </c>
      <c r="AA8" s="7">
        <v>8</v>
      </c>
      <c r="AB8" s="7">
        <v>2</v>
      </c>
      <c r="AC8" s="7">
        <v>3</v>
      </c>
      <c r="AD8" s="7">
        <v>7</v>
      </c>
      <c r="AE8" s="7">
        <v>5</v>
      </c>
      <c r="AF8" s="8"/>
      <c r="AG8" s="4">
        <f t="shared" si="2"/>
        <v>214</v>
      </c>
    </row>
    <row r="9" spans="1:33" ht="18.75" x14ac:dyDescent="0.25">
      <c r="A9" s="41" t="s">
        <v>40</v>
      </c>
      <c r="B9" s="7">
        <v>5</v>
      </c>
      <c r="C9" s="7">
        <v>3</v>
      </c>
      <c r="D9" s="7">
        <v>5</v>
      </c>
      <c r="E9" s="7">
        <v>3</v>
      </c>
      <c r="F9" s="7">
        <v>10</v>
      </c>
      <c r="G9" s="7">
        <v>6</v>
      </c>
      <c r="H9" s="7">
        <v>7</v>
      </c>
      <c r="I9" s="7">
        <v>2</v>
      </c>
      <c r="J9" s="7">
        <v>4</v>
      </c>
      <c r="K9" s="7">
        <v>9</v>
      </c>
      <c r="L9" s="7">
        <v>7</v>
      </c>
      <c r="M9" s="7">
        <v>6</v>
      </c>
      <c r="N9" s="7">
        <v>5</v>
      </c>
      <c r="O9" s="7">
        <v>4</v>
      </c>
      <c r="P9" s="7">
        <v>6</v>
      </c>
      <c r="Q9" s="7">
        <v>2</v>
      </c>
      <c r="R9" s="7">
        <v>8</v>
      </c>
      <c r="S9" s="7"/>
      <c r="T9" s="7">
        <v>10</v>
      </c>
      <c r="U9" s="7">
        <v>3</v>
      </c>
      <c r="V9" s="7">
        <v>8</v>
      </c>
      <c r="W9" s="7">
        <v>9</v>
      </c>
      <c r="X9" s="7">
        <v>5</v>
      </c>
      <c r="Y9" s="7">
        <v>8</v>
      </c>
      <c r="Z9" s="7">
        <v>2</v>
      </c>
      <c r="AA9" s="7">
        <v>8</v>
      </c>
      <c r="AB9" s="7">
        <v>9</v>
      </c>
      <c r="AC9" s="7">
        <v>4</v>
      </c>
      <c r="AD9" s="7">
        <v>1</v>
      </c>
      <c r="AE9" s="7">
        <v>8</v>
      </c>
      <c r="AF9" s="8"/>
      <c r="AG9" s="4">
        <f t="shared" si="2"/>
        <v>167</v>
      </c>
    </row>
    <row r="10" spans="1:33" ht="18.75" x14ac:dyDescent="0.25">
      <c r="A10" s="41" t="s">
        <v>41</v>
      </c>
      <c r="B10" s="7">
        <v>5</v>
      </c>
      <c r="C10" s="7">
        <v>4</v>
      </c>
      <c r="D10" s="7">
        <v>8</v>
      </c>
      <c r="E10" s="7">
        <v>6</v>
      </c>
      <c r="F10" s="7">
        <v>2</v>
      </c>
      <c r="G10" s="7">
        <v>3</v>
      </c>
      <c r="H10" s="7">
        <v>6</v>
      </c>
      <c r="I10" s="7">
        <v>6</v>
      </c>
      <c r="J10" s="7">
        <v>9</v>
      </c>
      <c r="K10" s="7">
        <v>11</v>
      </c>
      <c r="L10" s="7">
        <v>6</v>
      </c>
      <c r="M10" s="7">
        <v>7</v>
      </c>
      <c r="N10" s="7">
        <v>6</v>
      </c>
      <c r="O10" s="7">
        <v>8</v>
      </c>
      <c r="P10" s="7">
        <v>3</v>
      </c>
      <c r="Q10" s="7">
        <v>1</v>
      </c>
      <c r="R10" s="7">
        <v>3</v>
      </c>
      <c r="S10" s="7">
        <v>4</v>
      </c>
      <c r="T10" s="7">
        <v>7</v>
      </c>
      <c r="U10" s="7">
        <v>3</v>
      </c>
      <c r="V10" s="7">
        <v>8</v>
      </c>
      <c r="W10" s="7">
        <v>9</v>
      </c>
      <c r="X10" s="7">
        <v>7</v>
      </c>
      <c r="Y10" s="7">
        <v>9</v>
      </c>
      <c r="Z10" s="7">
        <v>6</v>
      </c>
      <c r="AA10" s="7">
        <v>9</v>
      </c>
      <c r="AB10" s="7">
        <v>6</v>
      </c>
      <c r="AC10" s="7">
        <v>7</v>
      </c>
      <c r="AD10" s="7">
        <v>4</v>
      </c>
      <c r="AE10" s="7">
        <v>7</v>
      </c>
      <c r="AF10" s="8"/>
      <c r="AG10" s="4">
        <f t="shared" si="2"/>
        <v>180</v>
      </c>
    </row>
    <row r="11" spans="1:33" ht="18.75" x14ac:dyDescent="0.25">
      <c r="A11" s="41" t="s">
        <v>42</v>
      </c>
      <c r="B11" s="7">
        <v>2</v>
      </c>
      <c r="C11" s="7">
        <v>4</v>
      </c>
      <c r="D11" s="7">
        <v>2</v>
      </c>
      <c r="E11" s="7">
        <v>8</v>
      </c>
      <c r="F11" s="7">
        <v>14</v>
      </c>
      <c r="G11" s="7">
        <v>3</v>
      </c>
      <c r="H11" s="7">
        <v>6</v>
      </c>
      <c r="I11" s="7">
        <v>9</v>
      </c>
      <c r="J11" s="7">
        <v>7</v>
      </c>
      <c r="K11" s="7">
        <v>6</v>
      </c>
      <c r="L11" s="7">
        <v>9</v>
      </c>
      <c r="M11" s="7">
        <v>8</v>
      </c>
      <c r="N11" s="7">
        <v>6</v>
      </c>
      <c r="O11" s="7">
        <v>9</v>
      </c>
      <c r="P11" s="7">
        <v>9</v>
      </c>
      <c r="Q11" s="7">
        <v>6</v>
      </c>
      <c r="R11" s="7">
        <v>7</v>
      </c>
      <c r="S11" s="7">
        <v>4</v>
      </c>
      <c r="T11" s="7">
        <v>4</v>
      </c>
      <c r="U11" s="7">
        <v>2</v>
      </c>
      <c r="V11" s="7">
        <v>7</v>
      </c>
      <c r="W11" s="7">
        <v>12</v>
      </c>
      <c r="X11" s="7">
        <v>8</v>
      </c>
      <c r="Y11" s="7">
        <v>8</v>
      </c>
      <c r="Z11" s="7">
        <v>14</v>
      </c>
      <c r="AA11" s="7">
        <v>11</v>
      </c>
      <c r="AB11" s="7">
        <v>10</v>
      </c>
      <c r="AC11" s="7">
        <v>6</v>
      </c>
      <c r="AD11" s="7">
        <v>5</v>
      </c>
      <c r="AE11" s="7">
        <v>8</v>
      </c>
      <c r="AF11" s="8"/>
      <c r="AG11" s="4">
        <f t="shared" si="2"/>
        <v>214</v>
      </c>
    </row>
    <row r="12" spans="1:33" ht="18.75" x14ac:dyDescent="0.25">
      <c r="A12" s="41" t="s">
        <v>43</v>
      </c>
      <c r="B12" s="7">
        <v>13</v>
      </c>
      <c r="C12" s="7">
        <v>6</v>
      </c>
      <c r="D12" s="7">
        <v>6</v>
      </c>
      <c r="E12" s="7">
        <v>9</v>
      </c>
      <c r="F12" s="7">
        <v>6</v>
      </c>
      <c r="G12" s="7">
        <v>7</v>
      </c>
      <c r="H12" s="7">
        <v>7</v>
      </c>
      <c r="I12" s="7">
        <v>12</v>
      </c>
      <c r="J12" s="7">
        <v>12</v>
      </c>
      <c r="K12" s="7">
        <v>10</v>
      </c>
      <c r="L12" s="7">
        <v>7</v>
      </c>
      <c r="M12" s="7">
        <v>10</v>
      </c>
      <c r="N12" s="7">
        <v>13</v>
      </c>
      <c r="O12" s="7">
        <v>5</v>
      </c>
      <c r="P12" s="7">
        <v>17</v>
      </c>
      <c r="Q12" s="7">
        <v>5</v>
      </c>
      <c r="R12" s="7">
        <v>9</v>
      </c>
      <c r="S12" s="7">
        <v>3</v>
      </c>
      <c r="T12" s="7">
        <v>7</v>
      </c>
      <c r="U12" s="7">
        <v>3</v>
      </c>
      <c r="V12" s="7">
        <v>4</v>
      </c>
      <c r="W12" s="7">
        <v>8</v>
      </c>
      <c r="X12" s="7">
        <v>8</v>
      </c>
      <c r="Y12" s="7">
        <v>11</v>
      </c>
      <c r="Z12" s="7">
        <v>10</v>
      </c>
      <c r="AA12" s="7">
        <v>10</v>
      </c>
      <c r="AB12" s="7">
        <v>2</v>
      </c>
      <c r="AC12" s="7">
        <v>7</v>
      </c>
      <c r="AD12" s="7">
        <v>6</v>
      </c>
      <c r="AE12" s="7">
        <v>10</v>
      </c>
      <c r="AF12" s="8"/>
      <c r="AG12" s="4">
        <f t="shared" si="2"/>
        <v>243</v>
      </c>
    </row>
    <row r="13" spans="1:33" ht="18.75" x14ac:dyDescent="0.25">
      <c r="A13" s="41" t="s">
        <v>44</v>
      </c>
      <c r="B13" s="7">
        <v>5</v>
      </c>
      <c r="C13" s="7">
        <v>5</v>
      </c>
      <c r="D13" s="7">
        <v>11</v>
      </c>
      <c r="E13" s="7">
        <v>7</v>
      </c>
      <c r="F13" s="7">
        <v>13</v>
      </c>
      <c r="G13" s="7">
        <v>6</v>
      </c>
      <c r="H13" s="7">
        <v>8</v>
      </c>
      <c r="I13" s="7">
        <v>14</v>
      </c>
      <c r="J13" s="7">
        <v>10</v>
      </c>
      <c r="K13" s="7">
        <v>11</v>
      </c>
      <c r="L13" s="7">
        <v>2</v>
      </c>
      <c r="M13" s="7">
        <v>15</v>
      </c>
      <c r="N13" s="7">
        <v>14</v>
      </c>
      <c r="O13" s="7">
        <v>11</v>
      </c>
      <c r="P13" s="7">
        <v>13</v>
      </c>
      <c r="Q13" s="7">
        <v>7</v>
      </c>
      <c r="R13" s="7">
        <v>4</v>
      </c>
      <c r="S13" s="7">
        <v>8</v>
      </c>
      <c r="T13" s="7">
        <v>13</v>
      </c>
      <c r="U13" s="7">
        <v>7</v>
      </c>
      <c r="V13" s="7">
        <v>2</v>
      </c>
      <c r="W13" s="7">
        <v>11</v>
      </c>
      <c r="X13" s="7">
        <v>7</v>
      </c>
      <c r="Y13" s="7">
        <v>11</v>
      </c>
      <c r="Z13" s="7">
        <v>8</v>
      </c>
      <c r="AA13" s="7">
        <v>6</v>
      </c>
      <c r="AB13" s="7">
        <v>8</v>
      </c>
      <c r="AC13" s="7">
        <v>9</v>
      </c>
      <c r="AD13" s="7">
        <v>3</v>
      </c>
      <c r="AE13" s="7">
        <v>2</v>
      </c>
      <c r="AF13" s="8"/>
      <c r="AG13" s="4">
        <f t="shared" si="2"/>
        <v>251</v>
      </c>
    </row>
    <row r="14" spans="1:33" ht="18.75" x14ac:dyDescent="0.25">
      <c r="A14" s="41" t="s">
        <v>45</v>
      </c>
      <c r="B14" s="7">
        <v>8</v>
      </c>
      <c r="C14" s="7">
        <v>5</v>
      </c>
      <c r="D14" s="7">
        <v>5</v>
      </c>
      <c r="E14" s="7">
        <v>3</v>
      </c>
      <c r="F14" s="7">
        <v>13</v>
      </c>
      <c r="G14" s="7">
        <v>4</v>
      </c>
      <c r="H14" s="7">
        <v>5</v>
      </c>
      <c r="I14" s="7">
        <v>9</v>
      </c>
      <c r="J14" s="7">
        <v>7</v>
      </c>
      <c r="K14" s="7">
        <v>14</v>
      </c>
      <c r="L14" s="7">
        <v>3</v>
      </c>
      <c r="M14" s="7">
        <v>5</v>
      </c>
      <c r="N14" s="7">
        <v>8</v>
      </c>
      <c r="O14" s="7">
        <v>4</v>
      </c>
      <c r="P14" s="7">
        <v>6</v>
      </c>
      <c r="Q14" s="7">
        <v>5</v>
      </c>
      <c r="R14" s="7">
        <v>8</v>
      </c>
      <c r="S14" s="7">
        <v>2</v>
      </c>
      <c r="T14" s="7">
        <v>3</v>
      </c>
      <c r="U14" s="7">
        <v>2</v>
      </c>
      <c r="V14" s="7">
        <v>5</v>
      </c>
      <c r="W14" s="7">
        <v>7</v>
      </c>
      <c r="X14" s="7">
        <v>6</v>
      </c>
      <c r="Y14" s="7">
        <v>11</v>
      </c>
      <c r="Z14" s="7">
        <v>8</v>
      </c>
      <c r="AA14" s="7">
        <v>4</v>
      </c>
      <c r="AB14" s="7">
        <v>8</v>
      </c>
      <c r="AC14" s="7">
        <v>4</v>
      </c>
      <c r="AD14" s="7">
        <v>8</v>
      </c>
      <c r="AE14" s="7">
        <v>15</v>
      </c>
      <c r="AF14" s="8"/>
      <c r="AG14" s="4">
        <f t="shared" si="2"/>
        <v>195</v>
      </c>
    </row>
    <row r="15" spans="1:33" ht="18.75" x14ac:dyDescent="0.25">
      <c r="A15" s="41" t="s">
        <v>46</v>
      </c>
      <c r="B15" s="7">
        <v>8</v>
      </c>
      <c r="C15" s="7">
        <v>8</v>
      </c>
      <c r="D15" s="7">
        <v>5</v>
      </c>
      <c r="E15" s="7">
        <v>8</v>
      </c>
      <c r="F15" s="7">
        <v>6</v>
      </c>
      <c r="G15" s="7">
        <v>6</v>
      </c>
      <c r="H15" s="7">
        <v>5</v>
      </c>
      <c r="I15" s="7">
        <v>6</v>
      </c>
      <c r="J15" s="7">
        <v>16</v>
      </c>
      <c r="K15" s="7">
        <v>9</v>
      </c>
      <c r="L15" s="7">
        <v>6</v>
      </c>
      <c r="M15" s="7">
        <v>7</v>
      </c>
      <c r="N15" s="7">
        <v>4</v>
      </c>
      <c r="O15" s="7">
        <v>10</v>
      </c>
      <c r="P15" s="7">
        <v>1</v>
      </c>
      <c r="Q15" s="7">
        <v>7</v>
      </c>
      <c r="R15" s="7">
        <v>6</v>
      </c>
      <c r="S15" s="7"/>
      <c r="T15" s="7">
        <v>5</v>
      </c>
      <c r="U15" s="7">
        <v>2</v>
      </c>
      <c r="V15" s="7">
        <v>4</v>
      </c>
      <c r="W15" s="7">
        <v>4</v>
      </c>
      <c r="X15" s="7">
        <v>9</v>
      </c>
      <c r="Y15" s="7">
        <v>4</v>
      </c>
      <c r="Z15" s="7">
        <v>8</v>
      </c>
      <c r="AA15" s="7">
        <v>5</v>
      </c>
      <c r="AB15" s="7">
        <v>5</v>
      </c>
      <c r="AC15" s="7">
        <v>3</v>
      </c>
      <c r="AD15" s="7">
        <v>4</v>
      </c>
      <c r="AE15" s="7">
        <v>8</v>
      </c>
      <c r="AF15" s="8"/>
      <c r="AG15" s="4">
        <f t="shared" si="2"/>
        <v>179</v>
      </c>
    </row>
    <row r="16" spans="1:33" ht="18.75" x14ac:dyDescent="0.25">
      <c r="A16" s="41" t="s">
        <v>47</v>
      </c>
      <c r="B16" s="7">
        <v>6</v>
      </c>
      <c r="C16" s="7">
        <v>2</v>
      </c>
      <c r="D16" s="7">
        <v>3</v>
      </c>
      <c r="E16" s="7">
        <v>8</v>
      </c>
      <c r="F16" s="7">
        <v>6</v>
      </c>
      <c r="G16" s="7">
        <v>2</v>
      </c>
      <c r="H16" s="7">
        <v>2</v>
      </c>
      <c r="I16" s="7">
        <v>2</v>
      </c>
      <c r="J16" s="7">
        <v>4</v>
      </c>
      <c r="K16" s="7">
        <v>5</v>
      </c>
      <c r="L16" s="7">
        <v>3</v>
      </c>
      <c r="M16" s="7">
        <v>4</v>
      </c>
      <c r="N16" s="7">
        <v>4</v>
      </c>
      <c r="O16" s="7"/>
      <c r="P16" s="7">
        <v>2</v>
      </c>
      <c r="Q16" s="7">
        <v>7</v>
      </c>
      <c r="R16" s="7">
        <v>6</v>
      </c>
      <c r="S16" s="7">
        <v>5</v>
      </c>
      <c r="T16" s="7">
        <v>2</v>
      </c>
      <c r="U16" s="7">
        <v>1</v>
      </c>
      <c r="V16" s="7">
        <v>4</v>
      </c>
      <c r="W16" s="7">
        <v>2</v>
      </c>
      <c r="X16" s="7">
        <v>6</v>
      </c>
      <c r="Y16" s="7">
        <v>3</v>
      </c>
      <c r="Z16" s="7">
        <v>6</v>
      </c>
      <c r="AA16" s="7">
        <v>3</v>
      </c>
      <c r="AB16" s="7">
        <v>7</v>
      </c>
      <c r="AC16" s="7"/>
      <c r="AD16" s="7">
        <v>1</v>
      </c>
      <c r="AE16" s="7">
        <v>6</v>
      </c>
      <c r="AF16" s="8"/>
      <c r="AG16" s="4">
        <f t="shared" si="2"/>
        <v>112</v>
      </c>
    </row>
    <row r="17" spans="1:33" ht="18.75" x14ac:dyDescent="0.25">
      <c r="A17" s="41" t="s">
        <v>48</v>
      </c>
      <c r="B17" s="7">
        <v>4</v>
      </c>
      <c r="C17" s="7">
        <v>4</v>
      </c>
      <c r="D17" s="7">
        <v>3</v>
      </c>
      <c r="E17" s="7">
        <v>4</v>
      </c>
      <c r="F17" s="7">
        <v>2</v>
      </c>
      <c r="G17" s="7">
        <v>1</v>
      </c>
      <c r="H17" s="7">
        <v>6</v>
      </c>
      <c r="I17" s="7">
        <v>6</v>
      </c>
      <c r="J17" s="7">
        <v>3</v>
      </c>
      <c r="K17" s="7">
        <v>2</v>
      </c>
      <c r="L17" s="7">
        <v>4</v>
      </c>
      <c r="M17" s="7">
        <v>8</v>
      </c>
      <c r="N17" s="7">
        <v>8</v>
      </c>
      <c r="O17" s="7">
        <v>3</v>
      </c>
      <c r="P17" s="7">
        <v>3</v>
      </c>
      <c r="Q17" s="7">
        <v>1</v>
      </c>
      <c r="R17" s="7">
        <v>4</v>
      </c>
      <c r="S17" s="7">
        <v>1</v>
      </c>
      <c r="T17" s="7">
        <v>4</v>
      </c>
      <c r="U17" s="7">
        <v>2</v>
      </c>
      <c r="V17" s="7">
        <v>5</v>
      </c>
      <c r="W17" s="7">
        <v>2</v>
      </c>
      <c r="X17" s="7">
        <v>3</v>
      </c>
      <c r="Y17" s="7">
        <v>1</v>
      </c>
      <c r="Z17" s="7">
        <v>3</v>
      </c>
      <c r="AA17" s="7">
        <v>5</v>
      </c>
      <c r="AB17" s="7">
        <v>1</v>
      </c>
      <c r="AC17" s="7">
        <v>3</v>
      </c>
      <c r="AD17" s="7">
        <v>5</v>
      </c>
      <c r="AE17" s="7">
        <v>2</v>
      </c>
      <c r="AF17" s="8"/>
      <c r="AG17" s="4">
        <f t="shared" si="2"/>
        <v>103</v>
      </c>
    </row>
    <row r="18" spans="1:33" ht="18.75" x14ac:dyDescent="0.25">
      <c r="A18" s="41" t="s">
        <v>49</v>
      </c>
      <c r="B18" s="7">
        <v>2</v>
      </c>
      <c r="C18" s="7">
        <v>1</v>
      </c>
      <c r="D18" s="7">
        <v>3</v>
      </c>
      <c r="E18" s="7">
        <v>4</v>
      </c>
      <c r="F18" s="7">
        <v>3</v>
      </c>
      <c r="G18" s="7"/>
      <c r="H18" s="7"/>
      <c r="I18" s="7">
        <v>5</v>
      </c>
      <c r="J18" s="7">
        <v>3</v>
      </c>
      <c r="K18" s="7">
        <v>3</v>
      </c>
      <c r="L18" s="7">
        <v>1</v>
      </c>
      <c r="M18" s="7">
        <v>5</v>
      </c>
      <c r="N18" s="7">
        <v>2</v>
      </c>
      <c r="O18" s="7">
        <v>1</v>
      </c>
      <c r="P18" s="7">
        <v>1</v>
      </c>
      <c r="Q18" s="7">
        <v>6</v>
      </c>
      <c r="R18" s="7">
        <v>1</v>
      </c>
      <c r="S18" s="7">
        <v>6</v>
      </c>
      <c r="T18" s="7">
        <v>2</v>
      </c>
      <c r="U18" s="7">
        <v>3</v>
      </c>
      <c r="V18" s="7">
        <v>2</v>
      </c>
      <c r="W18" s="7">
        <v>3</v>
      </c>
      <c r="X18" s="7">
        <v>1</v>
      </c>
      <c r="Y18" s="7">
        <v>4</v>
      </c>
      <c r="Z18" s="7"/>
      <c r="AA18" s="7">
        <v>4</v>
      </c>
      <c r="AB18" s="7">
        <v>6</v>
      </c>
      <c r="AC18" s="7">
        <v>3</v>
      </c>
      <c r="AD18" s="7">
        <v>4</v>
      </c>
      <c r="AE18" s="7">
        <v>3</v>
      </c>
      <c r="AF18" s="8"/>
      <c r="AG18" s="4">
        <f t="shared" si="2"/>
        <v>82</v>
      </c>
    </row>
    <row r="19" spans="1:33" ht="18.75" x14ac:dyDescent="0.25">
      <c r="A19" s="41" t="s">
        <v>50</v>
      </c>
      <c r="B19" s="7">
        <v>3</v>
      </c>
      <c r="C19" s="7"/>
      <c r="D19" s="7">
        <v>5</v>
      </c>
      <c r="E19" s="7">
        <v>2</v>
      </c>
      <c r="F19" s="7">
        <v>1</v>
      </c>
      <c r="G19" s="7">
        <v>3</v>
      </c>
      <c r="H19" s="7">
        <v>1</v>
      </c>
      <c r="I19" s="7">
        <v>1</v>
      </c>
      <c r="J19" s="7"/>
      <c r="K19" s="7"/>
      <c r="L19" s="7">
        <v>2</v>
      </c>
      <c r="M19" s="7">
        <v>1</v>
      </c>
      <c r="N19" s="7">
        <v>6</v>
      </c>
      <c r="O19" s="7">
        <v>3</v>
      </c>
      <c r="P19" s="7">
        <v>3</v>
      </c>
      <c r="Q19" s="7">
        <v>1</v>
      </c>
      <c r="R19" s="7">
        <v>1</v>
      </c>
      <c r="S19" s="7">
        <v>3</v>
      </c>
      <c r="T19" s="7">
        <v>4</v>
      </c>
      <c r="U19" s="7">
        <v>3</v>
      </c>
      <c r="V19" s="7"/>
      <c r="W19" s="7">
        <v>2</v>
      </c>
      <c r="X19" s="7">
        <v>2</v>
      </c>
      <c r="Y19" s="7">
        <v>1</v>
      </c>
      <c r="Z19" s="7">
        <v>3</v>
      </c>
      <c r="AA19" s="7">
        <v>5</v>
      </c>
      <c r="AB19" s="7">
        <v>1</v>
      </c>
      <c r="AC19" s="7"/>
      <c r="AD19" s="7">
        <v>3</v>
      </c>
      <c r="AE19" s="7"/>
      <c r="AF19" s="8"/>
      <c r="AG19" s="4">
        <f t="shared" si="2"/>
        <v>60</v>
      </c>
    </row>
    <row r="20" spans="1:33" ht="18.75" x14ac:dyDescent="0.25">
      <c r="A20" s="41" t="s">
        <v>33</v>
      </c>
      <c r="B20" s="7"/>
      <c r="C20" s="7">
        <v>4</v>
      </c>
      <c r="D20" s="7">
        <v>2</v>
      </c>
      <c r="E20" s="7">
        <v>1</v>
      </c>
      <c r="F20" s="7">
        <v>1</v>
      </c>
      <c r="G20" s="7">
        <v>5</v>
      </c>
      <c r="H20" s="7">
        <v>1</v>
      </c>
      <c r="I20" s="7">
        <v>4</v>
      </c>
      <c r="J20" s="7">
        <v>1</v>
      </c>
      <c r="K20" s="7">
        <v>3</v>
      </c>
      <c r="L20" s="7">
        <v>1</v>
      </c>
      <c r="M20" s="7">
        <v>1</v>
      </c>
      <c r="N20" s="7">
        <v>2</v>
      </c>
      <c r="O20" s="7"/>
      <c r="P20" s="7">
        <v>1</v>
      </c>
      <c r="Q20" s="7"/>
      <c r="R20" s="7"/>
      <c r="S20" s="7">
        <v>2</v>
      </c>
      <c r="T20" s="7">
        <v>2</v>
      </c>
      <c r="U20" s="7">
        <v>4</v>
      </c>
      <c r="V20" s="7"/>
      <c r="W20" s="7"/>
      <c r="X20" s="7"/>
      <c r="Y20" s="7">
        <v>1</v>
      </c>
      <c r="Z20" s="7">
        <v>4</v>
      </c>
      <c r="AA20" s="7"/>
      <c r="AB20" s="7">
        <v>1</v>
      </c>
      <c r="AC20" s="7">
        <v>1</v>
      </c>
      <c r="AD20" s="7">
        <v>1</v>
      </c>
      <c r="AE20" s="7">
        <v>2</v>
      </c>
      <c r="AF20" s="8"/>
      <c r="AG20" s="4">
        <f t="shared" si="2"/>
        <v>45</v>
      </c>
    </row>
    <row r="21" spans="1:33" ht="18.75" x14ac:dyDescent="0.25">
      <c r="A21" s="41" t="s">
        <v>34</v>
      </c>
      <c r="B21" s="7">
        <v>2</v>
      </c>
      <c r="C21" s="7">
        <v>1</v>
      </c>
      <c r="D21" s="7">
        <v>5</v>
      </c>
      <c r="E21" s="7">
        <v>4</v>
      </c>
      <c r="F21" s="7">
        <v>1</v>
      </c>
      <c r="G21" s="7"/>
      <c r="H21" s="7">
        <v>1</v>
      </c>
      <c r="I21" s="7">
        <v>2</v>
      </c>
      <c r="J21" s="7">
        <v>1</v>
      </c>
      <c r="K21" s="7">
        <v>1</v>
      </c>
      <c r="L21" s="7">
        <v>1</v>
      </c>
      <c r="M21" s="7">
        <v>1</v>
      </c>
      <c r="N21" s="7">
        <v>1</v>
      </c>
      <c r="O21" s="7">
        <v>1</v>
      </c>
      <c r="P21" s="7"/>
      <c r="Q21" s="7"/>
      <c r="R21" s="7"/>
      <c r="S21" s="7">
        <v>3</v>
      </c>
      <c r="T21" s="7">
        <v>1</v>
      </c>
      <c r="U21" s="7">
        <v>1</v>
      </c>
      <c r="V21" s="7"/>
      <c r="W21" s="7">
        <v>2</v>
      </c>
      <c r="X21" s="7"/>
      <c r="Y21" s="7"/>
      <c r="Z21" s="7">
        <v>1</v>
      </c>
      <c r="AA21" s="7">
        <v>1</v>
      </c>
      <c r="AB21" s="7">
        <v>1</v>
      </c>
      <c r="AC21" s="7"/>
      <c r="AD21" s="7">
        <v>3</v>
      </c>
      <c r="AE21" s="7">
        <v>3</v>
      </c>
      <c r="AF21" s="8"/>
      <c r="AG21" s="4">
        <f t="shared" si="2"/>
        <v>38</v>
      </c>
    </row>
    <row r="22" spans="1:33" ht="18.75" x14ac:dyDescent="0.25">
      <c r="A22" s="41" t="s">
        <v>35</v>
      </c>
      <c r="B22" s="7"/>
      <c r="C22" s="7"/>
      <c r="D22" s="7">
        <v>3</v>
      </c>
      <c r="E22" s="7"/>
      <c r="F22" s="7">
        <v>1</v>
      </c>
      <c r="G22" s="7">
        <v>2</v>
      </c>
      <c r="H22" s="7"/>
      <c r="I22" s="7">
        <v>2</v>
      </c>
      <c r="J22" s="7"/>
      <c r="K22" s="7"/>
      <c r="L22" s="7"/>
      <c r="M22" s="7"/>
      <c r="N22" s="7">
        <v>3</v>
      </c>
      <c r="O22" s="7">
        <v>1</v>
      </c>
      <c r="P22" s="7"/>
      <c r="Q22" s="7"/>
      <c r="R22" s="7">
        <v>2</v>
      </c>
      <c r="S22" s="7">
        <v>1</v>
      </c>
      <c r="T22" s="7">
        <v>1</v>
      </c>
      <c r="U22" s="7">
        <v>1</v>
      </c>
      <c r="V22" s="7">
        <v>2</v>
      </c>
      <c r="W22" s="7">
        <v>1</v>
      </c>
      <c r="X22" s="7">
        <v>1</v>
      </c>
      <c r="Y22" s="7"/>
      <c r="Z22" s="7">
        <v>1</v>
      </c>
      <c r="AA22" s="7"/>
      <c r="AB22" s="7">
        <v>2</v>
      </c>
      <c r="AC22" s="7"/>
      <c r="AD22" s="7"/>
      <c r="AE22" s="7">
        <v>1</v>
      </c>
      <c r="AF22" s="8"/>
      <c r="AG22" s="4">
        <f t="shared" si="2"/>
        <v>25</v>
      </c>
    </row>
    <row r="23" spans="1:33" ht="18.75" x14ac:dyDescent="0.25">
      <c r="A23" s="41" t="s">
        <v>36</v>
      </c>
      <c r="B23" s="7"/>
      <c r="C23" s="7">
        <v>1</v>
      </c>
      <c r="D23" s="7"/>
      <c r="E23" s="7"/>
      <c r="F23" s="7"/>
      <c r="G23" s="7"/>
      <c r="H23" s="7">
        <v>2</v>
      </c>
      <c r="I23" s="7">
        <v>1</v>
      </c>
      <c r="J23" s="7">
        <v>1</v>
      </c>
      <c r="K23" s="7">
        <v>2</v>
      </c>
      <c r="L23" s="7"/>
      <c r="M23" s="7">
        <v>1</v>
      </c>
      <c r="N23" s="7">
        <v>1</v>
      </c>
      <c r="O23" s="7">
        <v>2</v>
      </c>
      <c r="P23" s="7">
        <v>1</v>
      </c>
      <c r="Q23" s="7"/>
      <c r="R23" s="7"/>
      <c r="S23" s="7">
        <v>1</v>
      </c>
      <c r="T23" s="7">
        <v>3</v>
      </c>
      <c r="U23" s="7">
        <v>3</v>
      </c>
      <c r="V23" s="7"/>
      <c r="W23" s="7"/>
      <c r="X23" s="7">
        <v>1</v>
      </c>
      <c r="Y23" s="7">
        <v>1</v>
      </c>
      <c r="Z23" s="7">
        <v>1</v>
      </c>
      <c r="AA23" s="7"/>
      <c r="AB23" s="7"/>
      <c r="AC23" s="7"/>
      <c r="AD23" s="7"/>
      <c r="AE23" s="7">
        <v>2</v>
      </c>
      <c r="AF23" s="8"/>
      <c r="AG23" s="4">
        <f t="shared" si="2"/>
        <v>24</v>
      </c>
    </row>
    <row r="24" spans="1:33" ht="18.75" x14ac:dyDescent="0.25">
      <c r="A24" s="41" t="s">
        <v>51</v>
      </c>
      <c r="B24" s="7"/>
      <c r="C24" s="7">
        <v>1</v>
      </c>
      <c r="D24" s="7"/>
      <c r="E24" s="7"/>
      <c r="F24" s="7">
        <v>1</v>
      </c>
      <c r="G24" s="7"/>
      <c r="H24" s="7"/>
      <c r="I24" s="7"/>
      <c r="J24" s="7"/>
      <c r="K24" s="7">
        <v>1</v>
      </c>
      <c r="L24" s="7"/>
      <c r="M24" s="7">
        <v>1</v>
      </c>
      <c r="N24" s="7"/>
      <c r="O24" s="7">
        <v>1</v>
      </c>
      <c r="P24" s="7"/>
      <c r="Q24" s="7"/>
      <c r="R24" s="7"/>
      <c r="S24" s="7">
        <v>1</v>
      </c>
      <c r="T24" s="7">
        <v>2</v>
      </c>
      <c r="U24" s="7">
        <v>2</v>
      </c>
      <c r="V24" s="7">
        <v>1</v>
      </c>
      <c r="W24" s="7"/>
      <c r="X24" s="7"/>
      <c r="Y24" s="7"/>
      <c r="Z24" s="7"/>
      <c r="AA24" s="7"/>
      <c r="AB24" s="7"/>
      <c r="AC24" s="7"/>
      <c r="AD24" s="7"/>
      <c r="AE24" s="7"/>
      <c r="AF24" s="8"/>
      <c r="AG24" s="4">
        <f t="shared" si="2"/>
        <v>11</v>
      </c>
    </row>
    <row r="25" spans="1:33" ht="18.75" x14ac:dyDescent="0.25">
      <c r="A25" s="41" t="s">
        <v>52</v>
      </c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>
        <v>2</v>
      </c>
      <c r="O25" s="7"/>
      <c r="P25" s="7"/>
      <c r="Q25" s="7"/>
      <c r="R25" s="7">
        <v>1</v>
      </c>
      <c r="S25" s="7"/>
      <c r="T25" s="7">
        <v>1</v>
      </c>
      <c r="U25" s="7">
        <v>2</v>
      </c>
      <c r="V25" s="7"/>
      <c r="W25" s="7">
        <v>2</v>
      </c>
      <c r="X25" s="7"/>
      <c r="Y25" s="7"/>
      <c r="Z25" s="7"/>
      <c r="AA25" s="7"/>
      <c r="AB25" s="7">
        <v>1</v>
      </c>
      <c r="AC25" s="7"/>
      <c r="AD25" s="7"/>
      <c r="AE25" s="7">
        <v>2</v>
      </c>
      <c r="AF25" s="8"/>
      <c r="AG25" s="4">
        <f t="shared" si="2"/>
        <v>11</v>
      </c>
    </row>
    <row r="26" spans="1:33" ht="18.75" x14ac:dyDescent="0.25">
      <c r="A26" s="41" t="s">
        <v>37</v>
      </c>
      <c r="B26" s="7"/>
      <c r="C26" s="7"/>
      <c r="D26" s="7"/>
      <c r="E26" s="7"/>
      <c r="F26" s="7"/>
      <c r="G26" s="7"/>
      <c r="H26" s="7"/>
      <c r="I26" s="7">
        <v>1</v>
      </c>
      <c r="J26" s="7"/>
      <c r="K26" s="7">
        <v>1</v>
      </c>
      <c r="L26" s="7"/>
      <c r="M26" s="7"/>
      <c r="N26" s="7"/>
      <c r="O26" s="7"/>
      <c r="P26" s="7"/>
      <c r="Q26" s="7">
        <v>1</v>
      </c>
      <c r="R26" s="7"/>
      <c r="S26" s="7"/>
      <c r="T26" s="7"/>
      <c r="U26" s="7"/>
      <c r="V26" s="7"/>
      <c r="W26" s="7">
        <v>1</v>
      </c>
      <c r="X26" s="7"/>
      <c r="Y26" s="7"/>
      <c r="Z26" s="7">
        <v>2</v>
      </c>
      <c r="AA26" s="7"/>
      <c r="AB26" s="7"/>
      <c r="AC26" s="7">
        <v>1</v>
      </c>
      <c r="AD26" s="7"/>
      <c r="AE26" s="7"/>
      <c r="AF26" s="8"/>
      <c r="AG26" s="4">
        <f t="shared" si="2"/>
        <v>7</v>
      </c>
    </row>
    <row r="27" spans="1:33" ht="19.5" thickBot="1" x14ac:dyDescent="0.3">
      <c r="A27" s="81" t="s">
        <v>53</v>
      </c>
      <c r="B27" s="78"/>
      <c r="C27" s="78">
        <v>2</v>
      </c>
      <c r="D27" s="78">
        <v>3</v>
      </c>
      <c r="E27" s="78">
        <v>1</v>
      </c>
      <c r="F27" s="78">
        <v>1</v>
      </c>
      <c r="G27" s="78">
        <v>1</v>
      </c>
      <c r="H27" s="78">
        <v>1</v>
      </c>
      <c r="I27" s="78"/>
      <c r="J27" s="78"/>
      <c r="K27" s="78">
        <v>1</v>
      </c>
      <c r="L27" s="78"/>
      <c r="M27" s="78"/>
      <c r="N27" s="78"/>
      <c r="O27" s="78"/>
      <c r="P27" s="78">
        <v>1</v>
      </c>
      <c r="Q27" s="78"/>
      <c r="R27" s="78"/>
      <c r="S27" s="78"/>
      <c r="T27" s="78">
        <v>1</v>
      </c>
      <c r="U27" s="78">
        <v>1</v>
      </c>
      <c r="V27" s="78">
        <v>1</v>
      </c>
      <c r="W27" s="78">
        <v>1</v>
      </c>
      <c r="X27" s="78">
        <v>1</v>
      </c>
      <c r="Y27" s="78"/>
      <c r="Z27" s="78">
        <v>2</v>
      </c>
      <c r="AA27" s="78">
        <v>2</v>
      </c>
      <c r="AB27" s="78"/>
      <c r="AC27" s="78"/>
      <c r="AD27" s="78">
        <v>1</v>
      </c>
      <c r="AE27" s="78"/>
      <c r="AF27" s="83"/>
      <c r="AG27" s="4">
        <f t="shared" si="2"/>
        <v>21</v>
      </c>
    </row>
    <row r="28" spans="1:33" ht="18.75" x14ac:dyDescent="0.25">
      <c r="A28" s="79" t="s">
        <v>107</v>
      </c>
      <c r="B28" s="80">
        <f>SUM(B29:B52)</f>
        <v>89</v>
      </c>
      <c r="C28" s="80">
        <f t="shared" ref="C28:AF28" si="3">SUM(C29:C52)</f>
        <v>72</v>
      </c>
      <c r="D28" s="80">
        <f t="shared" si="3"/>
        <v>100</v>
      </c>
      <c r="E28" s="80">
        <f t="shared" si="3"/>
        <v>92</v>
      </c>
      <c r="F28" s="80">
        <f t="shared" si="3"/>
        <v>101</v>
      </c>
      <c r="G28" s="80">
        <f t="shared" si="3"/>
        <v>61</v>
      </c>
      <c r="H28" s="80">
        <f t="shared" si="3"/>
        <v>77</v>
      </c>
      <c r="I28" s="80">
        <f t="shared" si="3"/>
        <v>108</v>
      </c>
      <c r="J28" s="80">
        <f t="shared" si="3"/>
        <v>109</v>
      </c>
      <c r="K28" s="80">
        <f t="shared" si="3"/>
        <v>118</v>
      </c>
      <c r="L28" s="80">
        <f t="shared" si="3"/>
        <v>90</v>
      </c>
      <c r="M28" s="80">
        <f t="shared" si="3"/>
        <v>119</v>
      </c>
      <c r="N28" s="80">
        <f t="shared" si="3"/>
        <v>99</v>
      </c>
      <c r="O28" s="80">
        <f t="shared" si="3"/>
        <v>77</v>
      </c>
      <c r="P28" s="80">
        <f t="shared" si="3"/>
        <v>96</v>
      </c>
      <c r="Q28" s="80">
        <f t="shared" si="3"/>
        <v>74</v>
      </c>
      <c r="R28" s="80">
        <f t="shared" si="3"/>
        <v>82</v>
      </c>
      <c r="S28" s="80">
        <f t="shared" si="3"/>
        <v>61</v>
      </c>
      <c r="T28" s="80">
        <f t="shared" si="3"/>
        <v>97</v>
      </c>
      <c r="U28" s="80">
        <f t="shared" si="3"/>
        <v>69</v>
      </c>
      <c r="V28" s="80">
        <f t="shared" si="3"/>
        <v>74</v>
      </c>
      <c r="W28" s="80">
        <f t="shared" si="3"/>
        <v>103</v>
      </c>
      <c r="X28" s="80">
        <f t="shared" si="3"/>
        <v>99</v>
      </c>
      <c r="Y28" s="80">
        <f t="shared" si="3"/>
        <v>88</v>
      </c>
      <c r="Z28" s="80">
        <f t="shared" si="3"/>
        <v>115</v>
      </c>
      <c r="AA28" s="80">
        <f t="shared" si="3"/>
        <v>99</v>
      </c>
      <c r="AB28" s="80">
        <f t="shared" si="3"/>
        <v>86</v>
      </c>
      <c r="AC28" s="80">
        <f t="shared" si="3"/>
        <v>65</v>
      </c>
      <c r="AD28" s="80">
        <f t="shared" si="3"/>
        <v>64</v>
      </c>
      <c r="AE28" s="80">
        <f>SUM(AE29:AE52)</f>
        <v>112</v>
      </c>
      <c r="AF28" s="80">
        <f t="shared" si="3"/>
        <v>0</v>
      </c>
      <c r="AG28" s="150">
        <f t="shared" si="2"/>
        <v>2696</v>
      </c>
    </row>
    <row r="29" spans="1:33" ht="18.75" x14ac:dyDescent="0.25">
      <c r="A29" s="41" t="s">
        <v>54</v>
      </c>
      <c r="B29" s="7">
        <v>1</v>
      </c>
      <c r="C29" s="7">
        <v>3</v>
      </c>
      <c r="D29" s="7">
        <v>3</v>
      </c>
      <c r="E29" s="7">
        <v>6</v>
      </c>
      <c r="F29" s="7">
        <v>2</v>
      </c>
      <c r="G29" s="7">
        <v>2</v>
      </c>
      <c r="H29" s="7">
        <v>1</v>
      </c>
      <c r="I29" s="7">
        <v>2</v>
      </c>
      <c r="J29" s="7">
        <v>4</v>
      </c>
      <c r="K29" s="7">
        <v>1</v>
      </c>
      <c r="L29" s="7"/>
      <c r="M29" s="7">
        <v>1</v>
      </c>
      <c r="N29" s="7"/>
      <c r="O29" s="7">
        <v>1</v>
      </c>
      <c r="P29" s="7">
        <v>2</v>
      </c>
      <c r="Q29" s="7"/>
      <c r="R29" s="7"/>
      <c r="S29" s="7">
        <v>2</v>
      </c>
      <c r="T29" s="7">
        <v>1</v>
      </c>
      <c r="U29" s="7">
        <v>1</v>
      </c>
      <c r="V29" s="7"/>
      <c r="W29" s="7">
        <v>1</v>
      </c>
      <c r="X29" s="7">
        <v>3</v>
      </c>
      <c r="Y29" s="7">
        <v>1</v>
      </c>
      <c r="Z29" s="7">
        <v>4</v>
      </c>
      <c r="AA29" s="7">
        <v>4</v>
      </c>
      <c r="AB29" s="7">
        <v>1</v>
      </c>
      <c r="AC29" s="7">
        <v>1</v>
      </c>
      <c r="AD29" s="7"/>
      <c r="AE29" s="7">
        <v>2</v>
      </c>
      <c r="AF29" s="8"/>
      <c r="AG29" s="4">
        <f t="shared" si="2"/>
        <v>50</v>
      </c>
    </row>
    <row r="30" spans="1:33" ht="18.75" x14ac:dyDescent="0.25">
      <c r="A30" s="41" t="s">
        <v>55</v>
      </c>
      <c r="B30" s="7">
        <v>8</v>
      </c>
      <c r="C30" s="7">
        <v>4</v>
      </c>
      <c r="D30" s="7">
        <v>6</v>
      </c>
      <c r="E30" s="7">
        <v>4</v>
      </c>
      <c r="F30" s="7">
        <v>3</v>
      </c>
      <c r="G30" s="7">
        <v>2</v>
      </c>
      <c r="H30" s="7">
        <v>2</v>
      </c>
      <c r="I30" s="7">
        <v>7</v>
      </c>
      <c r="J30" s="7">
        <v>5</v>
      </c>
      <c r="K30" s="7">
        <v>4</v>
      </c>
      <c r="L30" s="7">
        <v>7</v>
      </c>
      <c r="M30" s="7">
        <v>7</v>
      </c>
      <c r="N30" s="7">
        <v>4</v>
      </c>
      <c r="O30" s="7">
        <v>1</v>
      </c>
      <c r="P30" s="7">
        <v>5</v>
      </c>
      <c r="Q30" s="7">
        <v>5</v>
      </c>
      <c r="R30" s="7">
        <v>3</v>
      </c>
      <c r="S30" s="7">
        <v>1</v>
      </c>
      <c r="T30" s="7">
        <v>2</v>
      </c>
      <c r="U30" s="7">
        <v>4</v>
      </c>
      <c r="V30" s="7">
        <v>5</v>
      </c>
      <c r="W30" s="7">
        <v>7</v>
      </c>
      <c r="X30" s="7">
        <v>9</v>
      </c>
      <c r="Y30" s="7">
        <v>4</v>
      </c>
      <c r="Z30" s="7">
        <v>5</v>
      </c>
      <c r="AA30" s="7">
        <v>5</v>
      </c>
      <c r="AB30" s="7">
        <v>1</v>
      </c>
      <c r="AC30" s="7"/>
      <c r="AD30" s="7">
        <v>1</v>
      </c>
      <c r="AE30" s="7">
        <v>8</v>
      </c>
      <c r="AF30" s="8"/>
      <c r="AG30" s="4">
        <f t="shared" si="2"/>
        <v>129</v>
      </c>
    </row>
    <row r="31" spans="1:33" ht="18.75" x14ac:dyDescent="0.25">
      <c r="A31" s="41" t="s">
        <v>56</v>
      </c>
      <c r="B31" s="7">
        <v>4</v>
      </c>
      <c r="C31" s="7">
        <v>2</v>
      </c>
      <c r="D31" s="7">
        <v>8</v>
      </c>
      <c r="E31" s="7">
        <v>4</v>
      </c>
      <c r="F31" s="7">
        <v>5</v>
      </c>
      <c r="G31" s="7">
        <v>2</v>
      </c>
      <c r="H31" s="7">
        <v>4</v>
      </c>
      <c r="I31" s="7">
        <v>6</v>
      </c>
      <c r="J31" s="7">
        <v>7</v>
      </c>
      <c r="K31" s="7">
        <v>4</v>
      </c>
      <c r="L31" s="7">
        <v>6</v>
      </c>
      <c r="M31" s="7">
        <v>7</v>
      </c>
      <c r="N31" s="7">
        <v>4</v>
      </c>
      <c r="O31" s="7">
        <v>1</v>
      </c>
      <c r="P31" s="7">
        <v>8</v>
      </c>
      <c r="Q31" s="7">
        <v>1</v>
      </c>
      <c r="R31" s="7">
        <v>4</v>
      </c>
      <c r="S31" s="7">
        <v>5</v>
      </c>
      <c r="T31" s="7">
        <v>5</v>
      </c>
      <c r="U31" s="7">
        <v>3</v>
      </c>
      <c r="V31" s="7">
        <v>4</v>
      </c>
      <c r="W31" s="7">
        <v>5</v>
      </c>
      <c r="X31" s="7">
        <v>3</v>
      </c>
      <c r="Y31" s="7">
        <v>1</v>
      </c>
      <c r="Z31" s="7">
        <v>12</v>
      </c>
      <c r="AA31" s="7">
        <v>7</v>
      </c>
      <c r="AB31" s="7">
        <v>5</v>
      </c>
      <c r="AC31" s="7">
        <v>2</v>
      </c>
      <c r="AD31" s="7">
        <v>1</v>
      </c>
      <c r="AE31" s="7">
        <v>6</v>
      </c>
      <c r="AF31" s="8"/>
      <c r="AG31" s="4">
        <f t="shared" si="2"/>
        <v>136</v>
      </c>
    </row>
    <row r="32" spans="1:33" ht="18.75" x14ac:dyDescent="0.25">
      <c r="A32" s="41" t="s">
        <v>38</v>
      </c>
      <c r="B32" s="7">
        <v>6</v>
      </c>
      <c r="C32" s="7">
        <v>5</v>
      </c>
      <c r="D32" s="7">
        <v>5</v>
      </c>
      <c r="E32" s="7">
        <v>6</v>
      </c>
      <c r="F32" s="7">
        <v>3</v>
      </c>
      <c r="G32" s="7">
        <v>4</v>
      </c>
      <c r="H32" s="7">
        <v>5</v>
      </c>
      <c r="I32" s="7">
        <v>6</v>
      </c>
      <c r="J32" s="7">
        <v>8</v>
      </c>
      <c r="K32" s="7">
        <v>8</v>
      </c>
      <c r="L32" s="7">
        <v>7</v>
      </c>
      <c r="M32" s="7">
        <v>7</v>
      </c>
      <c r="N32" s="7">
        <v>4</v>
      </c>
      <c r="O32" s="7">
        <v>2</v>
      </c>
      <c r="P32" s="7">
        <v>5</v>
      </c>
      <c r="Q32" s="7">
        <v>8</v>
      </c>
      <c r="R32" s="7">
        <v>11</v>
      </c>
      <c r="S32" s="7">
        <v>5</v>
      </c>
      <c r="T32" s="7">
        <v>7</v>
      </c>
      <c r="U32" s="7">
        <v>2</v>
      </c>
      <c r="V32" s="7">
        <v>6</v>
      </c>
      <c r="W32" s="7">
        <v>4</v>
      </c>
      <c r="X32" s="7">
        <v>7</v>
      </c>
      <c r="Y32" s="7">
        <v>7</v>
      </c>
      <c r="Z32" s="7">
        <v>11</v>
      </c>
      <c r="AA32" s="7">
        <v>3</v>
      </c>
      <c r="AB32" s="7">
        <v>6</v>
      </c>
      <c r="AC32" s="7">
        <v>9</v>
      </c>
      <c r="AD32" s="7">
        <v>5</v>
      </c>
      <c r="AE32" s="7">
        <v>8</v>
      </c>
      <c r="AF32" s="8"/>
      <c r="AG32" s="4">
        <f t="shared" si="2"/>
        <v>180</v>
      </c>
    </row>
    <row r="33" spans="1:33" ht="18.75" x14ac:dyDescent="0.25">
      <c r="A33" s="41" t="s">
        <v>39</v>
      </c>
      <c r="B33" s="7">
        <v>7</v>
      </c>
      <c r="C33" s="7">
        <v>8</v>
      </c>
      <c r="D33" s="7">
        <v>9</v>
      </c>
      <c r="E33" s="7">
        <v>4</v>
      </c>
      <c r="F33" s="7">
        <v>8</v>
      </c>
      <c r="G33" s="7">
        <v>3</v>
      </c>
      <c r="H33" s="7">
        <v>5</v>
      </c>
      <c r="I33" s="7">
        <v>6</v>
      </c>
      <c r="J33" s="7">
        <v>8</v>
      </c>
      <c r="K33" s="7">
        <v>13</v>
      </c>
      <c r="L33" s="7">
        <v>15</v>
      </c>
      <c r="M33" s="7">
        <v>15</v>
      </c>
      <c r="N33" s="7">
        <v>6</v>
      </c>
      <c r="O33" s="7">
        <v>5</v>
      </c>
      <c r="P33" s="7">
        <v>9</v>
      </c>
      <c r="Q33" s="7">
        <v>9</v>
      </c>
      <c r="R33" s="7">
        <v>4</v>
      </c>
      <c r="S33" s="7">
        <v>5</v>
      </c>
      <c r="T33" s="7">
        <v>10</v>
      </c>
      <c r="U33" s="7">
        <v>13</v>
      </c>
      <c r="V33" s="7">
        <v>6</v>
      </c>
      <c r="W33" s="7">
        <v>12</v>
      </c>
      <c r="X33" s="7">
        <v>7</v>
      </c>
      <c r="Y33" s="7">
        <v>5</v>
      </c>
      <c r="Z33" s="7">
        <v>5</v>
      </c>
      <c r="AA33" s="7">
        <v>7</v>
      </c>
      <c r="AB33" s="7">
        <v>5</v>
      </c>
      <c r="AC33" s="7">
        <v>3</v>
      </c>
      <c r="AD33" s="7">
        <v>6</v>
      </c>
      <c r="AE33" s="7">
        <v>9</v>
      </c>
      <c r="AF33" s="8"/>
      <c r="AG33" s="4">
        <f t="shared" si="2"/>
        <v>227</v>
      </c>
    </row>
    <row r="34" spans="1:33" ht="18.75" x14ac:dyDescent="0.25">
      <c r="A34" s="41" t="s">
        <v>40</v>
      </c>
      <c r="B34" s="7">
        <v>4</v>
      </c>
      <c r="C34" s="7">
        <v>1</v>
      </c>
      <c r="D34" s="7">
        <v>4</v>
      </c>
      <c r="E34" s="7"/>
      <c r="F34" s="7">
        <v>6</v>
      </c>
      <c r="G34" s="7">
        <v>3</v>
      </c>
      <c r="H34" s="7">
        <v>6</v>
      </c>
      <c r="I34" s="7">
        <v>1</v>
      </c>
      <c r="J34" s="7">
        <v>7</v>
      </c>
      <c r="K34" s="7">
        <v>11</v>
      </c>
      <c r="L34" s="7">
        <v>9</v>
      </c>
      <c r="M34" s="7">
        <v>9</v>
      </c>
      <c r="N34" s="7">
        <v>7</v>
      </c>
      <c r="O34" s="7">
        <v>5</v>
      </c>
      <c r="P34" s="7">
        <v>7</v>
      </c>
      <c r="Q34" s="7">
        <v>4</v>
      </c>
      <c r="R34" s="7">
        <v>6</v>
      </c>
      <c r="S34" s="7">
        <v>1</v>
      </c>
      <c r="T34" s="7">
        <v>5</v>
      </c>
      <c r="U34" s="7">
        <v>3</v>
      </c>
      <c r="V34" s="7">
        <v>6</v>
      </c>
      <c r="W34" s="7">
        <v>7</v>
      </c>
      <c r="X34" s="7">
        <v>7</v>
      </c>
      <c r="Y34" s="7">
        <v>6</v>
      </c>
      <c r="Z34" s="7">
        <v>6</v>
      </c>
      <c r="AA34" s="7">
        <v>11</v>
      </c>
      <c r="AB34" s="7">
        <v>9</v>
      </c>
      <c r="AC34" s="7">
        <v>6</v>
      </c>
      <c r="AD34" s="7">
        <v>3</v>
      </c>
      <c r="AE34" s="7">
        <v>3</v>
      </c>
      <c r="AF34" s="8"/>
      <c r="AG34" s="4">
        <f t="shared" si="2"/>
        <v>163</v>
      </c>
    </row>
    <row r="35" spans="1:33" ht="18.75" x14ac:dyDescent="0.25">
      <c r="A35" s="41" t="s">
        <v>41</v>
      </c>
      <c r="B35" s="7">
        <v>7</v>
      </c>
      <c r="C35" s="7">
        <v>5</v>
      </c>
      <c r="D35" s="7">
        <v>4</v>
      </c>
      <c r="E35" s="7">
        <v>6</v>
      </c>
      <c r="F35" s="7">
        <v>7</v>
      </c>
      <c r="G35" s="7">
        <v>4</v>
      </c>
      <c r="H35" s="7">
        <v>7</v>
      </c>
      <c r="I35" s="7">
        <v>1</v>
      </c>
      <c r="J35" s="7">
        <v>5</v>
      </c>
      <c r="K35" s="7">
        <v>5</v>
      </c>
      <c r="L35" s="7">
        <v>6</v>
      </c>
      <c r="M35" s="7">
        <v>2</v>
      </c>
      <c r="N35" s="7">
        <v>3</v>
      </c>
      <c r="O35" s="7">
        <v>7</v>
      </c>
      <c r="P35" s="7">
        <v>4</v>
      </c>
      <c r="Q35" s="7"/>
      <c r="R35" s="7">
        <v>3</v>
      </c>
      <c r="S35" s="7">
        <v>1</v>
      </c>
      <c r="T35" s="7">
        <v>8</v>
      </c>
      <c r="U35" s="7">
        <v>3</v>
      </c>
      <c r="V35" s="7">
        <v>11</v>
      </c>
      <c r="W35" s="7">
        <v>8</v>
      </c>
      <c r="X35" s="7">
        <v>8</v>
      </c>
      <c r="Y35" s="7">
        <v>8</v>
      </c>
      <c r="Z35" s="7">
        <v>6</v>
      </c>
      <c r="AA35" s="7">
        <v>7</v>
      </c>
      <c r="AB35" s="7">
        <v>4</v>
      </c>
      <c r="AC35" s="7">
        <v>2</v>
      </c>
      <c r="AD35" s="7">
        <v>3</v>
      </c>
      <c r="AE35" s="7">
        <v>4</v>
      </c>
      <c r="AF35" s="8"/>
      <c r="AG35" s="4">
        <f t="shared" si="2"/>
        <v>149</v>
      </c>
    </row>
    <row r="36" spans="1:33" ht="18.75" x14ac:dyDescent="0.25">
      <c r="A36" s="41" t="s">
        <v>42</v>
      </c>
      <c r="B36" s="7">
        <v>3</v>
      </c>
      <c r="C36" s="7">
        <v>4</v>
      </c>
      <c r="D36" s="7">
        <v>5</v>
      </c>
      <c r="E36" s="7">
        <v>6</v>
      </c>
      <c r="F36" s="7">
        <v>7</v>
      </c>
      <c r="G36" s="7">
        <v>3</v>
      </c>
      <c r="H36" s="7">
        <v>7</v>
      </c>
      <c r="I36" s="7">
        <v>10</v>
      </c>
      <c r="J36" s="7">
        <v>3</v>
      </c>
      <c r="K36" s="7">
        <v>9</v>
      </c>
      <c r="L36" s="7">
        <v>9</v>
      </c>
      <c r="M36" s="7">
        <v>5</v>
      </c>
      <c r="N36" s="7">
        <v>8</v>
      </c>
      <c r="O36" s="7">
        <v>4</v>
      </c>
      <c r="P36" s="7">
        <v>6</v>
      </c>
      <c r="Q36" s="7">
        <v>4</v>
      </c>
      <c r="R36" s="7">
        <v>7</v>
      </c>
      <c r="S36" s="7">
        <v>2</v>
      </c>
      <c r="T36" s="7">
        <v>5</v>
      </c>
      <c r="U36" s="7">
        <v>2</v>
      </c>
      <c r="V36" s="7">
        <v>5</v>
      </c>
      <c r="W36" s="7">
        <v>10</v>
      </c>
      <c r="X36" s="7">
        <v>5</v>
      </c>
      <c r="Y36" s="7">
        <v>10</v>
      </c>
      <c r="Z36" s="7">
        <v>5</v>
      </c>
      <c r="AA36" s="7">
        <v>13</v>
      </c>
      <c r="AB36" s="7">
        <v>8</v>
      </c>
      <c r="AC36" s="7">
        <v>9</v>
      </c>
      <c r="AD36" s="7">
        <v>4</v>
      </c>
      <c r="AE36" s="7">
        <v>9</v>
      </c>
      <c r="AF36" s="8"/>
      <c r="AG36" s="4">
        <f t="shared" si="2"/>
        <v>187</v>
      </c>
    </row>
    <row r="37" spans="1:33" ht="18.75" x14ac:dyDescent="0.25">
      <c r="A37" s="41" t="s">
        <v>43</v>
      </c>
      <c r="B37" s="7">
        <v>6</v>
      </c>
      <c r="C37" s="7">
        <v>3</v>
      </c>
      <c r="D37" s="7">
        <v>5</v>
      </c>
      <c r="E37" s="7">
        <v>9</v>
      </c>
      <c r="F37" s="7">
        <v>11</v>
      </c>
      <c r="G37" s="7">
        <v>6</v>
      </c>
      <c r="H37" s="7">
        <v>6</v>
      </c>
      <c r="I37" s="7">
        <v>13</v>
      </c>
      <c r="J37" s="7">
        <v>10</v>
      </c>
      <c r="K37" s="7">
        <v>11</v>
      </c>
      <c r="L37" s="7">
        <v>4</v>
      </c>
      <c r="M37" s="7">
        <v>9</v>
      </c>
      <c r="N37" s="7">
        <v>5</v>
      </c>
      <c r="O37" s="7">
        <v>7</v>
      </c>
      <c r="P37" s="7">
        <v>9</v>
      </c>
      <c r="Q37" s="7">
        <v>5</v>
      </c>
      <c r="R37" s="7">
        <v>6</v>
      </c>
      <c r="S37" s="7">
        <v>6</v>
      </c>
      <c r="T37" s="7">
        <v>7</v>
      </c>
      <c r="U37" s="7">
        <v>2</v>
      </c>
      <c r="V37" s="7">
        <v>7</v>
      </c>
      <c r="W37" s="7">
        <v>7</v>
      </c>
      <c r="X37" s="7">
        <v>7</v>
      </c>
      <c r="Y37" s="7">
        <v>5</v>
      </c>
      <c r="Z37" s="7">
        <v>12</v>
      </c>
      <c r="AA37" s="7">
        <v>5</v>
      </c>
      <c r="AB37" s="7">
        <v>5</v>
      </c>
      <c r="AC37" s="7">
        <v>7</v>
      </c>
      <c r="AD37" s="7">
        <v>5</v>
      </c>
      <c r="AE37" s="7">
        <v>10</v>
      </c>
      <c r="AF37" s="8"/>
      <c r="AG37" s="4">
        <f t="shared" si="2"/>
        <v>210</v>
      </c>
    </row>
    <row r="38" spans="1:33" ht="18.75" x14ac:dyDescent="0.25">
      <c r="A38" s="41" t="s">
        <v>44</v>
      </c>
      <c r="B38" s="7">
        <v>5</v>
      </c>
      <c r="C38" s="7">
        <v>7</v>
      </c>
      <c r="D38" s="7">
        <v>7</v>
      </c>
      <c r="E38" s="7">
        <v>8</v>
      </c>
      <c r="F38" s="7">
        <v>6</v>
      </c>
      <c r="G38" s="7">
        <v>7</v>
      </c>
      <c r="H38" s="7">
        <v>11</v>
      </c>
      <c r="I38" s="7">
        <v>4</v>
      </c>
      <c r="J38" s="7">
        <v>9</v>
      </c>
      <c r="K38" s="7">
        <v>6</v>
      </c>
      <c r="L38" s="7">
        <v>6</v>
      </c>
      <c r="M38" s="7">
        <v>11</v>
      </c>
      <c r="N38" s="7">
        <v>13</v>
      </c>
      <c r="O38" s="7">
        <v>11</v>
      </c>
      <c r="P38" s="7">
        <v>7</v>
      </c>
      <c r="Q38" s="7">
        <v>6</v>
      </c>
      <c r="R38" s="7">
        <v>4</v>
      </c>
      <c r="S38" s="7">
        <v>7</v>
      </c>
      <c r="T38" s="7">
        <v>7</v>
      </c>
      <c r="U38" s="7">
        <v>5</v>
      </c>
      <c r="V38" s="7">
        <v>1</v>
      </c>
      <c r="W38" s="7">
        <v>5</v>
      </c>
      <c r="X38" s="7">
        <v>9</v>
      </c>
      <c r="Y38" s="7">
        <v>6</v>
      </c>
      <c r="Z38" s="7">
        <v>8</v>
      </c>
      <c r="AA38" s="7">
        <v>6</v>
      </c>
      <c r="AB38" s="7">
        <v>4</v>
      </c>
      <c r="AC38" s="7">
        <v>7</v>
      </c>
      <c r="AD38" s="7">
        <v>6</v>
      </c>
      <c r="AE38" s="7">
        <v>2</v>
      </c>
      <c r="AF38" s="8"/>
      <c r="AG38" s="4">
        <f t="shared" si="2"/>
        <v>201</v>
      </c>
    </row>
    <row r="39" spans="1:33" ht="18.75" x14ac:dyDescent="0.25">
      <c r="A39" s="41" t="s">
        <v>45</v>
      </c>
      <c r="B39" s="7">
        <v>8</v>
      </c>
      <c r="C39" s="7">
        <v>4</v>
      </c>
      <c r="D39" s="7">
        <v>10</v>
      </c>
      <c r="E39" s="7">
        <v>4</v>
      </c>
      <c r="F39" s="7">
        <v>11</v>
      </c>
      <c r="G39" s="7">
        <v>4</v>
      </c>
      <c r="H39" s="7">
        <v>4</v>
      </c>
      <c r="I39" s="7">
        <v>12</v>
      </c>
      <c r="J39" s="7">
        <v>11</v>
      </c>
      <c r="K39" s="7">
        <v>9</v>
      </c>
      <c r="L39" s="7">
        <v>2</v>
      </c>
      <c r="M39" s="7">
        <v>8</v>
      </c>
      <c r="N39" s="7">
        <v>10</v>
      </c>
      <c r="O39" s="7">
        <v>11</v>
      </c>
      <c r="P39" s="7">
        <v>12</v>
      </c>
      <c r="Q39" s="7">
        <v>6</v>
      </c>
      <c r="R39" s="7">
        <v>6</v>
      </c>
      <c r="S39" s="7">
        <v>4</v>
      </c>
      <c r="T39" s="7">
        <v>12</v>
      </c>
      <c r="U39" s="7">
        <v>5</v>
      </c>
      <c r="V39" s="7">
        <v>2</v>
      </c>
      <c r="W39" s="7">
        <v>13</v>
      </c>
      <c r="X39" s="7">
        <v>7</v>
      </c>
      <c r="Y39" s="7">
        <v>12</v>
      </c>
      <c r="Z39" s="7">
        <v>9</v>
      </c>
      <c r="AA39" s="7">
        <v>5</v>
      </c>
      <c r="AB39" s="7">
        <v>10</v>
      </c>
      <c r="AC39" s="7">
        <v>6</v>
      </c>
      <c r="AD39" s="7">
        <v>5</v>
      </c>
      <c r="AE39" s="7">
        <v>11</v>
      </c>
      <c r="AF39" s="8"/>
      <c r="AG39" s="4">
        <f t="shared" si="2"/>
        <v>233</v>
      </c>
    </row>
    <row r="40" spans="1:33" ht="18.75" x14ac:dyDescent="0.25">
      <c r="A40" s="41" t="s">
        <v>46</v>
      </c>
      <c r="B40" s="7">
        <v>10</v>
      </c>
      <c r="C40" s="7">
        <v>8</v>
      </c>
      <c r="D40" s="7">
        <v>5</v>
      </c>
      <c r="E40" s="7">
        <v>8</v>
      </c>
      <c r="F40" s="7">
        <v>12</v>
      </c>
      <c r="G40" s="7">
        <v>8</v>
      </c>
      <c r="H40" s="7">
        <v>4</v>
      </c>
      <c r="I40" s="7">
        <v>14</v>
      </c>
      <c r="J40" s="7">
        <v>10</v>
      </c>
      <c r="K40" s="7">
        <v>14</v>
      </c>
      <c r="L40" s="7">
        <v>6</v>
      </c>
      <c r="M40" s="7">
        <v>14</v>
      </c>
      <c r="N40" s="7">
        <v>6</v>
      </c>
      <c r="O40" s="7">
        <v>8</v>
      </c>
      <c r="P40" s="7">
        <v>11</v>
      </c>
      <c r="Q40" s="7">
        <v>9</v>
      </c>
      <c r="R40" s="7">
        <v>10</v>
      </c>
      <c r="S40" s="7">
        <v>4</v>
      </c>
      <c r="T40" s="7">
        <v>5</v>
      </c>
      <c r="U40" s="7">
        <v>3</v>
      </c>
      <c r="V40" s="7">
        <v>7</v>
      </c>
      <c r="W40" s="7">
        <v>5</v>
      </c>
      <c r="X40" s="7">
        <v>7</v>
      </c>
      <c r="Y40" s="7">
        <v>9</v>
      </c>
      <c r="Z40" s="7">
        <v>8</v>
      </c>
      <c r="AA40" s="7">
        <v>7</v>
      </c>
      <c r="AB40" s="7">
        <v>8</v>
      </c>
      <c r="AC40" s="7">
        <v>2</v>
      </c>
      <c r="AD40" s="7">
        <v>7</v>
      </c>
      <c r="AE40" s="7">
        <v>16</v>
      </c>
      <c r="AF40" s="8"/>
      <c r="AG40" s="4">
        <f t="shared" si="2"/>
        <v>245</v>
      </c>
    </row>
    <row r="41" spans="1:33" ht="18.75" x14ac:dyDescent="0.25">
      <c r="A41" s="41" t="s">
        <v>47</v>
      </c>
      <c r="B41" s="7">
        <v>4</v>
      </c>
      <c r="C41" s="7">
        <v>2</v>
      </c>
      <c r="D41" s="7">
        <v>4</v>
      </c>
      <c r="E41" s="7">
        <v>11</v>
      </c>
      <c r="F41" s="7">
        <v>6</v>
      </c>
      <c r="G41" s="7"/>
      <c r="H41" s="7">
        <v>4</v>
      </c>
      <c r="I41" s="7">
        <v>3</v>
      </c>
      <c r="J41" s="7">
        <v>7</v>
      </c>
      <c r="K41" s="7">
        <v>8</v>
      </c>
      <c r="L41" s="7">
        <v>3</v>
      </c>
      <c r="M41" s="7">
        <v>5</v>
      </c>
      <c r="N41" s="7">
        <v>3</v>
      </c>
      <c r="O41" s="7">
        <v>2</v>
      </c>
      <c r="P41" s="7"/>
      <c r="Q41" s="7">
        <v>5</v>
      </c>
      <c r="R41" s="7">
        <v>8</v>
      </c>
      <c r="S41" s="7">
        <v>1</v>
      </c>
      <c r="T41" s="7">
        <v>2</v>
      </c>
      <c r="U41" s="7"/>
      <c r="V41" s="7">
        <v>3</v>
      </c>
      <c r="W41" s="7">
        <v>5</v>
      </c>
      <c r="X41" s="7">
        <v>7</v>
      </c>
      <c r="Y41" s="7">
        <v>4</v>
      </c>
      <c r="Z41" s="7">
        <v>7</v>
      </c>
      <c r="AA41" s="7">
        <v>5</v>
      </c>
      <c r="AB41" s="7">
        <v>4</v>
      </c>
      <c r="AC41" s="7">
        <v>3</v>
      </c>
      <c r="AD41" s="7">
        <v>1</v>
      </c>
      <c r="AE41" s="7">
        <v>8</v>
      </c>
      <c r="AF41" s="8"/>
      <c r="AG41" s="4">
        <f t="shared" si="2"/>
        <v>125</v>
      </c>
    </row>
    <row r="42" spans="1:33" ht="18.75" x14ac:dyDescent="0.25">
      <c r="A42" s="41" t="s">
        <v>48</v>
      </c>
      <c r="B42" s="7">
        <v>8</v>
      </c>
      <c r="C42" s="7">
        <v>5</v>
      </c>
      <c r="D42" s="7">
        <v>4</v>
      </c>
      <c r="E42" s="7">
        <v>3</v>
      </c>
      <c r="F42" s="7">
        <v>3</v>
      </c>
      <c r="G42" s="7">
        <v>3</v>
      </c>
      <c r="H42" s="7">
        <v>2</v>
      </c>
      <c r="I42" s="7">
        <v>5</v>
      </c>
      <c r="J42" s="7">
        <v>5</v>
      </c>
      <c r="K42" s="7">
        <v>3</v>
      </c>
      <c r="L42" s="7">
        <v>5</v>
      </c>
      <c r="M42" s="7">
        <v>5</v>
      </c>
      <c r="N42" s="7">
        <v>7</v>
      </c>
      <c r="O42" s="7">
        <v>2</v>
      </c>
      <c r="P42" s="7">
        <v>3</v>
      </c>
      <c r="Q42" s="7">
        <v>4</v>
      </c>
      <c r="R42" s="7">
        <v>4</v>
      </c>
      <c r="S42" s="7">
        <v>4</v>
      </c>
      <c r="T42" s="7">
        <v>3</v>
      </c>
      <c r="U42" s="7">
        <v>3</v>
      </c>
      <c r="V42" s="7">
        <v>4</v>
      </c>
      <c r="W42" s="7"/>
      <c r="X42" s="7">
        <v>6</v>
      </c>
      <c r="Y42" s="7">
        <v>3</v>
      </c>
      <c r="Z42" s="7">
        <v>5</v>
      </c>
      <c r="AA42" s="7">
        <v>3</v>
      </c>
      <c r="AB42" s="7">
        <v>3</v>
      </c>
      <c r="AC42" s="7">
        <v>3</v>
      </c>
      <c r="AD42" s="7">
        <v>4</v>
      </c>
      <c r="AE42" s="7">
        <v>4</v>
      </c>
      <c r="AF42" s="8"/>
      <c r="AG42" s="4">
        <f t="shared" si="2"/>
        <v>116</v>
      </c>
    </row>
    <row r="43" spans="1:33" ht="18.75" x14ac:dyDescent="0.25">
      <c r="A43" s="41" t="s">
        <v>49</v>
      </c>
      <c r="B43" s="7">
        <v>2</v>
      </c>
      <c r="C43" s="7">
        <v>2</v>
      </c>
      <c r="D43" s="7">
        <v>1</v>
      </c>
      <c r="E43" s="7">
        <v>3</v>
      </c>
      <c r="F43" s="7">
        <v>5</v>
      </c>
      <c r="G43" s="7"/>
      <c r="H43" s="7">
        <v>4</v>
      </c>
      <c r="I43" s="7">
        <v>5</v>
      </c>
      <c r="J43" s="7">
        <v>6</v>
      </c>
      <c r="K43" s="7">
        <v>3</v>
      </c>
      <c r="L43" s="7">
        <v>1</v>
      </c>
      <c r="M43" s="7">
        <v>9</v>
      </c>
      <c r="N43" s="7">
        <v>2</v>
      </c>
      <c r="O43" s="7">
        <v>2</v>
      </c>
      <c r="P43" s="7">
        <v>1</v>
      </c>
      <c r="Q43" s="7">
        <v>4</v>
      </c>
      <c r="R43" s="7">
        <v>2</v>
      </c>
      <c r="S43" s="7">
        <v>5</v>
      </c>
      <c r="T43" s="7">
        <v>3</v>
      </c>
      <c r="U43" s="7">
        <v>1</v>
      </c>
      <c r="V43" s="7">
        <v>5</v>
      </c>
      <c r="W43" s="7">
        <v>4</v>
      </c>
      <c r="X43" s="7">
        <v>1</v>
      </c>
      <c r="Y43" s="7">
        <v>1</v>
      </c>
      <c r="Z43" s="7"/>
      <c r="AA43" s="7">
        <v>4</v>
      </c>
      <c r="AB43" s="7">
        <v>7</v>
      </c>
      <c r="AC43" s="7">
        <v>3</v>
      </c>
      <c r="AD43" s="7">
        <v>4</v>
      </c>
      <c r="AE43" s="7">
        <v>1</v>
      </c>
      <c r="AF43" s="8"/>
      <c r="AG43" s="4">
        <f t="shared" si="2"/>
        <v>91</v>
      </c>
    </row>
    <row r="44" spans="1:33" ht="18.75" x14ac:dyDescent="0.25">
      <c r="A44" s="41" t="s">
        <v>50</v>
      </c>
      <c r="B44" s="7">
        <v>4</v>
      </c>
      <c r="C44" s="7"/>
      <c r="D44" s="7">
        <v>4</v>
      </c>
      <c r="E44" s="7">
        <v>4</v>
      </c>
      <c r="F44" s="7">
        <v>2</v>
      </c>
      <c r="G44" s="7">
        <v>3</v>
      </c>
      <c r="H44" s="7"/>
      <c r="I44" s="7">
        <v>3</v>
      </c>
      <c r="J44" s="7">
        <v>1</v>
      </c>
      <c r="K44" s="7">
        <v>1</v>
      </c>
      <c r="L44" s="7">
        <v>2</v>
      </c>
      <c r="M44" s="7">
        <v>1</v>
      </c>
      <c r="N44" s="7">
        <v>4</v>
      </c>
      <c r="O44" s="7">
        <v>3</v>
      </c>
      <c r="P44" s="7">
        <v>2</v>
      </c>
      <c r="Q44" s="7">
        <v>2</v>
      </c>
      <c r="R44" s="7"/>
      <c r="S44" s="7"/>
      <c r="T44" s="7">
        <v>1</v>
      </c>
      <c r="U44" s="7">
        <v>5</v>
      </c>
      <c r="V44" s="7"/>
      <c r="W44" s="7">
        <v>2</v>
      </c>
      <c r="X44" s="7">
        <v>3</v>
      </c>
      <c r="Y44" s="7">
        <v>3</v>
      </c>
      <c r="Z44" s="7">
        <v>2</v>
      </c>
      <c r="AA44" s="7">
        <v>5</v>
      </c>
      <c r="AB44" s="7">
        <v>1</v>
      </c>
      <c r="AC44" s="7"/>
      <c r="AD44" s="7">
        <v>3</v>
      </c>
      <c r="AE44" s="7">
        <v>2</v>
      </c>
      <c r="AF44" s="8"/>
      <c r="AG44" s="4">
        <f t="shared" si="2"/>
        <v>63</v>
      </c>
    </row>
    <row r="45" spans="1:33" ht="18.75" x14ac:dyDescent="0.25">
      <c r="A45" s="41" t="s">
        <v>33</v>
      </c>
      <c r="B45" s="7"/>
      <c r="C45" s="7">
        <v>4</v>
      </c>
      <c r="D45" s="7">
        <v>4</v>
      </c>
      <c r="E45" s="7"/>
      <c r="F45" s="7"/>
      <c r="G45" s="7">
        <v>4</v>
      </c>
      <c r="H45" s="7">
        <v>2</v>
      </c>
      <c r="I45" s="7">
        <v>4</v>
      </c>
      <c r="J45" s="7">
        <v>1</v>
      </c>
      <c r="K45" s="7">
        <v>3</v>
      </c>
      <c r="L45" s="7">
        <v>1</v>
      </c>
      <c r="M45" s="7">
        <v>1</v>
      </c>
      <c r="N45" s="7">
        <v>6</v>
      </c>
      <c r="O45" s="7"/>
      <c r="P45" s="7">
        <v>2</v>
      </c>
      <c r="Q45" s="7">
        <v>1</v>
      </c>
      <c r="R45" s="7">
        <v>1</v>
      </c>
      <c r="S45" s="7">
        <v>2</v>
      </c>
      <c r="T45" s="7">
        <v>5</v>
      </c>
      <c r="U45" s="7">
        <v>3</v>
      </c>
      <c r="V45" s="7"/>
      <c r="W45" s="7">
        <v>1</v>
      </c>
      <c r="X45" s="7"/>
      <c r="Y45" s="7">
        <v>2</v>
      </c>
      <c r="Z45" s="7">
        <v>2</v>
      </c>
      <c r="AA45" s="7">
        <v>1</v>
      </c>
      <c r="AB45" s="7">
        <v>1</v>
      </c>
      <c r="AC45" s="7">
        <v>1</v>
      </c>
      <c r="AD45" s="7">
        <v>2</v>
      </c>
      <c r="AE45" s="7">
        <v>2</v>
      </c>
      <c r="AF45" s="8"/>
      <c r="AG45" s="4">
        <f t="shared" si="2"/>
        <v>56</v>
      </c>
    </row>
    <row r="46" spans="1:33" ht="18.75" x14ac:dyDescent="0.25">
      <c r="A46" s="41" t="s">
        <v>34</v>
      </c>
      <c r="B46" s="7">
        <v>2</v>
      </c>
      <c r="C46" s="7">
        <v>1</v>
      </c>
      <c r="D46" s="7">
        <v>4</v>
      </c>
      <c r="E46" s="7">
        <v>4</v>
      </c>
      <c r="F46" s="7">
        <v>1</v>
      </c>
      <c r="G46" s="7">
        <v>1</v>
      </c>
      <c r="H46" s="7">
        <v>1</v>
      </c>
      <c r="I46" s="7">
        <v>1</v>
      </c>
      <c r="J46" s="7"/>
      <c r="K46" s="7">
        <v>1</v>
      </c>
      <c r="L46" s="7">
        <v>1</v>
      </c>
      <c r="M46" s="7">
        <v>1</v>
      </c>
      <c r="N46" s="7">
        <v>2</v>
      </c>
      <c r="O46" s="7">
        <v>1</v>
      </c>
      <c r="P46" s="7">
        <v>1</v>
      </c>
      <c r="Q46" s="7"/>
      <c r="R46" s="7"/>
      <c r="S46" s="7"/>
      <c r="T46" s="7">
        <v>1</v>
      </c>
      <c r="U46" s="7">
        <v>2</v>
      </c>
      <c r="V46" s="7"/>
      <c r="W46" s="7">
        <v>1</v>
      </c>
      <c r="X46" s="7"/>
      <c r="Y46" s="7"/>
      <c r="Z46" s="7">
        <v>3</v>
      </c>
      <c r="AA46" s="7">
        <v>1</v>
      </c>
      <c r="AB46" s="7">
        <v>1</v>
      </c>
      <c r="AC46" s="7"/>
      <c r="AD46" s="7">
        <v>3</v>
      </c>
      <c r="AE46" s="7">
        <v>3</v>
      </c>
      <c r="AF46" s="8"/>
      <c r="AG46" s="4">
        <f t="shared" si="2"/>
        <v>37</v>
      </c>
    </row>
    <row r="47" spans="1:33" ht="18.75" x14ac:dyDescent="0.25">
      <c r="A47" s="41" t="s">
        <v>35</v>
      </c>
      <c r="B47" s="7"/>
      <c r="C47" s="7"/>
      <c r="D47" s="7">
        <v>5</v>
      </c>
      <c r="E47" s="7">
        <v>1</v>
      </c>
      <c r="F47" s="7">
        <v>2</v>
      </c>
      <c r="G47" s="7">
        <v>2</v>
      </c>
      <c r="H47" s="7"/>
      <c r="I47" s="7">
        <v>2</v>
      </c>
      <c r="J47" s="7">
        <v>1</v>
      </c>
      <c r="K47" s="7"/>
      <c r="L47" s="7"/>
      <c r="M47" s="7"/>
      <c r="N47" s="7">
        <v>3</v>
      </c>
      <c r="O47" s="7">
        <v>1</v>
      </c>
      <c r="P47" s="7"/>
      <c r="Q47" s="7"/>
      <c r="R47" s="7">
        <v>2</v>
      </c>
      <c r="S47" s="7">
        <v>4</v>
      </c>
      <c r="T47" s="7">
        <v>1</v>
      </c>
      <c r="U47" s="7"/>
      <c r="V47" s="7">
        <v>1</v>
      </c>
      <c r="W47" s="7">
        <v>2</v>
      </c>
      <c r="X47" s="7">
        <v>1</v>
      </c>
      <c r="Y47" s="7"/>
      <c r="Z47" s="7">
        <v>1</v>
      </c>
      <c r="AA47" s="7"/>
      <c r="AB47" s="7">
        <v>2</v>
      </c>
      <c r="AC47" s="7"/>
      <c r="AD47" s="7"/>
      <c r="AE47" s="7"/>
      <c r="AF47" s="8"/>
      <c r="AG47" s="4">
        <f t="shared" si="2"/>
        <v>31</v>
      </c>
    </row>
    <row r="48" spans="1:33" ht="18.75" x14ac:dyDescent="0.25">
      <c r="A48" s="41" t="s">
        <v>36</v>
      </c>
      <c r="B48" s="7"/>
      <c r="C48" s="7">
        <v>1</v>
      </c>
      <c r="D48" s="7"/>
      <c r="E48" s="7"/>
      <c r="F48" s="7"/>
      <c r="G48" s="7"/>
      <c r="H48" s="7">
        <v>1</v>
      </c>
      <c r="I48" s="7">
        <v>2</v>
      </c>
      <c r="J48" s="7">
        <v>1</v>
      </c>
      <c r="K48" s="7">
        <v>2</v>
      </c>
      <c r="L48" s="7"/>
      <c r="M48" s="7">
        <v>1</v>
      </c>
      <c r="N48" s="7">
        <v>1</v>
      </c>
      <c r="O48" s="7">
        <v>2</v>
      </c>
      <c r="P48" s="7"/>
      <c r="Q48" s="7"/>
      <c r="R48" s="7"/>
      <c r="S48" s="7">
        <v>1</v>
      </c>
      <c r="T48" s="7"/>
      <c r="U48" s="7">
        <v>3</v>
      </c>
      <c r="V48" s="7"/>
      <c r="W48" s="7"/>
      <c r="X48" s="7">
        <v>1</v>
      </c>
      <c r="Y48" s="7">
        <v>1</v>
      </c>
      <c r="Z48" s="7">
        <v>1</v>
      </c>
      <c r="AA48" s="7"/>
      <c r="AB48" s="7"/>
      <c r="AC48" s="7"/>
      <c r="AD48" s="7"/>
      <c r="AE48" s="7">
        <v>2</v>
      </c>
      <c r="AF48" s="8"/>
      <c r="AG48" s="4">
        <f t="shared" si="2"/>
        <v>20</v>
      </c>
    </row>
    <row r="49" spans="1:33" ht="18.75" x14ac:dyDescent="0.25">
      <c r="A49" s="41" t="s">
        <v>51</v>
      </c>
      <c r="B49" s="7"/>
      <c r="C49" s="7">
        <v>1</v>
      </c>
      <c r="D49" s="7"/>
      <c r="E49" s="7"/>
      <c r="F49" s="7">
        <v>1</v>
      </c>
      <c r="G49" s="7"/>
      <c r="H49" s="7">
        <v>1</v>
      </c>
      <c r="I49" s="7"/>
      <c r="J49" s="7"/>
      <c r="K49" s="7">
        <v>1</v>
      </c>
      <c r="L49" s="7"/>
      <c r="M49" s="7">
        <v>1</v>
      </c>
      <c r="N49" s="7"/>
      <c r="O49" s="7">
        <v>1</v>
      </c>
      <c r="P49" s="7">
        <v>1</v>
      </c>
      <c r="Q49" s="7"/>
      <c r="R49" s="7"/>
      <c r="S49" s="7">
        <v>1</v>
      </c>
      <c r="T49" s="7">
        <v>4</v>
      </c>
      <c r="U49" s="7">
        <v>3</v>
      </c>
      <c r="V49" s="7">
        <v>1</v>
      </c>
      <c r="W49" s="7"/>
      <c r="X49" s="7"/>
      <c r="Y49" s="7"/>
      <c r="Z49" s="7"/>
      <c r="AA49" s="7"/>
      <c r="AB49" s="7"/>
      <c r="AC49" s="7"/>
      <c r="AD49" s="7"/>
      <c r="AE49" s="7">
        <v>1</v>
      </c>
      <c r="AF49" s="8"/>
      <c r="AG49" s="4">
        <f t="shared" si="2"/>
        <v>17</v>
      </c>
    </row>
    <row r="50" spans="1:33" ht="18.75" x14ac:dyDescent="0.25">
      <c r="A50" s="41" t="s">
        <v>52</v>
      </c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>
        <v>1</v>
      </c>
      <c r="O50" s="7"/>
      <c r="P50" s="7"/>
      <c r="Q50" s="7"/>
      <c r="R50" s="7">
        <v>1</v>
      </c>
      <c r="S50" s="7"/>
      <c r="T50" s="7">
        <v>2</v>
      </c>
      <c r="U50" s="7"/>
      <c r="V50" s="7"/>
      <c r="W50" s="7">
        <v>1</v>
      </c>
      <c r="X50" s="7"/>
      <c r="Y50" s="7"/>
      <c r="Z50" s="7"/>
      <c r="AA50" s="7"/>
      <c r="AB50" s="7">
        <v>1</v>
      </c>
      <c r="AC50" s="7"/>
      <c r="AD50" s="7"/>
      <c r="AE50" s="7"/>
      <c r="AF50" s="8"/>
      <c r="AG50" s="4">
        <f t="shared" si="2"/>
        <v>6</v>
      </c>
    </row>
    <row r="51" spans="1:33" ht="18.75" x14ac:dyDescent="0.25">
      <c r="A51" s="41" t="s">
        <v>37</v>
      </c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>
        <v>1</v>
      </c>
      <c r="R51" s="7"/>
      <c r="S51" s="7"/>
      <c r="T51" s="7"/>
      <c r="U51" s="7">
        <v>2</v>
      </c>
      <c r="V51" s="7"/>
      <c r="W51" s="7">
        <v>1</v>
      </c>
      <c r="X51" s="7"/>
      <c r="Y51" s="7"/>
      <c r="Z51" s="7">
        <v>2</v>
      </c>
      <c r="AA51" s="7"/>
      <c r="AB51" s="7"/>
      <c r="AC51" s="7"/>
      <c r="AD51" s="7"/>
      <c r="AE51" s="7">
        <v>1</v>
      </c>
      <c r="AF51" s="8"/>
      <c r="AG51" s="4">
        <f t="shared" si="2"/>
        <v>7</v>
      </c>
    </row>
    <row r="52" spans="1:33" ht="19.5" thickBot="1" x14ac:dyDescent="0.3">
      <c r="A52" s="77" t="s">
        <v>53</v>
      </c>
      <c r="B52" s="9"/>
      <c r="C52" s="9">
        <v>2</v>
      </c>
      <c r="D52" s="9">
        <v>3</v>
      </c>
      <c r="E52" s="9">
        <v>1</v>
      </c>
      <c r="F52" s="9"/>
      <c r="G52" s="9"/>
      <c r="H52" s="9"/>
      <c r="I52" s="9">
        <v>1</v>
      </c>
      <c r="J52" s="9"/>
      <c r="K52" s="9">
        <v>1</v>
      </c>
      <c r="L52" s="9"/>
      <c r="M52" s="9"/>
      <c r="N52" s="9"/>
      <c r="O52" s="9"/>
      <c r="P52" s="9">
        <v>1</v>
      </c>
      <c r="Q52" s="9"/>
      <c r="R52" s="9"/>
      <c r="S52" s="9"/>
      <c r="T52" s="9">
        <v>1</v>
      </c>
      <c r="U52" s="9">
        <v>1</v>
      </c>
      <c r="V52" s="9"/>
      <c r="W52" s="9">
        <v>2</v>
      </c>
      <c r="X52" s="9">
        <v>1</v>
      </c>
      <c r="Y52" s="9"/>
      <c r="Z52" s="9">
        <v>1</v>
      </c>
      <c r="AA52" s="9"/>
      <c r="AB52" s="9"/>
      <c r="AC52" s="9">
        <v>1</v>
      </c>
      <c r="AD52" s="9">
        <v>1</v>
      </c>
      <c r="AE52" s="9"/>
      <c r="AF52" s="10"/>
      <c r="AG52" s="108">
        <f t="shared" si="2"/>
        <v>17</v>
      </c>
    </row>
    <row r="53" spans="1:33" ht="19.5" thickBot="1" x14ac:dyDescent="0.3">
      <c r="A53" s="136" t="s">
        <v>108</v>
      </c>
      <c r="B53" s="135">
        <f t="shared" ref="B53:AF53" si="4">SUM(B54:B77)</f>
        <v>2</v>
      </c>
      <c r="C53" s="135">
        <f t="shared" si="4"/>
        <v>2</v>
      </c>
      <c r="D53" s="135">
        <f t="shared" si="4"/>
        <v>2</v>
      </c>
      <c r="E53" s="135">
        <f t="shared" si="4"/>
        <v>3</v>
      </c>
      <c r="F53" s="135">
        <f t="shared" si="4"/>
        <v>4</v>
      </c>
      <c r="G53" s="135">
        <f t="shared" si="4"/>
        <v>0</v>
      </c>
      <c r="H53" s="135">
        <f t="shared" si="4"/>
        <v>4</v>
      </c>
      <c r="I53" s="135">
        <f t="shared" si="4"/>
        <v>9</v>
      </c>
      <c r="J53" s="135">
        <f t="shared" si="4"/>
        <v>6</v>
      </c>
      <c r="K53" s="135">
        <f t="shared" si="4"/>
        <v>11</v>
      </c>
      <c r="L53" s="135">
        <f t="shared" si="4"/>
        <v>12</v>
      </c>
      <c r="M53" s="135">
        <f t="shared" si="4"/>
        <v>14</v>
      </c>
      <c r="N53" s="135">
        <f t="shared" si="4"/>
        <v>5</v>
      </c>
      <c r="O53" s="135">
        <f t="shared" si="4"/>
        <v>1</v>
      </c>
      <c r="P53" s="135">
        <f t="shared" si="4"/>
        <v>5</v>
      </c>
      <c r="Q53" s="135">
        <f t="shared" si="4"/>
        <v>0</v>
      </c>
      <c r="R53" s="135">
        <f t="shared" si="4"/>
        <v>4</v>
      </c>
      <c r="S53" s="135">
        <f t="shared" si="4"/>
        <v>4</v>
      </c>
      <c r="T53" s="135">
        <f t="shared" si="4"/>
        <v>1</v>
      </c>
      <c r="U53" s="135">
        <f t="shared" si="4"/>
        <v>1</v>
      </c>
      <c r="V53" s="135">
        <f t="shared" si="4"/>
        <v>0</v>
      </c>
      <c r="W53" s="135">
        <f t="shared" si="4"/>
        <v>10</v>
      </c>
      <c r="X53" s="135">
        <f t="shared" si="4"/>
        <v>6</v>
      </c>
      <c r="Y53" s="135">
        <f t="shared" si="4"/>
        <v>8</v>
      </c>
      <c r="Z53" s="135">
        <f t="shared" si="4"/>
        <v>16</v>
      </c>
      <c r="AA53" s="135">
        <f t="shared" si="4"/>
        <v>10</v>
      </c>
      <c r="AB53" s="135">
        <f t="shared" si="4"/>
        <v>0</v>
      </c>
      <c r="AC53" s="135">
        <f t="shared" si="4"/>
        <v>1</v>
      </c>
      <c r="AD53" s="135">
        <f t="shared" si="4"/>
        <v>0</v>
      </c>
      <c r="AE53" s="135">
        <f t="shared" si="4"/>
        <v>6</v>
      </c>
      <c r="AF53" s="135">
        <f t="shared" si="4"/>
        <v>0</v>
      </c>
      <c r="AG53" s="116">
        <f t="shared" si="2"/>
        <v>147</v>
      </c>
    </row>
    <row r="54" spans="1:33" ht="18.75" x14ac:dyDescent="0.25">
      <c r="A54" s="113" t="s">
        <v>54</v>
      </c>
      <c r="B54" s="114"/>
      <c r="C54" s="114"/>
      <c r="D54" s="7"/>
      <c r="E54" s="114"/>
      <c r="F54" s="114"/>
      <c r="G54" s="7"/>
      <c r="H54" s="114"/>
      <c r="I54" s="114"/>
      <c r="J54" s="114"/>
      <c r="K54" s="114"/>
      <c r="L54" s="114"/>
      <c r="M54" s="114">
        <v>3</v>
      </c>
      <c r="N54" s="114"/>
      <c r="O54" s="114"/>
      <c r="P54" s="114">
        <v>1</v>
      </c>
      <c r="Q54" s="114"/>
      <c r="R54" s="114"/>
      <c r="S54" s="114"/>
      <c r="T54" s="114"/>
      <c r="U54" s="114"/>
      <c r="V54" s="114"/>
      <c r="W54" s="114"/>
      <c r="X54" s="114">
        <v>1</v>
      </c>
      <c r="Y54" s="114"/>
      <c r="Z54" s="114">
        <v>1</v>
      </c>
      <c r="AA54" s="114"/>
      <c r="AB54" s="114"/>
      <c r="AC54" s="114"/>
      <c r="AD54" s="114"/>
      <c r="AE54" s="114"/>
      <c r="AF54" s="115"/>
      <c r="AG54" s="132">
        <f t="shared" si="2"/>
        <v>6</v>
      </c>
    </row>
    <row r="55" spans="1:33" ht="18.75" x14ac:dyDescent="0.25">
      <c r="A55" s="41" t="s">
        <v>55</v>
      </c>
      <c r="B55" s="7"/>
      <c r="C55" s="7"/>
      <c r="D55" s="7"/>
      <c r="E55" s="7"/>
      <c r="F55" s="7"/>
      <c r="G55" s="7"/>
      <c r="H55" s="7"/>
      <c r="I55" s="7">
        <v>3</v>
      </c>
      <c r="J55" s="7"/>
      <c r="K55" s="7">
        <v>2</v>
      </c>
      <c r="L55" s="7"/>
      <c r="M55" s="7">
        <v>1</v>
      </c>
      <c r="N55" s="7"/>
      <c r="O55" s="7"/>
      <c r="P55" s="7">
        <v>1</v>
      </c>
      <c r="Q55" s="7"/>
      <c r="R55" s="7"/>
      <c r="S55" s="7"/>
      <c r="T55" s="7"/>
      <c r="U55" s="7"/>
      <c r="V55" s="7"/>
      <c r="W55" s="7">
        <v>1</v>
      </c>
      <c r="X55" s="7"/>
      <c r="Y55" s="7">
        <v>2</v>
      </c>
      <c r="Z55" s="7">
        <v>2</v>
      </c>
      <c r="AA55" s="7">
        <v>1</v>
      </c>
      <c r="AB55" s="7"/>
      <c r="AC55" s="7"/>
      <c r="AD55" s="7"/>
      <c r="AE55" s="7"/>
      <c r="AF55" s="8"/>
      <c r="AG55" s="4">
        <f t="shared" si="2"/>
        <v>13</v>
      </c>
    </row>
    <row r="56" spans="1:33" ht="18.75" x14ac:dyDescent="0.25">
      <c r="A56" s="41" t="s">
        <v>56</v>
      </c>
      <c r="B56" s="7"/>
      <c r="C56" s="7"/>
      <c r="D56" s="7">
        <v>1</v>
      </c>
      <c r="E56" s="7">
        <v>1</v>
      </c>
      <c r="F56" s="7"/>
      <c r="G56" s="7"/>
      <c r="H56" s="7"/>
      <c r="I56" s="7">
        <v>2</v>
      </c>
      <c r="J56" s="7"/>
      <c r="K56" s="7">
        <v>1</v>
      </c>
      <c r="L56" s="7"/>
      <c r="M56" s="7">
        <v>1</v>
      </c>
      <c r="N56" s="7"/>
      <c r="O56" s="7"/>
      <c r="P56" s="7"/>
      <c r="Q56" s="7"/>
      <c r="R56" s="7"/>
      <c r="S56" s="7">
        <v>1</v>
      </c>
      <c r="T56" s="7"/>
      <c r="U56" s="7"/>
      <c r="V56" s="7"/>
      <c r="W56" s="7"/>
      <c r="X56" s="7">
        <v>2</v>
      </c>
      <c r="Y56" s="7"/>
      <c r="Z56" s="7">
        <v>2</v>
      </c>
      <c r="AA56" s="7">
        <v>3</v>
      </c>
      <c r="AB56" s="7"/>
      <c r="AC56" s="7"/>
      <c r="AD56" s="7"/>
      <c r="AE56" s="7"/>
      <c r="AF56" s="8"/>
      <c r="AG56" s="4">
        <f t="shared" si="2"/>
        <v>14</v>
      </c>
    </row>
    <row r="57" spans="1:33" ht="18.75" x14ac:dyDescent="0.25">
      <c r="A57" s="41" t="s">
        <v>38</v>
      </c>
      <c r="B57" s="7"/>
      <c r="C57" s="7"/>
      <c r="D57" s="7"/>
      <c r="E57" s="7"/>
      <c r="F57" s="7"/>
      <c r="G57" s="7"/>
      <c r="H57" s="7"/>
      <c r="I57" s="7">
        <v>1</v>
      </c>
      <c r="J57" s="7"/>
      <c r="K57" s="7"/>
      <c r="L57" s="7">
        <v>4</v>
      </c>
      <c r="M57" s="7">
        <v>1</v>
      </c>
      <c r="N57" s="7"/>
      <c r="O57" s="7">
        <v>1</v>
      </c>
      <c r="P57" s="7"/>
      <c r="Q57" s="7"/>
      <c r="R57" s="7"/>
      <c r="S57" s="7"/>
      <c r="T57" s="7"/>
      <c r="U57" s="7">
        <v>1</v>
      </c>
      <c r="V57" s="7"/>
      <c r="W57" s="7"/>
      <c r="X57" s="7">
        <v>1</v>
      </c>
      <c r="Y57" s="7"/>
      <c r="Z57" s="7">
        <v>1</v>
      </c>
      <c r="AA57" s="7"/>
      <c r="AB57" s="7"/>
      <c r="AC57" s="7"/>
      <c r="AD57" s="7"/>
      <c r="AE57" s="7"/>
      <c r="AF57" s="8"/>
      <c r="AG57" s="4">
        <f t="shared" si="2"/>
        <v>10</v>
      </c>
    </row>
    <row r="58" spans="1:33" ht="18.75" x14ac:dyDescent="0.25">
      <c r="A58" s="41" t="s">
        <v>39</v>
      </c>
      <c r="B58" s="7"/>
      <c r="C58" s="7"/>
      <c r="D58" s="7"/>
      <c r="E58" s="7"/>
      <c r="F58" s="7"/>
      <c r="G58" s="7"/>
      <c r="H58" s="7">
        <v>1</v>
      </c>
      <c r="I58" s="7">
        <v>1</v>
      </c>
      <c r="J58" s="7"/>
      <c r="K58" s="7"/>
      <c r="L58" s="7">
        <v>4</v>
      </c>
      <c r="M58" s="7">
        <v>2</v>
      </c>
      <c r="N58" s="7"/>
      <c r="O58" s="7"/>
      <c r="P58" s="7"/>
      <c r="Q58" s="7"/>
      <c r="R58" s="7">
        <v>1</v>
      </c>
      <c r="S58" s="7">
        <v>1</v>
      </c>
      <c r="T58" s="7"/>
      <c r="U58" s="7"/>
      <c r="V58" s="7"/>
      <c r="W58" s="7">
        <v>3</v>
      </c>
      <c r="X58" s="7">
        <v>1</v>
      </c>
      <c r="Y58" s="7"/>
      <c r="Z58" s="7">
        <v>2</v>
      </c>
      <c r="AA58" s="7"/>
      <c r="AB58" s="7"/>
      <c r="AC58" s="7"/>
      <c r="AD58" s="7"/>
      <c r="AE58" s="7">
        <v>1</v>
      </c>
      <c r="AF58" s="8"/>
      <c r="AG58" s="4">
        <f t="shared" si="2"/>
        <v>17</v>
      </c>
    </row>
    <row r="59" spans="1:33" ht="18.75" x14ac:dyDescent="0.25">
      <c r="A59" s="41" t="s">
        <v>40</v>
      </c>
      <c r="B59" s="7"/>
      <c r="C59" s="7"/>
      <c r="D59" s="7"/>
      <c r="E59" s="7">
        <v>2</v>
      </c>
      <c r="F59" s="7"/>
      <c r="G59" s="7"/>
      <c r="H59" s="7"/>
      <c r="I59" s="7"/>
      <c r="J59" s="7"/>
      <c r="K59" s="7">
        <v>1</v>
      </c>
      <c r="L59" s="7">
        <v>1</v>
      </c>
      <c r="M59" s="7">
        <v>1</v>
      </c>
      <c r="N59" s="7"/>
      <c r="O59" s="7"/>
      <c r="P59" s="7"/>
      <c r="Q59" s="7"/>
      <c r="R59" s="7"/>
      <c r="S59" s="7"/>
      <c r="T59" s="7">
        <v>1</v>
      </c>
      <c r="U59" s="7"/>
      <c r="V59" s="7"/>
      <c r="W59" s="7">
        <v>2</v>
      </c>
      <c r="X59" s="7"/>
      <c r="Y59" s="7"/>
      <c r="Z59" s="7">
        <v>1</v>
      </c>
      <c r="AA59" s="7">
        <v>1</v>
      </c>
      <c r="AB59" s="7"/>
      <c r="AC59" s="7"/>
      <c r="AD59" s="7"/>
      <c r="AE59" s="7"/>
      <c r="AF59" s="8"/>
      <c r="AG59" s="4">
        <f t="shared" si="2"/>
        <v>10</v>
      </c>
    </row>
    <row r="60" spans="1:33" ht="18.75" x14ac:dyDescent="0.25">
      <c r="A60" s="41" t="s">
        <v>41</v>
      </c>
      <c r="B60" s="7"/>
      <c r="C60" s="7">
        <v>1</v>
      </c>
      <c r="D60" s="7"/>
      <c r="E60" s="7"/>
      <c r="F60" s="7"/>
      <c r="G60" s="7"/>
      <c r="H60" s="7">
        <v>3</v>
      </c>
      <c r="I60" s="7">
        <v>1</v>
      </c>
      <c r="J60" s="7"/>
      <c r="K60" s="7">
        <v>1</v>
      </c>
      <c r="L60" s="7"/>
      <c r="M60" s="7"/>
      <c r="N60" s="7"/>
      <c r="O60" s="7"/>
      <c r="P60" s="7"/>
      <c r="Q60" s="7"/>
      <c r="R60" s="7">
        <v>1</v>
      </c>
      <c r="S60" s="7"/>
      <c r="T60" s="7"/>
      <c r="U60" s="7"/>
      <c r="V60" s="7"/>
      <c r="W60" s="7"/>
      <c r="X60" s="7"/>
      <c r="Y60" s="7">
        <v>2</v>
      </c>
      <c r="Z60" s="7">
        <v>2</v>
      </c>
      <c r="AA60" s="7"/>
      <c r="AB60" s="7"/>
      <c r="AC60" s="7"/>
      <c r="AD60" s="7"/>
      <c r="AE60" s="7"/>
      <c r="AF60" s="8"/>
      <c r="AG60" s="4">
        <f t="shared" si="2"/>
        <v>11</v>
      </c>
    </row>
    <row r="61" spans="1:33" ht="18.75" x14ac:dyDescent="0.25">
      <c r="A61" s="41" t="s">
        <v>42</v>
      </c>
      <c r="B61" s="7"/>
      <c r="C61" s="7"/>
      <c r="D61" s="7"/>
      <c r="E61" s="7"/>
      <c r="F61" s="7"/>
      <c r="G61" s="7"/>
      <c r="H61" s="7"/>
      <c r="I61" s="7"/>
      <c r="J61" s="7"/>
      <c r="K61" s="7">
        <v>1</v>
      </c>
      <c r="L61" s="7">
        <v>1</v>
      </c>
      <c r="M61" s="7">
        <v>3</v>
      </c>
      <c r="N61" s="7">
        <v>1</v>
      </c>
      <c r="O61" s="7"/>
      <c r="P61" s="7"/>
      <c r="Q61" s="7"/>
      <c r="R61" s="7"/>
      <c r="S61" s="7"/>
      <c r="T61" s="7"/>
      <c r="U61" s="7"/>
      <c r="V61" s="7"/>
      <c r="W61" s="7">
        <v>1</v>
      </c>
      <c r="X61" s="7">
        <v>1</v>
      </c>
      <c r="Y61" s="7"/>
      <c r="Z61" s="7">
        <v>3</v>
      </c>
      <c r="AA61" s="7">
        <v>1</v>
      </c>
      <c r="AB61" s="7"/>
      <c r="AC61" s="7"/>
      <c r="AD61" s="7"/>
      <c r="AE61" s="7">
        <v>1</v>
      </c>
      <c r="AF61" s="8"/>
      <c r="AG61" s="4">
        <f t="shared" si="2"/>
        <v>13</v>
      </c>
    </row>
    <row r="62" spans="1:33" ht="18.75" x14ac:dyDescent="0.25">
      <c r="A62" s="41" t="s">
        <v>43</v>
      </c>
      <c r="B62" s="7"/>
      <c r="C62" s="7"/>
      <c r="D62" s="7"/>
      <c r="E62" s="7"/>
      <c r="F62" s="7">
        <v>2</v>
      </c>
      <c r="G62" s="7"/>
      <c r="H62" s="7"/>
      <c r="I62" s="7">
        <v>1</v>
      </c>
      <c r="J62" s="7">
        <v>4</v>
      </c>
      <c r="K62" s="7">
        <v>3</v>
      </c>
      <c r="L62" s="7">
        <v>1</v>
      </c>
      <c r="M62" s="7">
        <v>2</v>
      </c>
      <c r="N62" s="7"/>
      <c r="O62" s="7"/>
      <c r="P62" s="7"/>
      <c r="Q62" s="7"/>
      <c r="R62" s="7"/>
      <c r="S62" s="7">
        <v>1</v>
      </c>
      <c r="T62" s="7"/>
      <c r="U62" s="7"/>
      <c r="V62" s="7"/>
      <c r="W62" s="7">
        <v>1</v>
      </c>
      <c r="X62" s="7"/>
      <c r="Y62" s="7">
        <v>3</v>
      </c>
      <c r="Z62" s="7">
        <v>1</v>
      </c>
      <c r="AA62" s="7"/>
      <c r="AB62" s="7"/>
      <c r="AC62" s="7"/>
      <c r="AD62" s="7"/>
      <c r="AE62" s="7">
        <v>1</v>
      </c>
      <c r="AF62" s="8"/>
      <c r="AG62" s="4">
        <f t="shared" si="2"/>
        <v>20</v>
      </c>
    </row>
    <row r="63" spans="1:33" ht="18.75" x14ac:dyDescent="0.25">
      <c r="A63" s="41" t="s">
        <v>44</v>
      </c>
      <c r="B63" s="7">
        <v>1</v>
      </c>
      <c r="C63" s="7"/>
      <c r="D63" s="7">
        <v>1</v>
      </c>
      <c r="E63" s="7"/>
      <c r="F63" s="7"/>
      <c r="G63" s="7"/>
      <c r="H63" s="7"/>
      <c r="I63" s="7"/>
      <c r="J63" s="7"/>
      <c r="K63" s="7">
        <v>1</v>
      </c>
      <c r="L63" s="7"/>
      <c r="M63" s="7"/>
      <c r="N63" s="7">
        <v>2</v>
      </c>
      <c r="O63" s="7"/>
      <c r="P63" s="7"/>
      <c r="Q63" s="7"/>
      <c r="R63" s="7"/>
      <c r="S63" s="7"/>
      <c r="T63" s="7"/>
      <c r="U63" s="7"/>
      <c r="V63" s="7"/>
      <c r="W63" s="7">
        <v>1</v>
      </c>
      <c r="X63" s="7"/>
      <c r="Y63" s="7"/>
      <c r="Z63" s="7"/>
      <c r="AA63" s="7">
        <v>2</v>
      </c>
      <c r="AB63" s="7"/>
      <c r="AC63" s="7"/>
      <c r="AD63" s="7"/>
      <c r="AE63" s="7"/>
      <c r="AF63" s="8"/>
      <c r="AG63" s="4">
        <f t="shared" si="2"/>
        <v>8</v>
      </c>
    </row>
    <row r="64" spans="1:33" ht="18.75" x14ac:dyDescent="0.25">
      <c r="A64" s="41" t="s">
        <v>45</v>
      </c>
      <c r="B64" s="7"/>
      <c r="C64" s="7"/>
      <c r="D64" s="7"/>
      <c r="E64" s="7"/>
      <c r="F64" s="7"/>
      <c r="G64" s="7"/>
      <c r="H64" s="7"/>
      <c r="I64" s="7"/>
      <c r="J64" s="7"/>
      <c r="K64" s="7">
        <v>1</v>
      </c>
      <c r="L64" s="7">
        <v>1</v>
      </c>
      <c r="M64" s="7"/>
      <c r="N64" s="7">
        <v>1</v>
      </c>
      <c r="O64" s="7"/>
      <c r="P64" s="7"/>
      <c r="Q64" s="7"/>
      <c r="R64" s="7">
        <v>1</v>
      </c>
      <c r="S64" s="7"/>
      <c r="T64" s="7"/>
      <c r="U64" s="7"/>
      <c r="V64" s="7"/>
      <c r="W64" s="7"/>
      <c r="X64" s="7"/>
      <c r="Y64" s="7"/>
      <c r="Z64" s="7"/>
      <c r="AA64" s="7">
        <v>1</v>
      </c>
      <c r="AB64" s="7"/>
      <c r="AC64" s="7"/>
      <c r="AD64" s="7"/>
      <c r="AE64" s="7">
        <v>2</v>
      </c>
      <c r="AF64" s="8"/>
      <c r="AG64" s="4">
        <f t="shared" si="2"/>
        <v>7</v>
      </c>
    </row>
    <row r="65" spans="1:33" ht="18.75" x14ac:dyDescent="0.25">
      <c r="A65" s="41" t="s">
        <v>46</v>
      </c>
      <c r="B65" s="7">
        <v>1</v>
      </c>
      <c r="C65" s="7">
        <v>1</v>
      </c>
      <c r="D65" s="7"/>
      <c r="E65" s="7"/>
      <c r="F65" s="7">
        <v>2</v>
      </c>
      <c r="G65" s="7"/>
      <c r="H65" s="7"/>
      <c r="I65" s="7"/>
      <c r="J65" s="7">
        <v>2</v>
      </c>
      <c r="K65" s="7"/>
      <c r="L65" s="7"/>
      <c r="M65" s="7"/>
      <c r="N65" s="7"/>
      <c r="O65" s="7"/>
      <c r="P65" s="7">
        <v>2</v>
      </c>
      <c r="Q65" s="7"/>
      <c r="R65" s="7">
        <v>1</v>
      </c>
      <c r="S65" s="7"/>
      <c r="T65" s="7"/>
      <c r="U65" s="7"/>
      <c r="V65" s="7"/>
      <c r="W65" s="7">
        <v>1</v>
      </c>
      <c r="X65" s="7"/>
      <c r="Y65" s="7">
        <v>1</v>
      </c>
      <c r="Z65" s="7"/>
      <c r="AA65" s="7"/>
      <c r="AB65" s="7"/>
      <c r="AC65" s="7"/>
      <c r="AD65" s="7"/>
      <c r="AE65" s="7"/>
      <c r="AF65" s="8"/>
      <c r="AG65" s="4">
        <f t="shared" si="2"/>
        <v>11</v>
      </c>
    </row>
    <row r="66" spans="1:33" ht="18.75" x14ac:dyDescent="0.25">
      <c r="A66" s="41" t="s">
        <v>47</v>
      </c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>
        <v>1</v>
      </c>
      <c r="O66" s="7"/>
      <c r="P66" s="7">
        <v>1</v>
      </c>
      <c r="Q66" s="7"/>
      <c r="R66" s="7"/>
      <c r="S66" s="7">
        <v>1</v>
      </c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8"/>
      <c r="AG66" s="4">
        <f t="shared" si="2"/>
        <v>3</v>
      </c>
    </row>
    <row r="67" spans="1:33" ht="18.75" x14ac:dyDescent="0.25">
      <c r="A67" s="41" t="s">
        <v>48</v>
      </c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>
        <v>1</v>
      </c>
      <c r="AD67" s="7"/>
      <c r="AE67" s="7"/>
      <c r="AF67" s="8"/>
      <c r="AG67" s="4">
        <f t="shared" si="2"/>
        <v>1</v>
      </c>
    </row>
    <row r="68" spans="1:33" ht="18.75" x14ac:dyDescent="0.25">
      <c r="A68" s="41" t="s">
        <v>49</v>
      </c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8"/>
      <c r="AG68" s="4">
        <f t="shared" si="2"/>
        <v>0</v>
      </c>
    </row>
    <row r="69" spans="1:33" ht="18.75" x14ac:dyDescent="0.25">
      <c r="A69" s="41" t="s">
        <v>50</v>
      </c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>
        <v>1</v>
      </c>
      <c r="AA69" s="7">
        <v>1</v>
      </c>
      <c r="AB69" s="7"/>
      <c r="AC69" s="7"/>
      <c r="AD69" s="7"/>
      <c r="AE69" s="7"/>
      <c r="AF69" s="8"/>
      <c r="AG69" s="4">
        <f t="shared" si="2"/>
        <v>2</v>
      </c>
    </row>
    <row r="70" spans="1:33" ht="18.75" x14ac:dyDescent="0.25">
      <c r="A70" s="41" t="s">
        <v>33</v>
      </c>
      <c r="B70" s="114"/>
      <c r="C70" s="114"/>
      <c r="D70" s="7"/>
      <c r="E70" s="114"/>
      <c r="F70" s="114"/>
      <c r="G70" s="7"/>
      <c r="H70" s="114"/>
      <c r="I70" s="7"/>
      <c r="J70" s="114"/>
      <c r="K70" s="114"/>
      <c r="L70" s="114"/>
      <c r="M70" s="114"/>
      <c r="N70" s="114"/>
      <c r="O70" s="114"/>
      <c r="P70" s="114"/>
      <c r="Q70" s="114"/>
      <c r="R70" s="114"/>
      <c r="S70" s="114"/>
      <c r="T70" s="114"/>
      <c r="U70" s="114"/>
      <c r="V70" s="114"/>
      <c r="W70" s="114"/>
      <c r="X70" s="114"/>
      <c r="Y70" s="114"/>
      <c r="Z70" s="114"/>
      <c r="AA70" s="114"/>
      <c r="AB70" s="114"/>
      <c r="AC70" s="114"/>
      <c r="AD70" s="114"/>
      <c r="AE70" s="114"/>
      <c r="AF70" s="115"/>
      <c r="AG70" s="4">
        <f t="shared" si="2"/>
        <v>0</v>
      </c>
    </row>
    <row r="71" spans="1:33" ht="18.75" x14ac:dyDescent="0.25">
      <c r="A71" s="41" t="s">
        <v>34</v>
      </c>
      <c r="B71" s="114"/>
      <c r="C71" s="114"/>
      <c r="D71" s="7"/>
      <c r="E71" s="114"/>
      <c r="F71" s="114"/>
      <c r="G71" s="7"/>
      <c r="H71" s="114"/>
      <c r="I71" s="7"/>
      <c r="J71" s="114"/>
      <c r="K71" s="114"/>
      <c r="L71" s="114"/>
      <c r="M71" s="114"/>
      <c r="N71" s="114"/>
      <c r="O71" s="114"/>
      <c r="P71" s="114"/>
      <c r="Q71" s="114"/>
      <c r="R71" s="114"/>
      <c r="S71" s="114"/>
      <c r="T71" s="114"/>
      <c r="U71" s="114"/>
      <c r="V71" s="114"/>
      <c r="W71" s="114"/>
      <c r="X71" s="114"/>
      <c r="Y71" s="114"/>
      <c r="Z71" s="114"/>
      <c r="AA71" s="114"/>
      <c r="AB71" s="114"/>
      <c r="AC71" s="114"/>
      <c r="AD71" s="114"/>
      <c r="AE71" s="114"/>
      <c r="AF71" s="115"/>
      <c r="AG71" s="4">
        <f t="shared" si="2"/>
        <v>0</v>
      </c>
    </row>
    <row r="72" spans="1:33" ht="18.75" x14ac:dyDescent="0.25">
      <c r="A72" s="41" t="s">
        <v>35</v>
      </c>
      <c r="B72" s="114"/>
      <c r="C72" s="114"/>
      <c r="D72" s="7"/>
      <c r="E72" s="114"/>
      <c r="F72" s="114"/>
      <c r="G72" s="7"/>
      <c r="H72" s="114"/>
      <c r="I72" s="7"/>
      <c r="J72" s="114"/>
      <c r="K72" s="114"/>
      <c r="L72" s="114"/>
      <c r="M72" s="114"/>
      <c r="N72" s="114"/>
      <c r="O72" s="114"/>
      <c r="P72" s="114"/>
      <c r="Q72" s="114"/>
      <c r="R72" s="114"/>
      <c r="S72" s="114"/>
      <c r="T72" s="114"/>
      <c r="U72" s="114"/>
      <c r="V72" s="114"/>
      <c r="W72" s="114"/>
      <c r="X72" s="114"/>
      <c r="Y72" s="114"/>
      <c r="Z72" s="114"/>
      <c r="AA72" s="114"/>
      <c r="AB72" s="114"/>
      <c r="AC72" s="114"/>
      <c r="AD72" s="114"/>
      <c r="AE72" s="114"/>
      <c r="AF72" s="115"/>
      <c r="AG72" s="4">
        <f t="shared" si="2"/>
        <v>0</v>
      </c>
    </row>
    <row r="73" spans="1:33" ht="18.75" x14ac:dyDescent="0.25">
      <c r="A73" s="41" t="s">
        <v>36</v>
      </c>
      <c r="B73" s="114"/>
      <c r="C73" s="114"/>
      <c r="D73" s="7"/>
      <c r="E73" s="114"/>
      <c r="F73" s="114"/>
      <c r="G73" s="7"/>
      <c r="H73" s="114"/>
      <c r="I73" s="7"/>
      <c r="J73" s="114"/>
      <c r="K73" s="114"/>
      <c r="L73" s="114"/>
      <c r="M73" s="114"/>
      <c r="N73" s="114"/>
      <c r="O73" s="114"/>
      <c r="P73" s="114"/>
      <c r="Q73" s="114"/>
      <c r="R73" s="114"/>
      <c r="S73" s="114"/>
      <c r="T73" s="114"/>
      <c r="U73" s="114"/>
      <c r="V73" s="114"/>
      <c r="W73" s="114"/>
      <c r="X73" s="114"/>
      <c r="Y73" s="114"/>
      <c r="Z73" s="114"/>
      <c r="AA73" s="114"/>
      <c r="AB73" s="114"/>
      <c r="AC73" s="114"/>
      <c r="AD73" s="114"/>
      <c r="AE73" s="114"/>
      <c r="AF73" s="115"/>
      <c r="AG73" s="4">
        <f t="shared" si="2"/>
        <v>0</v>
      </c>
    </row>
    <row r="74" spans="1:33" ht="18.75" x14ac:dyDescent="0.25">
      <c r="A74" s="41" t="s">
        <v>51</v>
      </c>
      <c r="B74" s="114"/>
      <c r="C74" s="114"/>
      <c r="D74" s="7"/>
      <c r="E74" s="114"/>
      <c r="F74" s="114"/>
      <c r="G74" s="7"/>
      <c r="H74" s="114"/>
      <c r="I74" s="7"/>
      <c r="J74" s="114"/>
      <c r="K74" s="114"/>
      <c r="L74" s="114"/>
      <c r="M74" s="114"/>
      <c r="N74" s="114"/>
      <c r="O74" s="114"/>
      <c r="P74" s="114"/>
      <c r="Q74" s="114"/>
      <c r="R74" s="114"/>
      <c r="S74" s="114"/>
      <c r="T74" s="114"/>
      <c r="U74" s="114"/>
      <c r="V74" s="114"/>
      <c r="W74" s="114"/>
      <c r="X74" s="114"/>
      <c r="Y74" s="114"/>
      <c r="Z74" s="114"/>
      <c r="AA74" s="114"/>
      <c r="AB74" s="114"/>
      <c r="AC74" s="114"/>
      <c r="AD74" s="114"/>
      <c r="AE74" s="114"/>
      <c r="AF74" s="115"/>
      <c r="AG74" s="4">
        <f t="shared" si="2"/>
        <v>0</v>
      </c>
    </row>
    <row r="75" spans="1:33" ht="18.75" x14ac:dyDescent="0.25">
      <c r="A75" s="41" t="s">
        <v>52</v>
      </c>
      <c r="B75" s="114"/>
      <c r="C75" s="114"/>
      <c r="D75" s="7"/>
      <c r="E75" s="114"/>
      <c r="F75" s="114"/>
      <c r="G75" s="7"/>
      <c r="H75" s="114"/>
      <c r="I75" s="7"/>
      <c r="J75" s="114"/>
      <c r="K75" s="114"/>
      <c r="L75" s="114"/>
      <c r="M75" s="114"/>
      <c r="N75" s="114"/>
      <c r="O75" s="114"/>
      <c r="P75" s="114"/>
      <c r="Q75" s="114"/>
      <c r="R75" s="114"/>
      <c r="S75" s="114"/>
      <c r="T75" s="114"/>
      <c r="U75" s="114"/>
      <c r="V75" s="114"/>
      <c r="W75" s="114"/>
      <c r="X75" s="114"/>
      <c r="Y75" s="114"/>
      <c r="Z75" s="114"/>
      <c r="AA75" s="114"/>
      <c r="AB75" s="114"/>
      <c r="AC75" s="114"/>
      <c r="AD75" s="114"/>
      <c r="AE75" s="114">
        <v>1</v>
      </c>
      <c r="AF75" s="115"/>
      <c r="AG75" s="4">
        <f t="shared" si="2"/>
        <v>1</v>
      </c>
    </row>
    <row r="76" spans="1:33" ht="18.75" x14ac:dyDescent="0.25">
      <c r="A76" s="41" t="s">
        <v>37</v>
      </c>
      <c r="B76" s="114"/>
      <c r="C76" s="114"/>
      <c r="D76" s="7"/>
      <c r="E76" s="114"/>
      <c r="F76" s="114"/>
      <c r="G76" s="7"/>
      <c r="H76" s="114"/>
      <c r="I76" s="7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X76" s="114"/>
      <c r="Y76" s="114"/>
      <c r="Z76" s="114"/>
      <c r="AA76" s="114"/>
      <c r="AB76" s="114"/>
      <c r="AC76" s="114"/>
      <c r="AD76" s="114"/>
      <c r="AE76" s="114"/>
      <c r="AF76" s="115"/>
      <c r="AG76" s="4">
        <f t="shared" si="2"/>
        <v>0</v>
      </c>
    </row>
    <row r="77" spans="1:33" ht="19.5" thickBot="1" x14ac:dyDescent="0.3">
      <c r="A77" s="134" t="s">
        <v>53</v>
      </c>
      <c r="B77" s="166"/>
      <c r="C77" s="166"/>
      <c r="D77" s="9"/>
      <c r="E77" s="166"/>
      <c r="F77" s="166"/>
      <c r="G77" s="9"/>
      <c r="H77" s="166"/>
      <c r="I77" s="9"/>
      <c r="J77" s="166"/>
      <c r="K77" s="166"/>
      <c r="L77" s="166"/>
      <c r="M77" s="166"/>
      <c r="N77" s="166"/>
      <c r="O77" s="166"/>
      <c r="P77" s="166"/>
      <c r="Q77" s="166"/>
      <c r="R77" s="166"/>
      <c r="S77" s="166"/>
      <c r="T77" s="166"/>
      <c r="U77" s="166"/>
      <c r="V77" s="166"/>
      <c r="W77" s="166"/>
      <c r="X77" s="166"/>
      <c r="Y77" s="166"/>
      <c r="Z77" s="166"/>
      <c r="AA77" s="166"/>
      <c r="AB77" s="166"/>
      <c r="AC77" s="166"/>
      <c r="AD77" s="166"/>
      <c r="AE77" s="166"/>
      <c r="AF77" s="167"/>
      <c r="AG77" s="108">
        <f t="shared" si="2"/>
        <v>0</v>
      </c>
    </row>
    <row r="78" spans="1:33" ht="19.5" hidden="1" customHeight="1" thickBot="1" x14ac:dyDescent="0.3">
      <c r="A78" s="183" t="s">
        <v>99</v>
      </c>
      <c r="B78" s="185">
        <f t="shared" ref="B78:AF78" si="5">SUM(B79:B80)</f>
        <v>91</v>
      </c>
      <c r="C78" s="185">
        <f t="shared" si="5"/>
        <v>74</v>
      </c>
      <c r="D78" s="185">
        <f t="shared" si="5"/>
        <v>102</v>
      </c>
      <c r="E78" s="184">
        <f t="shared" si="5"/>
        <v>95</v>
      </c>
      <c r="F78" s="184">
        <f t="shared" si="5"/>
        <v>105</v>
      </c>
      <c r="G78" s="184">
        <f t="shared" si="5"/>
        <v>61</v>
      </c>
      <c r="H78" s="184">
        <f t="shared" si="5"/>
        <v>81</v>
      </c>
      <c r="I78" s="184">
        <f t="shared" si="5"/>
        <v>117</v>
      </c>
      <c r="J78" s="184">
        <f t="shared" si="5"/>
        <v>115</v>
      </c>
      <c r="K78" s="184">
        <f t="shared" si="5"/>
        <v>129</v>
      </c>
      <c r="L78" s="184">
        <f t="shared" si="5"/>
        <v>102</v>
      </c>
      <c r="M78" s="184">
        <f t="shared" si="5"/>
        <v>133</v>
      </c>
      <c r="N78" s="184">
        <f t="shared" si="5"/>
        <v>105</v>
      </c>
      <c r="O78" s="184">
        <f>SUM(O79:O80)</f>
        <v>78</v>
      </c>
      <c r="P78" s="184">
        <f t="shared" si="5"/>
        <v>101</v>
      </c>
      <c r="Q78" s="184">
        <f t="shared" si="5"/>
        <v>74</v>
      </c>
      <c r="R78" s="184">
        <f t="shared" si="5"/>
        <v>86</v>
      </c>
      <c r="S78" s="184">
        <f t="shared" si="5"/>
        <v>65</v>
      </c>
      <c r="T78" s="184">
        <f t="shared" si="5"/>
        <v>98</v>
      </c>
      <c r="U78" s="184">
        <f t="shared" si="5"/>
        <v>70</v>
      </c>
      <c r="V78" s="184">
        <f t="shared" si="5"/>
        <v>75</v>
      </c>
      <c r="W78" s="184">
        <f t="shared" si="5"/>
        <v>113</v>
      </c>
      <c r="X78" s="184">
        <f t="shared" si="5"/>
        <v>105</v>
      </c>
      <c r="Y78" s="184">
        <f t="shared" si="5"/>
        <v>96</v>
      </c>
      <c r="Z78" s="184">
        <f t="shared" si="5"/>
        <v>131</v>
      </c>
      <c r="AA78" s="184">
        <f t="shared" si="5"/>
        <v>109</v>
      </c>
      <c r="AB78" s="184">
        <f t="shared" si="5"/>
        <v>86</v>
      </c>
      <c r="AC78" s="184">
        <f t="shared" si="5"/>
        <v>66</v>
      </c>
      <c r="AD78" s="184">
        <f t="shared" si="5"/>
        <v>64</v>
      </c>
      <c r="AE78" s="184">
        <f t="shared" si="5"/>
        <v>118</v>
      </c>
      <c r="AF78" s="186">
        <f t="shared" si="5"/>
        <v>0</v>
      </c>
      <c r="AG78" s="116">
        <f t="shared" si="2"/>
        <v>2845</v>
      </c>
    </row>
    <row r="79" spans="1:33" ht="19.5" hidden="1" customHeight="1" thickBot="1" x14ac:dyDescent="0.3">
      <c r="A79" s="181" t="s">
        <v>58</v>
      </c>
      <c r="B79" s="114">
        <f t="shared" ref="B79:AF79" si="6">SUM(B4:B27)-B80</f>
        <v>91</v>
      </c>
      <c r="C79" s="114">
        <f t="shared" si="6"/>
        <v>74</v>
      </c>
      <c r="D79" s="114">
        <f t="shared" si="6"/>
        <v>102</v>
      </c>
      <c r="E79" s="114">
        <f t="shared" si="6"/>
        <v>95</v>
      </c>
      <c r="F79" s="114">
        <f t="shared" si="6"/>
        <v>49</v>
      </c>
      <c r="G79" s="114">
        <f t="shared" si="6"/>
        <v>30</v>
      </c>
      <c r="H79" s="114">
        <f t="shared" si="6"/>
        <v>32</v>
      </c>
      <c r="I79" s="114">
        <f t="shared" si="6"/>
        <v>117</v>
      </c>
      <c r="J79" s="114">
        <f t="shared" si="6"/>
        <v>115</v>
      </c>
      <c r="K79" s="114">
        <f t="shared" si="6"/>
        <v>129</v>
      </c>
      <c r="L79" s="114">
        <f t="shared" si="6"/>
        <v>102</v>
      </c>
      <c r="M79" s="114">
        <f t="shared" si="6"/>
        <v>49</v>
      </c>
      <c r="N79" s="114">
        <f t="shared" si="6"/>
        <v>55</v>
      </c>
      <c r="O79" s="114">
        <f t="shared" si="6"/>
        <v>37</v>
      </c>
      <c r="P79" s="114">
        <f t="shared" si="6"/>
        <v>101</v>
      </c>
      <c r="Q79" s="114">
        <f t="shared" si="6"/>
        <v>74</v>
      </c>
      <c r="R79" s="114">
        <f t="shared" si="6"/>
        <v>33</v>
      </c>
      <c r="S79" s="114">
        <f t="shared" si="6"/>
        <v>33</v>
      </c>
      <c r="T79" s="114">
        <f t="shared" si="6"/>
        <v>44</v>
      </c>
      <c r="U79" s="114">
        <f t="shared" si="6"/>
        <v>34</v>
      </c>
      <c r="V79" s="114">
        <f t="shared" si="6"/>
        <v>26</v>
      </c>
      <c r="W79" s="114">
        <f t="shared" si="6"/>
        <v>113</v>
      </c>
      <c r="X79" s="114">
        <f t="shared" si="6"/>
        <v>105</v>
      </c>
      <c r="Y79" s="114">
        <f t="shared" si="6"/>
        <v>37</v>
      </c>
      <c r="Z79" s="114">
        <f t="shared" si="6"/>
        <v>131</v>
      </c>
      <c r="AA79" s="114">
        <f t="shared" si="6"/>
        <v>35</v>
      </c>
      <c r="AB79" s="114">
        <f t="shared" si="6"/>
        <v>41</v>
      </c>
      <c r="AC79" s="114">
        <f t="shared" si="6"/>
        <v>24</v>
      </c>
      <c r="AD79" s="114">
        <f t="shared" si="6"/>
        <v>64</v>
      </c>
      <c r="AE79" s="114">
        <f t="shared" si="6"/>
        <v>118</v>
      </c>
      <c r="AF79" s="114">
        <f t="shared" si="6"/>
        <v>0</v>
      </c>
      <c r="AG79" s="132">
        <f t="shared" si="2"/>
        <v>2090</v>
      </c>
    </row>
    <row r="80" spans="1:33" ht="19.5" hidden="1" customHeight="1" thickBot="1" x14ac:dyDescent="0.3">
      <c r="A80" s="107" t="s">
        <v>57</v>
      </c>
      <c r="B80" s="11"/>
      <c r="C80" s="11"/>
      <c r="D80" s="9">
        <v>0</v>
      </c>
      <c r="E80" s="9">
        <v>0</v>
      </c>
      <c r="F80" s="9">
        <f>SUM(F4:F12)</f>
        <v>56</v>
      </c>
      <c r="G80" s="9">
        <f>SUM(G4:G12)</f>
        <v>31</v>
      </c>
      <c r="H80" s="9">
        <f>SUM(H4:H12)</f>
        <v>49</v>
      </c>
      <c r="I80" s="11"/>
      <c r="J80" s="11"/>
      <c r="K80" s="9">
        <v>0</v>
      </c>
      <c r="L80" s="9">
        <v>0</v>
      </c>
      <c r="M80" s="9">
        <f>SUM(M4:M12)</f>
        <v>84</v>
      </c>
      <c r="N80" s="9">
        <f>SUM(N4:N12)</f>
        <v>50</v>
      </c>
      <c r="O80" s="9">
        <f>SUM(O4:O12)</f>
        <v>41</v>
      </c>
      <c r="P80" s="11"/>
      <c r="Q80" s="11"/>
      <c r="R80" s="9">
        <f>SUM(R4:R12)</f>
        <v>53</v>
      </c>
      <c r="S80" s="9">
        <f>SUM(S4:S12)</f>
        <v>32</v>
      </c>
      <c r="T80" s="9">
        <f>SUM(T4:T12)</f>
        <v>54</v>
      </c>
      <c r="U80" s="9">
        <f>SUM(U4:U12)</f>
        <v>36</v>
      </c>
      <c r="V80" s="9">
        <f>SUM(V4:V12)</f>
        <v>49</v>
      </c>
      <c r="W80" s="11"/>
      <c r="X80" s="11"/>
      <c r="Y80" s="9">
        <f>SUM(Y4:Y12)</f>
        <v>59</v>
      </c>
      <c r="Z80" s="11"/>
      <c r="AA80" s="9">
        <f>SUM(AA4:AA12)</f>
        <v>74</v>
      </c>
      <c r="AB80" s="9">
        <f>SUM(AB4:AB12)</f>
        <v>45</v>
      </c>
      <c r="AC80" s="9">
        <f>SUM(AC4:AC12)</f>
        <v>42</v>
      </c>
      <c r="AD80" s="11"/>
      <c r="AE80" s="11"/>
      <c r="AF80" s="9">
        <f>SUM(AF4:AF12)</f>
        <v>0</v>
      </c>
      <c r="AG80" s="108">
        <f t="shared" si="2"/>
        <v>755</v>
      </c>
    </row>
    <row r="81" spans="1:35" ht="19.5" thickBot="1" x14ac:dyDescent="0.3">
      <c r="A81" s="183" t="s">
        <v>98</v>
      </c>
      <c r="B81" s="184">
        <f t="shared" ref="B81:AF81" si="7">SUM(B82:B83)</f>
        <v>2</v>
      </c>
      <c r="C81" s="184">
        <f t="shared" si="7"/>
        <v>2</v>
      </c>
      <c r="D81" s="184">
        <f t="shared" si="7"/>
        <v>2</v>
      </c>
      <c r="E81" s="184">
        <f t="shared" si="7"/>
        <v>3</v>
      </c>
      <c r="F81" s="184">
        <f t="shared" si="7"/>
        <v>4</v>
      </c>
      <c r="G81" s="184">
        <f t="shared" si="7"/>
        <v>0</v>
      </c>
      <c r="H81" s="184">
        <f t="shared" si="7"/>
        <v>4</v>
      </c>
      <c r="I81" s="184">
        <f t="shared" si="7"/>
        <v>9</v>
      </c>
      <c r="J81" s="184">
        <f t="shared" si="7"/>
        <v>6</v>
      </c>
      <c r="K81" s="184">
        <f t="shared" si="7"/>
        <v>11</v>
      </c>
      <c r="L81" s="184">
        <f t="shared" si="7"/>
        <v>12</v>
      </c>
      <c r="M81" s="184">
        <f t="shared" si="7"/>
        <v>14</v>
      </c>
      <c r="N81" s="184">
        <f t="shared" si="7"/>
        <v>5</v>
      </c>
      <c r="O81" s="184">
        <f t="shared" si="7"/>
        <v>1</v>
      </c>
      <c r="P81" s="184">
        <f t="shared" si="7"/>
        <v>5</v>
      </c>
      <c r="Q81" s="184">
        <f t="shared" si="7"/>
        <v>0</v>
      </c>
      <c r="R81" s="184">
        <f t="shared" si="7"/>
        <v>4</v>
      </c>
      <c r="S81" s="184">
        <f t="shared" si="7"/>
        <v>4</v>
      </c>
      <c r="T81" s="184">
        <f t="shared" si="7"/>
        <v>1</v>
      </c>
      <c r="U81" s="184">
        <f t="shared" si="7"/>
        <v>1</v>
      </c>
      <c r="V81" s="184">
        <f t="shared" si="7"/>
        <v>0</v>
      </c>
      <c r="W81" s="184">
        <f t="shared" si="7"/>
        <v>10</v>
      </c>
      <c r="X81" s="184">
        <f t="shared" si="7"/>
        <v>6</v>
      </c>
      <c r="Y81" s="184">
        <f t="shared" si="7"/>
        <v>8</v>
      </c>
      <c r="Z81" s="184">
        <f>SUM(Z82:Z83)</f>
        <v>16</v>
      </c>
      <c r="AA81" s="184">
        <f t="shared" si="7"/>
        <v>10</v>
      </c>
      <c r="AB81" s="184">
        <f t="shared" si="7"/>
        <v>0</v>
      </c>
      <c r="AC81" s="184">
        <f t="shared" si="7"/>
        <v>1</v>
      </c>
      <c r="AD81" s="184">
        <f t="shared" si="7"/>
        <v>0</v>
      </c>
      <c r="AE81" s="184">
        <f t="shared" si="7"/>
        <v>6</v>
      </c>
      <c r="AF81" s="184">
        <f t="shared" si="7"/>
        <v>0</v>
      </c>
      <c r="AG81" s="116">
        <f t="shared" si="2"/>
        <v>147</v>
      </c>
      <c r="AH81" s="180" t="str">
        <f>IF(AG81&lt;&gt;AG53,"*","")</f>
        <v/>
      </c>
    </row>
    <row r="82" spans="1:35" ht="18.75" x14ac:dyDescent="0.25">
      <c r="A82" s="181" t="s">
        <v>57</v>
      </c>
      <c r="B82" s="114">
        <f t="shared" ref="B82:AF82" si="8">SUM(B54:B62)</f>
        <v>0</v>
      </c>
      <c r="C82" s="114">
        <f t="shared" si="8"/>
        <v>1</v>
      </c>
      <c r="D82" s="114">
        <f t="shared" si="8"/>
        <v>1</v>
      </c>
      <c r="E82" s="114">
        <f t="shared" si="8"/>
        <v>3</v>
      </c>
      <c r="F82" s="114">
        <f t="shared" si="8"/>
        <v>2</v>
      </c>
      <c r="G82" s="182"/>
      <c r="H82" s="182"/>
      <c r="I82" s="114">
        <f t="shared" si="8"/>
        <v>9</v>
      </c>
      <c r="J82" s="114">
        <f t="shared" si="8"/>
        <v>4</v>
      </c>
      <c r="K82" s="114">
        <f t="shared" si="8"/>
        <v>9</v>
      </c>
      <c r="L82" s="114">
        <f t="shared" si="8"/>
        <v>11</v>
      </c>
      <c r="M82" s="114">
        <f t="shared" si="8"/>
        <v>14</v>
      </c>
      <c r="N82" s="182"/>
      <c r="O82" s="182"/>
      <c r="P82" s="114">
        <f t="shared" si="8"/>
        <v>2</v>
      </c>
      <c r="Q82" s="114">
        <f t="shared" si="8"/>
        <v>0</v>
      </c>
      <c r="R82" s="114">
        <f t="shared" si="8"/>
        <v>2</v>
      </c>
      <c r="S82" s="114">
        <f t="shared" si="8"/>
        <v>3</v>
      </c>
      <c r="T82" s="114">
        <f t="shared" si="8"/>
        <v>1</v>
      </c>
      <c r="U82" s="182"/>
      <c r="V82" s="182"/>
      <c r="W82" s="114">
        <f t="shared" si="8"/>
        <v>8</v>
      </c>
      <c r="X82" s="114">
        <f t="shared" si="8"/>
        <v>6</v>
      </c>
      <c r="Y82" s="114">
        <f t="shared" si="8"/>
        <v>7</v>
      </c>
      <c r="Z82" s="114">
        <f t="shared" si="8"/>
        <v>15</v>
      </c>
      <c r="AA82" s="114">
        <f t="shared" si="8"/>
        <v>6</v>
      </c>
      <c r="AB82" s="182"/>
      <c r="AC82" s="182"/>
      <c r="AD82" s="182"/>
      <c r="AE82" s="114">
        <f t="shared" si="8"/>
        <v>3</v>
      </c>
      <c r="AF82" s="114">
        <f t="shared" si="8"/>
        <v>0</v>
      </c>
      <c r="AG82" s="132">
        <f t="shared" si="2"/>
        <v>107</v>
      </c>
    </row>
    <row r="83" spans="1:35" ht="19.5" thickBot="1" x14ac:dyDescent="0.3">
      <c r="A83" s="107" t="s">
        <v>58</v>
      </c>
      <c r="B83" s="9">
        <f t="shared" ref="B83" si="9">SUM(B54:B77)-B82</f>
        <v>2</v>
      </c>
      <c r="C83" s="9">
        <f t="shared" ref="C83" si="10">SUM(C54:C77)-C82</f>
        <v>1</v>
      </c>
      <c r="D83" s="9">
        <f t="shared" ref="D83:AF83" si="11">SUM(D54:D77)-D82</f>
        <v>1</v>
      </c>
      <c r="E83" s="9">
        <f t="shared" si="11"/>
        <v>0</v>
      </c>
      <c r="F83" s="9">
        <f t="shared" si="11"/>
        <v>2</v>
      </c>
      <c r="G83" s="9">
        <f t="shared" si="11"/>
        <v>0</v>
      </c>
      <c r="H83" s="9">
        <f t="shared" si="11"/>
        <v>4</v>
      </c>
      <c r="I83" s="9">
        <f t="shared" si="11"/>
        <v>0</v>
      </c>
      <c r="J83" s="9">
        <f t="shared" si="11"/>
        <v>2</v>
      </c>
      <c r="K83" s="9">
        <f t="shared" si="11"/>
        <v>2</v>
      </c>
      <c r="L83" s="9">
        <f t="shared" si="11"/>
        <v>1</v>
      </c>
      <c r="M83" s="9">
        <f t="shared" si="11"/>
        <v>0</v>
      </c>
      <c r="N83" s="9">
        <f t="shared" si="11"/>
        <v>5</v>
      </c>
      <c r="O83" s="9">
        <f t="shared" si="11"/>
        <v>1</v>
      </c>
      <c r="P83" s="9">
        <f t="shared" si="11"/>
        <v>3</v>
      </c>
      <c r="Q83" s="9">
        <f t="shared" si="11"/>
        <v>0</v>
      </c>
      <c r="R83" s="9">
        <f t="shared" si="11"/>
        <v>2</v>
      </c>
      <c r="S83" s="9">
        <f t="shared" si="11"/>
        <v>1</v>
      </c>
      <c r="T83" s="9">
        <f t="shared" si="11"/>
        <v>0</v>
      </c>
      <c r="U83" s="9">
        <f t="shared" si="11"/>
        <v>1</v>
      </c>
      <c r="V83" s="9">
        <f t="shared" si="11"/>
        <v>0</v>
      </c>
      <c r="W83" s="9">
        <f t="shared" si="11"/>
        <v>2</v>
      </c>
      <c r="X83" s="9">
        <f t="shared" si="11"/>
        <v>0</v>
      </c>
      <c r="Y83" s="9">
        <f t="shared" si="11"/>
        <v>1</v>
      </c>
      <c r="Z83" s="9">
        <f t="shared" si="11"/>
        <v>1</v>
      </c>
      <c r="AA83" s="9">
        <f t="shared" si="11"/>
        <v>4</v>
      </c>
      <c r="AB83" s="9">
        <f t="shared" si="11"/>
        <v>0</v>
      </c>
      <c r="AC83" s="9">
        <f t="shared" si="11"/>
        <v>1</v>
      </c>
      <c r="AD83" s="9">
        <f t="shared" si="11"/>
        <v>0</v>
      </c>
      <c r="AE83" s="9">
        <f t="shared" si="11"/>
        <v>3</v>
      </c>
      <c r="AF83" s="9">
        <f t="shared" si="11"/>
        <v>0</v>
      </c>
      <c r="AG83" s="4">
        <f t="shared" si="2"/>
        <v>40</v>
      </c>
    </row>
    <row r="84" spans="1:35" ht="19.5" thickBot="1" x14ac:dyDescent="0.3">
      <c r="A84" s="164" t="s">
        <v>146</v>
      </c>
      <c r="B84" s="165">
        <f>SUM(B85:B86)</f>
        <v>2</v>
      </c>
      <c r="C84" s="165">
        <f t="shared" ref="C84:AF84" si="12">SUM(C85:C86)</f>
        <v>2</v>
      </c>
      <c r="D84" s="165">
        <f t="shared" si="12"/>
        <v>2</v>
      </c>
      <c r="E84" s="165">
        <f t="shared" si="12"/>
        <v>3</v>
      </c>
      <c r="F84" s="165">
        <f t="shared" si="12"/>
        <v>4</v>
      </c>
      <c r="G84" s="165">
        <f t="shared" si="12"/>
        <v>0</v>
      </c>
      <c r="H84" s="165">
        <f t="shared" si="12"/>
        <v>4</v>
      </c>
      <c r="I84" s="165">
        <f t="shared" si="12"/>
        <v>9</v>
      </c>
      <c r="J84" s="165">
        <f t="shared" si="12"/>
        <v>6</v>
      </c>
      <c r="K84" s="165">
        <f t="shared" si="12"/>
        <v>11</v>
      </c>
      <c r="L84" s="165">
        <f t="shared" si="12"/>
        <v>12</v>
      </c>
      <c r="M84" s="165">
        <f t="shared" si="12"/>
        <v>14</v>
      </c>
      <c r="N84" s="165">
        <f t="shared" si="12"/>
        <v>5</v>
      </c>
      <c r="O84" s="165">
        <f t="shared" si="12"/>
        <v>1</v>
      </c>
      <c r="P84" s="165">
        <f t="shared" si="12"/>
        <v>5</v>
      </c>
      <c r="Q84" s="165">
        <f t="shared" si="12"/>
        <v>0</v>
      </c>
      <c r="R84" s="165">
        <f t="shared" si="12"/>
        <v>4</v>
      </c>
      <c r="S84" s="165">
        <f t="shared" si="12"/>
        <v>4</v>
      </c>
      <c r="T84" s="165">
        <f t="shared" si="12"/>
        <v>1</v>
      </c>
      <c r="U84" s="165">
        <f t="shared" si="12"/>
        <v>1</v>
      </c>
      <c r="V84" s="165">
        <f t="shared" si="12"/>
        <v>0</v>
      </c>
      <c r="W84" s="165">
        <f t="shared" si="12"/>
        <v>10</v>
      </c>
      <c r="X84" s="165">
        <f t="shared" si="12"/>
        <v>6</v>
      </c>
      <c r="Y84" s="165">
        <f t="shared" si="12"/>
        <v>8</v>
      </c>
      <c r="Z84" s="165">
        <f t="shared" si="12"/>
        <v>16</v>
      </c>
      <c r="AA84" s="165">
        <f t="shared" si="12"/>
        <v>10</v>
      </c>
      <c r="AB84" s="165">
        <f t="shared" si="12"/>
        <v>0</v>
      </c>
      <c r="AC84" s="165">
        <f t="shared" si="12"/>
        <v>1</v>
      </c>
      <c r="AD84" s="165">
        <f t="shared" si="12"/>
        <v>0</v>
      </c>
      <c r="AE84" s="165">
        <f t="shared" si="12"/>
        <v>6</v>
      </c>
      <c r="AF84" s="165">
        <f t="shared" si="12"/>
        <v>0</v>
      </c>
      <c r="AG84" s="171">
        <f t="shared" ref="AG84:AG126" si="13">SUM(B84:AF84)</f>
        <v>147</v>
      </c>
      <c r="AH84" s="180" t="str">
        <f>IF(AG84&lt;&gt;AG82+AG83,"*","")</f>
        <v/>
      </c>
      <c r="AI84" s="434" t="s">
        <v>1</v>
      </c>
    </row>
    <row r="85" spans="1:35" ht="18.75" x14ac:dyDescent="0.25">
      <c r="A85" s="72" t="s">
        <v>144</v>
      </c>
      <c r="B85" s="169">
        <v>0</v>
      </c>
      <c r="C85" s="169">
        <v>0</v>
      </c>
      <c r="D85" s="169">
        <v>0</v>
      </c>
      <c r="E85" s="169">
        <v>0</v>
      </c>
      <c r="F85" s="169">
        <v>0</v>
      </c>
      <c r="G85" s="169">
        <v>0</v>
      </c>
      <c r="H85" s="169">
        <v>1</v>
      </c>
      <c r="I85" s="169">
        <v>2</v>
      </c>
      <c r="J85" s="169">
        <v>1</v>
      </c>
      <c r="K85" s="169">
        <v>2</v>
      </c>
      <c r="L85" s="169">
        <v>1</v>
      </c>
      <c r="M85" s="169">
        <v>0</v>
      </c>
      <c r="N85" s="169">
        <v>1</v>
      </c>
      <c r="O85" s="169">
        <v>0</v>
      </c>
      <c r="P85" s="169">
        <v>1</v>
      </c>
      <c r="Q85" s="169">
        <v>0</v>
      </c>
      <c r="R85" s="169">
        <v>0</v>
      </c>
      <c r="S85" s="169">
        <v>0</v>
      </c>
      <c r="T85" s="169">
        <v>0</v>
      </c>
      <c r="U85" s="169">
        <v>0</v>
      </c>
      <c r="V85" s="169">
        <v>0</v>
      </c>
      <c r="W85" s="169">
        <v>1</v>
      </c>
      <c r="X85" s="169">
        <v>0</v>
      </c>
      <c r="Y85" s="169">
        <v>0</v>
      </c>
      <c r="Z85" s="169">
        <v>3</v>
      </c>
      <c r="AA85" s="169">
        <v>0</v>
      </c>
      <c r="AB85" s="169">
        <v>0</v>
      </c>
      <c r="AC85" s="169">
        <v>0</v>
      </c>
      <c r="AD85" s="169">
        <v>0</v>
      </c>
      <c r="AE85" s="169">
        <v>0</v>
      </c>
      <c r="AF85" s="170"/>
      <c r="AG85" s="168">
        <f t="shared" si="13"/>
        <v>13</v>
      </c>
      <c r="AI85" s="435"/>
    </row>
    <row r="86" spans="1:35" ht="19.5" thickBot="1" x14ac:dyDescent="0.3">
      <c r="A86" s="172" t="s">
        <v>145</v>
      </c>
      <c r="B86" s="173">
        <v>2</v>
      </c>
      <c r="C86" s="173">
        <v>2</v>
      </c>
      <c r="D86" s="173">
        <v>2</v>
      </c>
      <c r="E86" s="173">
        <v>3</v>
      </c>
      <c r="F86" s="173">
        <v>4</v>
      </c>
      <c r="G86" s="173">
        <v>0</v>
      </c>
      <c r="H86" s="173">
        <v>3</v>
      </c>
      <c r="I86" s="173">
        <v>7</v>
      </c>
      <c r="J86" s="173">
        <v>5</v>
      </c>
      <c r="K86" s="173">
        <v>9</v>
      </c>
      <c r="L86" s="173">
        <v>11</v>
      </c>
      <c r="M86" s="173">
        <v>14</v>
      </c>
      <c r="N86" s="173">
        <v>4</v>
      </c>
      <c r="O86" s="173">
        <v>1</v>
      </c>
      <c r="P86" s="173">
        <v>4</v>
      </c>
      <c r="Q86" s="173">
        <v>0</v>
      </c>
      <c r="R86" s="173">
        <v>4</v>
      </c>
      <c r="S86" s="173">
        <v>4</v>
      </c>
      <c r="T86" s="173">
        <v>1</v>
      </c>
      <c r="U86" s="173">
        <v>1</v>
      </c>
      <c r="V86" s="173">
        <v>0</v>
      </c>
      <c r="W86" s="173">
        <v>9</v>
      </c>
      <c r="X86" s="173">
        <v>6</v>
      </c>
      <c r="Y86" s="173">
        <v>8</v>
      </c>
      <c r="Z86" s="173">
        <v>13</v>
      </c>
      <c r="AA86" s="173">
        <v>10</v>
      </c>
      <c r="AB86" s="173">
        <v>0</v>
      </c>
      <c r="AC86" s="173">
        <v>1</v>
      </c>
      <c r="AD86" s="173">
        <v>0</v>
      </c>
      <c r="AE86" s="173">
        <v>6</v>
      </c>
      <c r="AF86" s="174"/>
      <c r="AG86" s="176">
        <f t="shared" si="13"/>
        <v>134</v>
      </c>
      <c r="AI86" s="436"/>
    </row>
    <row r="87" spans="1:35" ht="19.5" thickBot="1" x14ac:dyDescent="0.3">
      <c r="A87" s="177" t="s">
        <v>147</v>
      </c>
      <c r="B87" s="178">
        <f>SUM(B88:B92)</f>
        <v>2</v>
      </c>
      <c r="C87" s="178">
        <f t="shared" ref="C87:AF87" si="14">SUM(C88:C92)</f>
        <v>2</v>
      </c>
      <c r="D87" s="178">
        <f t="shared" si="14"/>
        <v>2</v>
      </c>
      <c r="E87" s="178">
        <f t="shared" si="14"/>
        <v>3</v>
      </c>
      <c r="F87" s="178">
        <f t="shared" si="14"/>
        <v>4</v>
      </c>
      <c r="G87" s="178">
        <f t="shared" si="14"/>
        <v>0</v>
      </c>
      <c r="H87" s="178">
        <f t="shared" si="14"/>
        <v>4</v>
      </c>
      <c r="I87" s="178">
        <f t="shared" si="14"/>
        <v>9</v>
      </c>
      <c r="J87" s="178">
        <f t="shared" si="14"/>
        <v>6</v>
      </c>
      <c r="K87" s="178">
        <f t="shared" si="14"/>
        <v>11</v>
      </c>
      <c r="L87" s="178">
        <f t="shared" si="14"/>
        <v>12</v>
      </c>
      <c r="M87" s="178">
        <f t="shared" si="14"/>
        <v>14</v>
      </c>
      <c r="N87" s="178">
        <f t="shared" si="14"/>
        <v>5</v>
      </c>
      <c r="O87" s="178">
        <f t="shared" si="14"/>
        <v>1</v>
      </c>
      <c r="P87" s="178">
        <f t="shared" si="14"/>
        <v>5</v>
      </c>
      <c r="Q87" s="178">
        <f t="shared" si="14"/>
        <v>0</v>
      </c>
      <c r="R87" s="178">
        <f t="shared" si="14"/>
        <v>4</v>
      </c>
      <c r="S87" s="178">
        <f t="shared" si="14"/>
        <v>4</v>
      </c>
      <c r="T87" s="178">
        <f t="shared" si="14"/>
        <v>1</v>
      </c>
      <c r="U87" s="178">
        <f t="shared" si="14"/>
        <v>1</v>
      </c>
      <c r="V87" s="178">
        <f t="shared" si="14"/>
        <v>0</v>
      </c>
      <c r="W87" s="178">
        <f t="shared" si="14"/>
        <v>10</v>
      </c>
      <c r="X87" s="178">
        <f t="shared" si="14"/>
        <v>6</v>
      </c>
      <c r="Y87" s="178">
        <f t="shared" si="14"/>
        <v>8</v>
      </c>
      <c r="Z87" s="178">
        <f t="shared" si="14"/>
        <v>16</v>
      </c>
      <c r="AA87" s="178">
        <f t="shared" si="14"/>
        <v>10</v>
      </c>
      <c r="AB87" s="178">
        <f t="shared" si="14"/>
        <v>0</v>
      </c>
      <c r="AC87" s="178">
        <f t="shared" si="14"/>
        <v>1</v>
      </c>
      <c r="AD87" s="178">
        <f t="shared" si="14"/>
        <v>0</v>
      </c>
      <c r="AE87" s="178">
        <f t="shared" si="14"/>
        <v>6</v>
      </c>
      <c r="AF87" s="178">
        <f t="shared" si="14"/>
        <v>0</v>
      </c>
      <c r="AG87" s="179">
        <f t="shared" si="13"/>
        <v>147</v>
      </c>
      <c r="AH87" s="175" t="str">
        <f>IF(AG87&lt;&gt;AG84,"*","")</f>
        <v/>
      </c>
    </row>
    <row r="88" spans="1:35" ht="18.75" x14ac:dyDescent="0.25">
      <c r="A88" s="104" t="s">
        <v>127</v>
      </c>
      <c r="B88" s="166">
        <v>2</v>
      </c>
      <c r="C88" s="166">
        <v>2</v>
      </c>
      <c r="D88" s="166">
        <v>2</v>
      </c>
      <c r="E88" s="166">
        <v>1</v>
      </c>
      <c r="F88" s="166">
        <v>3</v>
      </c>
      <c r="G88" s="166"/>
      <c r="H88" s="166">
        <v>4</v>
      </c>
      <c r="I88" s="166">
        <v>8</v>
      </c>
      <c r="J88" s="166">
        <v>1</v>
      </c>
      <c r="K88" s="166">
        <v>9</v>
      </c>
      <c r="L88" s="166">
        <v>9</v>
      </c>
      <c r="M88" s="166">
        <v>10</v>
      </c>
      <c r="N88" s="166">
        <v>3</v>
      </c>
      <c r="O88" s="166">
        <v>1</v>
      </c>
      <c r="P88" s="166">
        <v>3</v>
      </c>
      <c r="Q88" s="166"/>
      <c r="R88" s="166">
        <v>2</v>
      </c>
      <c r="S88" s="166">
        <v>3</v>
      </c>
      <c r="T88" s="166">
        <v>1</v>
      </c>
      <c r="U88" s="166">
        <v>1</v>
      </c>
      <c r="V88" s="166"/>
      <c r="W88" s="166">
        <v>8</v>
      </c>
      <c r="X88" s="166">
        <v>3</v>
      </c>
      <c r="Y88" s="166">
        <v>6</v>
      </c>
      <c r="Z88" s="166">
        <v>12</v>
      </c>
      <c r="AA88" s="166">
        <v>4</v>
      </c>
      <c r="AB88" s="166"/>
      <c r="AC88" s="166">
        <v>1</v>
      </c>
      <c r="AD88" s="166"/>
      <c r="AE88" s="166">
        <v>3</v>
      </c>
      <c r="AF88" s="167"/>
      <c r="AG88" s="132">
        <f t="shared" si="13"/>
        <v>102</v>
      </c>
    </row>
    <row r="89" spans="1:35" ht="18.75" x14ac:dyDescent="0.25">
      <c r="A89" s="105" t="s">
        <v>73</v>
      </c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10"/>
      <c r="AG89" s="4">
        <f t="shared" si="13"/>
        <v>0</v>
      </c>
    </row>
    <row r="90" spans="1:35" ht="18.75" x14ac:dyDescent="0.25">
      <c r="A90" s="105" t="s">
        <v>74</v>
      </c>
      <c r="B90" s="9"/>
      <c r="C90" s="9"/>
      <c r="D90" s="9"/>
      <c r="E90" s="9"/>
      <c r="F90" s="9"/>
      <c r="G90" s="9"/>
      <c r="H90" s="9"/>
      <c r="I90" s="9"/>
      <c r="J90" s="9">
        <v>1</v>
      </c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>
        <v>1</v>
      </c>
      <c r="Y90" s="9"/>
      <c r="Z90" s="9">
        <v>1</v>
      </c>
      <c r="AA90" s="9"/>
      <c r="AB90" s="9"/>
      <c r="AC90" s="9"/>
      <c r="AD90" s="9"/>
      <c r="AE90" s="9"/>
      <c r="AF90" s="10"/>
      <c r="AG90" s="4">
        <f t="shared" si="13"/>
        <v>3</v>
      </c>
    </row>
    <row r="91" spans="1:35" ht="18.75" x14ac:dyDescent="0.25">
      <c r="A91" s="105" t="s">
        <v>75</v>
      </c>
      <c r="B91" s="9"/>
      <c r="C91" s="9"/>
      <c r="D91" s="9"/>
      <c r="E91" s="9">
        <v>1</v>
      </c>
      <c r="F91" s="9"/>
      <c r="G91" s="9"/>
      <c r="H91" s="9"/>
      <c r="I91" s="9"/>
      <c r="J91" s="9"/>
      <c r="K91" s="9"/>
      <c r="L91" s="9"/>
      <c r="M91" s="9">
        <v>2</v>
      </c>
      <c r="N91" s="9">
        <v>1</v>
      </c>
      <c r="O91" s="9"/>
      <c r="P91" s="9"/>
      <c r="Q91" s="9"/>
      <c r="R91" s="9">
        <v>1</v>
      </c>
      <c r="S91" s="9">
        <v>1</v>
      </c>
      <c r="T91" s="9"/>
      <c r="U91" s="9"/>
      <c r="V91" s="9"/>
      <c r="W91" s="9"/>
      <c r="X91" s="9"/>
      <c r="Y91" s="9">
        <v>1</v>
      </c>
      <c r="Z91" s="9"/>
      <c r="AA91" s="9"/>
      <c r="AB91" s="9"/>
      <c r="AC91" s="9"/>
      <c r="AD91" s="9"/>
      <c r="AE91" s="9">
        <v>2</v>
      </c>
      <c r="AF91" s="10"/>
      <c r="AG91" s="4">
        <f t="shared" si="13"/>
        <v>9</v>
      </c>
    </row>
    <row r="92" spans="1:35" ht="19.5" thickBot="1" x14ac:dyDescent="0.3">
      <c r="A92" s="105" t="s">
        <v>76</v>
      </c>
      <c r="B92" s="9"/>
      <c r="C92" s="9"/>
      <c r="D92" s="9"/>
      <c r="E92" s="9">
        <v>1</v>
      </c>
      <c r="F92" s="9">
        <v>1</v>
      </c>
      <c r="G92" s="9"/>
      <c r="H92" s="9"/>
      <c r="I92" s="9">
        <v>1</v>
      </c>
      <c r="J92" s="9">
        <v>4</v>
      </c>
      <c r="K92" s="9">
        <v>2</v>
      </c>
      <c r="L92" s="9">
        <v>3</v>
      </c>
      <c r="M92" s="9">
        <v>2</v>
      </c>
      <c r="N92" s="9">
        <v>1</v>
      </c>
      <c r="O92" s="9"/>
      <c r="P92" s="9">
        <v>2</v>
      </c>
      <c r="Q92" s="9"/>
      <c r="R92" s="9">
        <v>1</v>
      </c>
      <c r="S92" s="9"/>
      <c r="T92" s="9"/>
      <c r="U92" s="9"/>
      <c r="V92" s="9"/>
      <c r="W92" s="9">
        <v>2</v>
      </c>
      <c r="X92" s="9">
        <v>2</v>
      </c>
      <c r="Y92" s="9">
        <v>1</v>
      </c>
      <c r="Z92" s="9">
        <v>3</v>
      </c>
      <c r="AA92" s="9">
        <v>6</v>
      </c>
      <c r="AB92" s="9"/>
      <c r="AC92" s="9"/>
      <c r="AD92" s="9"/>
      <c r="AE92" s="9">
        <v>1</v>
      </c>
      <c r="AF92" s="10"/>
      <c r="AG92" s="4">
        <f t="shared" si="13"/>
        <v>33</v>
      </c>
    </row>
    <row r="93" spans="1:35" ht="18.75" x14ac:dyDescent="0.25">
      <c r="A93" s="73" t="s">
        <v>615</v>
      </c>
      <c r="B93" s="74">
        <f t="shared" ref="B93:AF93" si="15">+B94+B100</f>
        <v>89</v>
      </c>
      <c r="C93" s="74">
        <f t="shared" si="15"/>
        <v>72</v>
      </c>
      <c r="D93" s="74">
        <f t="shared" si="15"/>
        <v>100</v>
      </c>
      <c r="E93" s="74">
        <f t="shared" si="15"/>
        <v>92</v>
      </c>
      <c r="F93" s="74">
        <f t="shared" si="15"/>
        <v>101</v>
      </c>
      <c r="G93" s="74">
        <f t="shared" si="15"/>
        <v>61</v>
      </c>
      <c r="H93" s="74">
        <f t="shared" si="15"/>
        <v>77</v>
      </c>
      <c r="I93" s="74">
        <f t="shared" si="15"/>
        <v>108</v>
      </c>
      <c r="J93" s="74">
        <f t="shared" si="15"/>
        <v>109</v>
      </c>
      <c r="K93" s="74">
        <f t="shared" si="15"/>
        <v>118</v>
      </c>
      <c r="L93" s="74">
        <f t="shared" si="15"/>
        <v>90</v>
      </c>
      <c r="M93" s="74">
        <f t="shared" si="15"/>
        <v>119</v>
      </c>
      <c r="N93" s="74">
        <f t="shared" si="15"/>
        <v>99</v>
      </c>
      <c r="O93" s="74">
        <f t="shared" si="15"/>
        <v>77</v>
      </c>
      <c r="P93" s="74">
        <f t="shared" si="15"/>
        <v>96</v>
      </c>
      <c r="Q93" s="74">
        <f t="shared" si="15"/>
        <v>74</v>
      </c>
      <c r="R93" s="74">
        <f t="shared" si="15"/>
        <v>82</v>
      </c>
      <c r="S93" s="74">
        <f t="shared" si="15"/>
        <v>61</v>
      </c>
      <c r="T93" s="74">
        <f t="shared" si="15"/>
        <v>97</v>
      </c>
      <c r="U93" s="74">
        <f t="shared" si="15"/>
        <v>69</v>
      </c>
      <c r="V93" s="74">
        <f t="shared" si="15"/>
        <v>74</v>
      </c>
      <c r="W93" s="74">
        <f t="shared" si="15"/>
        <v>103</v>
      </c>
      <c r="X93" s="74">
        <f t="shared" si="15"/>
        <v>99</v>
      </c>
      <c r="Y93" s="74">
        <f t="shared" si="15"/>
        <v>88</v>
      </c>
      <c r="Z93" s="74">
        <f t="shared" si="15"/>
        <v>115</v>
      </c>
      <c r="AA93" s="74">
        <f t="shared" si="15"/>
        <v>99</v>
      </c>
      <c r="AB93" s="74">
        <f t="shared" si="15"/>
        <v>86</v>
      </c>
      <c r="AC93" s="74">
        <f t="shared" si="15"/>
        <v>65</v>
      </c>
      <c r="AD93" s="74">
        <f t="shared" si="15"/>
        <v>64</v>
      </c>
      <c r="AE93" s="74">
        <f t="shared" si="15"/>
        <v>112</v>
      </c>
      <c r="AF93" s="84">
        <f t="shared" si="15"/>
        <v>0</v>
      </c>
      <c r="AG93" s="150">
        <f t="shared" si="13"/>
        <v>2696</v>
      </c>
      <c r="AH93" s="37" t="str">
        <f>IF(AG93&lt;&gt;AG28,"*","")</f>
        <v/>
      </c>
    </row>
    <row r="94" spans="1:35" ht="18.75" x14ac:dyDescent="0.25">
      <c r="A94" s="42" t="s">
        <v>65</v>
      </c>
      <c r="B94" s="17">
        <f t="shared" ref="B94:AF94" si="16">SUM(B95:B99)</f>
        <v>7</v>
      </c>
      <c r="C94" s="17">
        <f t="shared" si="16"/>
        <v>4</v>
      </c>
      <c r="D94" s="17">
        <f t="shared" si="16"/>
        <v>4</v>
      </c>
      <c r="E94" s="17">
        <f t="shared" si="16"/>
        <v>8</v>
      </c>
      <c r="F94" s="17">
        <f t="shared" si="16"/>
        <v>6</v>
      </c>
      <c r="G94" s="17">
        <f t="shared" si="16"/>
        <v>0</v>
      </c>
      <c r="H94" s="17">
        <f t="shared" si="16"/>
        <v>2</v>
      </c>
      <c r="I94" s="17">
        <f t="shared" si="16"/>
        <v>3</v>
      </c>
      <c r="J94" s="17">
        <f t="shared" si="16"/>
        <v>6</v>
      </c>
      <c r="K94" s="17">
        <f t="shared" si="16"/>
        <v>8</v>
      </c>
      <c r="L94" s="17">
        <f t="shared" si="16"/>
        <v>6</v>
      </c>
      <c r="M94" s="17">
        <f t="shared" si="16"/>
        <v>7</v>
      </c>
      <c r="N94" s="17">
        <f t="shared" si="16"/>
        <v>8</v>
      </c>
      <c r="O94" s="17">
        <f t="shared" si="16"/>
        <v>6</v>
      </c>
      <c r="P94" s="17">
        <f t="shared" si="16"/>
        <v>3</v>
      </c>
      <c r="Q94" s="17">
        <f t="shared" si="16"/>
        <v>4</v>
      </c>
      <c r="R94" s="17">
        <f t="shared" si="16"/>
        <v>9</v>
      </c>
      <c r="S94" s="17">
        <f t="shared" si="16"/>
        <v>7</v>
      </c>
      <c r="T94" s="17">
        <f t="shared" si="16"/>
        <v>6</v>
      </c>
      <c r="U94" s="17">
        <f t="shared" si="16"/>
        <v>7</v>
      </c>
      <c r="V94" s="17">
        <f t="shared" si="16"/>
        <v>3</v>
      </c>
      <c r="W94" s="17">
        <f t="shared" si="16"/>
        <v>6</v>
      </c>
      <c r="X94" s="17">
        <f t="shared" si="16"/>
        <v>3</v>
      </c>
      <c r="Y94" s="17">
        <f t="shared" si="16"/>
        <v>5</v>
      </c>
      <c r="Z94" s="17">
        <f t="shared" si="16"/>
        <v>9</v>
      </c>
      <c r="AA94" s="17">
        <f t="shared" si="16"/>
        <v>5</v>
      </c>
      <c r="AB94" s="17">
        <f t="shared" si="16"/>
        <v>5</v>
      </c>
      <c r="AC94" s="17">
        <f t="shared" si="16"/>
        <v>3</v>
      </c>
      <c r="AD94" s="17">
        <f t="shared" si="16"/>
        <v>6</v>
      </c>
      <c r="AE94" s="17">
        <f t="shared" si="16"/>
        <v>4</v>
      </c>
      <c r="AF94" s="18">
        <f t="shared" si="16"/>
        <v>0</v>
      </c>
      <c r="AG94" s="4">
        <f t="shared" si="13"/>
        <v>160</v>
      </c>
    </row>
    <row r="95" spans="1:35" ht="18.75" x14ac:dyDescent="0.25">
      <c r="A95" s="44" t="s">
        <v>81</v>
      </c>
      <c r="B95" s="7">
        <v>1</v>
      </c>
      <c r="C95" s="7"/>
      <c r="D95" s="7"/>
      <c r="E95" s="7">
        <v>1</v>
      </c>
      <c r="F95" s="7"/>
      <c r="G95" s="7"/>
      <c r="H95" s="7"/>
      <c r="I95" s="7"/>
      <c r="J95" s="7">
        <v>1</v>
      </c>
      <c r="K95" s="7"/>
      <c r="L95" s="7"/>
      <c r="M95" s="7"/>
      <c r="N95" s="7"/>
      <c r="O95" s="7"/>
      <c r="P95" s="7">
        <v>1</v>
      </c>
      <c r="Q95" s="7"/>
      <c r="R95" s="7">
        <v>1</v>
      </c>
      <c r="S95" s="7">
        <v>1</v>
      </c>
      <c r="T95" s="7"/>
      <c r="U95" s="7"/>
      <c r="V95" s="7"/>
      <c r="W95" s="7"/>
      <c r="X95" s="7"/>
      <c r="Y95" s="7"/>
      <c r="Z95" s="7"/>
      <c r="AA95" s="7">
        <v>2</v>
      </c>
      <c r="AB95" s="7"/>
      <c r="AC95" s="7"/>
      <c r="AD95" s="7"/>
      <c r="AE95" s="7">
        <v>1</v>
      </c>
      <c r="AF95" s="8"/>
      <c r="AG95" s="4">
        <f t="shared" si="13"/>
        <v>9</v>
      </c>
    </row>
    <row r="96" spans="1:35" ht="18.75" x14ac:dyDescent="0.25">
      <c r="A96" s="45" t="s">
        <v>82</v>
      </c>
      <c r="B96" s="7">
        <v>1</v>
      </c>
      <c r="C96" s="7"/>
      <c r="D96" s="7"/>
      <c r="E96" s="7"/>
      <c r="F96" s="7">
        <v>1</v>
      </c>
      <c r="G96" s="7"/>
      <c r="H96" s="7"/>
      <c r="I96" s="7">
        <v>1</v>
      </c>
      <c r="J96" s="7"/>
      <c r="K96" s="7"/>
      <c r="L96" s="7"/>
      <c r="M96" s="7"/>
      <c r="N96" s="7"/>
      <c r="O96" s="7">
        <v>1</v>
      </c>
      <c r="P96" s="7"/>
      <c r="Q96" s="7"/>
      <c r="R96" s="7">
        <v>2</v>
      </c>
      <c r="S96" s="141">
        <v>1</v>
      </c>
      <c r="T96" s="7">
        <v>1</v>
      </c>
      <c r="U96" s="7"/>
      <c r="V96" s="7"/>
      <c r="W96" s="7"/>
      <c r="X96" s="7">
        <v>1</v>
      </c>
      <c r="Y96" s="7">
        <v>1</v>
      </c>
      <c r="Z96" s="7">
        <v>2</v>
      </c>
      <c r="AA96" s="7"/>
      <c r="AB96" s="7"/>
      <c r="AC96" s="7">
        <v>1</v>
      </c>
      <c r="AD96" s="7">
        <v>2</v>
      </c>
      <c r="AE96" s="7"/>
      <c r="AF96" s="8"/>
      <c r="AG96" s="4">
        <f t="shared" si="13"/>
        <v>15</v>
      </c>
    </row>
    <row r="97" spans="1:33" ht="18.75" x14ac:dyDescent="0.25">
      <c r="A97" s="46" t="s">
        <v>70</v>
      </c>
      <c r="B97" s="7">
        <v>2</v>
      </c>
      <c r="C97" s="7"/>
      <c r="D97" s="7">
        <v>1</v>
      </c>
      <c r="E97" s="7">
        <v>1</v>
      </c>
      <c r="F97" s="7"/>
      <c r="G97" s="7"/>
      <c r="H97" s="7"/>
      <c r="I97" s="7">
        <v>1</v>
      </c>
      <c r="J97" s="7">
        <v>1</v>
      </c>
      <c r="K97" s="7">
        <v>2</v>
      </c>
      <c r="L97" s="7"/>
      <c r="M97" s="7"/>
      <c r="N97" s="7">
        <v>4</v>
      </c>
      <c r="O97" s="7"/>
      <c r="P97" s="7">
        <v>1</v>
      </c>
      <c r="Q97" s="7">
        <v>1</v>
      </c>
      <c r="R97" s="7">
        <v>1</v>
      </c>
      <c r="S97" s="7">
        <v>1</v>
      </c>
      <c r="T97" s="7">
        <v>1</v>
      </c>
      <c r="U97" s="7">
        <v>2</v>
      </c>
      <c r="V97" s="7">
        <v>1</v>
      </c>
      <c r="W97" s="7">
        <v>1</v>
      </c>
      <c r="X97" s="7"/>
      <c r="Y97" s="7">
        <v>1</v>
      </c>
      <c r="Z97" s="7">
        <v>1</v>
      </c>
      <c r="AA97" s="7"/>
      <c r="AB97" s="7"/>
      <c r="AC97" s="7"/>
      <c r="AD97" s="7"/>
      <c r="AE97" s="7"/>
      <c r="AF97" s="8"/>
      <c r="AG97" s="4">
        <f t="shared" si="13"/>
        <v>23</v>
      </c>
    </row>
    <row r="98" spans="1:33" ht="18.75" x14ac:dyDescent="0.25">
      <c r="A98" s="47" t="s">
        <v>6</v>
      </c>
      <c r="B98" s="7"/>
      <c r="C98" s="7">
        <v>4</v>
      </c>
      <c r="D98" s="7">
        <v>1</v>
      </c>
      <c r="E98" s="7">
        <v>1</v>
      </c>
      <c r="F98" s="7">
        <v>2</v>
      </c>
      <c r="G98" s="7"/>
      <c r="H98" s="7">
        <v>1</v>
      </c>
      <c r="I98" s="7">
        <v>1</v>
      </c>
      <c r="J98" s="7">
        <v>3</v>
      </c>
      <c r="K98" s="7">
        <v>3</v>
      </c>
      <c r="L98" s="7">
        <v>1</v>
      </c>
      <c r="M98" s="7">
        <v>3</v>
      </c>
      <c r="N98" s="7">
        <v>1</v>
      </c>
      <c r="O98" s="7">
        <v>1</v>
      </c>
      <c r="P98" s="7"/>
      <c r="Q98" s="7">
        <v>2</v>
      </c>
      <c r="R98" s="7">
        <v>3</v>
      </c>
      <c r="S98" s="7"/>
      <c r="T98" s="7">
        <v>2</v>
      </c>
      <c r="U98" s="7">
        <v>2</v>
      </c>
      <c r="V98" s="7">
        <v>1</v>
      </c>
      <c r="W98" s="7">
        <v>1</v>
      </c>
      <c r="X98" s="7"/>
      <c r="Y98" s="7"/>
      <c r="Z98" s="7">
        <v>3</v>
      </c>
      <c r="AA98" s="7">
        <v>1</v>
      </c>
      <c r="AB98" s="7"/>
      <c r="AC98" s="7">
        <v>2</v>
      </c>
      <c r="AD98" s="7">
        <v>2</v>
      </c>
      <c r="AE98" s="7">
        <v>2</v>
      </c>
      <c r="AF98" s="8"/>
      <c r="AG98" s="4">
        <f t="shared" si="13"/>
        <v>43</v>
      </c>
    </row>
    <row r="99" spans="1:33" ht="18.75" x14ac:dyDescent="0.25">
      <c r="A99" s="48" t="s">
        <v>7</v>
      </c>
      <c r="B99" s="7">
        <v>3</v>
      </c>
      <c r="C99" s="7"/>
      <c r="D99" s="7">
        <v>2</v>
      </c>
      <c r="E99" s="7">
        <v>5</v>
      </c>
      <c r="F99" s="7">
        <v>3</v>
      </c>
      <c r="G99" s="7"/>
      <c r="H99" s="7">
        <v>1</v>
      </c>
      <c r="I99" s="7"/>
      <c r="J99" s="7">
        <v>1</v>
      </c>
      <c r="K99" s="7">
        <v>3</v>
      </c>
      <c r="L99" s="7">
        <v>5</v>
      </c>
      <c r="M99" s="7">
        <v>4</v>
      </c>
      <c r="N99" s="7">
        <v>3</v>
      </c>
      <c r="O99" s="7">
        <v>4</v>
      </c>
      <c r="P99" s="7">
        <v>1</v>
      </c>
      <c r="Q99" s="7">
        <v>1</v>
      </c>
      <c r="R99" s="7">
        <v>2</v>
      </c>
      <c r="S99" s="7">
        <v>4</v>
      </c>
      <c r="T99" s="7">
        <v>2</v>
      </c>
      <c r="U99" s="7">
        <v>3</v>
      </c>
      <c r="V99" s="7">
        <v>1</v>
      </c>
      <c r="W99" s="7">
        <v>4</v>
      </c>
      <c r="X99" s="7">
        <v>2</v>
      </c>
      <c r="Y99" s="7">
        <v>3</v>
      </c>
      <c r="Z99" s="7">
        <v>3</v>
      </c>
      <c r="AA99" s="7">
        <v>2</v>
      </c>
      <c r="AB99" s="7">
        <v>5</v>
      </c>
      <c r="AC99" s="7"/>
      <c r="AD99" s="7">
        <v>2</v>
      </c>
      <c r="AE99" s="7">
        <v>1</v>
      </c>
      <c r="AF99" s="8"/>
      <c r="AG99" s="4">
        <f t="shared" si="13"/>
        <v>70</v>
      </c>
    </row>
    <row r="100" spans="1:33" ht="18.75" x14ac:dyDescent="0.25">
      <c r="A100" s="42" t="s">
        <v>66</v>
      </c>
      <c r="B100" s="17">
        <f t="shared" ref="B100:AF100" si="17">SUM(B101:B115)</f>
        <v>82</v>
      </c>
      <c r="C100" s="17">
        <f t="shared" si="17"/>
        <v>68</v>
      </c>
      <c r="D100" s="17">
        <f t="shared" si="17"/>
        <v>96</v>
      </c>
      <c r="E100" s="17">
        <f t="shared" si="17"/>
        <v>84</v>
      </c>
      <c r="F100" s="17">
        <f t="shared" si="17"/>
        <v>95</v>
      </c>
      <c r="G100" s="17">
        <f t="shared" si="17"/>
        <v>61</v>
      </c>
      <c r="H100" s="17">
        <f t="shared" si="17"/>
        <v>75</v>
      </c>
      <c r="I100" s="17">
        <f t="shared" si="17"/>
        <v>105</v>
      </c>
      <c r="J100" s="17">
        <f t="shared" si="17"/>
        <v>103</v>
      </c>
      <c r="K100" s="17">
        <f t="shared" si="17"/>
        <v>110</v>
      </c>
      <c r="L100" s="17">
        <f t="shared" si="17"/>
        <v>84</v>
      </c>
      <c r="M100" s="17">
        <f t="shared" si="17"/>
        <v>112</v>
      </c>
      <c r="N100" s="17">
        <f t="shared" si="17"/>
        <v>91</v>
      </c>
      <c r="O100" s="17">
        <f t="shared" si="17"/>
        <v>71</v>
      </c>
      <c r="P100" s="17">
        <f t="shared" si="17"/>
        <v>93</v>
      </c>
      <c r="Q100" s="17">
        <f t="shared" si="17"/>
        <v>70</v>
      </c>
      <c r="R100" s="17">
        <f t="shared" si="17"/>
        <v>73</v>
      </c>
      <c r="S100" s="17">
        <f t="shared" si="17"/>
        <v>54</v>
      </c>
      <c r="T100" s="17">
        <f t="shared" si="17"/>
        <v>91</v>
      </c>
      <c r="U100" s="17">
        <f t="shared" si="17"/>
        <v>62</v>
      </c>
      <c r="V100" s="17">
        <f t="shared" si="17"/>
        <v>71</v>
      </c>
      <c r="W100" s="17">
        <f t="shared" si="17"/>
        <v>97</v>
      </c>
      <c r="X100" s="17">
        <f t="shared" si="17"/>
        <v>96</v>
      </c>
      <c r="Y100" s="17">
        <f t="shared" si="17"/>
        <v>83</v>
      </c>
      <c r="Z100" s="17">
        <f t="shared" si="17"/>
        <v>106</v>
      </c>
      <c r="AA100" s="17">
        <f t="shared" si="17"/>
        <v>94</v>
      </c>
      <c r="AB100" s="17">
        <f t="shared" si="17"/>
        <v>81</v>
      </c>
      <c r="AC100" s="17">
        <f t="shared" si="17"/>
        <v>62</v>
      </c>
      <c r="AD100" s="17">
        <f t="shared" si="17"/>
        <v>58</v>
      </c>
      <c r="AE100" s="17">
        <f t="shared" si="17"/>
        <v>108</v>
      </c>
      <c r="AF100" s="18">
        <f t="shared" si="17"/>
        <v>0</v>
      </c>
      <c r="AG100" s="4">
        <f t="shared" si="13"/>
        <v>2536</v>
      </c>
    </row>
    <row r="101" spans="1:33" ht="18.75" x14ac:dyDescent="0.25">
      <c r="A101" s="48" t="s">
        <v>8</v>
      </c>
      <c r="B101" s="7">
        <v>5</v>
      </c>
      <c r="C101" s="7">
        <v>1</v>
      </c>
      <c r="D101" s="7">
        <v>2</v>
      </c>
      <c r="E101" s="7">
        <v>1</v>
      </c>
      <c r="F101" s="7">
        <v>3</v>
      </c>
      <c r="G101" s="7">
        <v>5</v>
      </c>
      <c r="H101" s="7">
        <v>4</v>
      </c>
      <c r="I101" s="7">
        <v>8</v>
      </c>
      <c r="J101" s="7">
        <v>10</v>
      </c>
      <c r="K101" s="7">
        <v>5</v>
      </c>
      <c r="L101" s="7">
        <v>5</v>
      </c>
      <c r="M101" s="7">
        <v>6</v>
      </c>
      <c r="N101" s="7">
        <v>9</v>
      </c>
      <c r="O101" s="7">
        <v>4</v>
      </c>
      <c r="P101" s="7">
        <v>3</v>
      </c>
      <c r="Q101" s="7">
        <v>2</v>
      </c>
      <c r="R101" s="7">
        <v>3</v>
      </c>
      <c r="S101" s="7">
        <v>2</v>
      </c>
      <c r="T101" s="7">
        <v>3</v>
      </c>
      <c r="U101" s="7">
        <v>4</v>
      </c>
      <c r="V101" s="7">
        <v>3</v>
      </c>
      <c r="W101" s="7">
        <v>5</v>
      </c>
      <c r="X101" s="7">
        <v>3</v>
      </c>
      <c r="Y101" s="7">
        <v>4</v>
      </c>
      <c r="Z101" s="7">
        <v>8</v>
      </c>
      <c r="AA101" s="7">
        <v>4</v>
      </c>
      <c r="AB101" s="7">
        <v>2</v>
      </c>
      <c r="AC101" s="7">
        <v>1</v>
      </c>
      <c r="AD101" s="7">
        <v>5</v>
      </c>
      <c r="AE101" s="7">
        <v>6</v>
      </c>
      <c r="AF101" s="8"/>
      <c r="AG101" s="4">
        <f t="shared" si="13"/>
        <v>126</v>
      </c>
    </row>
    <row r="102" spans="1:33" ht="18.75" x14ac:dyDescent="0.25">
      <c r="A102" s="48" t="s">
        <v>9</v>
      </c>
      <c r="B102" s="7">
        <v>6</v>
      </c>
      <c r="C102" s="7">
        <v>12</v>
      </c>
      <c r="D102" s="7">
        <v>12</v>
      </c>
      <c r="E102" s="7">
        <v>7</v>
      </c>
      <c r="F102" s="7">
        <v>9</v>
      </c>
      <c r="G102" s="7">
        <v>5</v>
      </c>
      <c r="H102" s="7">
        <v>12</v>
      </c>
      <c r="I102" s="7">
        <v>12</v>
      </c>
      <c r="J102" s="7">
        <v>11</v>
      </c>
      <c r="K102" s="7">
        <v>9</v>
      </c>
      <c r="L102" s="7">
        <v>9</v>
      </c>
      <c r="M102" s="7">
        <v>11</v>
      </c>
      <c r="N102" s="7">
        <v>10</v>
      </c>
      <c r="O102" s="7">
        <v>4</v>
      </c>
      <c r="P102" s="7">
        <v>8</v>
      </c>
      <c r="Q102" s="7">
        <v>8</v>
      </c>
      <c r="R102" s="7">
        <v>7</v>
      </c>
      <c r="S102" s="7">
        <v>6</v>
      </c>
      <c r="T102" s="7">
        <v>9</v>
      </c>
      <c r="U102" s="7">
        <v>6</v>
      </c>
      <c r="V102" s="7">
        <v>4</v>
      </c>
      <c r="W102" s="7">
        <v>10</v>
      </c>
      <c r="X102" s="7">
        <v>13</v>
      </c>
      <c r="Y102" s="7">
        <v>8</v>
      </c>
      <c r="Z102" s="7">
        <v>12</v>
      </c>
      <c r="AA102" s="7">
        <v>8</v>
      </c>
      <c r="AB102" s="7">
        <v>4</v>
      </c>
      <c r="AC102" s="7">
        <v>7</v>
      </c>
      <c r="AD102" s="7">
        <v>7</v>
      </c>
      <c r="AE102" s="7">
        <v>6</v>
      </c>
      <c r="AF102" s="8"/>
      <c r="AG102" s="4">
        <f t="shared" si="13"/>
        <v>252</v>
      </c>
    </row>
    <row r="103" spans="1:33" ht="18.75" x14ac:dyDescent="0.25">
      <c r="A103" s="49" t="s">
        <v>10</v>
      </c>
      <c r="B103" s="7">
        <v>9</v>
      </c>
      <c r="C103" s="7">
        <v>9</v>
      </c>
      <c r="D103" s="7">
        <v>17</v>
      </c>
      <c r="E103" s="7">
        <v>10</v>
      </c>
      <c r="F103" s="7">
        <v>11</v>
      </c>
      <c r="G103" s="7">
        <v>6</v>
      </c>
      <c r="H103" s="7">
        <v>14</v>
      </c>
      <c r="I103" s="7">
        <v>9</v>
      </c>
      <c r="J103" s="7">
        <v>8</v>
      </c>
      <c r="K103" s="7">
        <v>9</v>
      </c>
      <c r="L103" s="7">
        <v>10</v>
      </c>
      <c r="M103" s="7">
        <v>8</v>
      </c>
      <c r="N103" s="7">
        <v>7</v>
      </c>
      <c r="O103" s="7">
        <v>8</v>
      </c>
      <c r="P103" s="7">
        <v>8</v>
      </c>
      <c r="Q103" s="7">
        <v>6</v>
      </c>
      <c r="R103" s="7">
        <v>9</v>
      </c>
      <c r="S103" s="7">
        <v>7</v>
      </c>
      <c r="T103" s="7">
        <v>8</v>
      </c>
      <c r="U103" s="7">
        <v>11</v>
      </c>
      <c r="V103" s="7">
        <v>10</v>
      </c>
      <c r="W103" s="7">
        <v>8</v>
      </c>
      <c r="X103" s="7">
        <v>10</v>
      </c>
      <c r="Y103" s="7">
        <v>10</v>
      </c>
      <c r="Z103" s="7">
        <v>11</v>
      </c>
      <c r="AA103" s="7">
        <v>9</v>
      </c>
      <c r="AB103" s="7">
        <v>5</v>
      </c>
      <c r="AC103" s="7">
        <v>8</v>
      </c>
      <c r="AD103" s="7">
        <v>6</v>
      </c>
      <c r="AE103" s="7">
        <v>6</v>
      </c>
      <c r="AF103" s="8"/>
      <c r="AG103" s="4">
        <f t="shared" si="13"/>
        <v>267</v>
      </c>
    </row>
    <row r="104" spans="1:33" ht="18.75" x14ac:dyDescent="0.25">
      <c r="A104" s="49" t="s">
        <v>11</v>
      </c>
      <c r="B104" s="7">
        <v>9</v>
      </c>
      <c r="C104" s="7">
        <v>5</v>
      </c>
      <c r="D104" s="7">
        <v>9</v>
      </c>
      <c r="E104" s="7">
        <v>8</v>
      </c>
      <c r="F104" s="7">
        <v>12</v>
      </c>
      <c r="G104" s="7">
        <v>9</v>
      </c>
      <c r="H104" s="7">
        <v>4</v>
      </c>
      <c r="I104" s="7">
        <v>15</v>
      </c>
      <c r="J104" s="7">
        <v>17</v>
      </c>
      <c r="K104" s="7">
        <v>13</v>
      </c>
      <c r="L104" s="7">
        <v>8</v>
      </c>
      <c r="M104" s="7">
        <v>13</v>
      </c>
      <c r="N104" s="7">
        <v>8</v>
      </c>
      <c r="O104" s="7">
        <v>5</v>
      </c>
      <c r="P104" s="7">
        <v>9</v>
      </c>
      <c r="Q104" s="7">
        <v>5</v>
      </c>
      <c r="R104" s="7">
        <v>13</v>
      </c>
      <c r="S104" s="7">
        <v>7</v>
      </c>
      <c r="T104" s="7">
        <v>7</v>
      </c>
      <c r="U104" s="7">
        <v>7</v>
      </c>
      <c r="V104" s="7">
        <v>10</v>
      </c>
      <c r="W104" s="7">
        <v>5</v>
      </c>
      <c r="X104" s="7">
        <v>12</v>
      </c>
      <c r="Y104" s="7">
        <v>1</v>
      </c>
      <c r="Z104" s="7">
        <v>6</v>
      </c>
      <c r="AA104" s="7">
        <v>7</v>
      </c>
      <c r="AB104" s="7">
        <v>8</v>
      </c>
      <c r="AC104" s="7">
        <v>4</v>
      </c>
      <c r="AD104" s="7">
        <v>6</v>
      </c>
      <c r="AE104" s="7">
        <v>7</v>
      </c>
      <c r="AF104" s="8"/>
      <c r="AG104" s="4">
        <f t="shared" si="13"/>
        <v>249</v>
      </c>
    </row>
    <row r="105" spans="1:33" ht="18.75" x14ac:dyDescent="0.25">
      <c r="A105" s="49" t="s">
        <v>12</v>
      </c>
      <c r="B105" s="7">
        <v>6</v>
      </c>
      <c r="C105" s="7">
        <v>4</v>
      </c>
      <c r="D105" s="7">
        <v>7</v>
      </c>
      <c r="E105" s="7">
        <v>11</v>
      </c>
      <c r="F105" s="7">
        <v>12</v>
      </c>
      <c r="G105" s="7">
        <v>6</v>
      </c>
      <c r="H105" s="7">
        <v>4</v>
      </c>
      <c r="I105" s="7">
        <v>5</v>
      </c>
      <c r="J105" s="7">
        <v>5</v>
      </c>
      <c r="K105" s="7">
        <v>13</v>
      </c>
      <c r="L105" s="7">
        <v>12</v>
      </c>
      <c r="M105" s="7">
        <v>12</v>
      </c>
      <c r="N105" s="7">
        <v>11</v>
      </c>
      <c r="O105" s="7">
        <v>10</v>
      </c>
      <c r="P105" s="7">
        <v>11</v>
      </c>
      <c r="Q105" s="7">
        <v>3</v>
      </c>
      <c r="R105" s="7">
        <v>3</v>
      </c>
      <c r="S105" s="7">
        <v>5</v>
      </c>
      <c r="T105" s="7">
        <v>10</v>
      </c>
      <c r="U105" s="7">
        <v>11</v>
      </c>
      <c r="V105" s="7">
        <v>5</v>
      </c>
      <c r="W105" s="7">
        <v>10</v>
      </c>
      <c r="X105" s="7">
        <v>8</v>
      </c>
      <c r="Y105" s="7">
        <v>9</v>
      </c>
      <c r="Z105" s="7">
        <v>13</v>
      </c>
      <c r="AA105" s="7">
        <v>9</v>
      </c>
      <c r="AB105" s="7">
        <v>3</v>
      </c>
      <c r="AC105" s="7">
        <v>6</v>
      </c>
      <c r="AD105" s="7">
        <v>4</v>
      </c>
      <c r="AE105" s="7">
        <v>8</v>
      </c>
      <c r="AF105" s="8"/>
      <c r="AG105" s="4">
        <f t="shared" si="13"/>
        <v>236</v>
      </c>
    </row>
    <row r="106" spans="1:33" ht="18.75" x14ac:dyDescent="0.25">
      <c r="A106" s="49" t="s">
        <v>13</v>
      </c>
      <c r="B106" s="7">
        <v>7</v>
      </c>
      <c r="C106" s="7">
        <v>3</v>
      </c>
      <c r="D106" s="7">
        <v>9</v>
      </c>
      <c r="E106" s="7">
        <v>14</v>
      </c>
      <c r="F106" s="7">
        <v>10</v>
      </c>
      <c r="G106" s="7">
        <v>3</v>
      </c>
      <c r="H106" s="7">
        <v>11</v>
      </c>
      <c r="I106" s="7">
        <v>5</v>
      </c>
      <c r="J106" s="7">
        <v>9</v>
      </c>
      <c r="K106" s="7">
        <v>6</v>
      </c>
      <c r="L106" s="7">
        <v>6</v>
      </c>
      <c r="M106" s="7">
        <v>12</v>
      </c>
      <c r="N106" s="7">
        <v>6</v>
      </c>
      <c r="O106" s="7">
        <v>4</v>
      </c>
      <c r="P106" s="7">
        <v>6</v>
      </c>
      <c r="Q106" s="7">
        <v>6</v>
      </c>
      <c r="R106" s="7">
        <v>6</v>
      </c>
      <c r="S106" s="7">
        <v>5</v>
      </c>
      <c r="T106" s="7">
        <v>6</v>
      </c>
      <c r="U106" s="7">
        <v>1</v>
      </c>
      <c r="V106" s="7">
        <v>6</v>
      </c>
      <c r="W106" s="7">
        <v>9</v>
      </c>
      <c r="X106" s="7">
        <v>9</v>
      </c>
      <c r="Y106" s="7">
        <v>6</v>
      </c>
      <c r="Z106" s="7">
        <v>8</v>
      </c>
      <c r="AA106" s="7">
        <v>5</v>
      </c>
      <c r="AB106" s="7">
        <v>8</v>
      </c>
      <c r="AC106" s="7">
        <v>7</v>
      </c>
      <c r="AD106" s="7">
        <v>5</v>
      </c>
      <c r="AE106" s="7">
        <v>13</v>
      </c>
      <c r="AF106" s="8"/>
      <c r="AG106" s="4">
        <f t="shared" si="13"/>
        <v>211</v>
      </c>
    </row>
    <row r="107" spans="1:33" ht="18.75" x14ac:dyDescent="0.25">
      <c r="A107" s="49" t="s">
        <v>14</v>
      </c>
      <c r="B107" s="7">
        <v>6</v>
      </c>
      <c r="C107" s="7">
        <v>4</v>
      </c>
      <c r="D107" s="7">
        <v>6</v>
      </c>
      <c r="E107" s="7">
        <v>8</v>
      </c>
      <c r="F107" s="7">
        <v>6</v>
      </c>
      <c r="G107" s="7">
        <v>2</v>
      </c>
      <c r="H107" s="7">
        <v>8</v>
      </c>
      <c r="I107" s="7">
        <v>5</v>
      </c>
      <c r="J107" s="7">
        <v>6</v>
      </c>
      <c r="K107" s="7">
        <v>9</v>
      </c>
      <c r="L107" s="7">
        <v>5</v>
      </c>
      <c r="M107" s="7">
        <v>4</v>
      </c>
      <c r="N107" s="7">
        <v>15</v>
      </c>
      <c r="O107" s="7">
        <v>3</v>
      </c>
      <c r="P107" s="7">
        <v>4</v>
      </c>
      <c r="Q107" s="7">
        <v>10</v>
      </c>
      <c r="R107" s="7">
        <v>4</v>
      </c>
      <c r="S107" s="7">
        <v>6</v>
      </c>
      <c r="T107" s="7">
        <v>10</v>
      </c>
      <c r="U107" s="7">
        <v>4</v>
      </c>
      <c r="V107" s="7">
        <v>10</v>
      </c>
      <c r="W107" s="7">
        <v>9</v>
      </c>
      <c r="X107" s="7">
        <v>4</v>
      </c>
      <c r="Y107" s="7">
        <v>4</v>
      </c>
      <c r="Z107" s="7">
        <v>5</v>
      </c>
      <c r="AA107" s="7">
        <v>9</v>
      </c>
      <c r="AB107" s="7">
        <v>14</v>
      </c>
      <c r="AC107" s="7">
        <v>3</v>
      </c>
      <c r="AD107" s="7">
        <v>2</v>
      </c>
      <c r="AE107" s="7">
        <v>19</v>
      </c>
      <c r="AF107" s="8"/>
      <c r="AG107" s="4">
        <f t="shared" si="13"/>
        <v>204</v>
      </c>
    </row>
    <row r="108" spans="1:33" ht="18.75" x14ac:dyDescent="0.25">
      <c r="A108" s="49" t="s">
        <v>15</v>
      </c>
      <c r="B108" s="7">
        <v>4</v>
      </c>
      <c r="C108" s="7">
        <v>7</v>
      </c>
      <c r="D108" s="7">
        <v>6</v>
      </c>
      <c r="E108" s="7">
        <v>6</v>
      </c>
      <c r="F108" s="7">
        <v>4</v>
      </c>
      <c r="G108" s="7">
        <v>5</v>
      </c>
      <c r="H108" s="7">
        <v>5</v>
      </c>
      <c r="I108" s="7">
        <v>14</v>
      </c>
      <c r="J108" s="7">
        <v>5</v>
      </c>
      <c r="K108" s="7">
        <v>13</v>
      </c>
      <c r="L108" s="7">
        <v>11</v>
      </c>
      <c r="M108" s="7">
        <v>14</v>
      </c>
      <c r="N108" s="7">
        <v>7</v>
      </c>
      <c r="O108" s="7">
        <v>6</v>
      </c>
      <c r="P108" s="7">
        <v>9</v>
      </c>
      <c r="Q108" s="7">
        <v>7</v>
      </c>
      <c r="R108" s="7">
        <v>6</v>
      </c>
      <c r="S108" s="7">
        <v>4</v>
      </c>
      <c r="T108" s="7">
        <v>4</v>
      </c>
      <c r="U108" s="7">
        <v>2</v>
      </c>
      <c r="V108" s="7">
        <v>1</v>
      </c>
      <c r="W108" s="7">
        <v>15</v>
      </c>
      <c r="X108" s="7">
        <v>6</v>
      </c>
      <c r="Y108" s="7">
        <v>9</v>
      </c>
      <c r="Z108" s="7">
        <v>6</v>
      </c>
      <c r="AA108" s="7">
        <v>7</v>
      </c>
      <c r="AB108" s="7">
        <v>7</v>
      </c>
      <c r="AC108" s="7">
        <v>4</v>
      </c>
      <c r="AD108" s="7">
        <v>5</v>
      </c>
      <c r="AE108" s="7">
        <v>5</v>
      </c>
      <c r="AF108" s="8"/>
      <c r="AG108" s="4">
        <f t="shared" si="13"/>
        <v>204</v>
      </c>
    </row>
    <row r="109" spans="1:33" ht="18.75" x14ac:dyDescent="0.25">
      <c r="A109" s="49" t="s">
        <v>16</v>
      </c>
      <c r="B109" s="7">
        <v>14</v>
      </c>
      <c r="C109" s="7">
        <v>6</v>
      </c>
      <c r="D109" s="7">
        <v>9</v>
      </c>
      <c r="E109" s="7">
        <v>4</v>
      </c>
      <c r="F109" s="7">
        <v>9</v>
      </c>
      <c r="G109" s="7">
        <v>8</v>
      </c>
      <c r="H109" s="7">
        <v>5</v>
      </c>
      <c r="I109" s="7">
        <v>11</v>
      </c>
      <c r="J109" s="7">
        <v>9</v>
      </c>
      <c r="K109" s="7">
        <v>8</v>
      </c>
      <c r="L109" s="7">
        <v>4</v>
      </c>
      <c r="M109" s="7">
        <v>8</v>
      </c>
      <c r="N109" s="7">
        <v>4</v>
      </c>
      <c r="O109" s="7">
        <v>6</v>
      </c>
      <c r="P109" s="7">
        <v>11</v>
      </c>
      <c r="Q109" s="7">
        <v>11</v>
      </c>
      <c r="R109" s="7">
        <v>7</v>
      </c>
      <c r="S109" s="7">
        <v>6</v>
      </c>
      <c r="T109" s="7">
        <v>14</v>
      </c>
      <c r="U109" s="7">
        <v>4</v>
      </c>
      <c r="V109" s="7">
        <v>5</v>
      </c>
      <c r="W109" s="7">
        <v>11</v>
      </c>
      <c r="X109" s="7">
        <v>11</v>
      </c>
      <c r="Y109" s="7">
        <v>10</v>
      </c>
      <c r="Z109" s="7">
        <v>13</v>
      </c>
      <c r="AA109" s="7">
        <v>9</v>
      </c>
      <c r="AB109" s="7">
        <v>9</v>
      </c>
      <c r="AC109" s="7">
        <v>6</v>
      </c>
      <c r="AD109" s="7">
        <v>5</v>
      </c>
      <c r="AE109" s="7">
        <v>8</v>
      </c>
      <c r="AF109" s="8"/>
      <c r="AG109" s="4">
        <f t="shared" si="13"/>
        <v>245</v>
      </c>
    </row>
    <row r="110" spans="1:33" ht="18.75" x14ac:dyDescent="0.25">
      <c r="A110" s="49" t="s">
        <v>17</v>
      </c>
      <c r="B110" s="7">
        <v>6</v>
      </c>
      <c r="C110" s="7">
        <v>5</v>
      </c>
      <c r="D110" s="7">
        <v>5</v>
      </c>
      <c r="E110" s="7">
        <v>2</v>
      </c>
      <c r="F110" s="7">
        <v>7</v>
      </c>
      <c r="G110" s="7">
        <v>1</v>
      </c>
      <c r="H110" s="7">
        <v>1</v>
      </c>
      <c r="I110" s="7">
        <v>4</v>
      </c>
      <c r="J110" s="7">
        <v>8</v>
      </c>
      <c r="K110" s="7">
        <v>9</v>
      </c>
      <c r="L110" s="7">
        <v>5</v>
      </c>
      <c r="M110" s="7">
        <v>6</v>
      </c>
      <c r="N110" s="7">
        <v>3</v>
      </c>
      <c r="O110" s="7">
        <v>6</v>
      </c>
      <c r="P110" s="7">
        <v>5</v>
      </c>
      <c r="Q110" s="7">
        <v>4</v>
      </c>
      <c r="R110" s="7">
        <v>8</v>
      </c>
      <c r="S110" s="7">
        <v>3</v>
      </c>
      <c r="T110" s="7">
        <v>2</v>
      </c>
      <c r="U110" s="7">
        <v>6</v>
      </c>
      <c r="V110" s="7">
        <v>3</v>
      </c>
      <c r="W110" s="7">
        <v>5</v>
      </c>
      <c r="X110" s="7">
        <v>4</v>
      </c>
      <c r="Y110" s="7">
        <v>9</v>
      </c>
      <c r="Z110" s="7">
        <v>6</v>
      </c>
      <c r="AA110" s="7">
        <v>6</v>
      </c>
      <c r="AB110" s="7">
        <v>5</v>
      </c>
      <c r="AC110" s="7">
        <v>3</v>
      </c>
      <c r="AD110" s="7">
        <v>5</v>
      </c>
      <c r="AE110" s="7">
        <v>6</v>
      </c>
      <c r="AF110" s="8"/>
      <c r="AG110" s="4">
        <f t="shared" si="13"/>
        <v>148</v>
      </c>
    </row>
    <row r="111" spans="1:33" ht="18.75" x14ac:dyDescent="0.25">
      <c r="A111" s="49" t="s">
        <v>18</v>
      </c>
      <c r="B111" s="7">
        <v>2</v>
      </c>
      <c r="C111" s="7">
        <v>8</v>
      </c>
      <c r="D111" s="7">
        <v>5</v>
      </c>
      <c r="E111" s="7">
        <v>4</v>
      </c>
      <c r="F111" s="7">
        <v>3</v>
      </c>
      <c r="G111" s="7">
        <v>5</v>
      </c>
      <c r="H111" s="7">
        <v>3</v>
      </c>
      <c r="I111" s="7">
        <v>5</v>
      </c>
      <c r="J111" s="7">
        <v>5</v>
      </c>
      <c r="K111" s="7">
        <v>5</v>
      </c>
      <c r="L111" s="7">
        <v>4</v>
      </c>
      <c r="M111" s="7">
        <v>6</v>
      </c>
      <c r="N111" s="7">
        <v>4</v>
      </c>
      <c r="O111" s="7">
        <v>10</v>
      </c>
      <c r="P111" s="7">
        <v>6</v>
      </c>
      <c r="Q111" s="7">
        <v>2</v>
      </c>
      <c r="R111" s="7">
        <v>2</v>
      </c>
      <c r="S111" s="7">
        <v>1</v>
      </c>
      <c r="T111" s="7">
        <v>10</v>
      </c>
      <c r="U111" s="7">
        <v>4</v>
      </c>
      <c r="V111" s="7">
        <v>6</v>
      </c>
      <c r="W111" s="7">
        <v>2</v>
      </c>
      <c r="X111" s="7">
        <v>7</v>
      </c>
      <c r="Y111" s="7">
        <v>8</v>
      </c>
      <c r="Z111" s="7">
        <v>11</v>
      </c>
      <c r="AA111" s="7">
        <v>9</v>
      </c>
      <c r="AB111" s="7">
        <v>7</v>
      </c>
      <c r="AC111" s="7">
        <v>6</v>
      </c>
      <c r="AD111" s="7">
        <v>4</v>
      </c>
      <c r="AE111" s="7">
        <v>8</v>
      </c>
      <c r="AF111" s="8"/>
      <c r="AG111" s="4">
        <f t="shared" si="13"/>
        <v>162</v>
      </c>
    </row>
    <row r="112" spans="1:33" ht="18.75" x14ac:dyDescent="0.25">
      <c r="A112" s="49" t="s">
        <v>19</v>
      </c>
      <c r="B112" s="7">
        <v>3</v>
      </c>
      <c r="C112" s="7">
        <v>3</v>
      </c>
      <c r="D112" s="7">
        <v>1</v>
      </c>
      <c r="E112" s="7">
        <v>5</v>
      </c>
      <c r="F112" s="7">
        <v>6</v>
      </c>
      <c r="G112" s="7">
        <v>1</v>
      </c>
      <c r="H112" s="7">
        <v>3</v>
      </c>
      <c r="I112" s="7">
        <v>5</v>
      </c>
      <c r="J112" s="7">
        <v>4</v>
      </c>
      <c r="K112" s="7">
        <v>4</v>
      </c>
      <c r="L112" s="7">
        <v>3</v>
      </c>
      <c r="M112" s="7">
        <v>6</v>
      </c>
      <c r="N112" s="7">
        <v>1</v>
      </c>
      <c r="O112" s="7">
        <v>2</v>
      </c>
      <c r="P112" s="7">
        <v>7</v>
      </c>
      <c r="Q112" s="7">
        <v>3</v>
      </c>
      <c r="R112" s="7">
        <v>4</v>
      </c>
      <c r="S112" s="7">
        <v>2</v>
      </c>
      <c r="T112" s="7">
        <v>3</v>
      </c>
      <c r="U112" s="7">
        <v>1</v>
      </c>
      <c r="V112" s="7">
        <v>2</v>
      </c>
      <c r="W112" s="7">
        <v>3</v>
      </c>
      <c r="X112" s="7">
        <v>4</v>
      </c>
      <c r="Y112" s="7">
        <v>1</v>
      </c>
      <c r="Z112" s="7">
        <v>2</v>
      </c>
      <c r="AA112" s="7">
        <v>5</v>
      </c>
      <c r="AB112" s="7">
        <v>2</v>
      </c>
      <c r="AC112" s="7">
        <v>2</v>
      </c>
      <c r="AD112" s="7">
        <v>2</v>
      </c>
      <c r="AE112" s="7">
        <v>10</v>
      </c>
      <c r="AF112" s="8"/>
      <c r="AG112" s="4">
        <f>SUM(B112:AF112)</f>
        <v>100</v>
      </c>
    </row>
    <row r="113" spans="1:33" ht="18.75" x14ac:dyDescent="0.25">
      <c r="A113" s="49" t="s">
        <v>20</v>
      </c>
      <c r="B113" s="7">
        <v>4</v>
      </c>
      <c r="C113" s="7">
        <v>1</v>
      </c>
      <c r="D113" s="7">
        <v>3</v>
      </c>
      <c r="E113" s="7">
        <v>2</v>
      </c>
      <c r="F113" s="7">
        <v>2</v>
      </c>
      <c r="G113" s="7">
        <v>1</v>
      </c>
      <c r="H113" s="7"/>
      <c r="I113" s="7">
        <v>3</v>
      </c>
      <c r="J113" s="7">
        <v>2</v>
      </c>
      <c r="K113" s="7">
        <v>2</v>
      </c>
      <c r="L113" s="7">
        <v>1</v>
      </c>
      <c r="M113" s="7">
        <v>6</v>
      </c>
      <c r="N113" s="7">
        <v>3</v>
      </c>
      <c r="O113" s="7">
        <v>2</v>
      </c>
      <c r="P113" s="7">
        <v>3</v>
      </c>
      <c r="Q113" s="7">
        <v>1</v>
      </c>
      <c r="R113" s="7"/>
      <c r="S113" s="7"/>
      <c r="T113" s="7">
        <v>1</v>
      </c>
      <c r="U113" s="7">
        <v>1</v>
      </c>
      <c r="V113" s="7">
        <v>3</v>
      </c>
      <c r="W113" s="7">
        <v>4</v>
      </c>
      <c r="X113" s="7">
        <v>2</v>
      </c>
      <c r="Y113" s="7">
        <v>2</v>
      </c>
      <c r="Z113" s="7">
        <v>4</v>
      </c>
      <c r="AA113" s="7">
        <v>4</v>
      </c>
      <c r="AB113" s="7">
        <v>3</v>
      </c>
      <c r="AC113" s="7">
        <v>3</v>
      </c>
      <c r="AD113" s="7">
        <v>2</v>
      </c>
      <c r="AE113" s="7">
        <v>5</v>
      </c>
      <c r="AF113" s="8"/>
      <c r="AG113" s="4">
        <f t="shared" si="13"/>
        <v>70</v>
      </c>
    </row>
    <row r="114" spans="1:33" ht="18.75" x14ac:dyDescent="0.25">
      <c r="A114" s="49" t="s">
        <v>21</v>
      </c>
      <c r="B114" s="7">
        <v>1</v>
      </c>
      <c r="C114" s="7"/>
      <c r="D114" s="7">
        <v>5</v>
      </c>
      <c r="E114" s="7">
        <v>2</v>
      </c>
      <c r="F114" s="7">
        <v>1</v>
      </c>
      <c r="G114" s="7">
        <v>4</v>
      </c>
      <c r="H114" s="7">
        <v>1</v>
      </c>
      <c r="I114" s="7">
        <v>4</v>
      </c>
      <c r="J114" s="7">
        <v>4</v>
      </c>
      <c r="K114" s="7">
        <v>5</v>
      </c>
      <c r="L114" s="7">
        <v>1</v>
      </c>
      <c r="M114" s="7"/>
      <c r="N114" s="7">
        <v>3</v>
      </c>
      <c r="O114" s="7">
        <v>1</v>
      </c>
      <c r="P114" s="7">
        <v>3</v>
      </c>
      <c r="Q114" s="7">
        <v>2</v>
      </c>
      <c r="R114" s="7">
        <v>1</v>
      </c>
      <c r="S114" s="7"/>
      <c r="T114" s="7">
        <v>4</v>
      </c>
      <c r="U114" s="7"/>
      <c r="V114" s="7">
        <v>3</v>
      </c>
      <c r="W114" s="7">
        <v>1</v>
      </c>
      <c r="X114" s="7">
        <v>3</v>
      </c>
      <c r="Y114" s="7">
        <v>2</v>
      </c>
      <c r="Z114" s="7">
        <v>1</v>
      </c>
      <c r="AA114" s="7">
        <v>3</v>
      </c>
      <c r="AB114" s="7">
        <v>4</v>
      </c>
      <c r="AC114" s="7">
        <v>2</v>
      </c>
      <c r="AD114" s="7"/>
      <c r="AE114" s="7">
        <v>1</v>
      </c>
      <c r="AF114" s="8"/>
      <c r="AG114" s="4">
        <f t="shared" si="13"/>
        <v>62</v>
      </c>
    </row>
    <row r="115" spans="1:33" ht="19.5" thickBot="1" x14ac:dyDescent="0.3">
      <c r="A115" s="76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2"/>
      <c r="AG115" s="4">
        <f t="shared" si="13"/>
        <v>0</v>
      </c>
    </row>
    <row r="116" spans="1:33" ht="18.75" x14ac:dyDescent="0.25">
      <c r="A116" s="73" t="s">
        <v>61</v>
      </c>
      <c r="B116" s="74">
        <f t="shared" ref="B116:AF116" si="18">SUM(B117:B129)</f>
        <v>46</v>
      </c>
      <c r="C116" s="74">
        <f t="shared" si="18"/>
        <v>43</v>
      </c>
      <c r="D116" s="74">
        <f t="shared" si="18"/>
        <v>37</v>
      </c>
      <c r="E116" s="74">
        <f t="shared" si="18"/>
        <v>49</v>
      </c>
      <c r="F116" s="74">
        <f t="shared" si="18"/>
        <v>44</v>
      </c>
      <c r="G116" s="74">
        <f t="shared" si="18"/>
        <v>21</v>
      </c>
      <c r="H116" s="74">
        <f t="shared" si="18"/>
        <v>37</v>
      </c>
      <c r="I116" s="74">
        <f t="shared" si="18"/>
        <v>64</v>
      </c>
      <c r="J116" s="74">
        <f t="shared" si="18"/>
        <v>42</v>
      </c>
      <c r="K116" s="74">
        <f t="shared" si="18"/>
        <v>66</v>
      </c>
      <c r="L116" s="74">
        <f t="shared" si="18"/>
        <v>43</v>
      </c>
      <c r="M116" s="74">
        <f t="shared" si="18"/>
        <v>64</v>
      </c>
      <c r="N116" s="74">
        <f t="shared" si="18"/>
        <v>39</v>
      </c>
      <c r="O116" s="74">
        <f t="shared" si="18"/>
        <v>28</v>
      </c>
      <c r="P116" s="74">
        <f t="shared" si="18"/>
        <v>51</v>
      </c>
      <c r="Q116" s="74">
        <f t="shared" si="18"/>
        <v>35</v>
      </c>
      <c r="R116" s="74">
        <f t="shared" si="18"/>
        <v>42</v>
      </c>
      <c r="S116" s="74">
        <f t="shared" si="18"/>
        <v>28</v>
      </c>
      <c r="T116" s="74">
        <f t="shared" si="18"/>
        <v>50</v>
      </c>
      <c r="U116" s="74">
        <f t="shared" si="18"/>
        <v>27</v>
      </c>
      <c r="V116" s="74">
        <f t="shared" si="18"/>
        <v>33</v>
      </c>
      <c r="W116" s="74">
        <f t="shared" si="18"/>
        <v>52</v>
      </c>
      <c r="X116" s="74">
        <f t="shared" si="18"/>
        <v>59</v>
      </c>
      <c r="Y116" s="74">
        <f t="shared" si="18"/>
        <v>46</v>
      </c>
      <c r="Z116" s="74">
        <f t="shared" si="18"/>
        <v>74</v>
      </c>
      <c r="AA116" s="74">
        <f t="shared" si="18"/>
        <v>56</v>
      </c>
      <c r="AB116" s="74">
        <f t="shared" si="18"/>
        <v>31</v>
      </c>
      <c r="AC116" s="74">
        <f t="shared" si="18"/>
        <v>22</v>
      </c>
      <c r="AD116" s="74">
        <f t="shared" si="18"/>
        <v>25</v>
      </c>
      <c r="AE116" s="74">
        <f t="shared" si="18"/>
        <v>60</v>
      </c>
      <c r="AF116" s="84">
        <f t="shared" si="18"/>
        <v>0</v>
      </c>
      <c r="AG116" s="4">
        <f t="shared" si="13"/>
        <v>1314</v>
      </c>
    </row>
    <row r="117" spans="1:33" ht="18.75" x14ac:dyDescent="0.25">
      <c r="A117" s="43" t="s">
        <v>59</v>
      </c>
      <c r="B117" s="7">
        <v>39</v>
      </c>
      <c r="C117" s="7">
        <v>31</v>
      </c>
      <c r="D117" s="7">
        <v>25</v>
      </c>
      <c r="E117" s="7">
        <v>35</v>
      </c>
      <c r="F117" s="7">
        <v>32</v>
      </c>
      <c r="G117" s="7">
        <v>14</v>
      </c>
      <c r="H117" s="7">
        <v>22</v>
      </c>
      <c r="I117" s="7">
        <v>46</v>
      </c>
      <c r="J117" s="7">
        <v>31</v>
      </c>
      <c r="K117" s="7">
        <v>49</v>
      </c>
      <c r="L117" s="7">
        <v>30</v>
      </c>
      <c r="M117" s="7">
        <v>54</v>
      </c>
      <c r="N117" s="7">
        <v>31</v>
      </c>
      <c r="O117" s="7">
        <v>21</v>
      </c>
      <c r="P117" s="7">
        <v>35</v>
      </c>
      <c r="Q117" s="7">
        <v>26</v>
      </c>
      <c r="R117" s="7">
        <v>34</v>
      </c>
      <c r="S117" s="7">
        <v>19</v>
      </c>
      <c r="T117" s="7">
        <v>46</v>
      </c>
      <c r="U117" s="7">
        <v>20</v>
      </c>
      <c r="V117" s="7">
        <v>23</v>
      </c>
      <c r="W117" s="7">
        <v>39</v>
      </c>
      <c r="X117" s="7">
        <v>45</v>
      </c>
      <c r="Y117" s="7">
        <v>39</v>
      </c>
      <c r="Z117" s="7">
        <v>54</v>
      </c>
      <c r="AA117" s="7">
        <v>45</v>
      </c>
      <c r="AB117" s="7">
        <v>23</v>
      </c>
      <c r="AC117" s="7">
        <v>15</v>
      </c>
      <c r="AD117" s="7">
        <v>17</v>
      </c>
      <c r="AE117" s="7">
        <v>49</v>
      </c>
      <c r="AF117" s="8"/>
      <c r="AG117" s="4">
        <f t="shared" si="13"/>
        <v>989</v>
      </c>
    </row>
    <row r="118" spans="1:33" ht="19.5" hidden="1" customHeight="1" thickBot="1" x14ac:dyDescent="0.25">
      <c r="A118" s="43" t="s">
        <v>23</v>
      </c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8"/>
      <c r="AG118" s="4">
        <f t="shared" si="13"/>
        <v>0</v>
      </c>
    </row>
    <row r="119" spans="1:33" ht="19.5" hidden="1" customHeight="1" thickBot="1" x14ac:dyDescent="0.25">
      <c r="A119" s="43" t="s">
        <v>24</v>
      </c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8"/>
      <c r="AG119" s="4">
        <f t="shared" si="13"/>
        <v>0</v>
      </c>
    </row>
    <row r="120" spans="1:33" ht="19.5" hidden="1" customHeight="1" thickBot="1" x14ac:dyDescent="0.25">
      <c r="A120" s="43" t="s">
        <v>25</v>
      </c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8"/>
      <c r="AG120" s="4">
        <f t="shared" si="13"/>
        <v>0</v>
      </c>
    </row>
    <row r="121" spans="1:33" ht="19.5" hidden="1" customHeight="1" thickBot="1" x14ac:dyDescent="0.25">
      <c r="A121" s="43" t="s">
        <v>26</v>
      </c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8"/>
      <c r="AG121" s="4">
        <f t="shared" si="13"/>
        <v>0</v>
      </c>
    </row>
    <row r="122" spans="1:33" ht="19.5" hidden="1" customHeight="1" thickBot="1" x14ac:dyDescent="0.25">
      <c r="A122" s="43" t="s">
        <v>27</v>
      </c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8"/>
      <c r="AG122" s="4">
        <f t="shared" si="13"/>
        <v>0</v>
      </c>
    </row>
    <row r="123" spans="1:33" ht="19.5" hidden="1" customHeight="1" thickBot="1" x14ac:dyDescent="0.25">
      <c r="A123" s="43" t="s">
        <v>28</v>
      </c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8"/>
      <c r="AG123" s="4">
        <f t="shared" si="13"/>
        <v>0</v>
      </c>
    </row>
    <row r="124" spans="1:33" ht="19.5" hidden="1" customHeight="1" thickBot="1" x14ac:dyDescent="0.25">
      <c r="A124" s="43" t="s">
        <v>29</v>
      </c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8"/>
      <c r="AG124" s="4">
        <f t="shared" si="13"/>
        <v>0</v>
      </c>
    </row>
    <row r="125" spans="1:33" ht="19.5" hidden="1" customHeight="1" thickBot="1" x14ac:dyDescent="0.25">
      <c r="A125" s="41" t="s">
        <v>30</v>
      </c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8"/>
      <c r="AG125" s="4">
        <f t="shared" si="13"/>
        <v>0</v>
      </c>
    </row>
    <row r="126" spans="1:33" ht="19.5" hidden="1" customHeight="1" thickBot="1" x14ac:dyDescent="0.25">
      <c r="A126" s="41" t="s">
        <v>31</v>
      </c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8"/>
      <c r="AG126" s="4">
        <f t="shared" si="13"/>
        <v>0</v>
      </c>
    </row>
    <row r="127" spans="1:33" ht="19.5" hidden="1" customHeight="1" thickBot="1" x14ac:dyDescent="0.25">
      <c r="A127" s="41" t="s">
        <v>32</v>
      </c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8"/>
      <c r="AG127" s="4">
        <f t="shared" ref="AG127:AG133" si="19">SUM(B127:AF127)</f>
        <v>0</v>
      </c>
    </row>
    <row r="128" spans="1:33" ht="19.5" hidden="1" customHeight="1" thickBot="1" x14ac:dyDescent="0.25">
      <c r="A128" s="43" t="s">
        <v>60</v>
      </c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8"/>
      <c r="AG128" s="4">
        <f t="shared" si="19"/>
        <v>0</v>
      </c>
    </row>
    <row r="129" spans="1:35" ht="19.5" thickBot="1" x14ac:dyDescent="0.3">
      <c r="A129" s="75" t="s">
        <v>86</v>
      </c>
      <c r="B129" s="13">
        <f>1+6</f>
        <v>7</v>
      </c>
      <c r="C129" s="13">
        <f>6+6</f>
        <v>12</v>
      </c>
      <c r="D129" s="13">
        <f>8+4</f>
        <v>12</v>
      </c>
      <c r="E129" s="13">
        <f>8+1+5</f>
        <v>14</v>
      </c>
      <c r="F129" s="13">
        <f>8+4</f>
        <v>12</v>
      </c>
      <c r="G129" s="13">
        <v>7</v>
      </c>
      <c r="H129" s="13">
        <f>10+5</f>
        <v>15</v>
      </c>
      <c r="I129" s="13">
        <f>10+8</f>
        <v>18</v>
      </c>
      <c r="J129" s="13">
        <f>7+4</f>
        <v>11</v>
      </c>
      <c r="K129" s="13">
        <f>7+1+9</f>
        <v>17</v>
      </c>
      <c r="L129" s="13">
        <f>8+5</f>
        <v>13</v>
      </c>
      <c r="M129" s="13">
        <f>5+5</f>
        <v>10</v>
      </c>
      <c r="N129" s="13">
        <f>3+1+4</f>
        <v>8</v>
      </c>
      <c r="O129" s="13">
        <f>3+4</f>
        <v>7</v>
      </c>
      <c r="P129" s="13">
        <f>8+8</f>
        <v>16</v>
      </c>
      <c r="Q129" s="13">
        <f>3+6</f>
        <v>9</v>
      </c>
      <c r="R129" s="13">
        <f>3+5</f>
        <v>8</v>
      </c>
      <c r="S129" s="13">
        <f>7+2</f>
        <v>9</v>
      </c>
      <c r="T129" s="13">
        <f>2+2</f>
        <v>4</v>
      </c>
      <c r="U129" s="13">
        <f>1+6</f>
        <v>7</v>
      </c>
      <c r="V129" s="13">
        <f>4+6</f>
        <v>10</v>
      </c>
      <c r="W129" s="13">
        <f>6+1+6</f>
        <v>13</v>
      </c>
      <c r="X129" s="13">
        <f>7+7</f>
        <v>14</v>
      </c>
      <c r="Y129" s="13">
        <f>4+3</f>
        <v>7</v>
      </c>
      <c r="Z129" s="13">
        <f>7+13</f>
        <v>20</v>
      </c>
      <c r="AA129" s="13">
        <f>7+4</f>
        <v>11</v>
      </c>
      <c r="AB129" s="13">
        <f>4+4</f>
        <v>8</v>
      </c>
      <c r="AC129" s="13">
        <f>4+3</f>
        <v>7</v>
      </c>
      <c r="AD129" s="13">
        <f>5+3</f>
        <v>8</v>
      </c>
      <c r="AE129" s="13">
        <f>7+2+2</f>
        <v>11</v>
      </c>
      <c r="AF129" s="14"/>
      <c r="AG129" s="4">
        <f t="shared" si="19"/>
        <v>325</v>
      </c>
    </row>
    <row r="130" spans="1:35" ht="18.75" x14ac:dyDescent="0.25">
      <c r="A130" s="73" t="s">
        <v>109</v>
      </c>
      <c r="B130" s="74">
        <f t="shared" ref="B130:AF130" si="20">SUM(B131:B143)</f>
        <v>89</v>
      </c>
      <c r="C130" s="74">
        <f t="shared" si="20"/>
        <v>72</v>
      </c>
      <c r="D130" s="74">
        <f t="shared" si="20"/>
        <v>100</v>
      </c>
      <c r="E130" s="74">
        <f t="shared" si="20"/>
        <v>92</v>
      </c>
      <c r="F130" s="74">
        <f t="shared" si="20"/>
        <v>101</v>
      </c>
      <c r="G130" s="74">
        <f t="shared" si="20"/>
        <v>61</v>
      </c>
      <c r="H130" s="74">
        <f t="shared" si="20"/>
        <v>77</v>
      </c>
      <c r="I130" s="74">
        <f t="shared" si="20"/>
        <v>108</v>
      </c>
      <c r="J130" s="74">
        <f t="shared" si="20"/>
        <v>109</v>
      </c>
      <c r="K130" s="74">
        <f t="shared" si="20"/>
        <v>118</v>
      </c>
      <c r="L130" s="74">
        <f t="shared" si="20"/>
        <v>90</v>
      </c>
      <c r="M130" s="74">
        <f t="shared" si="20"/>
        <v>119</v>
      </c>
      <c r="N130" s="74">
        <f t="shared" si="20"/>
        <v>99</v>
      </c>
      <c r="O130" s="74">
        <f t="shared" si="20"/>
        <v>77</v>
      </c>
      <c r="P130" s="74">
        <f t="shared" si="20"/>
        <v>96</v>
      </c>
      <c r="Q130" s="74">
        <f t="shared" si="20"/>
        <v>74</v>
      </c>
      <c r="R130" s="74">
        <f t="shared" si="20"/>
        <v>82</v>
      </c>
      <c r="S130" s="74">
        <f t="shared" si="20"/>
        <v>61</v>
      </c>
      <c r="T130" s="74">
        <f t="shared" si="20"/>
        <v>97</v>
      </c>
      <c r="U130" s="74">
        <f t="shared" si="20"/>
        <v>69</v>
      </c>
      <c r="V130" s="74">
        <f t="shared" si="20"/>
        <v>74</v>
      </c>
      <c r="W130" s="74">
        <f t="shared" si="20"/>
        <v>103</v>
      </c>
      <c r="X130" s="74">
        <f t="shared" si="20"/>
        <v>99</v>
      </c>
      <c r="Y130" s="74">
        <f t="shared" si="20"/>
        <v>88</v>
      </c>
      <c r="Z130" s="74">
        <f t="shared" si="20"/>
        <v>115</v>
      </c>
      <c r="AA130" s="74">
        <f t="shared" si="20"/>
        <v>99</v>
      </c>
      <c r="AB130" s="74">
        <f t="shared" si="20"/>
        <v>86</v>
      </c>
      <c r="AC130" s="74">
        <f t="shared" si="20"/>
        <v>65</v>
      </c>
      <c r="AD130" s="74">
        <f t="shared" si="20"/>
        <v>64</v>
      </c>
      <c r="AE130" s="74">
        <f t="shared" si="20"/>
        <v>112</v>
      </c>
      <c r="AF130" s="84">
        <f t="shared" si="20"/>
        <v>0</v>
      </c>
      <c r="AG130" s="150">
        <f t="shared" si="19"/>
        <v>2696</v>
      </c>
      <c r="AH130" s="1" t="str">
        <f>IF(AG130&lt;&gt;AG93,"*","")</f>
        <v/>
      </c>
    </row>
    <row r="131" spans="1:35" ht="18.75" x14ac:dyDescent="0.25">
      <c r="A131" s="43" t="s">
        <v>59</v>
      </c>
      <c r="B131" s="7">
        <v>38</v>
      </c>
      <c r="C131" s="7">
        <v>30</v>
      </c>
      <c r="D131" s="7">
        <v>23</v>
      </c>
      <c r="E131" s="7">
        <v>33</v>
      </c>
      <c r="F131" s="7">
        <v>29</v>
      </c>
      <c r="G131" s="7">
        <v>14</v>
      </c>
      <c r="H131" s="7">
        <v>21</v>
      </c>
      <c r="I131" s="7">
        <v>40</v>
      </c>
      <c r="J131" s="7">
        <v>30</v>
      </c>
      <c r="K131" s="7">
        <v>44</v>
      </c>
      <c r="L131" s="7">
        <v>23</v>
      </c>
      <c r="M131" s="7">
        <v>45</v>
      </c>
      <c r="N131" s="7">
        <v>29</v>
      </c>
      <c r="O131" s="7">
        <v>20</v>
      </c>
      <c r="P131" s="7">
        <v>34</v>
      </c>
      <c r="Q131" s="7">
        <v>26</v>
      </c>
      <c r="R131" s="7">
        <v>32</v>
      </c>
      <c r="S131" s="7">
        <v>17</v>
      </c>
      <c r="T131" s="7">
        <v>46</v>
      </c>
      <c r="U131" s="7">
        <v>19</v>
      </c>
      <c r="V131" s="7">
        <v>23</v>
      </c>
      <c r="W131" s="7">
        <v>35</v>
      </c>
      <c r="X131" s="7">
        <v>43</v>
      </c>
      <c r="Y131" s="7">
        <v>36</v>
      </c>
      <c r="Z131" s="7">
        <v>42</v>
      </c>
      <c r="AA131" s="7">
        <v>40</v>
      </c>
      <c r="AB131" s="7">
        <v>23</v>
      </c>
      <c r="AC131" s="7">
        <v>15</v>
      </c>
      <c r="AD131" s="7">
        <v>17</v>
      </c>
      <c r="AE131" s="7">
        <v>48</v>
      </c>
      <c r="AF131" s="8"/>
      <c r="AG131" s="4">
        <f t="shared" si="19"/>
        <v>915</v>
      </c>
    </row>
    <row r="132" spans="1:35" ht="18.75" x14ac:dyDescent="0.25">
      <c r="A132" s="43" t="s">
        <v>23</v>
      </c>
      <c r="B132" s="7">
        <v>7</v>
      </c>
      <c r="C132" s="7">
        <v>1</v>
      </c>
      <c r="D132" s="7">
        <v>5</v>
      </c>
      <c r="E132" s="7">
        <v>6</v>
      </c>
      <c r="F132" s="7">
        <v>3</v>
      </c>
      <c r="G132" s="7">
        <v>7</v>
      </c>
      <c r="H132" s="7">
        <v>9</v>
      </c>
      <c r="I132" s="7">
        <v>5</v>
      </c>
      <c r="J132" s="7">
        <v>12</v>
      </c>
      <c r="K132" s="7">
        <v>4</v>
      </c>
      <c r="L132" s="7">
        <v>8</v>
      </c>
      <c r="M132" s="7">
        <v>5</v>
      </c>
      <c r="N132" s="7">
        <v>9</v>
      </c>
      <c r="O132" s="7">
        <v>4</v>
      </c>
      <c r="P132" s="7">
        <v>2</v>
      </c>
      <c r="Q132" s="7">
        <v>6</v>
      </c>
      <c r="R132" s="7">
        <v>3</v>
      </c>
      <c r="S132" s="7">
        <v>5</v>
      </c>
      <c r="T132" s="7">
        <v>4</v>
      </c>
      <c r="U132" s="7">
        <v>6</v>
      </c>
      <c r="V132" s="7">
        <v>2</v>
      </c>
      <c r="W132" s="7">
        <v>9</v>
      </c>
      <c r="X132" s="7">
        <v>5</v>
      </c>
      <c r="Y132" s="7">
        <v>6</v>
      </c>
      <c r="Z132" s="7">
        <v>8</v>
      </c>
      <c r="AA132" s="7">
        <v>5</v>
      </c>
      <c r="AB132" s="7">
        <v>5</v>
      </c>
      <c r="AC132" s="7">
        <v>4</v>
      </c>
      <c r="AD132" s="7">
        <v>1</v>
      </c>
      <c r="AE132" s="7">
        <v>8</v>
      </c>
      <c r="AF132" s="8"/>
      <c r="AG132" s="4">
        <f t="shared" si="19"/>
        <v>164</v>
      </c>
    </row>
    <row r="133" spans="1:35" ht="18.75" x14ac:dyDescent="0.25">
      <c r="A133" s="43" t="s">
        <v>24</v>
      </c>
      <c r="B133" s="7">
        <v>4</v>
      </c>
      <c r="C133" s="7">
        <v>2</v>
      </c>
      <c r="D133" s="7">
        <v>11</v>
      </c>
      <c r="E133" s="7">
        <v>2</v>
      </c>
      <c r="F133" s="7">
        <v>5</v>
      </c>
      <c r="G133" s="7">
        <v>2</v>
      </c>
      <c r="H133" s="7">
        <v>5</v>
      </c>
      <c r="I133" s="7">
        <v>9</v>
      </c>
      <c r="J133" s="7">
        <v>8</v>
      </c>
      <c r="K133" s="7">
        <v>2</v>
      </c>
      <c r="L133" s="7">
        <v>11</v>
      </c>
      <c r="M133" s="7">
        <v>8</v>
      </c>
      <c r="N133" s="7">
        <v>5</v>
      </c>
      <c r="O133" s="7">
        <v>10</v>
      </c>
      <c r="P133" s="7">
        <v>7</v>
      </c>
      <c r="Q133" s="7">
        <v>4</v>
      </c>
      <c r="R133" s="7">
        <v>9</v>
      </c>
      <c r="S133" s="7">
        <v>7</v>
      </c>
      <c r="T133" s="7">
        <v>4</v>
      </c>
      <c r="U133" s="7">
        <v>6</v>
      </c>
      <c r="V133" s="7">
        <v>5</v>
      </c>
      <c r="W133" s="7">
        <v>9</v>
      </c>
      <c r="X133" s="7">
        <v>4</v>
      </c>
      <c r="Y133" s="7">
        <v>8</v>
      </c>
      <c r="Z133" s="7">
        <v>3</v>
      </c>
      <c r="AA133" s="7">
        <v>5</v>
      </c>
      <c r="AB133" s="7">
        <v>7</v>
      </c>
      <c r="AC133" s="7">
        <v>7</v>
      </c>
      <c r="AD133" s="7">
        <v>4</v>
      </c>
      <c r="AE133" s="7">
        <v>4</v>
      </c>
      <c r="AF133" s="8"/>
      <c r="AG133" s="4">
        <f t="shared" si="19"/>
        <v>177</v>
      </c>
    </row>
    <row r="134" spans="1:35" ht="18.75" x14ac:dyDescent="0.25">
      <c r="A134" s="43" t="s">
        <v>25</v>
      </c>
      <c r="B134" s="7">
        <v>5</v>
      </c>
      <c r="C134" s="7">
        <v>3</v>
      </c>
      <c r="D134" s="7">
        <v>7</v>
      </c>
      <c r="E134" s="7">
        <v>5</v>
      </c>
      <c r="F134" s="7">
        <f>5+1</f>
        <v>6</v>
      </c>
      <c r="G134" s="7">
        <v>4</v>
      </c>
      <c r="H134" s="7">
        <v>2</v>
      </c>
      <c r="I134" s="7">
        <v>2</v>
      </c>
      <c r="J134" s="7">
        <v>10</v>
      </c>
      <c r="K134" s="7">
        <v>5</v>
      </c>
      <c r="L134" s="7">
        <v>2</v>
      </c>
      <c r="M134" s="7">
        <v>5</v>
      </c>
      <c r="N134" s="7">
        <v>11</v>
      </c>
      <c r="O134" s="7">
        <v>3</v>
      </c>
      <c r="P134" s="7">
        <v>8</v>
      </c>
      <c r="Q134" s="7">
        <v>5</v>
      </c>
      <c r="R134" s="7">
        <v>3</v>
      </c>
      <c r="S134" s="7">
        <v>4</v>
      </c>
      <c r="T134" s="7">
        <f>1+6</f>
        <v>7</v>
      </c>
      <c r="U134" s="7">
        <v>4</v>
      </c>
      <c r="V134" s="7">
        <v>3</v>
      </c>
      <c r="W134" s="7">
        <f>1+9</f>
        <v>10</v>
      </c>
      <c r="X134" s="7">
        <f>1+7</f>
        <v>8</v>
      </c>
      <c r="Y134" s="7">
        <v>11</v>
      </c>
      <c r="Z134" s="7">
        <v>5</v>
      </c>
      <c r="AA134" s="7">
        <f>1+2</f>
        <v>3</v>
      </c>
      <c r="AB134" s="7">
        <v>5</v>
      </c>
      <c r="AC134" s="7">
        <v>4</v>
      </c>
      <c r="AD134" s="7">
        <v>5</v>
      </c>
      <c r="AE134" s="7">
        <f>8+1</f>
        <v>9</v>
      </c>
      <c r="AF134" s="8"/>
      <c r="AG134" s="4">
        <f t="shared" ref="AG134:AG147" si="21">SUM(B134:AF134)</f>
        <v>164</v>
      </c>
    </row>
    <row r="135" spans="1:35" ht="18.75" x14ac:dyDescent="0.25">
      <c r="A135" s="43" t="s">
        <v>26</v>
      </c>
      <c r="B135" s="7">
        <v>6</v>
      </c>
      <c r="C135" s="7">
        <v>3</v>
      </c>
      <c r="D135" s="7">
        <v>2</v>
      </c>
      <c r="E135" s="7">
        <v>1</v>
      </c>
      <c r="F135" s="7">
        <v>6</v>
      </c>
      <c r="G135" s="7">
        <v>3</v>
      </c>
      <c r="H135" s="7">
        <v>3</v>
      </c>
      <c r="I135" s="7">
        <v>2</v>
      </c>
      <c r="J135" s="7">
        <v>9</v>
      </c>
      <c r="K135" s="7">
        <v>6</v>
      </c>
      <c r="L135" s="7">
        <v>5</v>
      </c>
      <c r="M135" s="7">
        <v>14</v>
      </c>
      <c r="N135" s="7">
        <v>8</v>
      </c>
      <c r="O135" s="7">
        <v>8</v>
      </c>
      <c r="P135" s="7">
        <v>5</v>
      </c>
      <c r="Q135" s="7">
        <v>4</v>
      </c>
      <c r="R135" s="7">
        <v>2</v>
      </c>
      <c r="S135" s="7">
        <v>3</v>
      </c>
      <c r="T135" s="7">
        <v>7</v>
      </c>
      <c r="U135" s="7">
        <v>4</v>
      </c>
      <c r="V135" s="7">
        <v>4</v>
      </c>
      <c r="W135" s="7">
        <v>7</v>
      </c>
      <c r="X135" s="7">
        <v>6</v>
      </c>
      <c r="Y135" s="7">
        <v>4</v>
      </c>
      <c r="Z135" s="7">
        <v>6</v>
      </c>
      <c r="AA135" s="7">
        <v>8</v>
      </c>
      <c r="AB135" s="7">
        <v>8</v>
      </c>
      <c r="AC135" s="7">
        <v>5</v>
      </c>
      <c r="AD135" s="7">
        <v>4</v>
      </c>
      <c r="AE135" s="7">
        <v>9</v>
      </c>
      <c r="AF135" s="8"/>
      <c r="AG135" s="4">
        <f t="shared" si="21"/>
        <v>162</v>
      </c>
    </row>
    <row r="136" spans="1:35" ht="18.75" x14ac:dyDescent="0.25">
      <c r="A136" s="43" t="s">
        <v>27</v>
      </c>
      <c r="B136" s="7">
        <v>12</v>
      </c>
      <c r="C136" s="7">
        <v>8</v>
      </c>
      <c r="D136" s="7">
        <v>23</v>
      </c>
      <c r="E136" s="7">
        <v>10</v>
      </c>
      <c r="F136" s="7">
        <v>21</v>
      </c>
      <c r="G136" s="7">
        <v>16</v>
      </c>
      <c r="H136" s="7">
        <v>8</v>
      </c>
      <c r="I136" s="7">
        <v>10</v>
      </c>
      <c r="J136" s="7">
        <v>19</v>
      </c>
      <c r="K136" s="7">
        <v>16</v>
      </c>
      <c r="L136" s="7">
        <v>7</v>
      </c>
      <c r="M136" s="7">
        <v>15</v>
      </c>
      <c r="N136" s="7">
        <v>13</v>
      </c>
      <c r="O136" s="7">
        <v>5</v>
      </c>
      <c r="P136" s="7">
        <v>15</v>
      </c>
      <c r="Q136" s="7">
        <v>14</v>
      </c>
      <c r="R136" s="7">
        <v>10</v>
      </c>
      <c r="S136" s="7">
        <v>2</v>
      </c>
      <c r="T136" s="7">
        <v>7</v>
      </c>
      <c r="U136" s="7">
        <v>9</v>
      </c>
      <c r="V136" s="7">
        <v>10</v>
      </c>
      <c r="W136" s="7">
        <v>11</v>
      </c>
      <c r="X136" s="7">
        <v>9</v>
      </c>
      <c r="Y136" s="7">
        <v>4</v>
      </c>
      <c r="Z136" s="7">
        <v>17</v>
      </c>
      <c r="AA136" s="7">
        <v>15</v>
      </c>
      <c r="AB136" s="7">
        <v>13</v>
      </c>
      <c r="AC136" s="7">
        <v>10</v>
      </c>
      <c r="AD136" s="7">
        <v>13</v>
      </c>
      <c r="AE136" s="7">
        <v>12</v>
      </c>
      <c r="AF136" s="8"/>
      <c r="AG136" s="4">
        <f t="shared" si="21"/>
        <v>354</v>
      </c>
    </row>
    <row r="137" spans="1:35" ht="18.75" x14ac:dyDescent="0.25">
      <c r="A137" s="43" t="s">
        <v>28</v>
      </c>
      <c r="B137" s="7">
        <v>2</v>
      </c>
      <c r="C137" s="7">
        <v>6</v>
      </c>
      <c r="D137" s="7">
        <v>2</v>
      </c>
      <c r="E137" s="7">
        <v>5</v>
      </c>
      <c r="F137" s="7">
        <f>8+1</f>
        <v>9</v>
      </c>
      <c r="G137" s="7"/>
      <c r="H137" s="7">
        <f>6+2</f>
        <v>8</v>
      </c>
      <c r="I137" s="7">
        <f>8+1</f>
        <v>9</v>
      </c>
      <c r="J137" s="7">
        <v>4</v>
      </c>
      <c r="K137" s="7">
        <f>6+1</f>
        <v>7</v>
      </c>
      <c r="L137" s="7">
        <v>7</v>
      </c>
      <c r="M137" s="7">
        <f>3+1</f>
        <v>4</v>
      </c>
      <c r="N137" s="7">
        <f>6+1</f>
        <v>7</v>
      </c>
      <c r="O137" s="7">
        <v>4</v>
      </c>
      <c r="P137" s="7">
        <f>2+1</f>
        <v>3</v>
      </c>
      <c r="Q137" s="7">
        <v>3</v>
      </c>
      <c r="R137" s="7">
        <v>4</v>
      </c>
      <c r="S137" s="7">
        <f>1+1</f>
        <v>2</v>
      </c>
      <c r="T137" s="7">
        <f>8+1</f>
        <v>9</v>
      </c>
      <c r="U137" s="7">
        <f>5+1</f>
        <v>6</v>
      </c>
      <c r="V137" s="7">
        <v>3</v>
      </c>
      <c r="W137" s="7">
        <f>3+1</f>
        <v>4</v>
      </c>
      <c r="X137" s="7">
        <f>2+1</f>
        <v>3</v>
      </c>
      <c r="Y137" s="7">
        <f>3+1</f>
        <v>4</v>
      </c>
      <c r="Z137" s="7">
        <f>7+1</f>
        <v>8</v>
      </c>
      <c r="AA137" s="7">
        <v>3</v>
      </c>
      <c r="AB137" s="7">
        <v>4</v>
      </c>
      <c r="AC137" s="7">
        <f>6+1</f>
        <v>7</v>
      </c>
      <c r="AD137" s="7">
        <f>4+1</f>
        <v>5</v>
      </c>
      <c r="AE137" s="7">
        <v>5</v>
      </c>
      <c r="AF137" s="8"/>
      <c r="AG137" s="4">
        <f t="shared" si="21"/>
        <v>147</v>
      </c>
    </row>
    <row r="138" spans="1:35" ht="18.75" x14ac:dyDescent="0.25">
      <c r="A138" s="43" t="s">
        <v>29</v>
      </c>
      <c r="B138" s="7">
        <v>1</v>
      </c>
      <c r="C138" s="7">
        <v>3</v>
      </c>
      <c r="D138" s="7">
        <v>4</v>
      </c>
      <c r="E138" s="7">
        <v>4</v>
      </c>
      <c r="F138" s="7">
        <v>5</v>
      </c>
      <c r="G138" s="7">
        <v>1</v>
      </c>
      <c r="H138" s="7">
        <v>3</v>
      </c>
      <c r="I138" s="7">
        <v>6</v>
      </c>
      <c r="J138" s="7">
        <v>2</v>
      </c>
      <c r="K138" s="7">
        <v>3</v>
      </c>
      <c r="L138" s="7">
        <v>1</v>
      </c>
      <c r="M138" s="7"/>
      <c r="N138" s="7">
        <v>4</v>
      </c>
      <c r="O138" s="7">
        <v>2</v>
      </c>
      <c r="P138" s="7">
        <v>1</v>
      </c>
      <c r="Q138" s="7"/>
      <c r="R138" s="7">
        <v>2</v>
      </c>
      <c r="S138" s="7">
        <v>2</v>
      </c>
      <c r="T138" s="7">
        <v>2</v>
      </c>
      <c r="U138" s="7">
        <v>3</v>
      </c>
      <c r="V138" s="7">
        <v>2</v>
      </c>
      <c r="W138" s="7">
        <v>1</v>
      </c>
      <c r="X138" s="7">
        <v>2</v>
      </c>
      <c r="Y138" s="7">
        <v>1</v>
      </c>
      <c r="Z138" s="7">
        <v>1</v>
      </c>
      <c r="AA138" s="7">
        <v>2</v>
      </c>
      <c r="AB138" s="7">
        <v>1</v>
      </c>
      <c r="AC138" s="7"/>
      <c r="AD138" s="7">
        <v>2</v>
      </c>
      <c r="AE138" s="7"/>
      <c r="AF138" s="8"/>
      <c r="AG138" s="4">
        <f t="shared" si="21"/>
        <v>61</v>
      </c>
    </row>
    <row r="139" spans="1:35" ht="18.75" x14ac:dyDescent="0.25">
      <c r="A139" s="41" t="s">
        <v>30</v>
      </c>
      <c r="B139" s="7">
        <f>1+1</f>
        <v>2</v>
      </c>
      <c r="C139" s="7">
        <v>3</v>
      </c>
      <c r="D139" s="7">
        <v>2</v>
      </c>
      <c r="E139" s="7">
        <v>5</v>
      </c>
      <c r="F139" s="7">
        <v>3</v>
      </c>
      <c r="G139" s="7">
        <v>1</v>
      </c>
      <c r="H139" s="7">
        <v>3</v>
      </c>
      <c r="I139" s="7">
        <v>2</v>
      </c>
      <c r="J139" s="7">
        <f>6+1</f>
        <v>7</v>
      </c>
      <c r="K139" s="7">
        <f>6+1</f>
        <v>7</v>
      </c>
      <c r="L139" s="7">
        <f>5+1</f>
        <v>6</v>
      </c>
      <c r="M139" s="7">
        <f>2+2</f>
        <v>4</v>
      </c>
      <c r="N139" s="7">
        <f>1+1</f>
        <v>2</v>
      </c>
      <c r="O139" s="7">
        <v>6</v>
      </c>
      <c r="P139" s="7">
        <v>2</v>
      </c>
      <c r="Q139" s="7">
        <v>2</v>
      </c>
      <c r="R139" s="7">
        <v>2</v>
      </c>
      <c r="S139" s="7">
        <v>7</v>
      </c>
      <c r="T139" s="7">
        <f>3+1</f>
        <v>4</v>
      </c>
      <c r="U139" s="7">
        <v>2</v>
      </c>
      <c r="V139" s="7">
        <f>4+3</f>
        <v>7</v>
      </c>
      <c r="W139" s="7">
        <f>2+1</f>
        <v>3</v>
      </c>
      <c r="X139" s="7">
        <v>2</v>
      </c>
      <c r="Y139" s="7">
        <f>3+1</f>
        <v>4</v>
      </c>
      <c r="Z139" s="7">
        <v>4</v>
      </c>
      <c r="AA139" s="7">
        <v>3</v>
      </c>
      <c r="AB139" s="7">
        <f>4+4</f>
        <v>8</v>
      </c>
      <c r="AC139" s="7">
        <f>3+1</f>
        <v>4</v>
      </c>
      <c r="AD139" s="7">
        <v>1</v>
      </c>
      <c r="AE139" s="7">
        <f>1+1</f>
        <v>2</v>
      </c>
      <c r="AF139" s="8"/>
      <c r="AG139" s="4">
        <f t="shared" si="21"/>
        <v>110</v>
      </c>
    </row>
    <row r="140" spans="1:35" ht="18.75" x14ac:dyDescent="0.25">
      <c r="A140" s="41" t="s">
        <v>31</v>
      </c>
      <c r="B140" s="7">
        <v>4</v>
      </c>
      <c r="C140" s="7">
        <v>1</v>
      </c>
      <c r="D140" s="7">
        <v>6</v>
      </c>
      <c r="E140" s="7">
        <v>3</v>
      </c>
      <c r="F140" s="7">
        <v>1</v>
      </c>
      <c r="G140" s="7"/>
      <c r="H140" s="7"/>
      <c r="I140" s="7">
        <v>5</v>
      </c>
      <c r="J140" s="7"/>
      <c r="K140" s="7">
        <v>1</v>
      </c>
      <c r="L140" s="7">
        <v>3</v>
      </c>
      <c r="M140" s="7">
        <v>1</v>
      </c>
      <c r="N140" s="7">
        <v>2</v>
      </c>
      <c r="O140" s="7">
        <v>2</v>
      </c>
      <c r="P140" s="7">
        <v>2</v>
      </c>
      <c r="Q140" s="7">
        <v>1</v>
      </c>
      <c r="R140" s="7">
        <v>3</v>
      </c>
      <c r="S140" s="7">
        <v>1</v>
      </c>
      <c r="T140" s="7">
        <v>2</v>
      </c>
      <c r="U140" s="7">
        <v>2</v>
      </c>
      <c r="V140" s="7">
        <v>1</v>
      </c>
      <c r="W140" s="7">
        <v>3</v>
      </c>
      <c r="X140" s="7">
        <v>1</v>
      </c>
      <c r="Y140" s="7"/>
      <c r="Z140" s="7">
        <v>1</v>
      </c>
      <c r="AA140" s="7">
        <v>1</v>
      </c>
      <c r="AB140" s="7"/>
      <c r="AC140" s="7"/>
      <c r="AD140" s="7">
        <v>1</v>
      </c>
      <c r="AE140" s="7"/>
      <c r="AF140" s="8"/>
      <c r="AG140" s="4">
        <f t="shared" si="21"/>
        <v>48</v>
      </c>
    </row>
    <row r="141" spans="1:35" ht="18.75" x14ac:dyDescent="0.25">
      <c r="A141" s="41" t="s">
        <v>32</v>
      </c>
      <c r="B141" s="7"/>
      <c r="C141" s="7">
        <v>1</v>
      </c>
      <c r="D141" s="7"/>
      <c r="E141" s="7">
        <v>1</v>
      </c>
      <c r="F141" s="7"/>
      <c r="G141" s="7"/>
      <c r="H141" s="7"/>
      <c r="I141" s="7">
        <v>1</v>
      </c>
      <c r="J141" s="7"/>
      <c r="K141" s="7">
        <v>1</v>
      </c>
      <c r="L141" s="7">
        <v>1</v>
      </c>
      <c r="M141" s="7">
        <v>1</v>
      </c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>
        <v>1</v>
      </c>
      <c r="AB141" s="7"/>
      <c r="AC141" s="7">
        <v>1</v>
      </c>
      <c r="AD141" s="7"/>
      <c r="AE141" s="7"/>
      <c r="AF141" s="8"/>
      <c r="AG141" s="4">
        <f t="shared" si="21"/>
        <v>8</v>
      </c>
    </row>
    <row r="142" spans="1:35" ht="18.75" x14ac:dyDescent="0.25">
      <c r="A142" s="43" t="s">
        <v>60</v>
      </c>
      <c r="B142" s="7">
        <f>1+1</f>
        <v>2</v>
      </c>
      <c r="C142" s="7"/>
      <c r="D142" s="7">
        <f>1+1+1</f>
        <v>3</v>
      </c>
      <c r="E142" s="7">
        <f>1+1+1+1</f>
        <v>4</v>
      </c>
      <c r="F142" s="7">
        <f>1+1</f>
        <v>2</v>
      </c>
      <c r="G142" s="7">
        <f>5+1</f>
        <v>6</v>
      </c>
      <c r="H142" s="7">
        <v>1</v>
      </c>
      <c r="I142" s="7">
        <v>7</v>
      </c>
      <c r="J142" s="7">
        <v>3</v>
      </c>
      <c r="K142" s="7">
        <f>2+2+1</f>
        <v>5</v>
      </c>
      <c r="L142" s="7">
        <f>1+1+2</f>
        <v>4</v>
      </c>
      <c r="M142" s="7">
        <f>1+2+3+1</f>
        <v>7</v>
      </c>
      <c r="N142" s="7">
        <f>1+1</f>
        <v>2</v>
      </c>
      <c r="O142" s="7">
        <f>2+2+2</f>
        <v>6</v>
      </c>
      <c r="P142" s="7">
        <f>2+1</f>
        <v>3</v>
      </c>
      <c r="Q142" s="7"/>
      <c r="R142" s="7">
        <f>3+1+1</f>
        <v>5</v>
      </c>
      <c r="S142" s="7">
        <f>1+1+1</f>
        <v>3</v>
      </c>
      <c r="T142" s="7">
        <f>1</f>
        <v>1</v>
      </c>
      <c r="U142" s="7">
        <f>1</f>
        <v>1</v>
      </c>
      <c r="V142" s="7">
        <f>2+1+1</f>
        <v>4</v>
      </c>
      <c r="W142" s="7">
        <f>1+5</f>
        <v>6</v>
      </c>
      <c r="X142" s="7">
        <f>1+1</f>
        <v>2</v>
      </c>
      <c r="Y142" s="7">
        <f>1+1+1</f>
        <v>3</v>
      </c>
      <c r="Z142" s="7">
        <f>1+1+1</f>
        <v>3</v>
      </c>
      <c r="AA142" s="7">
        <f>1+1</f>
        <v>2</v>
      </c>
      <c r="AB142" s="7">
        <f>2+1+1</f>
        <v>4</v>
      </c>
      <c r="AC142" s="7">
        <f>1+1</f>
        <v>2</v>
      </c>
      <c r="AD142" s="7">
        <f>1+1+1</f>
        <v>3</v>
      </c>
      <c r="AE142" s="7">
        <f>1+1+1+1+1+1</f>
        <v>6</v>
      </c>
      <c r="AF142" s="8"/>
      <c r="AG142" s="4">
        <f t="shared" si="21"/>
        <v>100</v>
      </c>
    </row>
    <row r="143" spans="1:35" ht="19.5" thickBot="1" x14ac:dyDescent="0.3">
      <c r="A143" s="75" t="s">
        <v>86</v>
      </c>
      <c r="B143" s="13">
        <f>1+5</f>
        <v>6</v>
      </c>
      <c r="C143" s="13">
        <f>5+6</f>
        <v>11</v>
      </c>
      <c r="D143" s="13">
        <f>8+4</f>
        <v>12</v>
      </c>
      <c r="E143" s="13">
        <f>7+1+5</f>
        <v>13</v>
      </c>
      <c r="F143" s="13">
        <f>8+3</f>
        <v>11</v>
      </c>
      <c r="G143" s="13">
        <v>7</v>
      </c>
      <c r="H143" s="13">
        <f>9+5</f>
        <v>14</v>
      </c>
      <c r="I143" s="13">
        <v>10</v>
      </c>
      <c r="J143" s="13">
        <v>5</v>
      </c>
      <c r="K143" s="13">
        <f>7+1+9</f>
        <v>17</v>
      </c>
      <c r="L143" s="13">
        <f>7+5</f>
        <v>12</v>
      </c>
      <c r="M143" s="13">
        <f>5+5</f>
        <v>10</v>
      </c>
      <c r="N143" s="13">
        <f>3+1+3</f>
        <v>7</v>
      </c>
      <c r="O143" s="13">
        <f>3+4</f>
        <v>7</v>
      </c>
      <c r="P143" s="13">
        <f>8+6</f>
        <v>14</v>
      </c>
      <c r="Q143" s="13">
        <f>3+6</f>
        <v>9</v>
      </c>
      <c r="R143" s="13">
        <f>3+4</f>
        <v>7</v>
      </c>
      <c r="S143" s="13">
        <f>6+2</f>
        <v>8</v>
      </c>
      <c r="T143" s="13">
        <f>2+2</f>
        <v>4</v>
      </c>
      <c r="U143" s="13">
        <f>1+6</f>
        <v>7</v>
      </c>
      <c r="V143" s="13">
        <f>4+6</f>
        <v>10</v>
      </c>
      <c r="W143" s="13">
        <v>5</v>
      </c>
      <c r="X143" s="13">
        <f>7+7</f>
        <v>14</v>
      </c>
      <c r="Y143" s="13">
        <f>4+3</f>
        <v>7</v>
      </c>
      <c r="Z143" s="13">
        <f>5+12</f>
        <v>17</v>
      </c>
      <c r="AA143" s="13">
        <f>7+4</f>
        <v>11</v>
      </c>
      <c r="AB143" s="13">
        <f>4+4</f>
        <v>8</v>
      </c>
      <c r="AC143" s="13">
        <f>3+3</f>
        <v>6</v>
      </c>
      <c r="AD143" s="13">
        <f>5+3</f>
        <v>8</v>
      </c>
      <c r="AE143" s="13">
        <f>5+2+2</f>
        <v>9</v>
      </c>
      <c r="AF143" s="14"/>
      <c r="AG143" s="108">
        <f t="shared" si="21"/>
        <v>286</v>
      </c>
    </row>
    <row r="144" spans="1:35" ht="19.5" thickBot="1" x14ac:dyDescent="0.3">
      <c r="A144" s="164" t="s">
        <v>89</v>
      </c>
      <c r="B144" s="165">
        <f t="shared" ref="B144:AD144" si="22">+B146+B156+B158+B167</f>
        <v>89</v>
      </c>
      <c r="C144" s="165">
        <f t="shared" si="22"/>
        <v>72</v>
      </c>
      <c r="D144" s="165">
        <f t="shared" si="22"/>
        <v>100</v>
      </c>
      <c r="E144" s="165">
        <f t="shared" si="22"/>
        <v>92</v>
      </c>
      <c r="F144" s="165">
        <f t="shared" si="22"/>
        <v>101</v>
      </c>
      <c r="G144" s="165">
        <f t="shared" si="22"/>
        <v>61</v>
      </c>
      <c r="H144" s="165">
        <f t="shared" si="22"/>
        <v>77</v>
      </c>
      <c r="I144" s="165">
        <f t="shared" si="22"/>
        <v>108</v>
      </c>
      <c r="J144" s="165">
        <f t="shared" si="22"/>
        <v>109</v>
      </c>
      <c r="K144" s="165">
        <f t="shared" si="22"/>
        <v>118</v>
      </c>
      <c r="L144" s="165">
        <f t="shared" si="22"/>
        <v>90</v>
      </c>
      <c r="M144" s="165">
        <f t="shared" si="22"/>
        <v>119</v>
      </c>
      <c r="N144" s="165">
        <f t="shared" si="22"/>
        <v>99</v>
      </c>
      <c r="O144" s="165">
        <f t="shared" si="22"/>
        <v>77</v>
      </c>
      <c r="P144" s="165">
        <f t="shared" si="22"/>
        <v>96</v>
      </c>
      <c r="Q144" s="165">
        <f t="shared" si="22"/>
        <v>74</v>
      </c>
      <c r="R144" s="165">
        <f t="shared" si="22"/>
        <v>82</v>
      </c>
      <c r="S144" s="165">
        <f t="shared" si="22"/>
        <v>61</v>
      </c>
      <c r="T144" s="165">
        <f t="shared" si="22"/>
        <v>97</v>
      </c>
      <c r="U144" s="165">
        <f t="shared" si="22"/>
        <v>69</v>
      </c>
      <c r="V144" s="165">
        <f t="shared" si="22"/>
        <v>74</v>
      </c>
      <c r="W144" s="165">
        <f t="shared" si="22"/>
        <v>103</v>
      </c>
      <c r="X144" s="165">
        <f t="shared" si="22"/>
        <v>99</v>
      </c>
      <c r="Y144" s="165">
        <f t="shared" si="22"/>
        <v>88</v>
      </c>
      <c r="Z144" s="165">
        <f t="shared" si="22"/>
        <v>115</v>
      </c>
      <c r="AA144" s="165">
        <f t="shared" si="22"/>
        <v>99</v>
      </c>
      <c r="AB144" s="165">
        <f t="shared" si="22"/>
        <v>86</v>
      </c>
      <c r="AC144" s="165">
        <f t="shared" si="22"/>
        <v>65</v>
      </c>
      <c r="AD144" s="165">
        <f t="shared" si="22"/>
        <v>64</v>
      </c>
      <c r="AE144" s="165">
        <f>+AE146+AE156+AE158+AE167</f>
        <v>112</v>
      </c>
      <c r="AF144" s="165">
        <f t="shared" ref="AF144" si="23">+AF146+AF156+AF158+AF167</f>
        <v>0</v>
      </c>
      <c r="AG144" s="116">
        <f t="shared" si="21"/>
        <v>2696</v>
      </c>
      <c r="AH144" s="38" t="str">
        <f>IF(AG144&lt;&gt;AG93,"*","")</f>
        <v/>
      </c>
      <c r="AI144" t="s">
        <v>140</v>
      </c>
    </row>
    <row r="145" spans="1:34" ht="19.5" thickBot="1" x14ac:dyDescent="0.3">
      <c r="A145" s="160" t="s">
        <v>98</v>
      </c>
      <c r="B145" s="161">
        <f t="shared" ref="B145:AD145" si="24">+B149+B155+B157+B172</f>
        <v>2</v>
      </c>
      <c r="C145" s="161">
        <f t="shared" si="24"/>
        <v>2</v>
      </c>
      <c r="D145" s="161">
        <f t="shared" si="24"/>
        <v>2</v>
      </c>
      <c r="E145" s="161">
        <f t="shared" si="24"/>
        <v>3</v>
      </c>
      <c r="F145" s="161">
        <f t="shared" si="24"/>
        <v>4</v>
      </c>
      <c r="G145" s="161">
        <f t="shared" si="24"/>
        <v>0</v>
      </c>
      <c r="H145" s="161">
        <f t="shared" si="24"/>
        <v>4</v>
      </c>
      <c r="I145" s="161">
        <f t="shared" si="24"/>
        <v>9</v>
      </c>
      <c r="J145" s="161">
        <f t="shared" si="24"/>
        <v>6</v>
      </c>
      <c r="K145" s="161">
        <f t="shared" si="24"/>
        <v>11</v>
      </c>
      <c r="L145" s="161">
        <f t="shared" si="24"/>
        <v>12</v>
      </c>
      <c r="M145" s="161">
        <f t="shared" si="24"/>
        <v>14</v>
      </c>
      <c r="N145" s="161">
        <f t="shared" si="24"/>
        <v>5</v>
      </c>
      <c r="O145" s="161">
        <f t="shared" si="24"/>
        <v>1</v>
      </c>
      <c r="P145" s="161">
        <f t="shared" si="24"/>
        <v>5</v>
      </c>
      <c r="Q145" s="161">
        <f t="shared" si="24"/>
        <v>0</v>
      </c>
      <c r="R145" s="161">
        <f t="shared" si="24"/>
        <v>4</v>
      </c>
      <c r="S145" s="161">
        <f t="shared" si="24"/>
        <v>4</v>
      </c>
      <c r="T145" s="161">
        <f t="shared" si="24"/>
        <v>1</v>
      </c>
      <c r="U145" s="161">
        <f t="shared" si="24"/>
        <v>1</v>
      </c>
      <c r="V145" s="161">
        <f t="shared" si="24"/>
        <v>0</v>
      </c>
      <c r="W145" s="161">
        <f t="shared" si="24"/>
        <v>10</v>
      </c>
      <c r="X145" s="161">
        <f t="shared" si="24"/>
        <v>6</v>
      </c>
      <c r="Y145" s="161">
        <f t="shared" si="24"/>
        <v>8</v>
      </c>
      <c r="Z145" s="161">
        <f t="shared" si="24"/>
        <v>16</v>
      </c>
      <c r="AA145" s="161">
        <f t="shared" si="24"/>
        <v>10</v>
      </c>
      <c r="AB145" s="161">
        <f t="shared" si="24"/>
        <v>0</v>
      </c>
      <c r="AC145" s="161">
        <f t="shared" si="24"/>
        <v>1</v>
      </c>
      <c r="AD145" s="161">
        <f t="shared" si="24"/>
        <v>0</v>
      </c>
      <c r="AE145" s="161">
        <f>+AE149+AE155+AE157+AE172</f>
        <v>6</v>
      </c>
      <c r="AF145" s="162">
        <f t="shared" ref="AF145" si="25">+AF149+AF155+AF157+AF172</f>
        <v>0</v>
      </c>
      <c r="AG145" s="163">
        <f t="shared" si="21"/>
        <v>147</v>
      </c>
      <c r="AH145" s="1"/>
    </row>
    <row r="146" spans="1:34" ht="19.5" thickBot="1" x14ac:dyDescent="0.3">
      <c r="A146" s="117" t="s">
        <v>69</v>
      </c>
      <c r="B146" s="118">
        <f t="shared" ref="B146:AG147" si="26">+B148+B154</f>
        <v>0</v>
      </c>
      <c r="C146" s="118">
        <f t="shared" si="26"/>
        <v>0</v>
      </c>
      <c r="D146" s="118">
        <f t="shared" si="26"/>
        <v>0</v>
      </c>
      <c r="E146" s="118">
        <f t="shared" si="26"/>
        <v>1</v>
      </c>
      <c r="F146" s="118">
        <f t="shared" si="26"/>
        <v>0</v>
      </c>
      <c r="G146" s="118">
        <f t="shared" si="26"/>
        <v>0</v>
      </c>
      <c r="H146" s="118">
        <f t="shared" si="26"/>
        <v>0</v>
      </c>
      <c r="I146" s="118">
        <f t="shared" si="26"/>
        <v>0</v>
      </c>
      <c r="J146" s="118">
        <f t="shared" si="26"/>
        <v>0</v>
      </c>
      <c r="K146" s="118">
        <f t="shared" si="26"/>
        <v>0</v>
      </c>
      <c r="L146" s="118">
        <f t="shared" si="26"/>
        <v>0</v>
      </c>
      <c r="M146" s="118">
        <f t="shared" si="26"/>
        <v>0</v>
      </c>
      <c r="N146" s="118">
        <f t="shared" si="26"/>
        <v>0</v>
      </c>
      <c r="O146" s="118">
        <f t="shared" si="26"/>
        <v>0</v>
      </c>
      <c r="P146" s="118">
        <f t="shared" si="26"/>
        <v>0</v>
      </c>
      <c r="Q146" s="118">
        <f t="shared" si="26"/>
        <v>0</v>
      </c>
      <c r="R146" s="118">
        <f t="shared" si="26"/>
        <v>0</v>
      </c>
      <c r="S146" s="118">
        <f t="shared" si="26"/>
        <v>0</v>
      </c>
      <c r="T146" s="118">
        <f t="shared" si="26"/>
        <v>0</v>
      </c>
      <c r="U146" s="118">
        <f t="shared" si="26"/>
        <v>0</v>
      </c>
      <c r="V146" s="118">
        <f t="shared" si="26"/>
        <v>0</v>
      </c>
      <c r="W146" s="118">
        <f t="shared" si="26"/>
        <v>1</v>
      </c>
      <c r="X146" s="118">
        <f t="shared" si="26"/>
        <v>0</v>
      </c>
      <c r="Y146" s="118">
        <f t="shared" si="26"/>
        <v>0</v>
      </c>
      <c r="Z146" s="118">
        <f t="shared" si="26"/>
        <v>0</v>
      </c>
      <c r="AA146" s="118">
        <f t="shared" si="26"/>
        <v>0</v>
      </c>
      <c r="AB146" s="118">
        <f t="shared" si="26"/>
        <v>0</v>
      </c>
      <c r="AC146" s="118">
        <f t="shared" si="26"/>
        <v>0</v>
      </c>
      <c r="AD146" s="118">
        <f t="shared" si="26"/>
        <v>0</v>
      </c>
      <c r="AE146" s="118">
        <f t="shared" si="26"/>
        <v>0</v>
      </c>
      <c r="AF146" s="119">
        <f t="shared" si="26"/>
        <v>0</v>
      </c>
      <c r="AG146" s="120">
        <f t="shared" si="26"/>
        <v>2</v>
      </c>
    </row>
    <row r="147" spans="1:34" ht="19.5" thickBot="1" x14ac:dyDescent="0.3">
      <c r="A147" s="153" t="s">
        <v>130</v>
      </c>
      <c r="B147" s="154">
        <f t="shared" si="26"/>
        <v>0</v>
      </c>
      <c r="C147" s="154">
        <f t="shared" si="26"/>
        <v>0</v>
      </c>
      <c r="D147" s="154">
        <f t="shared" si="26"/>
        <v>0</v>
      </c>
      <c r="E147" s="154">
        <f t="shared" si="26"/>
        <v>0</v>
      </c>
      <c r="F147" s="154">
        <f t="shared" si="26"/>
        <v>0</v>
      </c>
      <c r="G147" s="154">
        <f t="shared" si="26"/>
        <v>0</v>
      </c>
      <c r="H147" s="154">
        <f t="shared" si="26"/>
        <v>0</v>
      </c>
      <c r="I147" s="154">
        <f t="shared" si="26"/>
        <v>0</v>
      </c>
      <c r="J147" s="154">
        <f t="shared" si="26"/>
        <v>0</v>
      </c>
      <c r="K147" s="154">
        <f t="shared" si="26"/>
        <v>0</v>
      </c>
      <c r="L147" s="154">
        <f t="shared" si="26"/>
        <v>0</v>
      </c>
      <c r="M147" s="154">
        <f t="shared" si="26"/>
        <v>0</v>
      </c>
      <c r="N147" s="154">
        <f t="shared" si="26"/>
        <v>0</v>
      </c>
      <c r="O147" s="154">
        <f t="shared" si="26"/>
        <v>0</v>
      </c>
      <c r="P147" s="154">
        <f t="shared" si="26"/>
        <v>0</v>
      </c>
      <c r="Q147" s="154">
        <f t="shared" si="26"/>
        <v>0</v>
      </c>
      <c r="R147" s="154">
        <f t="shared" si="26"/>
        <v>0</v>
      </c>
      <c r="S147" s="154">
        <f t="shared" si="26"/>
        <v>0</v>
      </c>
      <c r="T147" s="154">
        <f t="shared" si="26"/>
        <v>0</v>
      </c>
      <c r="U147" s="154">
        <f t="shared" si="26"/>
        <v>0</v>
      </c>
      <c r="V147" s="154">
        <f t="shared" si="26"/>
        <v>0</v>
      </c>
      <c r="W147" s="154">
        <f t="shared" si="26"/>
        <v>0</v>
      </c>
      <c r="X147" s="154">
        <f t="shared" si="26"/>
        <v>0</v>
      </c>
      <c r="Y147" s="154">
        <f t="shared" si="26"/>
        <v>0</v>
      </c>
      <c r="Z147" s="154">
        <f t="shared" si="26"/>
        <v>0</v>
      </c>
      <c r="AA147" s="154">
        <f t="shared" si="26"/>
        <v>0</v>
      </c>
      <c r="AB147" s="154">
        <f>+AB149+AB155</f>
        <v>0</v>
      </c>
      <c r="AC147" s="154">
        <f t="shared" si="26"/>
        <v>0</v>
      </c>
      <c r="AD147" s="154">
        <f t="shared" si="26"/>
        <v>0</v>
      </c>
      <c r="AE147" s="154">
        <f t="shared" si="26"/>
        <v>0</v>
      </c>
      <c r="AF147" s="155"/>
      <c r="AG147" s="156">
        <f t="shared" si="21"/>
        <v>0</v>
      </c>
    </row>
    <row r="148" spans="1:34" ht="19.5" thickBot="1" x14ac:dyDescent="0.3">
      <c r="A148" s="125" t="s">
        <v>68</v>
      </c>
      <c r="B148" s="126">
        <f>SUM(B150:B153)</f>
        <v>0</v>
      </c>
      <c r="C148" s="126">
        <f t="shared" ref="C148:AF148" si="27">SUM(C150:C153)</f>
        <v>0</v>
      </c>
      <c r="D148" s="126">
        <f t="shared" si="27"/>
        <v>0</v>
      </c>
      <c r="E148" s="126">
        <f t="shared" si="27"/>
        <v>0</v>
      </c>
      <c r="F148" s="126">
        <f t="shared" si="27"/>
        <v>0</v>
      </c>
      <c r="G148" s="126">
        <f t="shared" si="27"/>
        <v>0</v>
      </c>
      <c r="H148" s="126">
        <f t="shared" si="27"/>
        <v>0</v>
      </c>
      <c r="I148" s="126">
        <f t="shared" si="27"/>
        <v>0</v>
      </c>
      <c r="J148" s="126">
        <f t="shared" si="27"/>
        <v>0</v>
      </c>
      <c r="K148" s="126">
        <f t="shared" si="27"/>
        <v>0</v>
      </c>
      <c r="L148" s="126">
        <f t="shared" si="27"/>
        <v>0</v>
      </c>
      <c r="M148" s="126">
        <f t="shared" si="27"/>
        <v>0</v>
      </c>
      <c r="N148" s="126">
        <f t="shared" si="27"/>
        <v>0</v>
      </c>
      <c r="O148" s="126">
        <f t="shared" si="27"/>
        <v>0</v>
      </c>
      <c r="P148" s="126">
        <f t="shared" si="27"/>
        <v>0</v>
      </c>
      <c r="Q148" s="126">
        <f t="shared" si="27"/>
        <v>0</v>
      </c>
      <c r="R148" s="126">
        <f t="shared" si="27"/>
        <v>0</v>
      </c>
      <c r="S148" s="126">
        <f t="shared" si="27"/>
        <v>0</v>
      </c>
      <c r="T148" s="126">
        <f t="shared" si="27"/>
        <v>0</v>
      </c>
      <c r="U148" s="126">
        <f t="shared" si="27"/>
        <v>0</v>
      </c>
      <c r="V148" s="126">
        <f t="shared" si="27"/>
        <v>0</v>
      </c>
      <c r="W148" s="126">
        <f t="shared" si="27"/>
        <v>1</v>
      </c>
      <c r="X148" s="126">
        <f t="shared" si="27"/>
        <v>0</v>
      </c>
      <c r="Y148" s="126">
        <f t="shared" si="27"/>
        <v>0</v>
      </c>
      <c r="Z148" s="126">
        <f t="shared" si="27"/>
        <v>0</v>
      </c>
      <c r="AA148" s="126">
        <f t="shared" si="27"/>
        <v>0</v>
      </c>
      <c r="AB148" s="126">
        <f t="shared" si="27"/>
        <v>0</v>
      </c>
      <c r="AC148" s="126">
        <f t="shared" si="27"/>
        <v>0</v>
      </c>
      <c r="AD148" s="126">
        <f t="shared" si="27"/>
        <v>0</v>
      </c>
      <c r="AE148" s="126">
        <f t="shared" si="27"/>
        <v>0</v>
      </c>
      <c r="AF148" s="127">
        <f t="shared" si="27"/>
        <v>0</v>
      </c>
      <c r="AG148" s="128">
        <f t="shared" ref="AG148:AG232" si="28">SUM(B148:AF148)</f>
        <v>1</v>
      </c>
    </row>
    <row r="149" spans="1:34" ht="19.5" thickBot="1" x14ac:dyDescent="0.3">
      <c r="A149" s="153" t="s">
        <v>131</v>
      </c>
      <c r="B149" s="154"/>
      <c r="C149" s="154"/>
      <c r="D149" s="154"/>
      <c r="E149" s="154"/>
      <c r="F149" s="154"/>
      <c r="G149" s="154"/>
      <c r="H149" s="154"/>
      <c r="I149" s="154"/>
      <c r="J149" s="154"/>
      <c r="K149" s="154"/>
      <c r="L149" s="154"/>
      <c r="M149" s="154"/>
      <c r="N149" s="154"/>
      <c r="O149" s="154"/>
      <c r="P149" s="154"/>
      <c r="Q149" s="154"/>
      <c r="R149" s="154"/>
      <c r="S149" s="154"/>
      <c r="T149" s="154"/>
      <c r="U149" s="154"/>
      <c r="V149" s="154"/>
      <c r="W149" s="154"/>
      <c r="X149" s="154"/>
      <c r="Y149" s="154"/>
      <c r="Z149" s="154"/>
      <c r="AA149" s="154"/>
      <c r="AB149" s="154"/>
      <c r="AC149" s="154"/>
      <c r="AD149" s="154"/>
      <c r="AE149" s="154"/>
      <c r="AF149" s="155"/>
      <c r="AG149" s="156">
        <f t="shared" si="28"/>
        <v>0</v>
      </c>
    </row>
    <row r="150" spans="1:34" ht="18.75" x14ac:dyDescent="0.25">
      <c r="A150" s="129" t="s">
        <v>100</v>
      </c>
      <c r="B150" s="130"/>
      <c r="C150" s="130"/>
      <c r="D150" s="130"/>
      <c r="E150" s="130"/>
      <c r="F150" s="130"/>
      <c r="G150" s="130"/>
      <c r="H150" s="130"/>
      <c r="I150" s="130"/>
      <c r="J150" s="130"/>
      <c r="K150" s="130"/>
      <c r="L150" s="130"/>
      <c r="M150" s="130"/>
      <c r="N150" s="130"/>
      <c r="O150" s="130"/>
      <c r="P150" s="130"/>
      <c r="Q150" s="130"/>
      <c r="R150" s="130"/>
      <c r="S150" s="130"/>
      <c r="T150" s="130"/>
      <c r="U150" s="130"/>
      <c r="V150" s="130"/>
      <c r="W150" s="130"/>
      <c r="X150" s="130"/>
      <c r="Y150" s="130"/>
      <c r="Z150" s="130"/>
      <c r="AA150" s="130"/>
      <c r="AB150" s="130"/>
      <c r="AC150" s="130"/>
      <c r="AD150" s="130"/>
      <c r="AE150" s="130"/>
      <c r="AF150" s="131"/>
      <c r="AG150" s="132">
        <f t="shared" si="28"/>
        <v>0</v>
      </c>
    </row>
    <row r="151" spans="1:34" ht="18.75" x14ac:dyDescent="0.25">
      <c r="A151" s="50" t="s">
        <v>101</v>
      </c>
      <c r="B151" s="29"/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  <c r="AA151" s="29"/>
      <c r="AB151" s="29"/>
      <c r="AC151" s="29"/>
      <c r="AD151" s="29"/>
      <c r="AE151" s="29"/>
      <c r="AF151" s="21"/>
      <c r="AG151" s="4">
        <f t="shared" si="28"/>
        <v>0</v>
      </c>
    </row>
    <row r="152" spans="1:34" ht="18.75" x14ac:dyDescent="0.25">
      <c r="A152" s="50" t="s">
        <v>102</v>
      </c>
      <c r="B152" s="29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  <c r="AA152" s="29"/>
      <c r="AB152" s="29"/>
      <c r="AC152" s="29"/>
      <c r="AD152" s="29"/>
      <c r="AE152" s="29"/>
      <c r="AF152" s="21"/>
      <c r="AG152" s="4">
        <f t="shared" si="28"/>
        <v>0</v>
      </c>
    </row>
    <row r="153" spans="1:34" ht="19.5" thickBot="1" x14ac:dyDescent="0.3">
      <c r="A153" s="71" t="s">
        <v>103</v>
      </c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>
        <v>1</v>
      </c>
      <c r="X153" s="30"/>
      <c r="Y153" s="30"/>
      <c r="Z153" s="30"/>
      <c r="AA153" s="30"/>
      <c r="AB153" s="30"/>
      <c r="AC153" s="30"/>
      <c r="AD153" s="30"/>
      <c r="AE153" s="30"/>
      <c r="AF153" s="22"/>
      <c r="AG153" s="28">
        <f t="shared" si="28"/>
        <v>1</v>
      </c>
    </row>
    <row r="154" spans="1:34" ht="19.5" thickBot="1" x14ac:dyDescent="0.3">
      <c r="A154" s="125" t="s">
        <v>67</v>
      </c>
      <c r="B154" s="126"/>
      <c r="C154" s="126"/>
      <c r="D154" s="126"/>
      <c r="E154" s="126">
        <v>1</v>
      </c>
      <c r="F154" s="126"/>
      <c r="G154" s="126"/>
      <c r="H154" s="126"/>
      <c r="I154" s="126"/>
      <c r="J154" s="126"/>
      <c r="K154" s="126"/>
      <c r="L154" s="126"/>
      <c r="M154" s="126"/>
      <c r="N154" s="126"/>
      <c r="O154" s="126"/>
      <c r="P154" s="126"/>
      <c r="Q154" s="126"/>
      <c r="R154" s="126"/>
      <c r="S154" s="126"/>
      <c r="T154" s="126"/>
      <c r="U154" s="126"/>
      <c r="V154" s="126"/>
      <c r="W154" s="126"/>
      <c r="X154" s="126"/>
      <c r="Y154" s="126"/>
      <c r="Z154" s="126"/>
      <c r="AA154" s="126"/>
      <c r="AB154" s="126"/>
      <c r="AC154" s="126"/>
      <c r="AD154" s="126"/>
      <c r="AE154" s="126"/>
      <c r="AF154" s="127"/>
      <c r="AG154" s="128">
        <f t="shared" si="28"/>
        <v>1</v>
      </c>
    </row>
    <row r="155" spans="1:34" ht="19.5" thickBot="1" x14ac:dyDescent="0.3">
      <c r="A155" s="153" t="s">
        <v>132</v>
      </c>
      <c r="B155" s="154"/>
      <c r="C155" s="154"/>
      <c r="D155" s="154"/>
      <c r="E155" s="154"/>
      <c r="F155" s="154"/>
      <c r="G155" s="154"/>
      <c r="H155" s="154"/>
      <c r="I155" s="154"/>
      <c r="J155" s="154"/>
      <c r="K155" s="154"/>
      <c r="L155" s="154"/>
      <c r="M155" s="154"/>
      <c r="N155" s="154"/>
      <c r="O155" s="154"/>
      <c r="P155" s="154"/>
      <c r="Q155" s="154"/>
      <c r="R155" s="154"/>
      <c r="S155" s="154"/>
      <c r="T155" s="154"/>
      <c r="U155" s="154"/>
      <c r="V155" s="154"/>
      <c r="W155" s="154"/>
      <c r="X155" s="154"/>
      <c r="Y155" s="154"/>
      <c r="Z155" s="154"/>
      <c r="AA155" s="154"/>
      <c r="AB155" s="154"/>
      <c r="AC155" s="154"/>
      <c r="AD155" s="154"/>
      <c r="AE155" s="154"/>
      <c r="AF155" s="155"/>
      <c r="AG155" s="156">
        <f t="shared" si="28"/>
        <v>0</v>
      </c>
    </row>
    <row r="156" spans="1:34" ht="18.75" x14ac:dyDescent="0.25">
      <c r="A156" s="69" t="s">
        <v>62</v>
      </c>
      <c r="B156" s="56">
        <v>77</v>
      </c>
      <c r="C156" s="56">
        <v>62</v>
      </c>
      <c r="D156" s="56">
        <v>80</v>
      </c>
      <c r="E156" s="56">
        <v>76</v>
      </c>
      <c r="F156" s="56">
        <v>82</v>
      </c>
      <c r="G156" s="56">
        <v>57</v>
      </c>
      <c r="H156" s="56">
        <v>68</v>
      </c>
      <c r="I156" s="56">
        <v>99</v>
      </c>
      <c r="J156" s="56">
        <v>92</v>
      </c>
      <c r="K156" s="56">
        <v>100</v>
      </c>
      <c r="L156" s="56">
        <v>74</v>
      </c>
      <c r="M156" s="56">
        <v>100</v>
      </c>
      <c r="N156" s="56">
        <v>80</v>
      </c>
      <c r="O156" s="56">
        <v>61</v>
      </c>
      <c r="P156" s="56">
        <v>82</v>
      </c>
      <c r="Q156" s="56">
        <v>58</v>
      </c>
      <c r="R156" s="56">
        <v>67</v>
      </c>
      <c r="S156" s="56">
        <v>49</v>
      </c>
      <c r="T156" s="56">
        <v>82</v>
      </c>
      <c r="U156" s="56">
        <v>58</v>
      </c>
      <c r="V156" s="56">
        <v>58</v>
      </c>
      <c r="W156" s="56">
        <v>87</v>
      </c>
      <c r="X156" s="56">
        <v>92</v>
      </c>
      <c r="Y156" s="56">
        <v>77</v>
      </c>
      <c r="Z156" s="56">
        <v>91</v>
      </c>
      <c r="AA156" s="56">
        <v>87</v>
      </c>
      <c r="AB156" s="56">
        <v>74</v>
      </c>
      <c r="AC156" s="56">
        <v>54</v>
      </c>
      <c r="AD156" s="56">
        <v>59</v>
      </c>
      <c r="AE156" s="56">
        <v>100</v>
      </c>
      <c r="AF156" s="85"/>
      <c r="AG156" s="95">
        <f t="shared" si="28"/>
        <v>2283</v>
      </c>
      <c r="AH156" s="2" t="s">
        <v>84</v>
      </c>
    </row>
    <row r="157" spans="1:34" ht="19.5" thickBot="1" x14ac:dyDescent="0.3">
      <c r="A157" s="75" t="s">
        <v>1</v>
      </c>
      <c r="B157" s="13">
        <v>2</v>
      </c>
      <c r="C157" s="13">
        <v>2</v>
      </c>
      <c r="D157" s="13">
        <v>2</v>
      </c>
      <c r="E157" s="13">
        <v>3</v>
      </c>
      <c r="F157" s="13">
        <v>3</v>
      </c>
      <c r="G157" s="13"/>
      <c r="H157" s="13">
        <v>4</v>
      </c>
      <c r="I157" s="13">
        <v>9</v>
      </c>
      <c r="J157" s="13">
        <v>6</v>
      </c>
      <c r="K157" s="13">
        <v>11</v>
      </c>
      <c r="L157" s="13">
        <v>12</v>
      </c>
      <c r="M157" s="13">
        <v>14</v>
      </c>
      <c r="N157" s="13">
        <v>5</v>
      </c>
      <c r="O157" s="13">
        <v>1</v>
      </c>
      <c r="P157" s="13">
        <v>5</v>
      </c>
      <c r="Q157" s="13">
        <v>0</v>
      </c>
      <c r="R157" s="13">
        <v>4</v>
      </c>
      <c r="S157" s="13">
        <v>4</v>
      </c>
      <c r="T157" s="13">
        <v>1</v>
      </c>
      <c r="U157" s="13">
        <v>1</v>
      </c>
      <c r="V157" s="13">
        <v>0</v>
      </c>
      <c r="W157" s="13">
        <v>10</v>
      </c>
      <c r="X157" s="13">
        <v>6</v>
      </c>
      <c r="Y157" s="13">
        <v>8</v>
      </c>
      <c r="Z157" s="13">
        <v>16</v>
      </c>
      <c r="AA157" s="13">
        <v>10</v>
      </c>
      <c r="AB157" s="13">
        <v>0</v>
      </c>
      <c r="AC157" s="13">
        <v>1</v>
      </c>
      <c r="AD157" s="13">
        <v>0</v>
      </c>
      <c r="AE157" s="13">
        <v>6</v>
      </c>
      <c r="AF157" s="14"/>
      <c r="AG157" s="157">
        <f t="shared" si="28"/>
        <v>146</v>
      </c>
      <c r="AH157" s="2"/>
    </row>
    <row r="158" spans="1:34" ht="19.5" thickBot="1" x14ac:dyDescent="0.3">
      <c r="A158" s="121" t="s">
        <v>22</v>
      </c>
      <c r="B158" s="122">
        <f t="shared" ref="B158:AF158" si="29">SUM(B159:B166)</f>
        <v>7</v>
      </c>
      <c r="C158" s="122">
        <f t="shared" si="29"/>
        <v>6</v>
      </c>
      <c r="D158" s="122">
        <f t="shared" si="29"/>
        <v>12</v>
      </c>
      <c r="E158" s="122">
        <f t="shared" si="29"/>
        <v>9</v>
      </c>
      <c r="F158" s="122">
        <f t="shared" si="29"/>
        <v>12</v>
      </c>
      <c r="G158" s="122">
        <f t="shared" si="29"/>
        <v>4</v>
      </c>
      <c r="H158" s="122">
        <f t="shared" si="29"/>
        <v>5</v>
      </c>
      <c r="I158" s="122">
        <f t="shared" si="29"/>
        <v>3</v>
      </c>
      <c r="J158" s="122">
        <f t="shared" si="29"/>
        <v>10</v>
      </c>
      <c r="K158" s="122">
        <f t="shared" si="29"/>
        <v>10</v>
      </c>
      <c r="L158" s="122">
        <f t="shared" si="29"/>
        <v>9</v>
      </c>
      <c r="M158" s="122">
        <f t="shared" si="29"/>
        <v>9</v>
      </c>
      <c r="N158" s="122">
        <f t="shared" si="29"/>
        <v>17</v>
      </c>
      <c r="O158" s="122">
        <f t="shared" si="29"/>
        <v>8</v>
      </c>
      <c r="P158" s="122">
        <f t="shared" si="29"/>
        <v>9</v>
      </c>
      <c r="Q158" s="122">
        <f t="shared" si="29"/>
        <v>12</v>
      </c>
      <c r="R158" s="122">
        <f t="shared" si="29"/>
        <v>10</v>
      </c>
      <c r="S158" s="122">
        <f t="shared" si="29"/>
        <v>6</v>
      </c>
      <c r="T158" s="122">
        <f t="shared" si="29"/>
        <v>11</v>
      </c>
      <c r="U158" s="122">
        <f t="shared" si="29"/>
        <v>9</v>
      </c>
      <c r="V158" s="122">
        <f t="shared" si="29"/>
        <v>5</v>
      </c>
      <c r="W158" s="122">
        <f t="shared" si="29"/>
        <v>10</v>
      </c>
      <c r="X158" s="122">
        <f t="shared" si="29"/>
        <v>4</v>
      </c>
      <c r="Y158" s="122">
        <f t="shared" si="29"/>
        <v>8</v>
      </c>
      <c r="Z158" s="122">
        <f t="shared" si="29"/>
        <v>14</v>
      </c>
      <c r="AA158" s="122">
        <f t="shared" si="29"/>
        <v>6</v>
      </c>
      <c r="AB158" s="122">
        <f t="shared" si="29"/>
        <v>6</v>
      </c>
      <c r="AC158" s="122">
        <f t="shared" si="29"/>
        <v>7</v>
      </c>
      <c r="AD158" s="122">
        <f t="shared" si="29"/>
        <v>3</v>
      </c>
      <c r="AE158" s="122">
        <f t="shared" si="29"/>
        <v>11</v>
      </c>
      <c r="AF158" s="123">
        <f t="shared" si="29"/>
        <v>0</v>
      </c>
      <c r="AG158" s="124">
        <f t="shared" si="28"/>
        <v>252</v>
      </c>
    </row>
    <row r="159" spans="1:34" ht="18.75" x14ac:dyDescent="0.25">
      <c r="A159" s="129" t="s">
        <v>23</v>
      </c>
      <c r="B159" s="130">
        <v>1</v>
      </c>
      <c r="C159" s="130">
        <v>1</v>
      </c>
      <c r="D159" s="130">
        <v>2</v>
      </c>
      <c r="E159" s="130">
        <v>3</v>
      </c>
      <c r="F159" s="130">
        <v>2</v>
      </c>
      <c r="G159" s="130"/>
      <c r="H159" s="130">
        <v>2</v>
      </c>
      <c r="I159" s="130"/>
      <c r="J159" s="130">
        <v>1</v>
      </c>
      <c r="K159" s="130">
        <v>2</v>
      </c>
      <c r="L159" s="130">
        <v>2</v>
      </c>
      <c r="M159" s="130">
        <v>1</v>
      </c>
      <c r="N159" s="130">
        <v>5</v>
      </c>
      <c r="O159" s="130">
        <v>2</v>
      </c>
      <c r="P159" s="130">
        <v>2</v>
      </c>
      <c r="Q159" s="130">
        <v>1</v>
      </c>
      <c r="R159" s="130"/>
      <c r="S159" s="130">
        <v>3</v>
      </c>
      <c r="T159" s="130">
        <v>4</v>
      </c>
      <c r="U159" s="130">
        <v>2</v>
      </c>
      <c r="V159" s="130"/>
      <c r="W159" s="130">
        <v>2</v>
      </c>
      <c r="X159" s="130"/>
      <c r="Y159" s="130">
        <v>3</v>
      </c>
      <c r="Z159" s="130">
        <v>7</v>
      </c>
      <c r="AA159" s="130">
        <v>2</v>
      </c>
      <c r="AB159" s="130"/>
      <c r="AC159" s="130">
        <v>1</v>
      </c>
      <c r="AD159" s="130"/>
      <c r="AE159" s="130">
        <v>2</v>
      </c>
      <c r="AF159" s="131"/>
      <c r="AG159" s="132">
        <f t="shared" si="28"/>
        <v>53</v>
      </c>
    </row>
    <row r="160" spans="1:34" ht="18.75" x14ac:dyDescent="0.25">
      <c r="A160" s="50" t="s">
        <v>24</v>
      </c>
      <c r="B160" s="29">
        <v>2</v>
      </c>
      <c r="C160" s="29"/>
      <c r="D160" s="29">
        <v>6</v>
      </c>
      <c r="E160" s="29"/>
      <c r="F160" s="29">
        <v>1</v>
      </c>
      <c r="G160" s="29">
        <v>1</v>
      </c>
      <c r="H160" s="29"/>
      <c r="I160" s="29">
        <v>1</v>
      </c>
      <c r="J160" s="29">
        <v>4</v>
      </c>
      <c r="K160" s="29">
        <v>2</v>
      </c>
      <c r="L160" s="29">
        <v>2</v>
      </c>
      <c r="M160" s="29">
        <v>2</v>
      </c>
      <c r="N160" s="29">
        <v>1</v>
      </c>
      <c r="O160" s="29">
        <v>3</v>
      </c>
      <c r="P160" s="29">
        <v>4</v>
      </c>
      <c r="Q160" s="29">
        <v>4</v>
      </c>
      <c r="R160" s="29">
        <v>2</v>
      </c>
      <c r="S160" s="29"/>
      <c r="T160" s="29">
        <v>3</v>
      </c>
      <c r="U160" s="29">
        <v>5</v>
      </c>
      <c r="V160" s="29"/>
      <c r="W160" s="29">
        <v>1</v>
      </c>
      <c r="X160" s="29">
        <v>2</v>
      </c>
      <c r="Y160" s="29">
        <v>1</v>
      </c>
      <c r="Z160" s="29">
        <v>5</v>
      </c>
      <c r="AA160" s="29">
        <v>2</v>
      </c>
      <c r="AB160" s="29">
        <v>2</v>
      </c>
      <c r="AC160" s="29">
        <v>1</v>
      </c>
      <c r="AD160" s="29"/>
      <c r="AE160" s="29"/>
      <c r="AF160" s="21"/>
      <c r="AG160" s="4">
        <f t="shared" si="28"/>
        <v>57</v>
      </c>
    </row>
    <row r="161" spans="1:34" ht="18.75" x14ac:dyDescent="0.25">
      <c r="A161" s="50" t="s">
        <v>59</v>
      </c>
      <c r="B161" s="29"/>
      <c r="C161" s="29"/>
      <c r="D161" s="29"/>
      <c r="E161" s="29">
        <v>1</v>
      </c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>
        <v>1</v>
      </c>
      <c r="R161" s="29"/>
      <c r="S161" s="29"/>
      <c r="T161" s="29">
        <v>2</v>
      </c>
      <c r="U161" s="29"/>
      <c r="V161" s="29">
        <v>1</v>
      </c>
      <c r="W161" s="29"/>
      <c r="X161" s="29"/>
      <c r="Y161" s="29">
        <v>1</v>
      </c>
      <c r="Z161" s="29"/>
      <c r="AA161" s="29"/>
      <c r="AB161" s="29"/>
      <c r="AC161" s="29">
        <v>2</v>
      </c>
      <c r="AD161" s="29"/>
      <c r="AE161" s="29"/>
      <c r="AF161" s="21"/>
      <c r="AG161" s="4">
        <f t="shared" si="28"/>
        <v>8</v>
      </c>
    </row>
    <row r="162" spans="1:34" ht="18.75" x14ac:dyDescent="0.25">
      <c r="A162" s="50" t="s">
        <v>25</v>
      </c>
      <c r="B162" s="29">
        <v>1</v>
      </c>
      <c r="C162" s="29">
        <v>2</v>
      </c>
      <c r="D162" s="29">
        <v>1</v>
      </c>
      <c r="E162" s="29">
        <v>2</v>
      </c>
      <c r="F162" s="29">
        <v>3</v>
      </c>
      <c r="G162" s="29"/>
      <c r="H162" s="29"/>
      <c r="I162" s="29"/>
      <c r="J162" s="29">
        <v>2</v>
      </c>
      <c r="K162" s="29">
        <v>2</v>
      </c>
      <c r="L162" s="29">
        <v>1</v>
      </c>
      <c r="M162" s="29">
        <v>3</v>
      </c>
      <c r="N162" s="29">
        <v>2</v>
      </c>
      <c r="O162" s="29">
        <v>1</v>
      </c>
      <c r="P162" s="29">
        <v>1</v>
      </c>
      <c r="Q162" s="29">
        <v>4</v>
      </c>
      <c r="R162" s="29">
        <v>2</v>
      </c>
      <c r="S162" s="29">
        <v>3</v>
      </c>
      <c r="T162" s="29">
        <v>1</v>
      </c>
      <c r="U162" s="29"/>
      <c r="V162" s="29"/>
      <c r="W162" s="29">
        <v>5</v>
      </c>
      <c r="X162" s="29">
        <v>2</v>
      </c>
      <c r="Y162" s="29">
        <v>3</v>
      </c>
      <c r="Z162" s="29">
        <v>1</v>
      </c>
      <c r="AA162" s="29"/>
      <c r="AB162" s="29">
        <v>2</v>
      </c>
      <c r="AC162" s="29">
        <v>2</v>
      </c>
      <c r="AD162" s="29"/>
      <c r="AE162" s="29">
        <v>2</v>
      </c>
      <c r="AF162" s="21"/>
      <c r="AG162" s="4">
        <f t="shared" si="28"/>
        <v>48</v>
      </c>
    </row>
    <row r="163" spans="1:34" ht="18.75" x14ac:dyDescent="0.25">
      <c r="A163" s="50" t="s">
        <v>26</v>
      </c>
      <c r="B163" s="29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  <c r="AA163" s="29"/>
      <c r="AB163" s="29"/>
      <c r="AC163" s="29"/>
      <c r="AD163" s="29"/>
      <c r="AE163" s="29"/>
      <c r="AF163" s="21"/>
      <c r="AG163" s="4">
        <f t="shared" si="28"/>
        <v>0</v>
      </c>
    </row>
    <row r="164" spans="1:34" ht="18.75" x14ac:dyDescent="0.25">
      <c r="A164" s="50" t="s">
        <v>27</v>
      </c>
      <c r="B164" s="29"/>
      <c r="C164" s="29">
        <v>1</v>
      </c>
      <c r="D164" s="29">
        <v>1</v>
      </c>
      <c r="E164" s="29"/>
      <c r="F164" s="29">
        <v>2</v>
      </c>
      <c r="G164" s="29">
        <v>2</v>
      </c>
      <c r="H164" s="29"/>
      <c r="I164" s="29"/>
      <c r="J164" s="29">
        <v>1</v>
      </c>
      <c r="K164" s="29">
        <v>1</v>
      </c>
      <c r="L164" s="29">
        <v>1</v>
      </c>
      <c r="M164" s="29"/>
      <c r="N164" s="29"/>
      <c r="O164" s="29"/>
      <c r="P164" s="29"/>
      <c r="Q164" s="29">
        <v>1</v>
      </c>
      <c r="R164" s="29">
        <v>2</v>
      </c>
      <c r="S164" s="29"/>
      <c r="T164" s="29"/>
      <c r="U164" s="29"/>
      <c r="V164" s="29"/>
      <c r="W164" s="29">
        <v>1</v>
      </c>
      <c r="X164" s="29"/>
      <c r="Y164" s="29"/>
      <c r="Z164" s="29"/>
      <c r="AA164" s="29">
        <v>1</v>
      </c>
      <c r="AB164" s="29"/>
      <c r="AC164" s="29"/>
      <c r="AD164" s="29"/>
      <c r="AE164" s="29">
        <v>2</v>
      </c>
      <c r="AF164" s="21"/>
      <c r="AG164" s="4">
        <f t="shared" si="28"/>
        <v>16</v>
      </c>
    </row>
    <row r="165" spans="1:34" ht="18.75" x14ac:dyDescent="0.25">
      <c r="A165" s="50" t="s">
        <v>28</v>
      </c>
      <c r="B165" s="29">
        <v>3</v>
      </c>
      <c r="C165" s="29">
        <v>2</v>
      </c>
      <c r="D165" s="29">
        <v>2</v>
      </c>
      <c r="E165" s="29">
        <v>3</v>
      </c>
      <c r="F165" s="29">
        <v>4</v>
      </c>
      <c r="G165" s="29">
        <v>1</v>
      </c>
      <c r="H165" s="29">
        <v>3</v>
      </c>
      <c r="I165" s="29">
        <v>2</v>
      </c>
      <c r="J165" s="29">
        <v>2</v>
      </c>
      <c r="K165" s="29">
        <v>3</v>
      </c>
      <c r="L165" s="29">
        <v>3</v>
      </c>
      <c r="M165" s="29">
        <v>3</v>
      </c>
      <c r="N165" s="29">
        <v>9</v>
      </c>
      <c r="O165" s="29">
        <v>2</v>
      </c>
      <c r="P165" s="29">
        <v>2</v>
      </c>
      <c r="Q165" s="29">
        <v>1</v>
      </c>
      <c r="R165" s="29">
        <v>4</v>
      </c>
      <c r="S165" s="29"/>
      <c r="T165" s="29">
        <v>1</v>
      </c>
      <c r="U165" s="29">
        <v>2</v>
      </c>
      <c r="V165" s="29">
        <v>4</v>
      </c>
      <c r="W165" s="29">
        <v>1</v>
      </c>
      <c r="X165" s="29"/>
      <c r="Y165" s="29"/>
      <c r="Z165" s="29">
        <v>1</v>
      </c>
      <c r="AA165" s="29">
        <v>1</v>
      </c>
      <c r="AB165" s="29">
        <v>2</v>
      </c>
      <c r="AC165" s="29">
        <v>1</v>
      </c>
      <c r="AD165" s="29">
        <v>3</v>
      </c>
      <c r="AE165" s="29">
        <v>5</v>
      </c>
      <c r="AF165" s="21"/>
      <c r="AG165" s="4">
        <f t="shared" si="28"/>
        <v>70</v>
      </c>
    </row>
    <row r="166" spans="1:34" ht="19.5" thickBot="1" x14ac:dyDescent="0.3">
      <c r="A166" s="71" t="s">
        <v>29</v>
      </c>
      <c r="B166" s="30"/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  <c r="AA166" s="30"/>
      <c r="AB166" s="30"/>
      <c r="AC166" s="30"/>
      <c r="AD166" s="30"/>
      <c r="AE166" s="30"/>
      <c r="AF166" s="22"/>
      <c r="AG166" s="28">
        <f t="shared" si="28"/>
        <v>0</v>
      </c>
    </row>
    <row r="167" spans="1:34" ht="18.75" x14ac:dyDescent="0.25">
      <c r="A167" s="69" t="s">
        <v>71</v>
      </c>
      <c r="B167" s="56">
        <f t="shared" ref="B167:AF167" si="30">SUM(B168:B171)</f>
        <v>5</v>
      </c>
      <c r="C167" s="56">
        <f t="shared" si="30"/>
        <v>4</v>
      </c>
      <c r="D167" s="56">
        <f t="shared" si="30"/>
        <v>8</v>
      </c>
      <c r="E167" s="56">
        <f t="shared" si="30"/>
        <v>6</v>
      </c>
      <c r="F167" s="56">
        <f t="shared" si="30"/>
        <v>7</v>
      </c>
      <c r="G167" s="56">
        <f t="shared" si="30"/>
        <v>0</v>
      </c>
      <c r="H167" s="56">
        <f t="shared" si="30"/>
        <v>4</v>
      </c>
      <c r="I167" s="56">
        <f t="shared" si="30"/>
        <v>6</v>
      </c>
      <c r="J167" s="56">
        <f t="shared" si="30"/>
        <v>7</v>
      </c>
      <c r="K167" s="56">
        <f t="shared" si="30"/>
        <v>8</v>
      </c>
      <c r="L167" s="56">
        <f t="shared" si="30"/>
        <v>7</v>
      </c>
      <c r="M167" s="56">
        <f t="shared" si="30"/>
        <v>10</v>
      </c>
      <c r="N167" s="56">
        <f t="shared" si="30"/>
        <v>2</v>
      </c>
      <c r="O167" s="56">
        <f t="shared" si="30"/>
        <v>8</v>
      </c>
      <c r="P167" s="56">
        <f t="shared" si="30"/>
        <v>5</v>
      </c>
      <c r="Q167" s="56">
        <f t="shared" si="30"/>
        <v>4</v>
      </c>
      <c r="R167" s="56">
        <f t="shared" si="30"/>
        <v>5</v>
      </c>
      <c r="S167" s="56">
        <f t="shared" si="30"/>
        <v>6</v>
      </c>
      <c r="T167" s="56">
        <f t="shared" si="30"/>
        <v>4</v>
      </c>
      <c r="U167" s="56">
        <f t="shared" si="30"/>
        <v>2</v>
      </c>
      <c r="V167" s="56">
        <f t="shared" si="30"/>
        <v>11</v>
      </c>
      <c r="W167" s="56">
        <f t="shared" si="30"/>
        <v>5</v>
      </c>
      <c r="X167" s="56">
        <f t="shared" si="30"/>
        <v>3</v>
      </c>
      <c r="Y167" s="56">
        <f t="shared" si="30"/>
        <v>3</v>
      </c>
      <c r="Z167" s="56">
        <f t="shared" si="30"/>
        <v>10</v>
      </c>
      <c r="AA167" s="56">
        <f t="shared" si="30"/>
        <v>6</v>
      </c>
      <c r="AB167" s="56">
        <f t="shared" si="30"/>
        <v>6</v>
      </c>
      <c r="AC167" s="56">
        <f t="shared" si="30"/>
        <v>4</v>
      </c>
      <c r="AD167" s="56">
        <f t="shared" si="30"/>
        <v>2</v>
      </c>
      <c r="AE167" s="56">
        <f t="shared" si="30"/>
        <v>1</v>
      </c>
      <c r="AF167" s="85">
        <f t="shared" si="30"/>
        <v>0</v>
      </c>
      <c r="AG167" s="95">
        <f t="shared" si="28"/>
        <v>159</v>
      </c>
    </row>
    <row r="168" spans="1:34" ht="18.75" x14ac:dyDescent="0.25">
      <c r="A168" s="51" t="s">
        <v>30</v>
      </c>
      <c r="B168" s="29">
        <v>2</v>
      </c>
      <c r="C168" s="29">
        <v>3</v>
      </c>
      <c r="D168" s="29">
        <v>2</v>
      </c>
      <c r="E168" s="29">
        <v>5</v>
      </c>
      <c r="F168" s="29">
        <v>3</v>
      </c>
      <c r="G168" s="29"/>
      <c r="H168" s="29">
        <v>3</v>
      </c>
      <c r="I168" s="29">
        <v>4</v>
      </c>
      <c r="J168" s="29">
        <v>6</v>
      </c>
      <c r="K168" s="29">
        <v>6</v>
      </c>
      <c r="L168" s="29">
        <v>5</v>
      </c>
      <c r="M168" s="29">
        <v>7</v>
      </c>
      <c r="N168" s="29">
        <v>2</v>
      </c>
      <c r="O168" s="29">
        <v>7</v>
      </c>
      <c r="P168" s="29">
        <v>1</v>
      </c>
      <c r="Q168" s="29">
        <v>4</v>
      </c>
      <c r="R168" s="29">
        <v>2</v>
      </c>
      <c r="S168" s="29">
        <v>5</v>
      </c>
      <c r="T168" s="29">
        <v>3</v>
      </c>
      <c r="U168" s="29">
        <v>1</v>
      </c>
      <c r="V168" s="29">
        <v>10</v>
      </c>
      <c r="W168" s="29">
        <v>3</v>
      </c>
      <c r="X168" s="29">
        <v>2</v>
      </c>
      <c r="Y168" s="29">
        <v>3</v>
      </c>
      <c r="Z168" s="29">
        <v>6</v>
      </c>
      <c r="AA168" s="29">
        <v>4</v>
      </c>
      <c r="AB168" s="29">
        <v>5</v>
      </c>
      <c r="AC168" s="29">
        <v>4</v>
      </c>
      <c r="AD168" s="29">
        <v>1</v>
      </c>
      <c r="AE168" s="29">
        <v>1</v>
      </c>
      <c r="AF168" s="21"/>
      <c r="AG168" s="4">
        <f t="shared" si="28"/>
        <v>110</v>
      </c>
    </row>
    <row r="169" spans="1:34" ht="18.75" x14ac:dyDescent="0.25">
      <c r="A169" s="51" t="s">
        <v>31</v>
      </c>
      <c r="B169" s="29">
        <v>3</v>
      </c>
      <c r="C169" s="29"/>
      <c r="D169" s="29">
        <v>6</v>
      </c>
      <c r="E169" s="29">
        <v>1</v>
      </c>
      <c r="F169" s="29">
        <v>3</v>
      </c>
      <c r="G169" s="29"/>
      <c r="H169" s="29"/>
      <c r="I169" s="29">
        <v>2</v>
      </c>
      <c r="J169" s="29"/>
      <c r="K169" s="29">
        <v>1</v>
      </c>
      <c r="L169" s="29">
        <v>2</v>
      </c>
      <c r="M169" s="29">
        <v>1</v>
      </c>
      <c r="N169" s="29"/>
      <c r="O169" s="29">
        <v>1</v>
      </c>
      <c r="P169" s="29">
        <v>3</v>
      </c>
      <c r="Q169" s="29"/>
      <c r="R169" s="29">
        <v>1</v>
      </c>
      <c r="S169" s="29"/>
      <c r="T169" s="29">
        <v>1</v>
      </c>
      <c r="U169" s="29">
        <v>1</v>
      </c>
      <c r="V169" s="29">
        <v>1</v>
      </c>
      <c r="W169" s="29">
        <v>1</v>
      </c>
      <c r="X169" s="29"/>
      <c r="Y169" s="29"/>
      <c r="Z169" s="29"/>
      <c r="AA169" s="29"/>
      <c r="AB169" s="29"/>
      <c r="AC169" s="29"/>
      <c r="AD169" s="29"/>
      <c r="AE169" s="29"/>
      <c r="AF169" s="21"/>
      <c r="AG169" s="4">
        <f t="shared" si="28"/>
        <v>28</v>
      </c>
    </row>
    <row r="170" spans="1:34" ht="18.75" x14ac:dyDescent="0.25">
      <c r="A170" s="51" t="s">
        <v>32</v>
      </c>
      <c r="B170" s="29"/>
      <c r="C170" s="29">
        <v>1</v>
      </c>
      <c r="D170" s="29"/>
      <c r="E170" s="29"/>
      <c r="F170" s="29"/>
      <c r="G170" s="29"/>
      <c r="H170" s="29"/>
      <c r="I170" s="29"/>
      <c r="J170" s="29">
        <v>1</v>
      </c>
      <c r="K170" s="29">
        <v>1</v>
      </c>
      <c r="L170" s="29"/>
      <c r="M170" s="29">
        <v>1</v>
      </c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1"/>
      <c r="AG170" s="4">
        <f t="shared" si="28"/>
        <v>4</v>
      </c>
    </row>
    <row r="171" spans="1:34" ht="19.5" thickBot="1" x14ac:dyDescent="0.3">
      <c r="A171" s="70" t="s">
        <v>87</v>
      </c>
      <c r="B171" s="30"/>
      <c r="C171" s="30"/>
      <c r="D171" s="30"/>
      <c r="E171" s="30"/>
      <c r="F171" s="30">
        <v>1</v>
      </c>
      <c r="G171" s="30"/>
      <c r="H171" s="30">
        <v>1</v>
      </c>
      <c r="I171" s="30"/>
      <c r="J171" s="30"/>
      <c r="K171" s="30"/>
      <c r="L171" s="30"/>
      <c r="M171" s="30">
        <v>1</v>
      </c>
      <c r="N171" s="30"/>
      <c r="O171" s="30"/>
      <c r="P171" s="30">
        <v>1</v>
      </c>
      <c r="Q171" s="30"/>
      <c r="R171" s="30">
        <f>2</f>
        <v>2</v>
      </c>
      <c r="S171" s="30">
        <v>1</v>
      </c>
      <c r="T171" s="30"/>
      <c r="U171" s="30"/>
      <c r="V171" s="30"/>
      <c r="W171" s="30">
        <v>1</v>
      </c>
      <c r="X171" s="30">
        <v>1</v>
      </c>
      <c r="Y171" s="30"/>
      <c r="Z171" s="30">
        <f>2+1+1</f>
        <v>4</v>
      </c>
      <c r="AA171" s="30">
        <f>1+1</f>
        <v>2</v>
      </c>
      <c r="AB171" s="30">
        <v>1</v>
      </c>
      <c r="AC171" s="30"/>
      <c r="AD171" s="30">
        <v>1</v>
      </c>
      <c r="AE171" s="30"/>
      <c r="AF171" s="22"/>
      <c r="AG171" s="28">
        <f t="shared" si="28"/>
        <v>17</v>
      </c>
    </row>
    <row r="172" spans="1:34" ht="19.5" thickBot="1" x14ac:dyDescent="0.3">
      <c r="A172" s="158" t="s">
        <v>128</v>
      </c>
      <c r="B172" s="151"/>
      <c r="C172" s="151"/>
      <c r="D172" s="151"/>
      <c r="E172" s="151"/>
      <c r="F172" s="151">
        <v>1</v>
      </c>
      <c r="G172" s="151"/>
      <c r="H172" s="151"/>
      <c r="I172" s="151"/>
      <c r="J172" s="151"/>
      <c r="K172" s="151"/>
      <c r="L172" s="151"/>
      <c r="M172" s="151"/>
      <c r="N172" s="151"/>
      <c r="O172" s="151"/>
      <c r="P172" s="151"/>
      <c r="Q172" s="151"/>
      <c r="R172" s="151"/>
      <c r="S172" s="151"/>
      <c r="T172" s="151"/>
      <c r="U172" s="151"/>
      <c r="V172" s="151"/>
      <c r="W172" s="151"/>
      <c r="X172" s="151"/>
      <c r="Y172" s="151"/>
      <c r="Z172" s="151"/>
      <c r="AA172" s="151"/>
      <c r="AB172" s="151"/>
      <c r="AC172" s="151"/>
      <c r="AD172" s="151"/>
      <c r="AE172" s="151"/>
      <c r="AF172" s="152"/>
      <c r="AG172" s="159">
        <f t="shared" si="28"/>
        <v>1</v>
      </c>
    </row>
    <row r="173" spans="1:34" ht="18.75" x14ac:dyDescent="0.25">
      <c r="A173" s="68" t="s">
        <v>2</v>
      </c>
      <c r="B173" s="15">
        <v>0</v>
      </c>
      <c r="C173" s="15">
        <v>0</v>
      </c>
      <c r="D173" s="15">
        <v>0</v>
      </c>
      <c r="E173" s="15">
        <v>0</v>
      </c>
      <c r="F173" s="15">
        <v>1</v>
      </c>
      <c r="G173" s="15">
        <v>0</v>
      </c>
      <c r="H173" s="15">
        <v>0</v>
      </c>
      <c r="I173" s="15">
        <v>0</v>
      </c>
      <c r="J173" s="15">
        <v>0</v>
      </c>
      <c r="K173" s="15">
        <v>0</v>
      </c>
      <c r="L173" s="15">
        <v>0</v>
      </c>
      <c r="M173" s="15">
        <v>0</v>
      </c>
      <c r="N173" s="15">
        <v>0</v>
      </c>
      <c r="O173" s="15">
        <v>0</v>
      </c>
      <c r="P173" s="15">
        <v>0</v>
      </c>
      <c r="Q173" s="15">
        <v>0</v>
      </c>
      <c r="R173" s="15">
        <v>0</v>
      </c>
      <c r="S173" s="15">
        <v>0</v>
      </c>
      <c r="T173" s="15">
        <v>1</v>
      </c>
      <c r="U173" s="15">
        <v>0</v>
      </c>
      <c r="V173" s="15">
        <v>0</v>
      </c>
      <c r="W173" s="15">
        <v>0</v>
      </c>
      <c r="X173" s="15">
        <v>0</v>
      </c>
      <c r="Y173" s="15">
        <v>0</v>
      </c>
      <c r="Z173" s="15">
        <v>0</v>
      </c>
      <c r="AA173" s="15">
        <v>0</v>
      </c>
      <c r="AB173" s="15">
        <v>0</v>
      </c>
      <c r="AC173" s="15">
        <v>0</v>
      </c>
      <c r="AD173" s="15">
        <v>0</v>
      </c>
      <c r="AE173" s="15">
        <v>0</v>
      </c>
      <c r="AF173" s="23"/>
      <c r="AG173" s="5">
        <f t="shared" si="28"/>
        <v>2</v>
      </c>
      <c r="AH173" s="2" t="s">
        <v>137</v>
      </c>
    </row>
    <row r="174" spans="1:34" ht="19.5" thickBot="1" x14ac:dyDescent="0.3">
      <c r="A174" s="146" t="s">
        <v>3</v>
      </c>
      <c r="B174" s="16">
        <f>SUM(B175:B176)</f>
        <v>2</v>
      </c>
      <c r="C174" s="16">
        <f t="shared" ref="C174:AF174" si="31">SUM(C175:C176)</f>
        <v>2</v>
      </c>
      <c r="D174" s="16">
        <f t="shared" si="31"/>
        <v>0</v>
      </c>
      <c r="E174" s="16">
        <f t="shared" si="31"/>
        <v>2</v>
      </c>
      <c r="F174" s="16">
        <f t="shared" si="31"/>
        <v>3</v>
      </c>
      <c r="G174" s="16">
        <f t="shared" si="31"/>
        <v>1</v>
      </c>
      <c r="H174" s="16">
        <f t="shared" si="31"/>
        <v>3</v>
      </c>
      <c r="I174" s="16">
        <f t="shared" si="31"/>
        <v>2</v>
      </c>
      <c r="J174" s="16">
        <f t="shared" si="31"/>
        <v>4</v>
      </c>
      <c r="K174" s="16">
        <f t="shared" si="31"/>
        <v>2</v>
      </c>
      <c r="L174" s="16">
        <f t="shared" si="31"/>
        <v>1</v>
      </c>
      <c r="M174" s="16">
        <f t="shared" si="31"/>
        <v>3</v>
      </c>
      <c r="N174" s="16">
        <f t="shared" si="31"/>
        <v>4</v>
      </c>
      <c r="O174" s="16">
        <f t="shared" si="31"/>
        <v>1</v>
      </c>
      <c r="P174" s="16">
        <f t="shared" si="31"/>
        <v>2</v>
      </c>
      <c r="Q174" s="16">
        <f t="shared" si="31"/>
        <v>0</v>
      </c>
      <c r="R174" s="16">
        <f t="shared" si="31"/>
        <v>1</v>
      </c>
      <c r="S174" s="16">
        <f t="shared" si="31"/>
        <v>0</v>
      </c>
      <c r="T174" s="16">
        <f t="shared" si="31"/>
        <v>0</v>
      </c>
      <c r="U174" s="16">
        <f t="shared" si="31"/>
        <v>0</v>
      </c>
      <c r="V174" s="16">
        <f t="shared" si="31"/>
        <v>2</v>
      </c>
      <c r="W174" s="16">
        <f t="shared" si="31"/>
        <v>7</v>
      </c>
      <c r="X174" s="16">
        <f t="shared" si="31"/>
        <v>2</v>
      </c>
      <c r="Y174" s="16">
        <f t="shared" si="31"/>
        <v>4</v>
      </c>
      <c r="Z174" s="16">
        <f t="shared" si="31"/>
        <v>3</v>
      </c>
      <c r="AA174" s="16">
        <f t="shared" si="31"/>
        <v>3</v>
      </c>
      <c r="AB174" s="16">
        <f t="shared" si="31"/>
        <v>3</v>
      </c>
      <c r="AC174" s="16">
        <f t="shared" si="31"/>
        <v>3</v>
      </c>
      <c r="AD174" s="16">
        <f t="shared" si="31"/>
        <v>0</v>
      </c>
      <c r="AE174" s="16">
        <f t="shared" si="31"/>
        <v>0</v>
      </c>
      <c r="AF174" s="24">
        <f t="shared" si="31"/>
        <v>0</v>
      </c>
      <c r="AG174" s="6">
        <f t="shared" si="28"/>
        <v>60</v>
      </c>
      <c r="AH174" s="2" t="s">
        <v>138</v>
      </c>
    </row>
    <row r="175" spans="1:34" ht="18.75" x14ac:dyDescent="0.25">
      <c r="A175" s="133" t="s">
        <v>120</v>
      </c>
      <c r="B175" s="15">
        <v>0</v>
      </c>
      <c r="C175" s="15">
        <v>0</v>
      </c>
      <c r="D175" s="15">
        <v>0</v>
      </c>
      <c r="E175" s="15">
        <v>0</v>
      </c>
      <c r="F175" s="15">
        <v>0</v>
      </c>
      <c r="G175" s="15">
        <v>0</v>
      </c>
      <c r="H175" s="15">
        <v>0</v>
      </c>
      <c r="I175" s="15">
        <v>0</v>
      </c>
      <c r="J175" s="15">
        <v>0</v>
      </c>
      <c r="K175" s="15">
        <v>0</v>
      </c>
      <c r="L175" s="15">
        <v>0</v>
      </c>
      <c r="M175" s="15">
        <v>1</v>
      </c>
      <c r="N175" s="15">
        <v>0</v>
      </c>
      <c r="O175" s="15">
        <v>0</v>
      </c>
      <c r="P175" s="15">
        <v>0</v>
      </c>
      <c r="Q175" s="15">
        <v>0</v>
      </c>
      <c r="R175" s="15">
        <v>0</v>
      </c>
      <c r="S175" s="15">
        <v>0</v>
      </c>
      <c r="T175" s="15">
        <v>0</v>
      </c>
      <c r="U175" s="15">
        <v>0</v>
      </c>
      <c r="V175" s="15">
        <v>0</v>
      </c>
      <c r="W175" s="15">
        <v>1</v>
      </c>
      <c r="X175" s="15">
        <v>0</v>
      </c>
      <c r="Y175" s="15">
        <v>0</v>
      </c>
      <c r="Z175" s="15">
        <v>2</v>
      </c>
      <c r="AA175" s="15">
        <v>0</v>
      </c>
      <c r="AB175" s="15">
        <v>0</v>
      </c>
      <c r="AC175" s="15">
        <v>1</v>
      </c>
      <c r="AD175" s="15">
        <v>0</v>
      </c>
      <c r="AE175" s="15">
        <v>0</v>
      </c>
      <c r="AF175" s="23"/>
      <c r="AG175" s="5">
        <f t="shared" si="28"/>
        <v>5</v>
      </c>
      <c r="AH175" s="2" t="s">
        <v>138</v>
      </c>
    </row>
    <row r="176" spans="1:34" ht="19.5" thickBot="1" x14ac:dyDescent="0.3">
      <c r="A176" s="104" t="s">
        <v>119</v>
      </c>
      <c r="B176" s="101">
        <v>2</v>
      </c>
      <c r="C176" s="101">
        <v>2</v>
      </c>
      <c r="D176" s="101">
        <v>0</v>
      </c>
      <c r="E176" s="101">
        <v>2</v>
      </c>
      <c r="F176" s="101">
        <v>3</v>
      </c>
      <c r="G176" s="101">
        <v>1</v>
      </c>
      <c r="H176" s="101">
        <v>3</v>
      </c>
      <c r="I176" s="101">
        <v>2</v>
      </c>
      <c r="J176" s="101">
        <v>4</v>
      </c>
      <c r="K176" s="101">
        <v>2</v>
      </c>
      <c r="L176" s="101">
        <v>1</v>
      </c>
      <c r="M176" s="101">
        <v>2</v>
      </c>
      <c r="N176" s="101">
        <v>4</v>
      </c>
      <c r="O176" s="101">
        <v>1</v>
      </c>
      <c r="P176" s="101">
        <v>2</v>
      </c>
      <c r="Q176" s="101">
        <v>0</v>
      </c>
      <c r="R176" s="101">
        <v>1</v>
      </c>
      <c r="S176" s="101">
        <v>0</v>
      </c>
      <c r="T176" s="101">
        <v>0</v>
      </c>
      <c r="U176" s="101">
        <v>0</v>
      </c>
      <c r="V176" s="101">
        <v>2</v>
      </c>
      <c r="W176" s="101">
        <v>6</v>
      </c>
      <c r="X176" s="101">
        <v>2</v>
      </c>
      <c r="Y176" s="101">
        <v>4</v>
      </c>
      <c r="Z176" s="101">
        <v>1</v>
      </c>
      <c r="AA176" s="101">
        <v>3</v>
      </c>
      <c r="AB176" s="101">
        <v>3</v>
      </c>
      <c r="AC176" s="101">
        <v>2</v>
      </c>
      <c r="AD176" s="101">
        <v>0</v>
      </c>
      <c r="AE176" s="101">
        <v>0</v>
      </c>
      <c r="AF176" s="102"/>
      <c r="AG176" s="103">
        <f t="shared" si="28"/>
        <v>55</v>
      </c>
      <c r="AH176" s="2" t="s">
        <v>138</v>
      </c>
    </row>
    <row r="177" spans="1:34" ht="18.75" x14ac:dyDescent="0.25">
      <c r="A177" s="64" t="s">
        <v>105</v>
      </c>
      <c r="B177" s="65"/>
      <c r="C177" s="65"/>
      <c r="D177" s="65"/>
      <c r="E177" s="65"/>
      <c r="F177" s="65"/>
      <c r="G177" s="65"/>
      <c r="H177" s="65"/>
      <c r="I177" s="65"/>
      <c r="J177" s="65"/>
      <c r="K177" s="65"/>
      <c r="L177" s="65"/>
      <c r="M177" s="65"/>
      <c r="N177" s="65"/>
      <c r="O177" s="65"/>
      <c r="P177" s="65"/>
      <c r="Q177" s="65"/>
      <c r="R177" s="65"/>
      <c r="S177" s="65"/>
      <c r="T177" s="65"/>
      <c r="U177" s="65"/>
      <c r="V177" s="65"/>
      <c r="W177" s="65"/>
      <c r="X177" s="65"/>
      <c r="Y177" s="65"/>
      <c r="Z177" s="65"/>
      <c r="AA177" s="65"/>
      <c r="AB177" s="65"/>
      <c r="AC177" s="65"/>
      <c r="AD177" s="65"/>
      <c r="AE177" s="65"/>
      <c r="AF177" s="86"/>
      <c r="AG177" s="96">
        <f t="shared" si="28"/>
        <v>0</v>
      </c>
    </row>
    <row r="178" spans="1:34" ht="19.5" thickBot="1" x14ac:dyDescent="0.3">
      <c r="A178" s="66" t="s">
        <v>104</v>
      </c>
      <c r="B178" s="67"/>
      <c r="C178" s="67"/>
      <c r="D178" s="67"/>
      <c r="E178" s="67"/>
      <c r="F178" s="67"/>
      <c r="G178" s="67"/>
      <c r="H178" s="67"/>
      <c r="I178" s="67"/>
      <c r="J178" s="67"/>
      <c r="K178" s="67"/>
      <c r="L178" s="67"/>
      <c r="M178" s="67"/>
      <c r="N178" s="67"/>
      <c r="O178" s="67"/>
      <c r="P178" s="67"/>
      <c r="Q178" s="67"/>
      <c r="R178" s="67"/>
      <c r="S178" s="67"/>
      <c r="T178" s="67"/>
      <c r="U178" s="67"/>
      <c r="V178" s="67"/>
      <c r="W178" s="67"/>
      <c r="X178" s="67"/>
      <c r="Y178" s="67"/>
      <c r="Z178" s="67"/>
      <c r="AA178" s="67"/>
      <c r="AB178" s="67"/>
      <c r="AC178" s="67"/>
      <c r="AD178" s="67"/>
      <c r="AE178" s="67"/>
      <c r="AF178" s="87"/>
      <c r="AG178" s="32">
        <f t="shared" si="28"/>
        <v>0</v>
      </c>
    </row>
    <row r="179" spans="1:34" ht="19.5" thickBot="1" x14ac:dyDescent="0.3">
      <c r="A179" s="219" t="s">
        <v>149</v>
      </c>
      <c r="B179" s="220">
        <f t="shared" ref="B179:AF179" si="32">SUM(B180:B205)</f>
        <v>41</v>
      </c>
      <c r="C179" s="220">
        <f t="shared" si="32"/>
        <v>31</v>
      </c>
      <c r="D179" s="220">
        <f t="shared" si="32"/>
        <v>69</v>
      </c>
      <c r="E179" s="220">
        <f t="shared" si="32"/>
        <v>61</v>
      </c>
      <c r="F179" s="220">
        <f t="shared" si="32"/>
        <v>64</v>
      </c>
      <c r="G179" s="220">
        <f t="shared" si="32"/>
        <v>24</v>
      </c>
      <c r="H179" s="220">
        <f t="shared" si="32"/>
        <v>39</v>
      </c>
      <c r="I179" s="220">
        <f t="shared" si="32"/>
        <v>44</v>
      </c>
      <c r="J179" s="220">
        <f t="shared" si="32"/>
        <v>48</v>
      </c>
      <c r="K179" s="220">
        <f t="shared" si="32"/>
        <v>46</v>
      </c>
      <c r="L179" s="220">
        <f t="shared" si="32"/>
        <v>55</v>
      </c>
      <c r="M179" s="220">
        <f t="shared" si="32"/>
        <v>57</v>
      </c>
      <c r="N179" s="220">
        <f t="shared" si="32"/>
        <v>53</v>
      </c>
      <c r="O179" s="220">
        <f t="shared" si="32"/>
        <v>34</v>
      </c>
      <c r="P179" s="220">
        <f t="shared" si="32"/>
        <v>41</v>
      </c>
      <c r="Q179" s="220">
        <f t="shared" si="32"/>
        <v>34</v>
      </c>
      <c r="R179" s="220">
        <f t="shared" si="32"/>
        <v>33</v>
      </c>
      <c r="S179" s="220">
        <f t="shared" si="32"/>
        <v>31</v>
      </c>
      <c r="T179" s="220">
        <f t="shared" si="32"/>
        <v>41</v>
      </c>
      <c r="U179" s="220">
        <f t="shared" si="32"/>
        <v>42</v>
      </c>
      <c r="V179" s="220">
        <f t="shared" si="32"/>
        <v>37</v>
      </c>
      <c r="W179" s="220">
        <f t="shared" si="32"/>
        <v>38</v>
      </c>
      <c r="X179" s="220">
        <f t="shared" si="32"/>
        <v>39</v>
      </c>
      <c r="Y179" s="220">
        <f t="shared" si="32"/>
        <v>35</v>
      </c>
      <c r="Z179" s="220">
        <f t="shared" si="32"/>
        <v>55</v>
      </c>
      <c r="AA179" s="220">
        <f t="shared" si="32"/>
        <v>44</v>
      </c>
      <c r="AB179" s="220">
        <f t="shared" si="32"/>
        <v>33</v>
      </c>
      <c r="AC179" s="220">
        <f t="shared" si="32"/>
        <v>28</v>
      </c>
      <c r="AD179" s="220">
        <f t="shared" si="32"/>
        <v>32</v>
      </c>
      <c r="AE179" s="220">
        <f t="shared" si="32"/>
        <v>37</v>
      </c>
      <c r="AF179" s="221">
        <f t="shared" si="32"/>
        <v>0</v>
      </c>
      <c r="AG179" s="156">
        <f t="shared" si="28"/>
        <v>1266</v>
      </c>
      <c r="AH179" s="38"/>
    </row>
    <row r="180" spans="1:34" ht="18.75" x14ac:dyDescent="0.25">
      <c r="A180" s="109" t="s">
        <v>4</v>
      </c>
      <c r="B180" s="216">
        <v>1</v>
      </c>
      <c r="C180" s="216">
        <v>6</v>
      </c>
      <c r="D180" s="216">
        <v>9</v>
      </c>
      <c r="E180" s="216">
        <v>10</v>
      </c>
      <c r="F180" s="216">
        <v>2</v>
      </c>
      <c r="G180" s="216">
        <v>8</v>
      </c>
      <c r="H180" s="216">
        <v>11</v>
      </c>
      <c r="I180" s="216">
        <v>10</v>
      </c>
      <c r="J180" s="216">
        <v>4</v>
      </c>
      <c r="K180" s="216">
        <v>3</v>
      </c>
      <c r="L180" s="216">
        <v>7</v>
      </c>
      <c r="M180" s="216">
        <v>4</v>
      </c>
      <c r="N180" s="217">
        <v>12</v>
      </c>
      <c r="O180" s="217">
        <v>7</v>
      </c>
      <c r="P180" s="217">
        <v>1</v>
      </c>
      <c r="Q180" s="217"/>
      <c r="R180" s="217">
        <v>4</v>
      </c>
      <c r="S180" s="217">
        <v>7</v>
      </c>
      <c r="T180" s="217">
        <v>7</v>
      </c>
      <c r="U180" s="217">
        <v>11</v>
      </c>
      <c r="V180" s="217">
        <v>6</v>
      </c>
      <c r="W180" s="217">
        <v>3</v>
      </c>
      <c r="X180" s="217">
        <v>3</v>
      </c>
      <c r="Y180" s="217">
        <v>2</v>
      </c>
      <c r="Z180" s="217">
        <v>7</v>
      </c>
      <c r="AA180" s="217">
        <v>7</v>
      </c>
      <c r="AB180" s="217">
        <v>5</v>
      </c>
      <c r="AC180" s="217">
        <v>1</v>
      </c>
      <c r="AD180" s="217">
        <v>9</v>
      </c>
      <c r="AE180" s="217">
        <v>4</v>
      </c>
      <c r="AF180" s="218"/>
      <c r="AG180" s="31">
        <f t="shared" si="28"/>
        <v>171</v>
      </c>
    </row>
    <row r="181" spans="1:34" ht="18.75" x14ac:dyDescent="0.25">
      <c r="A181" s="109" t="s">
        <v>122</v>
      </c>
      <c r="B181" s="147"/>
      <c r="C181" s="147"/>
      <c r="D181" s="147"/>
      <c r="E181" s="147"/>
      <c r="F181" s="147"/>
      <c r="G181" s="147"/>
      <c r="H181" s="147"/>
      <c r="I181" s="147"/>
      <c r="J181" s="147"/>
      <c r="K181" s="147"/>
      <c r="L181" s="147"/>
      <c r="M181" s="14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  <c r="AE181" s="17"/>
      <c r="AF181" s="18"/>
      <c r="AG181" s="4">
        <f t="shared" si="28"/>
        <v>0</v>
      </c>
    </row>
    <row r="182" spans="1:34" ht="18.75" x14ac:dyDescent="0.25">
      <c r="A182" s="109" t="s">
        <v>123</v>
      </c>
      <c r="B182" s="147"/>
      <c r="C182" s="147"/>
      <c r="D182" s="147"/>
      <c r="E182" s="147"/>
      <c r="F182" s="147"/>
      <c r="G182" s="147"/>
      <c r="H182" s="147"/>
      <c r="I182" s="147"/>
      <c r="J182" s="147">
        <v>2</v>
      </c>
      <c r="K182" s="147"/>
      <c r="L182" s="147"/>
      <c r="M182" s="147">
        <v>2</v>
      </c>
      <c r="N182" s="17"/>
      <c r="O182" s="17"/>
      <c r="P182" s="17"/>
      <c r="Q182" s="17">
        <v>1</v>
      </c>
      <c r="R182" s="17"/>
      <c r="S182" s="17"/>
      <c r="T182" s="17"/>
      <c r="U182" s="17"/>
      <c r="V182" s="17"/>
      <c r="W182" s="17"/>
      <c r="X182" s="17"/>
      <c r="Y182" s="17">
        <v>1</v>
      </c>
      <c r="Z182" s="17"/>
      <c r="AA182" s="17"/>
      <c r="AB182" s="17"/>
      <c r="AC182" s="17"/>
      <c r="AD182" s="17"/>
      <c r="AE182" s="17"/>
      <c r="AF182" s="18"/>
      <c r="AG182" s="4">
        <f t="shared" si="28"/>
        <v>6</v>
      </c>
    </row>
    <row r="183" spans="1:34" ht="18.75" x14ac:dyDescent="0.25">
      <c r="A183" s="109" t="s">
        <v>614</v>
      </c>
      <c r="B183" s="147"/>
      <c r="C183" s="147"/>
      <c r="D183" s="147"/>
      <c r="E183" s="147"/>
      <c r="F183" s="147"/>
      <c r="G183" s="147"/>
      <c r="H183" s="147"/>
      <c r="I183" s="147"/>
      <c r="J183" s="147"/>
      <c r="K183" s="147"/>
      <c r="L183" s="147"/>
      <c r="M183" s="14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  <c r="AE183" s="17"/>
      <c r="AF183" s="18"/>
      <c r="AG183" s="4">
        <f t="shared" si="28"/>
        <v>0</v>
      </c>
    </row>
    <row r="184" spans="1:34" s="398" customFormat="1" ht="18.75" x14ac:dyDescent="0.25">
      <c r="A184" s="393" t="s">
        <v>621</v>
      </c>
      <c r="B184" s="394">
        <v>40</v>
      </c>
      <c r="C184" s="394">
        <v>25</v>
      </c>
      <c r="D184" s="394">
        <v>52</v>
      </c>
      <c r="E184" s="394">
        <v>48</v>
      </c>
      <c r="F184" s="394">
        <v>59</v>
      </c>
      <c r="G184" s="394">
        <v>14</v>
      </c>
      <c r="H184" s="394">
        <v>28</v>
      </c>
      <c r="I184" s="394">
        <v>33</v>
      </c>
      <c r="J184" s="394">
        <v>42</v>
      </c>
      <c r="K184" s="394">
        <v>43</v>
      </c>
      <c r="L184" s="394">
        <v>44</v>
      </c>
      <c r="M184" s="394">
        <v>47</v>
      </c>
      <c r="N184" s="395">
        <v>36</v>
      </c>
      <c r="O184" s="395">
        <v>27</v>
      </c>
      <c r="P184" s="395">
        <v>39</v>
      </c>
      <c r="Q184" s="395">
        <v>33</v>
      </c>
      <c r="R184" s="395">
        <v>28</v>
      </c>
      <c r="S184" s="395">
        <v>22</v>
      </c>
      <c r="T184" s="395">
        <v>32</v>
      </c>
      <c r="U184" s="395">
        <v>29</v>
      </c>
      <c r="V184" s="395">
        <v>31</v>
      </c>
      <c r="W184" s="395">
        <v>35</v>
      </c>
      <c r="X184" s="395">
        <v>36</v>
      </c>
      <c r="Y184" s="395">
        <v>30</v>
      </c>
      <c r="Z184" s="395">
        <v>48</v>
      </c>
      <c r="AA184" s="395">
        <v>34</v>
      </c>
      <c r="AB184" s="395">
        <v>27</v>
      </c>
      <c r="AC184" s="395">
        <v>26</v>
      </c>
      <c r="AD184" s="395">
        <v>22</v>
      </c>
      <c r="AE184" s="395">
        <v>32</v>
      </c>
      <c r="AF184" s="396"/>
      <c r="AG184" s="397">
        <f t="shared" si="28"/>
        <v>1042</v>
      </c>
    </row>
    <row r="185" spans="1:34" ht="18.75" x14ac:dyDescent="0.25">
      <c r="A185" s="109" t="s">
        <v>165</v>
      </c>
      <c r="B185" s="147"/>
      <c r="C185" s="147"/>
      <c r="D185" s="147"/>
      <c r="E185" s="147"/>
      <c r="F185" s="147"/>
      <c r="G185" s="147"/>
      <c r="H185" s="147"/>
      <c r="I185" s="147"/>
      <c r="J185" s="147"/>
      <c r="K185" s="147"/>
      <c r="L185" s="147"/>
      <c r="M185" s="14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  <c r="AF185" s="18"/>
      <c r="AG185" s="4">
        <f t="shared" si="28"/>
        <v>0</v>
      </c>
    </row>
    <row r="186" spans="1:34" ht="18.75" x14ac:dyDescent="0.25">
      <c r="A186" s="109" t="s">
        <v>141</v>
      </c>
      <c r="B186" s="147"/>
      <c r="C186" s="147"/>
      <c r="D186" s="147"/>
      <c r="E186" s="147"/>
      <c r="F186" s="147"/>
      <c r="G186" s="147"/>
      <c r="H186" s="147"/>
      <c r="I186" s="147"/>
      <c r="J186" s="147"/>
      <c r="K186" s="147"/>
      <c r="L186" s="147"/>
      <c r="M186" s="14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  <c r="AF186" s="18"/>
      <c r="AG186" s="4">
        <f t="shared" si="28"/>
        <v>0</v>
      </c>
    </row>
    <row r="187" spans="1:34" ht="18.75" x14ac:dyDescent="0.25">
      <c r="A187" s="109" t="s">
        <v>613</v>
      </c>
      <c r="B187" s="147"/>
      <c r="C187" s="147"/>
      <c r="D187" s="147"/>
      <c r="E187" s="147"/>
      <c r="F187" s="147"/>
      <c r="G187" s="147"/>
      <c r="H187" s="147"/>
      <c r="I187" s="147"/>
      <c r="J187" s="147"/>
      <c r="K187" s="147"/>
      <c r="L187" s="147">
        <v>1</v>
      </c>
      <c r="M187" s="14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  <c r="AF187" s="18"/>
      <c r="AG187" s="4">
        <f t="shared" si="28"/>
        <v>1</v>
      </c>
    </row>
    <row r="188" spans="1:34" ht="18.75" x14ac:dyDescent="0.25">
      <c r="A188" s="109" t="s">
        <v>139</v>
      </c>
      <c r="B188" s="147"/>
      <c r="C188" s="147"/>
      <c r="D188" s="147"/>
      <c r="E188" s="147"/>
      <c r="F188" s="147"/>
      <c r="G188" s="147"/>
      <c r="H188" s="147"/>
      <c r="I188" s="147"/>
      <c r="J188" s="147"/>
      <c r="K188" s="147"/>
      <c r="L188" s="147"/>
      <c r="M188" s="147">
        <v>1</v>
      </c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>
        <v>1</v>
      </c>
      <c r="AD188" s="17"/>
      <c r="AE188" s="17"/>
      <c r="AF188" s="18"/>
      <c r="AG188" s="4">
        <f t="shared" si="28"/>
        <v>2</v>
      </c>
    </row>
    <row r="189" spans="1:34" ht="18.75" x14ac:dyDescent="0.25">
      <c r="A189" s="110" t="s">
        <v>63</v>
      </c>
      <c r="B189" s="147"/>
      <c r="C189" s="147"/>
      <c r="D189" s="147"/>
      <c r="E189" s="147"/>
      <c r="F189" s="147"/>
      <c r="G189" s="147"/>
      <c r="H189" s="147"/>
      <c r="I189" s="147"/>
      <c r="J189" s="147"/>
      <c r="K189" s="147"/>
      <c r="L189" s="147"/>
      <c r="M189" s="14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  <c r="AE189" s="17"/>
      <c r="AF189" s="18"/>
      <c r="AG189" s="4">
        <f t="shared" si="28"/>
        <v>0</v>
      </c>
    </row>
    <row r="190" spans="1:34" ht="18.75" x14ac:dyDescent="0.25">
      <c r="A190" s="110" t="s">
        <v>142</v>
      </c>
      <c r="B190" s="147"/>
      <c r="C190" s="147"/>
      <c r="D190" s="147"/>
      <c r="E190" s="147"/>
      <c r="F190" s="147"/>
      <c r="G190" s="147"/>
      <c r="H190" s="147"/>
      <c r="I190" s="147"/>
      <c r="J190" s="147"/>
      <c r="K190" s="147"/>
      <c r="L190" s="147"/>
      <c r="M190" s="14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  <c r="AE190" s="17"/>
      <c r="AF190" s="18"/>
      <c r="AG190" s="4">
        <f t="shared" si="28"/>
        <v>0</v>
      </c>
    </row>
    <row r="191" spans="1:34" ht="18.75" x14ac:dyDescent="0.25">
      <c r="A191" s="110" t="s">
        <v>168</v>
      </c>
      <c r="B191" s="147"/>
      <c r="C191" s="147"/>
      <c r="D191" s="147"/>
      <c r="E191" s="147"/>
      <c r="F191" s="147"/>
      <c r="G191" s="147"/>
      <c r="H191" s="147"/>
      <c r="I191" s="147"/>
      <c r="J191" s="147"/>
      <c r="K191" s="147"/>
      <c r="L191" s="147"/>
      <c r="M191" s="14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  <c r="AE191" s="17"/>
      <c r="AF191" s="18"/>
      <c r="AG191" s="4">
        <f t="shared" si="28"/>
        <v>0</v>
      </c>
    </row>
    <row r="192" spans="1:34" ht="18.75" x14ac:dyDescent="0.25">
      <c r="A192" s="110" t="s">
        <v>169</v>
      </c>
      <c r="B192" s="147"/>
      <c r="C192" s="147"/>
      <c r="D192" s="147"/>
      <c r="E192" s="147"/>
      <c r="F192" s="147"/>
      <c r="G192" s="147"/>
      <c r="H192" s="147"/>
      <c r="I192" s="147"/>
      <c r="J192" s="147"/>
      <c r="K192" s="147"/>
      <c r="L192" s="147"/>
      <c r="M192" s="14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  <c r="AE192" s="17"/>
      <c r="AF192" s="18"/>
      <c r="AG192" s="4">
        <f t="shared" si="28"/>
        <v>0</v>
      </c>
    </row>
    <row r="193" spans="1:34" ht="18.75" x14ac:dyDescent="0.25">
      <c r="A193" s="236" t="s">
        <v>5</v>
      </c>
      <c r="B193" s="237"/>
      <c r="C193" s="237"/>
      <c r="D193" s="237">
        <v>8</v>
      </c>
      <c r="E193" s="237">
        <v>2</v>
      </c>
      <c r="F193" s="237">
        <v>3</v>
      </c>
      <c r="G193" s="237">
        <v>2</v>
      </c>
      <c r="H193" s="237"/>
      <c r="I193" s="237">
        <v>1</v>
      </c>
      <c r="J193" s="237"/>
      <c r="K193" s="237"/>
      <c r="L193" s="237">
        <v>3</v>
      </c>
      <c r="M193" s="237">
        <v>2</v>
      </c>
      <c r="N193" s="238">
        <v>3</v>
      </c>
      <c r="O193" s="238"/>
      <c r="P193" s="238">
        <v>1</v>
      </c>
      <c r="Q193" s="238"/>
      <c r="R193" s="238">
        <v>1</v>
      </c>
      <c r="S193" s="238">
        <v>2</v>
      </c>
      <c r="T193" s="238"/>
      <c r="U193" s="238">
        <v>2</v>
      </c>
      <c r="V193" s="238"/>
      <c r="W193" s="238"/>
      <c r="X193" s="238"/>
      <c r="Y193" s="238">
        <v>2</v>
      </c>
      <c r="Z193" s="238"/>
      <c r="AA193" s="238">
        <v>3</v>
      </c>
      <c r="AB193" s="238">
        <v>1</v>
      </c>
      <c r="AC193" s="238"/>
      <c r="AD193" s="238">
        <v>1</v>
      </c>
      <c r="AE193" s="238">
        <v>1</v>
      </c>
      <c r="AF193" s="239"/>
      <c r="AG193" s="240">
        <f t="shared" si="28"/>
        <v>38</v>
      </c>
    </row>
    <row r="194" spans="1:34" ht="18.75" x14ac:dyDescent="0.25">
      <c r="A194" s="111" t="s">
        <v>174</v>
      </c>
      <c r="B194" s="147"/>
      <c r="C194" s="147"/>
      <c r="D194" s="147"/>
      <c r="E194" s="147"/>
      <c r="F194" s="147"/>
      <c r="G194" s="147"/>
      <c r="H194" s="147"/>
      <c r="I194" s="147"/>
      <c r="J194" s="147"/>
      <c r="K194" s="147"/>
      <c r="L194" s="147"/>
      <c r="M194" s="14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  <c r="AE194" s="17"/>
      <c r="AF194" s="18"/>
      <c r="AG194" s="4">
        <f t="shared" si="28"/>
        <v>0</v>
      </c>
    </row>
    <row r="195" spans="1:34" ht="18.75" x14ac:dyDescent="0.25">
      <c r="A195" s="111" t="s">
        <v>171</v>
      </c>
      <c r="B195" s="147"/>
      <c r="C195" s="147"/>
      <c r="D195" s="147"/>
      <c r="E195" s="147"/>
      <c r="F195" s="147"/>
      <c r="G195" s="147"/>
      <c r="H195" s="147"/>
      <c r="I195" s="147"/>
      <c r="J195" s="147"/>
      <c r="K195" s="147"/>
      <c r="L195" s="147"/>
      <c r="M195" s="14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  <c r="AE195" s="17"/>
      <c r="AF195" s="18"/>
      <c r="AG195" s="4">
        <f t="shared" si="28"/>
        <v>0</v>
      </c>
    </row>
    <row r="196" spans="1:34" ht="18.75" x14ac:dyDescent="0.25">
      <c r="A196" s="111" t="s">
        <v>173</v>
      </c>
      <c r="B196" s="147"/>
      <c r="C196" s="147"/>
      <c r="D196" s="147"/>
      <c r="E196" s="147"/>
      <c r="F196" s="147"/>
      <c r="G196" s="147"/>
      <c r="H196" s="147"/>
      <c r="I196" s="147"/>
      <c r="J196" s="147"/>
      <c r="K196" s="147"/>
      <c r="L196" s="147"/>
      <c r="M196" s="14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  <c r="AE196" s="17"/>
      <c r="AF196" s="18"/>
      <c r="AG196" s="4">
        <f t="shared" si="28"/>
        <v>0</v>
      </c>
    </row>
    <row r="197" spans="1:34" ht="18.75" x14ac:dyDescent="0.25">
      <c r="A197" s="111" t="s">
        <v>88</v>
      </c>
      <c r="B197" s="147"/>
      <c r="C197" s="147"/>
      <c r="D197" s="147"/>
      <c r="E197" s="147"/>
      <c r="F197" s="147"/>
      <c r="G197" s="147"/>
      <c r="H197" s="147"/>
      <c r="I197" s="147"/>
      <c r="J197" s="147"/>
      <c r="K197" s="147"/>
      <c r="L197" s="147"/>
      <c r="M197" s="14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  <c r="AE197" s="17"/>
      <c r="AF197" s="18"/>
      <c r="AG197" s="4">
        <f t="shared" si="28"/>
        <v>0</v>
      </c>
    </row>
    <row r="198" spans="1:34" ht="18.75" x14ac:dyDescent="0.25">
      <c r="A198" s="111" t="s">
        <v>617</v>
      </c>
      <c r="B198" s="147"/>
      <c r="C198" s="147"/>
      <c r="D198" s="147"/>
      <c r="E198" s="147"/>
      <c r="F198" s="147"/>
      <c r="G198" s="147"/>
      <c r="H198" s="147"/>
      <c r="I198" s="147"/>
      <c r="J198" s="147"/>
      <c r="K198" s="147"/>
      <c r="L198" s="147"/>
      <c r="M198" s="14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  <c r="AE198" s="17"/>
      <c r="AF198" s="18"/>
      <c r="AG198" s="4">
        <f t="shared" si="28"/>
        <v>0</v>
      </c>
    </row>
    <row r="199" spans="1:34" ht="18.75" x14ac:dyDescent="0.25">
      <c r="A199" s="111" t="s">
        <v>143</v>
      </c>
      <c r="B199" s="147"/>
      <c r="C199" s="147"/>
      <c r="D199" s="147"/>
      <c r="E199" s="147"/>
      <c r="F199" s="147"/>
      <c r="G199" s="147"/>
      <c r="H199" s="147"/>
      <c r="I199" s="147"/>
      <c r="J199" s="147"/>
      <c r="K199" s="147"/>
      <c r="L199" s="147"/>
      <c r="M199" s="14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  <c r="AE199" s="17"/>
      <c r="AF199" s="18"/>
      <c r="AG199" s="4">
        <f t="shared" si="28"/>
        <v>0</v>
      </c>
    </row>
    <row r="200" spans="1:34" ht="18.75" x14ac:dyDescent="0.25">
      <c r="A200" s="110" t="s">
        <v>124</v>
      </c>
      <c r="B200" s="147"/>
      <c r="C200" s="147"/>
      <c r="D200" s="147"/>
      <c r="E200" s="147"/>
      <c r="F200" s="147"/>
      <c r="G200" s="147"/>
      <c r="H200" s="147"/>
      <c r="I200" s="147"/>
      <c r="J200" s="147"/>
      <c r="K200" s="147"/>
      <c r="L200" s="147"/>
      <c r="M200" s="14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  <c r="AE200" s="17"/>
      <c r="AF200" s="18"/>
      <c r="AG200" s="4">
        <f t="shared" si="28"/>
        <v>0</v>
      </c>
    </row>
    <row r="201" spans="1:34" ht="18.75" x14ac:dyDescent="0.25">
      <c r="A201" s="110" t="s">
        <v>167</v>
      </c>
      <c r="B201" s="147"/>
      <c r="C201" s="147"/>
      <c r="D201" s="147"/>
      <c r="E201" s="147"/>
      <c r="F201" s="147"/>
      <c r="G201" s="147"/>
      <c r="H201" s="147"/>
      <c r="I201" s="147"/>
      <c r="J201" s="147"/>
      <c r="K201" s="147"/>
      <c r="L201" s="147"/>
      <c r="M201" s="14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  <c r="AD201" s="17"/>
      <c r="AE201" s="17"/>
      <c r="AF201" s="18"/>
      <c r="AG201" s="4">
        <f t="shared" si="28"/>
        <v>0</v>
      </c>
    </row>
    <row r="202" spans="1:34" ht="18.75" x14ac:dyDescent="0.25">
      <c r="A202" s="110" t="s">
        <v>125</v>
      </c>
      <c r="B202" s="147"/>
      <c r="C202" s="147"/>
      <c r="D202" s="147"/>
      <c r="E202" s="147"/>
      <c r="F202" s="147"/>
      <c r="G202" s="147"/>
      <c r="H202" s="147"/>
      <c r="I202" s="147"/>
      <c r="J202" s="147"/>
      <c r="K202" s="147"/>
      <c r="L202" s="147"/>
      <c r="M202" s="147">
        <v>1</v>
      </c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  <c r="AC202" s="17"/>
      <c r="AD202" s="17"/>
      <c r="AE202" s="17"/>
      <c r="AF202" s="18"/>
      <c r="AG202" s="4">
        <f t="shared" si="28"/>
        <v>1</v>
      </c>
    </row>
    <row r="203" spans="1:34" ht="18.75" x14ac:dyDescent="0.25">
      <c r="A203" s="110" t="s">
        <v>126</v>
      </c>
      <c r="B203" s="202"/>
      <c r="C203" s="202"/>
      <c r="D203" s="202"/>
      <c r="E203" s="202">
        <v>1</v>
      </c>
      <c r="F203" s="202"/>
      <c r="G203" s="202"/>
      <c r="H203" s="202"/>
      <c r="I203" s="202"/>
      <c r="J203" s="202"/>
      <c r="K203" s="202"/>
      <c r="L203" s="202"/>
      <c r="M203" s="202"/>
      <c r="N203" s="203">
        <v>2</v>
      </c>
      <c r="O203" s="203"/>
      <c r="P203" s="203"/>
      <c r="Q203" s="203"/>
      <c r="R203" s="203"/>
      <c r="S203" s="203"/>
      <c r="T203" s="203">
        <v>2</v>
      </c>
      <c r="U203" s="203"/>
      <c r="V203" s="203"/>
      <c r="W203" s="203"/>
      <c r="X203" s="203"/>
      <c r="Y203" s="203"/>
      <c r="Z203" s="203"/>
      <c r="AA203" s="203"/>
      <c r="AB203" s="203"/>
      <c r="AC203" s="203"/>
      <c r="AD203" s="203"/>
      <c r="AE203" s="203"/>
      <c r="AF203" s="204"/>
      <c r="AG203" s="4">
        <f t="shared" si="28"/>
        <v>5</v>
      </c>
    </row>
    <row r="204" spans="1:34" ht="18.75" x14ac:dyDescent="0.25">
      <c r="A204" s="112" t="s">
        <v>170</v>
      </c>
      <c r="B204" s="202"/>
      <c r="C204" s="202"/>
      <c r="D204" s="202"/>
      <c r="E204" s="202"/>
      <c r="F204" s="202"/>
      <c r="G204" s="202"/>
      <c r="H204" s="202"/>
      <c r="I204" s="202"/>
      <c r="J204" s="202"/>
      <c r="K204" s="202"/>
      <c r="L204" s="202"/>
      <c r="M204" s="202"/>
      <c r="N204" s="203"/>
      <c r="O204" s="203"/>
      <c r="P204" s="203"/>
      <c r="Q204" s="203"/>
      <c r="R204" s="203"/>
      <c r="S204" s="203"/>
      <c r="T204" s="203"/>
      <c r="U204" s="203"/>
      <c r="V204" s="203"/>
      <c r="W204" s="203"/>
      <c r="X204" s="203"/>
      <c r="Y204" s="203"/>
      <c r="Z204" s="203"/>
      <c r="AA204" s="203"/>
      <c r="AB204" s="203"/>
      <c r="AC204" s="203"/>
      <c r="AD204" s="203"/>
      <c r="AE204" s="203"/>
      <c r="AF204" s="204"/>
      <c r="AG204" s="4">
        <f t="shared" si="28"/>
        <v>0</v>
      </c>
    </row>
    <row r="205" spans="1:34" ht="19.5" thickBot="1" x14ac:dyDescent="0.3">
      <c r="A205" s="231" t="s">
        <v>166</v>
      </c>
      <c r="B205" s="202"/>
      <c r="C205" s="202"/>
      <c r="D205" s="202"/>
      <c r="E205" s="202"/>
      <c r="F205" s="202"/>
      <c r="G205" s="202"/>
      <c r="H205" s="202"/>
      <c r="I205" s="202"/>
      <c r="J205" s="202"/>
      <c r="K205" s="202"/>
      <c r="L205" s="202"/>
      <c r="M205" s="202"/>
      <c r="N205" s="203"/>
      <c r="O205" s="203"/>
      <c r="P205" s="203"/>
      <c r="Q205" s="203"/>
      <c r="R205" s="203"/>
      <c r="S205" s="203"/>
      <c r="T205" s="203"/>
      <c r="U205" s="203"/>
      <c r="V205" s="203"/>
      <c r="W205" s="203"/>
      <c r="X205" s="203"/>
      <c r="Y205" s="203"/>
      <c r="Z205" s="203"/>
      <c r="AA205" s="203"/>
      <c r="AB205" s="203"/>
      <c r="AC205" s="203"/>
      <c r="AD205" s="203"/>
      <c r="AE205" s="203"/>
      <c r="AF205" s="204"/>
      <c r="AG205" s="28">
        <f t="shared" si="28"/>
        <v>0</v>
      </c>
    </row>
    <row r="206" spans="1:34" ht="19.5" thickBot="1" x14ac:dyDescent="0.3">
      <c r="A206" s="215" t="s">
        <v>83</v>
      </c>
      <c r="B206" s="209">
        <f>SUM(B207:B211)</f>
        <v>89</v>
      </c>
      <c r="C206" s="210">
        <f t="shared" ref="C206:AF206" si="33">SUM(C207:C211)</f>
        <v>72</v>
      </c>
      <c r="D206" s="210">
        <f t="shared" si="33"/>
        <v>100</v>
      </c>
      <c r="E206" s="210">
        <f t="shared" si="33"/>
        <v>92</v>
      </c>
      <c r="F206" s="210">
        <f t="shared" si="33"/>
        <v>101</v>
      </c>
      <c r="G206" s="210">
        <f t="shared" si="33"/>
        <v>61</v>
      </c>
      <c r="H206" s="210">
        <f t="shared" si="33"/>
        <v>77</v>
      </c>
      <c r="I206" s="210">
        <f t="shared" si="33"/>
        <v>108</v>
      </c>
      <c r="J206" s="210">
        <f t="shared" si="33"/>
        <v>109</v>
      </c>
      <c r="K206" s="210">
        <f t="shared" si="33"/>
        <v>118</v>
      </c>
      <c r="L206" s="210">
        <f t="shared" si="33"/>
        <v>90</v>
      </c>
      <c r="M206" s="210">
        <f t="shared" si="33"/>
        <v>119</v>
      </c>
      <c r="N206" s="211">
        <f t="shared" si="33"/>
        <v>99</v>
      </c>
      <c r="O206" s="211">
        <f t="shared" si="33"/>
        <v>77</v>
      </c>
      <c r="P206" s="211">
        <f t="shared" si="33"/>
        <v>96</v>
      </c>
      <c r="Q206" s="211">
        <f t="shared" si="33"/>
        <v>74</v>
      </c>
      <c r="R206" s="211">
        <f t="shared" si="33"/>
        <v>82</v>
      </c>
      <c r="S206" s="211">
        <f t="shared" si="33"/>
        <v>61</v>
      </c>
      <c r="T206" s="211">
        <f t="shared" si="33"/>
        <v>97</v>
      </c>
      <c r="U206" s="211">
        <f t="shared" si="33"/>
        <v>69</v>
      </c>
      <c r="V206" s="211">
        <f t="shared" si="33"/>
        <v>74</v>
      </c>
      <c r="W206" s="211">
        <f t="shared" si="33"/>
        <v>103</v>
      </c>
      <c r="X206" s="211">
        <f t="shared" si="33"/>
        <v>99</v>
      </c>
      <c r="Y206" s="211">
        <f t="shared" si="33"/>
        <v>88</v>
      </c>
      <c r="Z206" s="211">
        <f t="shared" si="33"/>
        <v>115</v>
      </c>
      <c r="AA206" s="211">
        <f t="shared" si="33"/>
        <v>99</v>
      </c>
      <c r="AB206" s="211">
        <f t="shared" si="33"/>
        <v>86</v>
      </c>
      <c r="AC206" s="211">
        <f t="shared" si="33"/>
        <v>65</v>
      </c>
      <c r="AD206" s="211">
        <f t="shared" si="33"/>
        <v>64</v>
      </c>
      <c r="AE206" s="211">
        <f t="shared" si="33"/>
        <v>112</v>
      </c>
      <c r="AF206" s="212">
        <f t="shared" si="33"/>
        <v>0</v>
      </c>
      <c r="AG206" s="213">
        <f t="shared" si="28"/>
        <v>2696</v>
      </c>
      <c r="AH206" s="180" t="str">
        <f>IF(AG206&lt;&gt;AG93,"X","")</f>
        <v/>
      </c>
    </row>
    <row r="207" spans="1:34" ht="18.75" x14ac:dyDescent="0.25">
      <c r="A207" s="214" t="s">
        <v>72</v>
      </c>
      <c r="B207" s="205"/>
      <c r="C207" s="205"/>
      <c r="D207" s="205"/>
      <c r="E207" s="205"/>
      <c r="F207" s="205"/>
      <c r="G207" s="205"/>
      <c r="H207" s="205"/>
      <c r="I207" s="205"/>
      <c r="J207" s="205"/>
      <c r="K207" s="205"/>
      <c r="L207" s="205"/>
      <c r="M207" s="205"/>
      <c r="N207" s="206"/>
      <c r="O207" s="206"/>
      <c r="P207" s="206"/>
      <c r="Q207" s="206"/>
      <c r="R207" s="206"/>
      <c r="S207" s="206">
        <v>1</v>
      </c>
      <c r="T207" s="206"/>
      <c r="U207" s="206"/>
      <c r="V207" s="206"/>
      <c r="W207" s="206"/>
      <c r="X207" s="206"/>
      <c r="Y207" s="206"/>
      <c r="Z207" s="206"/>
      <c r="AA207" s="206"/>
      <c r="AB207" s="206"/>
      <c r="AC207" s="206"/>
      <c r="AD207" s="206"/>
      <c r="AE207" s="206">
        <v>1</v>
      </c>
      <c r="AF207" s="207"/>
      <c r="AG207" s="208">
        <f t="shared" si="28"/>
        <v>2</v>
      </c>
    </row>
    <row r="208" spans="1:34" ht="18.75" x14ac:dyDescent="0.25">
      <c r="A208" s="52" t="s">
        <v>73</v>
      </c>
      <c r="B208" s="148">
        <v>2</v>
      </c>
      <c r="C208" s="148">
        <v>1</v>
      </c>
      <c r="D208" s="148"/>
      <c r="E208" s="148"/>
      <c r="F208" s="148"/>
      <c r="G208" s="148"/>
      <c r="H208" s="148">
        <v>2</v>
      </c>
      <c r="I208" s="148">
        <v>1</v>
      </c>
      <c r="J208" s="148">
        <v>1</v>
      </c>
      <c r="K208" s="148"/>
      <c r="L208" s="148"/>
      <c r="M208" s="148"/>
      <c r="N208" s="33"/>
      <c r="O208" s="33"/>
      <c r="P208" s="33"/>
      <c r="Q208" s="33"/>
      <c r="R208" s="33">
        <v>1</v>
      </c>
      <c r="S208" s="33"/>
      <c r="T208" s="33"/>
      <c r="U208" s="33"/>
      <c r="V208" s="33"/>
      <c r="W208" s="33"/>
      <c r="X208" s="33"/>
      <c r="Y208" s="33"/>
      <c r="Z208" s="33"/>
      <c r="AA208" s="33"/>
      <c r="AB208" s="33">
        <v>1</v>
      </c>
      <c r="AC208" s="33">
        <v>1</v>
      </c>
      <c r="AD208" s="33"/>
      <c r="AE208" s="33"/>
      <c r="AF208" s="88"/>
      <c r="AG208" s="97">
        <f t="shared" si="28"/>
        <v>10</v>
      </c>
    </row>
    <row r="209" spans="1:34" ht="18.75" x14ac:dyDescent="0.25">
      <c r="A209" s="52" t="s">
        <v>74</v>
      </c>
      <c r="B209" s="148">
        <v>2</v>
      </c>
      <c r="C209" s="148">
        <v>9</v>
      </c>
      <c r="D209" s="148">
        <v>21</v>
      </c>
      <c r="E209" s="148">
        <v>12</v>
      </c>
      <c r="F209" s="148">
        <v>5</v>
      </c>
      <c r="G209" s="148">
        <v>14</v>
      </c>
      <c r="H209" s="148">
        <v>14</v>
      </c>
      <c r="I209" s="148">
        <v>14</v>
      </c>
      <c r="J209" s="148">
        <v>10</v>
      </c>
      <c r="K209" s="148">
        <v>8</v>
      </c>
      <c r="L209" s="148">
        <v>10</v>
      </c>
      <c r="M209" s="148">
        <v>7</v>
      </c>
      <c r="N209" s="33">
        <v>22</v>
      </c>
      <c r="O209" s="33">
        <v>10</v>
      </c>
      <c r="P209" s="33">
        <v>5</v>
      </c>
      <c r="Q209" s="33">
        <v>5</v>
      </c>
      <c r="R209" s="33">
        <v>10</v>
      </c>
      <c r="S209" s="33">
        <v>10</v>
      </c>
      <c r="T209" s="33">
        <v>9</v>
      </c>
      <c r="U209" s="33">
        <v>15</v>
      </c>
      <c r="V209" s="33">
        <v>6</v>
      </c>
      <c r="W209" s="33">
        <v>5</v>
      </c>
      <c r="X209" s="33">
        <v>5</v>
      </c>
      <c r="Y209" s="33">
        <v>7</v>
      </c>
      <c r="Z209" s="33">
        <v>10</v>
      </c>
      <c r="AA209" s="33">
        <v>13</v>
      </c>
      <c r="AB209" s="33">
        <v>8</v>
      </c>
      <c r="AC209" s="33">
        <v>3</v>
      </c>
      <c r="AD209" s="33">
        <v>9</v>
      </c>
      <c r="AE209" s="33">
        <v>8</v>
      </c>
      <c r="AF209" s="88"/>
      <c r="AG209" s="97">
        <f t="shared" si="28"/>
        <v>286</v>
      </c>
    </row>
    <row r="210" spans="1:34" ht="18.75" x14ac:dyDescent="0.25">
      <c r="A210" s="52" t="s">
        <v>75</v>
      </c>
      <c r="B210" s="148">
        <v>48</v>
      </c>
      <c r="C210" s="148">
        <v>27</v>
      </c>
      <c r="D210" s="148">
        <v>19</v>
      </c>
      <c r="E210" s="148">
        <v>53</v>
      </c>
      <c r="F210" s="148">
        <v>61</v>
      </c>
      <c r="G210" s="148">
        <v>21</v>
      </c>
      <c r="H210" s="148">
        <v>31</v>
      </c>
      <c r="I210" s="148">
        <v>57</v>
      </c>
      <c r="J210" s="148">
        <v>60</v>
      </c>
      <c r="K210" s="148">
        <v>37</v>
      </c>
      <c r="L210" s="148">
        <v>15</v>
      </c>
      <c r="M210" s="148">
        <v>66</v>
      </c>
      <c r="N210" s="33">
        <v>49</v>
      </c>
      <c r="O210" s="33">
        <v>32</v>
      </c>
      <c r="P210" s="33">
        <v>34</v>
      </c>
      <c r="Q210" s="33">
        <v>51</v>
      </c>
      <c r="R210" s="33">
        <v>46</v>
      </c>
      <c r="S210" s="33">
        <v>24</v>
      </c>
      <c r="T210" s="33">
        <v>26</v>
      </c>
      <c r="U210" s="33">
        <v>35</v>
      </c>
      <c r="V210" s="33">
        <v>44</v>
      </c>
      <c r="W210" s="33">
        <v>27</v>
      </c>
      <c r="X210" s="33">
        <v>40</v>
      </c>
      <c r="Y210" s="33">
        <v>49</v>
      </c>
      <c r="Z210" s="33">
        <v>53</v>
      </c>
      <c r="AA210" s="33">
        <v>20</v>
      </c>
      <c r="AB210" s="33">
        <v>39</v>
      </c>
      <c r="AC210" s="33">
        <v>30</v>
      </c>
      <c r="AD210" s="33">
        <v>38</v>
      </c>
      <c r="AE210" s="33">
        <v>47</v>
      </c>
      <c r="AF210" s="88"/>
      <c r="AG210" s="97">
        <f t="shared" si="28"/>
        <v>1179</v>
      </c>
    </row>
    <row r="211" spans="1:34" ht="19.5" thickBot="1" x14ac:dyDescent="0.3">
      <c r="A211" s="63" t="s">
        <v>76</v>
      </c>
      <c r="B211" s="149">
        <v>37</v>
      </c>
      <c r="C211" s="149">
        <v>35</v>
      </c>
      <c r="D211" s="149">
        <v>60</v>
      </c>
      <c r="E211" s="149">
        <v>27</v>
      </c>
      <c r="F211" s="149">
        <v>35</v>
      </c>
      <c r="G211" s="149">
        <v>26</v>
      </c>
      <c r="H211" s="149">
        <v>30</v>
      </c>
      <c r="I211" s="149">
        <v>36</v>
      </c>
      <c r="J211" s="149">
        <v>38</v>
      </c>
      <c r="K211" s="149">
        <v>73</v>
      </c>
      <c r="L211" s="149">
        <v>65</v>
      </c>
      <c r="M211" s="149">
        <v>46</v>
      </c>
      <c r="N211" s="34">
        <v>28</v>
      </c>
      <c r="O211" s="34">
        <v>35</v>
      </c>
      <c r="P211" s="34">
        <v>57</v>
      </c>
      <c r="Q211" s="34">
        <v>18</v>
      </c>
      <c r="R211" s="34">
        <v>25</v>
      </c>
      <c r="S211" s="34">
        <v>26</v>
      </c>
      <c r="T211" s="34">
        <v>62</v>
      </c>
      <c r="U211" s="34">
        <v>19</v>
      </c>
      <c r="V211" s="34">
        <v>24</v>
      </c>
      <c r="W211" s="34">
        <v>71</v>
      </c>
      <c r="X211" s="34">
        <v>54</v>
      </c>
      <c r="Y211" s="34">
        <v>32</v>
      </c>
      <c r="Z211" s="34">
        <v>52</v>
      </c>
      <c r="AA211" s="34">
        <v>66</v>
      </c>
      <c r="AB211" s="34">
        <v>38</v>
      </c>
      <c r="AC211" s="34">
        <v>31</v>
      </c>
      <c r="AD211" s="34">
        <v>17</v>
      </c>
      <c r="AE211" s="34">
        <v>56</v>
      </c>
      <c r="AF211" s="89"/>
      <c r="AG211" s="35">
        <f t="shared" si="28"/>
        <v>1219</v>
      </c>
    </row>
    <row r="212" spans="1:34" ht="19.5" thickBot="1" x14ac:dyDescent="0.3">
      <c r="A212" s="121" t="s">
        <v>622</v>
      </c>
      <c r="B212" s="404">
        <v>23</v>
      </c>
      <c r="C212" s="404">
        <v>16</v>
      </c>
      <c r="D212" s="404">
        <v>37</v>
      </c>
      <c r="E212" s="404">
        <v>35</v>
      </c>
      <c r="F212" s="404">
        <v>51</v>
      </c>
      <c r="G212" s="404">
        <v>14</v>
      </c>
      <c r="H212" s="404">
        <v>29</v>
      </c>
      <c r="I212" s="404">
        <v>30</v>
      </c>
      <c r="J212" s="404">
        <v>36</v>
      </c>
      <c r="K212" s="404">
        <v>42</v>
      </c>
      <c r="L212" s="404">
        <v>37</v>
      </c>
      <c r="M212" s="404">
        <v>44</v>
      </c>
      <c r="N212" s="122">
        <v>32</v>
      </c>
      <c r="O212" s="122">
        <v>24</v>
      </c>
      <c r="P212" s="122">
        <v>34</v>
      </c>
      <c r="Q212" s="122">
        <v>28</v>
      </c>
      <c r="R212" s="122">
        <v>28</v>
      </c>
      <c r="S212" s="122">
        <v>22</v>
      </c>
      <c r="T212" s="122">
        <v>25</v>
      </c>
      <c r="U212" s="122">
        <v>25</v>
      </c>
      <c r="V212" s="122">
        <v>24</v>
      </c>
      <c r="W212" s="122">
        <v>34</v>
      </c>
      <c r="X212" s="122">
        <v>21</v>
      </c>
      <c r="Y212" s="122">
        <v>25</v>
      </c>
      <c r="Z212" s="122">
        <v>41</v>
      </c>
      <c r="AA212" s="122">
        <v>32</v>
      </c>
      <c r="AB212" s="122">
        <v>23</v>
      </c>
      <c r="AC212" s="122">
        <v>19</v>
      </c>
      <c r="AD212" s="122">
        <v>19</v>
      </c>
      <c r="AE212" s="122">
        <v>25</v>
      </c>
      <c r="AF212" s="123"/>
      <c r="AG212" s="124">
        <f t="shared" ref="AG212:AG215" si="34">SUM(B212:AF212)</f>
        <v>875</v>
      </c>
    </row>
    <row r="213" spans="1:34" ht="18.75" x14ac:dyDescent="0.25">
      <c r="A213" s="414" t="s">
        <v>624</v>
      </c>
      <c r="B213" s="415">
        <v>23</v>
      </c>
      <c r="C213" s="415">
        <v>14</v>
      </c>
      <c r="D213" s="415">
        <v>26</v>
      </c>
      <c r="E213" s="415">
        <v>28</v>
      </c>
      <c r="F213" s="415">
        <v>44</v>
      </c>
      <c r="G213" s="415">
        <v>12</v>
      </c>
      <c r="H213" s="415">
        <v>22</v>
      </c>
      <c r="I213" s="415">
        <v>26</v>
      </c>
      <c r="J213" s="415">
        <v>28</v>
      </c>
      <c r="K213" s="415">
        <v>32</v>
      </c>
      <c r="L213" s="415">
        <v>33</v>
      </c>
      <c r="M213" s="415">
        <v>37</v>
      </c>
      <c r="N213" s="416">
        <v>28</v>
      </c>
      <c r="O213" s="416">
        <v>22</v>
      </c>
      <c r="P213" s="416">
        <v>29</v>
      </c>
      <c r="Q213" s="416">
        <v>19</v>
      </c>
      <c r="R213" s="416">
        <v>23</v>
      </c>
      <c r="S213" s="416">
        <v>22</v>
      </c>
      <c r="T213" s="416">
        <v>22</v>
      </c>
      <c r="U213" s="416">
        <v>19</v>
      </c>
      <c r="V213" s="416">
        <v>21</v>
      </c>
      <c r="W213" s="416">
        <v>27</v>
      </c>
      <c r="X213" s="416">
        <v>21</v>
      </c>
      <c r="Y213" s="416">
        <v>16</v>
      </c>
      <c r="Z213" s="416">
        <v>35</v>
      </c>
      <c r="AA213" s="416">
        <v>28</v>
      </c>
      <c r="AB213" s="416">
        <v>20</v>
      </c>
      <c r="AC213" s="416">
        <v>13</v>
      </c>
      <c r="AD213" s="416">
        <v>16</v>
      </c>
      <c r="AE213" s="416">
        <v>3</v>
      </c>
      <c r="AF213" s="417"/>
      <c r="AG213" s="418">
        <f t="shared" si="34"/>
        <v>709</v>
      </c>
    </row>
    <row r="214" spans="1:34" ht="18.75" x14ac:dyDescent="0.25">
      <c r="A214" s="419" t="s">
        <v>626</v>
      </c>
      <c r="B214" s="420"/>
      <c r="C214" s="420"/>
      <c r="D214" s="420">
        <v>1</v>
      </c>
      <c r="E214" s="420">
        <v>2</v>
      </c>
      <c r="F214" s="420"/>
      <c r="G214" s="420">
        <v>1</v>
      </c>
      <c r="H214" s="420"/>
      <c r="I214" s="420">
        <v>1</v>
      </c>
      <c r="J214" s="420"/>
      <c r="K214" s="420">
        <v>4</v>
      </c>
      <c r="L214" s="420"/>
      <c r="M214" s="420">
        <v>3</v>
      </c>
      <c r="N214" s="421">
        <v>1</v>
      </c>
      <c r="O214" s="421"/>
      <c r="P214" s="421"/>
      <c r="Q214" s="421"/>
      <c r="R214" s="421"/>
      <c r="S214" s="421"/>
      <c r="T214" s="421"/>
      <c r="U214" s="421"/>
      <c r="V214" s="421"/>
      <c r="W214" s="421"/>
      <c r="X214" s="421"/>
      <c r="Y214" s="421">
        <v>1</v>
      </c>
      <c r="Z214" s="421"/>
      <c r="AA214" s="421"/>
      <c r="AB214" s="421">
        <v>1</v>
      </c>
      <c r="AC214" s="421"/>
      <c r="AD214" s="421"/>
      <c r="AE214" s="421"/>
      <c r="AF214" s="422"/>
      <c r="AG214" s="397">
        <f t="shared" si="34"/>
        <v>15</v>
      </c>
    </row>
    <row r="215" spans="1:34" ht="18.75" x14ac:dyDescent="0.25">
      <c r="A215" s="423" t="s">
        <v>627</v>
      </c>
      <c r="B215" s="420"/>
      <c r="C215" s="420"/>
      <c r="D215" s="420"/>
      <c r="E215" s="420"/>
      <c r="F215" s="420"/>
      <c r="G215" s="420"/>
      <c r="H215" s="420"/>
      <c r="I215" s="420"/>
      <c r="J215" s="420"/>
      <c r="K215" s="420"/>
      <c r="L215" s="420"/>
      <c r="M215" s="420"/>
      <c r="N215" s="421"/>
      <c r="O215" s="421"/>
      <c r="P215" s="421"/>
      <c r="Q215" s="421"/>
      <c r="R215" s="421"/>
      <c r="S215" s="421"/>
      <c r="T215" s="421"/>
      <c r="U215" s="421"/>
      <c r="V215" s="421"/>
      <c r="W215" s="421"/>
      <c r="X215" s="421"/>
      <c r="Y215" s="421"/>
      <c r="Z215" s="421">
        <v>1</v>
      </c>
      <c r="AA215" s="421"/>
      <c r="AB215" s="421"/>
      <c r="AC215" s="421"/>
      <c r="AD215" s="421"/>
      <c r="AE215" s="421">
        <v>22</v>
      </c>
      <c r="AF215" s="422"/>
      <c r="AG215" s="397">
        <f t="shared" si="34"/>
        <v>23</v>
      </c>
    </row>
    <row r="216" spans="1:34" ht="19.5" thickBot="1" x14ac:dyDescent="0.3">
      <c r="A216" s="424" t="s">
        <v>623</v>
      </c>
      <c r="B216" s="412"/>
      <c r="C216" s="412">
        <v>2</v>
      </c>
      <c r="D216" s="412">
        <v>10</v>
      </c>
      <c r="E216" s="412">
        <v>5</v>
      </c>
      <c r="F216" s="412">
        <v>7</v>
      </c>
      <c r="G216" s="412">
        <v>1</v>
      </c>
      <c r="H216" s="412">
        <v>7</v>
      </c>
      <c r="I216" s="412">
        <v>3</v>
      </c>
      <c r="J216" s="412">
        <v>8</v>
      </c>
      <c r="K216" s="412">
        <v>6</v>
      </c>
      <c r="L216" s="412">
        <v>4</v>
      </c>
      <c r="M216" s="412">
        <v>4</v>
      </c>
      <c r="N216" s="425">
        <v>3</v>
      </c>
      <c r="O216" s="425">
        <v>2</v>
      </c>
      <c r="P216" s="425">
        <v>5</v>
      </c>
      <c r="Q216" s="425">
        <v>9</v>
      </c>
      <c r="R216" s="425">
        <v>5</v>
      </c>
      <c r="S216" s="425"/>
      <c r="T216" s="425">
        <v>3</v>
      </c>
      <c r="U216" s="425">
        <v>6</v>
      </c>
      <c r="V216" s="425">
        <v>3</v>
      </c>
      <c r="W216" s="425">
        <v>7</v>
      </c>
      <c r="X216" s="425"/>
      <c r="Y216" s="425">
        <v>8</v>
      </c>
      <c r="Z216" s="425">
        <v>5</v>
      </c>
      <c r="AA216" s="425">
        <v>4</v>
      </c>
      <c r="AB216" s="425">
        <v>2</v>
      </c>
      <c r="AC216" s="425">
        <v>6</v>
      </c>
      <c r="AD216" s="425">
        <v>3</v>
      </c>
      <c r="AE216" s="425"/>
      <c r="AF216" s="426"/>
      <c r="AG216" s="397">
        <f>SUM(B216:AF216)</f>
        <v>128</v>
      </c>
    </row>
    <row r="217" spans="1:34" ht="18.75" x14ac:dyDescent="0.25">
      <c r="A217" s="69" t="s">
        <v>628</v>
      </c>
      <c r="B217" s="407"/>
      <c r="C217" s="407"/>
      <c r="D217" s="407"/>
      <c r="E217" s="407"/>
      <c r="F217" s="407"/>
      <c r="G217" s="407"/>
      <c r="H217" s="407"/>
      <c r="I217" s="407"/>
      <c r="J217" s="407"/>
      <c r="K217" s="407"/>
      <c r="L217" s="407"/>
      <c r="M217" s="407"/>
      <c r="N217" s="56"/>
      <c r="O217" s="56"/>
      <c r="P217" s="56"/>
      <c r="Q217" s="56"/>
      <c r="R217" s="56"/>
      <c r="S217" s="56"/>
      <c r="T217" s="56"/>
      <c r="U217" s="56"/>
      <c r="V217" s="56"/>
      <c r="W217" s="56"/>
      <c r="X217" s="56"/>
      <c r="Y217" s="56"/>
      <c r="Z217" s="56"/>
      <c r="AA217" s="56"/>
      <c r="AB217" s="56"/>
      <c r="AC217" s="56"/>
      <c r="AD217" s="56"/>
      <c r="AE217" s="56"/>
      <c r="AF217" s="85"/>
      <c r="AG217" s="95">
        <f>SUM(B217:AF217)</f>
        <v>0</v>
      </c>
    </row>
    <row r="218" spans="1:34" ht="19.5" thickBot="1" x14ac:dyDescent="0.3">
      <c r="A218" s="424" t="s">
        <v>629</v>
      </c>
      <c r="B218" s="412">
        <f>+B212-B217</f>
        <v>23</v>
      </c>
      <c r="C218" s="412">
        <f t="shared" ref="C218:AF218" si="35">+C212-C217</f>
        <v>16</v>
      </c>
      <c r="D218" s="412">
        <f t="shared" si="35"/>
        <v>37</v>
      </c>
      <c r="E218" s="412">
        <f t="shared" si="35"/>
        <v>35</v>
      </c>
      <c r="F218" s="412">
        <f t="shared" si="35"/>
        <v>51</v>
      </c>
      <c r="G218" s="412">
        <f t="shared" si="35"/>
        <v>14</v>
      </c>
      <c r="H218" s="412">
        <f t="shared" si="35"/>
        <v>29</v>
      </c>
      <c r="I218" s="412">
        <f t="shared" si="35"/>
        <v>30</v>
      </c>
      <c r="J218" s="412">
        <f t="shared" si="35"/>
        <v>36</v>
      </c>
      <c r="K218" s="412">
        <f t="shared" si="35"/>
        <v>42</v>
      </c>
      <c r="L218" s="412">
        <f t="shared" si="35"/>
        <v>37</v>
      </c>
      <c r="M218" s="412">
        <f t="shared" si="35"/>
        <v>44</v>
      </c>
      <c r="N218" s="425">
        <f t="shared" si="35"/>
        <v>32</v>
      </c>
      <c r="O218" s="425">
        <f t="shared" si="35"/>
        <v>24</v>
      </c>
      <c r="P218" s="425">
        <f t="shared" si="35"/>
        <v>34</v>
      </c>
      <c r="Q218" s="425">
        <f t="shared" si="35"/>
        <v>28</v>
      </c>
      <c r="R218" s="425">
        <f t="shared" si="35"/>
        <v>28</v>
      </c>
      <c r="S218" s="425">
        <f t="shared" si="35"/>
        <v>22</v>
      </c>
      <c r="T218" s="425">
        <f t="shared" si="35"/>
        <v>25</v>
      </c>
      <c r="U218" s="425">
        <f t="shared" si="35"/>
        <v>25</v>
      </c>
      <c r="V218" s="425">
        <f t="shared" si="35"/>
        <v>24</v>
      </c>
      <c r="W218" s="425">
        <f t="shared" si="35"/>
        <v>34</v>
      </c>
      <c r="X218" s="425">
        <f t="shared" si="35"/>
        <v>21</v>
      </c>
      <c r="Y218" s="425">
        <f t="shared" si="35"/>
        <v>25</v>
      </c>
      <c r="Z218" s="425">
        <f t="shared" si="35"/>
        <v>41</v>
      </c>
      <c r="AA218" s="425">
        <f t="shared" si="35"/>
        <v>32</v>
      </c>
      <c r="AB218" s="425">
        <f t="shared" si="35"/>
        <v>23</v>
      </c>
      <c r="AC218" s="425">
        <f t="shared" si="35"/>
        <v>19</v>
      </c>
      <c r="AD218" s="425">
        <f t="shared" si="35"/>
        <v>19</v>
      </c>
      <c r="AE218" s="425">
        <f t="shared" si="35"/>
        <v>25</v>
      </c>
      <c r="AF218" s="428">
        <f t="shared" si="35"/>
        <v>0</v>
      </c>
      <c r="AG218" s="413">
        <f>SUM(B218:AF218)</f>
        <v>875</v>
      </c>
    </row>
    <row r="219" spans="1:34" ht="19.5" thickBot="1" x14ac:dyDescent="0.3">
      <c r="A219" s="60" t="s">
        <v>64</v>
      </c>
      <c r="B219" s="61"/>
      <c r="C219" s="61"/>
      <c r="D219" s="61"/>
      <c r="E219" s="61"/>
      <c r="F219" s="61"/>
      <c r="G219" s="61"/>
      <c r="H219" s="61"/>
      <c r="I219" s="61"/>
      <c r="J219" s="61"/>
      <c r="K219" s="61"/>
      <c r="L219" s="61"/>
      <c r="M219" s="61"/>
      <c r="N219" s="61"/>
      <c r="O219" s="61"/>
      <c r="P219" s="61"/>
      <c r="Q219" s="61"/>
      <c r="R219" s="61"/>
      <c r="S219" s="61"/>
      <c r="T219" s="61"/>
      <c r="U219" s="61"/>
      <c r="V219" s="61"/>
      <c r="W219" s="61"/>
      <c r="X219" s="61"/>
      <c r="Y219" s="61"/>
      <c r="Z219" s="61"/>
      <c r="AA219" s="61"/>
      <c r="AB219" s="61"/>
      <c r="AC219" s="61"/>
      <c r="AD219" s="61"/>
      <c r="AE219" s="61"/>
      <c r="AF219" s="90"/>
      <c r="AG219" s="98"/>
    </row>
    <row r="220" spans="1:34" ht="18.75" x14ac:dyDescent="0.25">
      <c r="A220" s="43" t="s">
        <v>77</v>
      </c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  <c r="AC220" s="19"/>
      <c r="AD220" s="19"/>
      <c r="AE220" s="19"/>
      <c r="AF220" s="25"/>
      <c r="AG220" s="99">
        <f t="shared" si="28"/>
        <v>0</v>
      </c>
      <c r="AH220" s="437" t="s">
        <v>85</v>
      </c>
    </row>
    <row r="221" spans="1:34" ht="18.75" x14ac:dyDescent="0.25">
      <c r="A221" s="53" t="s">
        <v>110</v>
      </c>
      <c r="B221" s="39"/>
      <c r="C221" s="39"/>
      <c r="D221" s="39"/>
      <c r="E221" s="39"/>
      <c r="F221" s="39"/>
      <c r="G221" s="39"/>
      <c r="H221" s="39"/>
      <c r="I221" s="39"/>
      <c r="J221" s="39"/>
      <c r="K221" s="39"/>
      <c r="L221" s="39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  <c r="Y221" s="39"/>
      <c r="Z221" s="39"/>
      <c r="AA221" s="39"/>
      <c r="AB221" s="39"/>
      <c r="AC221" s="39"/>
      <c r="AD221" s="39"/>
      <c r="AE221" s="39"/>
      <c r="AF221" s="91"/>
      <c r="AG221" s="100">
        <f t="shared" si="28"/>
        <v>0</v>
      </c>
      <c r="AH221" s="438"/>
    </row>
    <row r="222" spans="1:34" ht="18.75" x14ac:dyDescent="0.25">
      <c r="A222" s="53" t="s">
        <v>111</v>
      </c>
      <c r="B222" s="39"/>
      <c r="C222" s="39"/>
      <c r="D222" s="39"/>
      <c r="E222" s="39"/>
      <c r="F222" s="39"/>
      <c r="G222" s="39"/>
      <c r="H222" s="39"/>
      <c r="I222" s="39"/>
      <c r="J222" s="39"/>
      <c r="K222" s="39"/>
      <c r="L222" s="39"/>
      <c r="M222" s="39"/>
      <c r="N222" s="39"/>
      <c r="O222" s="39"/>
      <c r="P222" s="39"/>
      <c r="Q222" s="39"/>
      <c r="R222" s="39"/>
      <c r="S222" s="39"/>
      <c r="T222" s="39"/>
      <c r="U222" s="39"/>
      <c r="V222" s="39"/>
      <c r="W222" s="39"/>
      <c r="X222" s="39"/>
      <c r="Y222" s="39"/>
      <c r="Z222" s="39"/>
      <c r="AA222" s="39"/>
      <c r="AB222" s="39"/>
      <c r="AC222" s="39"/>
      <c r="AD222" s="39"/>
      <c r="AE222" s="39"/>
      <c r="AF222" s="91"/>
      <c r="AG222" s="100">
        <f t="shared" si="28"/>
        <v>0</v>
      </c>
      <c r="AH222" s="438"/>
    </row>
    <row r="223" spans="1:34" ht="18.75" x14ac:dyDescent="0.25">
      <c r="A223" s="53" t="s">
        <v>112</v>
      </c>
      <c r="B223" s="39"/>
      <c r="C223" s="39"/>
      <c r="D223" s="39"/>
      <c r="E223" s="39"/>
      <c r="F223" s="39"/>
      <c r="G223" s="39"/>
      <c r="H223" s="39"/>
      <c r="I223" s="39"/>
      <c r="J223" s="39"/>
      <c r="K223" s="39"/>
      <c r="L223" s="39"/>
      <c r="M223" s="39"/>
      <c r="N223" s="39"/>
      <c r="O223" s="39"/>
      <c r="P223" s="39"/>
      <c r="Q223" s="39"/>
      <c r="R223" s="39"/>
      <c r="S223" s="39"/>
      <c r="T223" s="39"/>
      <c r="U223" s="39"/>
      <c r="V223" s="39"/>
      <c r="W223" s="39"/>
      <c r="X223" s="39"/>
      <c r="Y223" s="39"/>
      <c r="Z223" s="39"/>
      <c r="AA223" s="39"/>
      <c r="AB223" s="39"/>
      <c r="AC223" s="39"/>
      <c r="AD223" s="39"/>
      <c r="AE223" s="39"/>
      <c r="AF223" s="91"/>
      <c r="AG223" s="100">
        <f t="shared" si="28"/>
        <v>0</v>
      </c>
      <c r="AH223" s="438"/>
    </row>
    <row r="224" spans="1:34" ht="18.75" x14ac:dyDescent="0.25">
      <c r="A224" s="53" t="s">
        <v>113</v>
      </c>
      <c r="B224" s="39"/>
      <c r="C224" s="39"/>
      <c r="D224" s="39"/>
      <c r="E224" s="39"/>
      <c r="F224" s="39"/>
      <c r="G224" s="39"/>
      <c r="H224" s="39"/>
      <c r="I224" s="39"/>
      <c r="J224" s="39"/>
      <c r="K224" s="39"/>
      <c r="L224" s="39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  <c r="Y224" s="39"/>
      <c r="Z224" s="39"/>
      <c r="AA224" s="39"/>
      <c r="AB224" s="39"/>
      <c r="AC224" s="39"/>
      <c r="AD224" s="39"/>
      <c r="AE224" s="39"/>
      <c r="AF224" s="91"/>
      <c r="AG224" s="100">
        <f t="shared" si="28"/>
        <v>0</v>
      </c>
      <c r="AH224" s="438"/>
    </row>
    <row r="225" spans="1:34" ht="18.75" x14ac:dyDescent="0.25">
      <c r="A225" s="53" t="s">
        <v>114</v>
      </c>
      <c r="B225" s="39"/>
      <c r="C225" s="39"/>
      <c r="D225" s="39"/>
      <c r="E225" s="39"/>
      <c r="F225" s="39"/>
      <c r="G225" s="39"/>
      <c r="H225" s="39"/>
      <c r="I225" s="39"/>
      <c r="J225" s="39"/>
      <c r="K225" s="39"/>
      <c r="L225" s="39"/>
      <c r="M225" s="39"/>
      <c r="N225" s="39"/>
      <c r="O225" s="39"/>
      <c r="P225" s="39"/>
      <c r="Q225" s="39"/>
      <c r="R225" s="39"/>
      <c r="S225" s="39"/>
      <c r="T225" s="39"/>
      <c r="U225" s="39"/>
      <c r="V225" s="39"/>
      <c r="W225" s="39"/>
      <c r="X225" s="39"/>
      <c r="Y225" s="39"/>
      <c r="Z225" s="39"/>
      <c r="AA225" s="39"/>
      <c r="AB225" s="39"/>
      <c r="AC225" s="39"/>
      <c r="AD225" s="39"/>
      <c r="AE225" s="39"/>
      <c r="AF225" s="91"/>
      <c r="AG225" s="100">
        <f t="shared" ref="AG225:AG227" si="36">SUM(B225:AF225)</f>
        <v>0</v>
      </c>
      <c r="AH225" s="438"/>
    </row>
    <row r="226" spans="1:34" ht="18.75" x14ac:dyDescent="0.25">
      <c r="A226" s="53" t="s">
        <v>115</v>
      </c>
      <c r="B226" s="39"/>
      <c r="C226" s="39"/>
      <c r="D226" s="39"/>
      <c r="E226" s="39"/>
      <c r="F226" s="39"/>
      <c r="G226" s="39"/>
      <c r="H226" s="39"/>
      <c r="I226" s="39"/>
      <c r="J226" s="39"/>
      <c r="K226" s="39"/>
      <c r="L226" s="39"/>
      <c r="M226" s="39"/>
      <c r="N226" s="39"/>
      <c r="O226" s="39"/>
      <c r="P226" s="39"/>
      <c r="Q226" s="39"/>
      <c r="R226" s="39"/>
      <c r="S226" s="39"/>
      <c r="T226" s="39"/>
      <c r="U226" s="39"/>
      <c r="V226" s="39"/>
      <c r="W226" s="39"/>
      <c r="X226" s="39"/>
      <c r="Y226" s="39"/>
      <c r="Z226" s="39"/>
      <c r="AA226" s="39"/>
      <c r="AB226" s="39"/>
      <c r="AC226" s="39"/>
      <c r="AD226" s="39"/>
      <c r="AE226" s="39"/>
      <c r="AF226" s="91"/>
      <c r="AG226" s="100">
        <f t="shared" si="36"/>
        <v>0</v>
      </c>
      <c r="AH226" s="438"/>
    </row>
    <row r="227" spans="1:34" ht="18.75" x14ac:dyDescent="0.25">
      <c r="A227" s="53" t="s">
        <v>116</v>
      </c>
      <c r="B227" s="39"/>
      <c r="C227" s="39"/>
      <c r="D227" s="39"/>
      <c r="E227" s="39"/>
      <c r="F227" s="39"/>
      <c r="G227" s="39"/>
      <c r="H227" s="39"/>
      <c r="I227" s="39"/>
      <c r="J227" s="39"/>
      <c r="K227" s="39"/>
      <c r="L227" s="39"/>
      <c r="M227" s="39"/>
      <c r="N227" s="39"/>
      <c r="O227" s="39"/>
      <c r="P227" s="39"/>
      <c r="Q227" s="39"/>
      <c r="R227" s="39"/>
      <c r="S227" s="39"/>
      <c r="T227" s="39"/>
      <c r="U227" s="39"/>
      <c r="V227" s="39"/>
      <c r="W227" s="39"/>
      <c r="X227" s="39"/>
      <c r="Y227" s="39"/>
      <c r="Z227" s="39"/>
      <c r="AA227" s="39"/>
      <c r="AB227" s="39"/>
      <c r="AC227" s="39"/>
      <c r="AD227" s="39"/>
      <c r="AE227" s="39"/>
      <c r="AF227" s="91"/>
      <c r="AG227" s="100">
        <f t="shared" si="36"/>
        <v>0</v>
      </c>
      <c r="AH227" s="438"/>
    </row>
    <row r="228" spans="1:34" ht="18.75" x14ac:dyDescent="0.25">
      <c r="A228" s="53" t="s">
        <v>117</v>
      </c>
      <c r="B228" s="39"/>
      <c r="C228" s="39"/>
      <c r="D228" s="39"/>
      <c r="E228" s="39"/>
      <c r="F228" s="39"/>
      <c r="G228" s="39"/>
      <c r="H228" s="39"/>
      <c r="I228" s="39"/>
      <c r="J228" s="39"/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39"/>
      <c r="AA228" s="39"/>
      <c r="AB228" s="39"/>
      <c r="AC228" s="39"/>
      <c r="AD228" s="39"/>
      <c r="AE228" s="39"/>
      <c r="AF228" s="91"/>
      <c r="AG228" s="100">
        <f t="shared" si="28"/>
        <v>0</v>
      </c>
      <c r="AH228" s="438"/>
    </row>
    <row r="229" spans="1:34" ht="18.75" x14ac:dyDescent="0.25">
      <c r="A229" s="43" t="s">
        <v>150</v>
      </c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  <c r="AB229" s="19"/>
      <c r="AC229" s="19"/>
      <c r="AD229" s="19"/>
      <c r="AE229" s="19"/>
      <c r="AF229" s="25"/>
      <c r="AG229" s="99">
        <f t="shared" si="28"/>
        <v>0</v>
      </c>
      <c r="AH229" s="438"/>
    </row>
    <row r="230" spans="1:34" ht="18.75" x14ac:dyDescent="0.25">
      <c r="A230" s="43" t="s">
        <v>78</v>
      </c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  <c r="AC230" s="19"/>
      <c r="AD230" s="19"/>
      <c r="AE230" s="19"/>
      <c r="AF230" s="25"/>
      <c r="AG230" s="99">
        <f t="shared" si="28"/>
        <v>0</v>
      </c>
      <c r="AH230" s="438"/>
    </row>
    <row r="231" spans="1:34" ht="19.5" thickBot="1" x14ac:dyDescent="0.3">
      <c r="A231" s="43" t="s">
        <v>79</v>
      </c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19"/>
      <c r="AD231" s="19"/>
      <c r="AE231" s="19"/>
      <c r="AF231" s="25"/>
      <c r="AG231" s="99">
        <f t="shared" si="28"/>
        <v>0</v>
      </c>
      <c r="AH231" s="439"/>
    </row>
    <row r="232" spans="1:34" ht="19.5" thickBot="1" x14ac:dyDescent="0.3">
      <c r="A232" s="62" t="s">
        <v>118</v>
      </c>
      <c r="B232" s="20">
        <f>+B231+B230+B220+B229</f>
        <v>0</v>
      </c>
      <c r="C232" s="20">
        <f t="shared" ref="C232:AF232" si="37">+C231+C230+C220+C229</f>
        <v>0</v>
      </c>
      <c r="D232" s="20">
        <f t="shared" si="37"/>
        <v>0</v>
      </c>
      <c r="E232" s="20">
        <f t="shared" si="37"/>
        <v>0</v>
      </c>
      <c r="F232" s="20">
        <f t="shared" si="37"/>
        <v>0</v>
      </c>
      <c r="G232" s="20">
        <f t="shared" si="37"/>
        <v>0</v>
      </c>
      <c r="H232" s="20">
        <f t="shared" si="37"/>
        <v>0</v>
      </c>
      <c r="I232" s="20">
        <f t="shared" si="37"/>
        <v>0</v>
      </c>
      <c r="J232" s="20">
        <f t="shared" si="37"/>
        <v>0</v>
      </c>
      <c r="K232" s="20">
        <f t="shared" si="37"/>
        <v>0</v>
      </c>
      <c r="L232" s="20">
        <f t="shared" si="37"/>
        <v>0</v>
      </c>
      <c r="M232" s="20">
        <f t="shared" si="37"/>
        <v>0</v>
      </c>
      <c r="N232" s="20">
        <f t="shared" si="37"/>
        <v>0</v>
      </c>
      <c r="O232" s="20">
        <f t="shared" si="37"/>
        <v>0</v>
      </c>
      <c r="P232" s="20">
        <f t="shared" si="37"/>
        <v>0</v>
      </c>
      <c r="Q232" s="20">
        <f t="shared" si="37"/>
        <v>0</v>
      </c>
      <c r="R232" s="20">
        <f t="shared" si="37"/>
        <v>0</v>
      </c>
      <c r="S232" s="20">
        <f t="shared" si="37"/>
        <v>0</v>
      </c>
      <c r="T232" s="20">
        <f t="shared" si="37"/>
        <v>0</v>
      </c>
      <c r="U232" s="20">
        <f t="shared" si="37"/>
        <v>0</v>
      </c>
      <c r="V232" s="20">
        <f t="shared" si="37"/>
        <v>0</v>
      </c>
      <c r="W232" s="20">
        <f t="shared" si="37"/>
        <v>0</v>
      </c>
      <c r="X232" s="20">
        <f t="shared" si="37"/>
        <v>0</v>
      </c>
      <c r="Y232" s="20">
        <f t="shared" si="37"/>
        <v>0</v>
      </c>
      <c r="Z232" s="20">
        <f t="shared" si="37"/>
        <v>0</v>
      </c>
      <c r="AA232" s="20">
        <f t="shared" si="37"/>
        <v>0</v>
      </c>
      <c r="AB232" s="20">
        <f t="shared" si="37"/>
        <v>0</v>
      </c>
      <c r="AC232" s="20">
        <f t="shared" si="37"/>
        <v>0</v>
      </c>
      <c r="AD232" s="20">
        <f t="shared" si="37"/>
        <v>0</v>
      </c>
      <c r="AE232" s="20">
        <f t="shared" si="37"/>
        <v>0</v>
      </c>
      <c r="AF232" s="26">
        <f t="shared" si="37"/>
        <v>0</v>
      </c>
      <c r="AG232" s="99">
        <f t="shared" si="28"/>
        <v>0</v>
      </c>
    </row>
    <row r="233" spans="1:34" ht="18.75" x14ac:dyDescent="0.25">
      <c r="A233" s="57" t="s">
        <v>90</v>
      </c>
      <c r="B233" s="27"/>
      <c r="C233" s="27"/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  <c r="AA233" s="27"/>
      <c r="AB233" s="27"/>
      <c r="AC233" s="27"/>
      <c r="AD233" s="27"/>
      <c r="AE233" s="27"/>
      <c r="AF233" s="92"/>
      <c r="AG233" s="31">
        <f t="shared" ref="AG233:AG246" si="38">SUM(B233:AF233)</f>
        <v>0</v>
      </c>
      <c r="AH233" s="440" t="s">
        <v>96</v>
      </c>
    </row>
    <row r="234" spans="1:34" ht="18.75" x14ac:dyDescent="0.25">
      <c r="A234" s="54" t="s">
        <v>91</v>
      </c>
      <c r="B234" s="40"/>
      <c r="C234" s="40"/>
      <c r="D234" s="40"/>
      <c r="E234" s="40"/>
      <c r="F234" s="40"/>
      <c r="G234" s="40"/>
      <c r="H234" s="40"/>
      <c r="I234" s="40"/>
      <c r="J234" s="40"/>
      <c r="K234" s="40"/>
      <c r="L234" s="40"/>
      <c r="M234" s="40"/>
      <c r="N234" s="40"/>
      <c r="O234" s="40"/>
      <c r="P234" s="40"/>
      <c r="Q234" s="40"/>
      <c r="R234" s="40"/>
      <c r="S234" s="40"/>
      <c r="T234" s="40"/>
      <c r="U234" s="40"/>
      <c r="V234" s="40"/>
      <c r="W234" s="40"/>
      <c r="X234" s="40"/>
      <c r="Y234" s="40"/>
      <c r="Z234" s="40"/>
      <c r="AA234" s="40"/>
      <c r="AB234" s="40"/>
      <c r="AC234" s="40"/>
      <c r="AD234" s="40"/>
      <c r="AE234" s="40"/>
      <c r="AF234" s="93"/>
      <c r="AG234" s="99">
        <f t="shared" si="38"/>
        <v>0</v>
      </c>
      <c r="AH234" s="441"/>
    </row>
    <row r="235" spans="1:34" ht="19.5" thickBot="1" x14ac:dyDescent="0.3">
      <c r="A235" s="58" t="s">
        <v>97</v>
      </c>
      <c r="B235" s="59"/>
      <c r="C235" s="59"/>
      <c r="D235" s="59"/>
      <c r="E235" s="59"/>
      <c r="F235" s="59"/>
      <c r="G235" s="59"/>
      <c r="H235" s="59"/>
      <c r="I235" s="59"/>
      <c r="J235" s="59"/>
      <c r="K235" s="59"/>
      <c r="L235" s="59"/>
      <c r="M235" s="59"/>
      <c r="N235" s="59"/>
      <c r="O235" s="59"/>
      <c r="P235" s="59"/>
      <c r="Q235" s="59"/>
      <c r="R235" s="59"/>
      <c r="S235" s="59"/>
      <c r="T235" s="59"/>
      <c r="U235" s="59"/>
      <c r="V235" s="59"/>
      <c r="W235" s="59"/>
      <c r="X235" s="59"/>
      <c r="Y235" s="59"/>
      <c r="Z235" s="59"/>
      <c r="AA235" s="59"/>
      <c r="AB235" s="59"/>
      <c r="AC235" s="59"/>
      <c r="AD235" s="59"/>
      <c r="AE235" s="59"/>
      <c r="AF235" s="94"/>
      <c r="AG235" s="28">
        <f t="shared" si="38"/>
        <v>0</v>
      </c>
      <c r="AH235" s="442"/>
    </row>
    <row r="236" spans="1:34" ht="18.75" x14ac:dyDescent="0.25">
      <c r="A236" s="55" t="s">
        <v>92</v>
      </c>
      <c r="B236" s="118">
        <f>SUM(B237:B239)</f>
        <v>0</v>
      </c>
      <c r="C236" s="118">
        <f t="shared" ref="C236:AF236" si="39">SUM(C237:C239)</f>
        <v>0</v>
      </c>
      <c r="D236" s="118">
        <f t="shared" si="39"/>
        <v>0</v>
      </c>
      <c r="E236" s="118">
        <f t="shared" si="39"/>
        <v>0</v>
      </c>
      <c r="F236" s="118">
        <f t="shared" si="39"/>
        <v>0</v>
      </c>
      <c r="G236" s="118">
        <f t="shared" si="39"/>
        <v>0</v>
      </c>
      <c r="H236" s="118">
        <f t="shared" si="39"/>
        <v>0</v>
      </c>
      <c r="I236" s="118">
        <f t="shared" si="39"/>
        <v>0</v>
      </c>
      <c r="J236" s="118">
        <f t="shared" si="39"/>
        <v>0</v>
      </c>
      <c r="K236" s="118">
        <f t="shared" si="39"/>
        <v>0</v>
      </c>
      <c r="L236" s="118">
        <f t="shared" si="39"/>
        <v>0</v>
      </c>
      <c r="M236" s="118">
        <f t="shared" si="39"/>
        <v>0</v>
      </c>
      <c r="N236" s="118">
        <f t="shared" si="39"/>
        <v>0</v>
      </c>
      <c r="O236" s="118">
        <f t="shared" si="39"/>
        <v>0</v>
      </c>
      <c r="P236" s="118">
        <f t="shared" si="39"/>
        <v>0</v>
      </c>
      <c r="Q236" s="118">
        <f t="shared" si="39"/>
        <v>0</v>
      </c>
      <c r="R236" s="118">
        <f t="shared" si="39"/>
        <v>0</v>
      </c>
      <c r="S236" s="118">
        <f t="shared" si="39"/>
        <v>0</v>
      </c>
      <c r="T236" s="118">
        <f t="shared" si="39"/>
        <v>0</v>
      </c>
      <c r="U236" s="118">
        <f t="shared" si="39"/>
        <v>0</v>
      </c>
      <c r="V236" s="118">
        <f t="shared" si="39"/>
        <v>0</v>
      </c>
      <c r="W236" s="118">
        <f t="shared" si="39"/>
        <v>0</v>
      </c>
      <c r="X236" s="118">
        <f t="shared" si="39"/>
        <v>0</v>
      </c>
      <c r="Y236" s="118">
        <f t="shared" si="39"/>
        <v>0</v>
      </c>
      <c r="Z236" s="118">
        <f t="shared" si="39"/>
        <v>0</v>
      </c>
      <c r="AA236" s="118">
        <f t="shared" si="39"/>
        <v>0</v>
      </c>
      <c r="AB236" s="118">
        <f t="shared" si="39"/>
        <v>0</v>
      </c>
      <c r="AC236" s="118">
        <f t="shared" si="39"/>
        <v>0</v>
      </c>
      <c r="AD236" s="118">
        <f t="shared" si="39"/>
        <v>0</v>
      </c>
      <c r="AE236" s="118">
        <f t="shared" si="39"/>
        <v>0</v>
      </c>
      <c r="AF236" s="118">
        <f t="shared" si="39"/>
        <v>0</v>
      </c>
      <c r="AG236" s="95">
        <f t="shared" si="38"/>
        <v>0</v>
      </c>
      <c r="AH236" s="440" t="s">
        <v>93</v>
      </c>
    </row>
    <row r="237" spans="1:34" ht="18.75" x14ac:dyDescent="0.25">
      <c r="A237" s="139" t="s">
        <v>94</v>
      </c>
      <c r="B237" s="140"/>
      <c r="C237" s="140"/>
      <c r="D237" s="140"/>
      <c r="E237" s="140"/>
      <c r="F237" s="140"/>
      <c r="G237" s="140"/>
      <c r="H237" s="140"/>
      <c r="I237" s="140"/>
      <c r="J237" s="140"/>
      <c r="K237" s="140"/>
      <c r="L237" s="140"/>
      <c r="M237" s="140"/>
      <c r="N237" s="145"/>
      <c r="O237" s="140"/>
      <c r="P237" s="140"/>
      <c r="Q237" s="140"/>
      <c r="R237" s="140"/>
      <c r="S237" s="140"/>
      <c r="T237" s="140"/>
      <c r="U237" s="140"/>
      <c r="V237" s="140"/>
      <c r="W237" s="140"/>
      <c r="X237" s="140"/>
      <c r="Y237" s="140"/>
      <c r="Z237" s="142"/>
      <c r="AA237" s="140"/>
      <c r="AB237" s="140"/>
      <c r="AC237" s="140"/>
      <c r="AD237" s="140"/>
      <c r="AE237" s="140"/>
      <c r="AF237" s="144"/>
      <c r="AG237" s="143">
        <f t="shared" si="38"/>
        <v>0</v>
      </c>
      <c r="AH237" s="441"/>
    </row>
    <row r="238" spans="1:34" ht="18.75" x14ac:dyDescent="0.25">
      <c r="A238" s="139" t="s">
        <v>95</v>
      </c>
      <c r="B238" s="140"/>
      <c r="C238" s="140"/>
      <c r="D238" s="140"/>
      <c r="E238" s="140"/>
      <c r="F238" s="140"/>
      <c r="G238" s="140"/>
      <c r="H238" s="140"/>
      <c r="I238" s="140"/>
      <c r="J238" s="140"/>
      <c r="K238" s="140"/>
      <c r="L238" s="140"/>
      <c r="M238" s="140"/>
      <c r="N238" s="145"/>
      <c r="O238" s="140"/>
      <c r="P238" s="140"/>
      <c r="Q238" s="140"/>
      <c r="R238" s="140"/>
      <c r="S238" s="140"/>
      <c r="T238" s="140"/>
      <c r="U238" s="140"/>
      <c r="V238" s="140"/>
      <c r="W238" s="140"/>
      <c r="X238" s="140"/>
      <c r="Y238" s="140"/>
      <c r="Z238" s="142"/>
      <c r="AA238" s="140"/>
      <c r="AB238" s="140"/>
      <c r="AC238" s="140"/>
      <c r="AD238" s="140"/>
      <c r="AE238" s="140"/>
      <c r="AF238" s="144"/>
      <c r="AG238" s="143">
        <f t="shared" si="38"/>
        <v>0</v>
      </c>
      <c r="AH238" s="441"/>
    </row>
    <row r="239" spans="1:34" ht="19.5" thickBot="1" x14ac:dyDescent="0.3">
      <c r="A239" s="190" t="s">
        <v>106</v>
      </c>
      <c r="B239" s="191"/>
      <c r="C239" s="191"/>
      <c r="D239" s="191"/>
      <c r="E239" s="191"/>
      <c r="F239" s="191"/>
      <c r="G239" s="191"/>
      <c r="H239" s="191"/>
      <c r="I239" s="191"/>
      <c r="J239" s="191"/>
      <c r="K239" s="192"/>
      <c r="L239" s="192"/>
      <c r="M239" s="192"/>
      <c r="N239" s="193"/>
      <c r="O239" s="194"/>
      <c r="P239" s="194"/>
      <c r="Q239" s="194"/>
      <c r="R239" s="194"/>
      <c r="S239" s="194"/>
      <c r="T239" s="194"/>
      <c r="U239" s="194"/>
      <c r="V239" s="194"/>
      <c r="W239" s="194"/>
      <c r="X239" s="194"/>
      <c r="Y239" s="194"/>
      <c r="Z239" s="194"/>
      <c r="AA239" s="194"/>
      <c r="AB239" s="194"/>
      <c r="AC239" s="194"/>
      <c r="AD239" s="194"/>
      <c r="AE239" s="194"/>
      <c r="AF239" s="195"/>
      <c r="AG239" s="108">
        <f t="shared" si="38"/>
        <v>0</v>
      </c>
      <c r="AH239" s="442"/>
    </row>
    <row r="240" spans="1:34" ht="24" hidden="1" thickBot="1" x14ac:dyDescent="0.3">
      <c r="A240" s="198" t="s">
        <v>148</v>
      </c>
      <c r="B240" s="199">
        <f>SUM(B241:B246)</f>
        <v>0</v>
      </c>
      <c r="C240" s="199">
        <f t="shared" ref="C240:AF240" si="40">SUM(C241:C246)</f>
        <v>0</v>
      </c>
      <c r="D240" s="199">
        <f t="shared" si="40"/>
        <v>0</v>
      </c>
      <c r="E240" s="199">
        <f t="shared" si="40"/>
        <v>0</v>
      </c>
      <c r="F240" s="199">
        <f t="shared" si="40"/>
        <v>0</v>
      </c>
      <c r="G240" s="199">
        <f t="shared" si="40"/>
        <v>0</v>
      </c>
      <c r="H240" s="199">
        <f t="shared" si="40"/>
        <v>0</v>
      </c>
      <c r="I240" s="199">
        <f t="shared" si="40"/>
        <v>0</v>
      </c>
      <c r="J240" s="199">
        <f t="shared" si="40"/>
        <v>0</v>
      </c>
      <c r="K240" s="199">
        <f t="shared" si="40"/>
        <v>0</v>
      </c>
      <c r="L240" s="199">
        <f t="shared" si="40"/>
        <v>0</v>
      </c>
      <c r="M240" s="199">
        <f t="shared" si="40"/>
        <v>0</v>
      </c>
      <c r="N240" s="199">
        <f t="shared" si="40"/>
        <v>0</v>
      </c>
      <c r="O240" s="199">
        <f t="shared" si="40"/>
        <v>0</v>
      </c>
      <c r="P240" s="199">
        <f t="shared" si="40"/>
        <v>0</v>
      </c>
      <c r="Q240" s="199">
        <f t="shared" si="40"/>
        <v>0</v>
      </c>
      <c r="R240" s="199">
        <f t="shared" si="40"/>
        <v>0</v>
      </c>
      <c r="S240" s="199">
        <f t="shared" si="40"/>
        <v>0</v>
      </c>
      <c r="T240" s="199">
        <f t="shared" si="40"/>
        <v>0</v>
      </c>
      <c r="U240" s="199">
        <f t="shared" si="40"/>
        <v>0</v>
      </c>
      <c r="V240" s="199">
        <f t="shared" si="40"/>
        <v>0</v>
      </c>
      <c r="W240" s="199">
        <f t="shared" si="40"/>
        <v>0</v>
      </c>
      <c r="X240" s="199">
        <f t="shared" si="40"/>
        <v>0</v>
      </c>
      <c r="Y240" s="199">
        <f t="shared" si="40"/>
        <v>0</v>
      </c>
      <c r="Z240" s="199">
        <f t="shared" si="40"/>
        <v>0</v>
      </c>
      <c r="AA240" s="199">
        <f t="shared" si="40"/>
        <v>0</v>
      </c>
      <c r="AB240" s="199">
        <f t="shared" si="40"/>
        <v>0</v>
      </c>
      <c r="AC240" s="199">
        <f t="shared" si="40"/>
        <v>0</v>
      </c>
      <c r="AD240" s="199">
        <f t="shared" si="40"/>
        <v>0</v>
      </c>
      <c r="AE240" s="199">
        <f t="shared" si="40"/>
        <v>0</v>
      </c>
      <c r="AF240" s="200">
        <f t="shared" si="40"/>
        <v>0</v>
      </c>
      <c r="AG240" s="201">
        <f t="shared" si="38"/>
        <v>0</v>
      </c>
    </row>
    <row r="241" spans="1:33" ht="38.25" hidden="1" customHeight="1" x14ac:dyDescent="0.3">
      <c r="A241" s="227" t="s">
        <v>159</v>
      </c>
      <c r="B241" s="189"/>
      <c r="C241" s="189"/>
      <c r="D241" s="189"/>
      <c r="E241" s="189"/>
      <c r="F241" s="189"/>
      <c r="G241" s="189"/>
      <c r="H241" s="189"/>
      <c r="I241" s="189"/>
      <c r="J241" s="189"/>
      <c r="K241" s="189"/>
      <c r="L241" s="189"/>
      <c r="M241" s="189"/>
      <c r="N241" s="189"/>
      <c r="O241" s="189"/>
      <c r="P241" s="189"/>
      <c r="Q241" s="189"/>
      <c r="R241" s="189"/>
      <c r="S241" s="189"/>
      <c r="T241" s="189"/>
      <c r="U241" s="189"/>
      <c r="V241" s="189"/>
      <c r="W241" s="189"/>
      <c r="X241" s="189"/>
      <c r="Y241" s="189"/>
      <c r="Z241" s="189"/>
      <c r="AA241" s="189"/>
      <c r="AB241" s="189"/>
      <c r="AC241" s="189"/>
      <c r="AD241" s="189"/>
      <c r="AE241" s="189"/>
      <c r="AF241" s="196"/>
      <c r="AG241" s="197">
        <f t="shared" si="38"/>
        <v>0</v>
      </c>
    </row>
    <row r="242" spans="1:33" ht="40.5" hidden="1" customHeight="1" x14ac:dyDescent="0.3">
      <c r="A242" s="227" t="s">
        <v>160</v>
      </c>
      <c r="B242" s="189"/>
      <c r="C242" s="189"/>
      <c r="D242" s="189"/>
      <c r="E242" s="189"/>
      <c r="F242" s="189"/>
      <c r="G242" s="189"/>
      <c r="H242" s="189"/>
      <c r="I242" s="189"/>
      <c r="J242" s="189"/>
      <c r="K242" s="189"/>
      <c r="L242" s="189"/>
      <c r="M242" s="189"/>
      <c r="N242" s="189"/>
      <c r="O242" s="189"/>
      <c r="P242" s="189"/>
      <c r="Q242" s="189"/>
      <c r="R242" s="189"/>
      <c r="S242" s="189"/>
      <c r="T242" s="189"/>
      <c r="U242" s="189"/>
      <c r="V242" s="189"/>
      <c r="W242" s="189"/>
      <c r="X242" s="189"/>
      <c r="Y242" s="189"/>
      <c r="Z242" s="189"/>
      <c r="AA242" s="189"/>
      <c r="AB242" s="189"/>
      <c r="AC242" s="189"/>
      <c r="AD242" s="189"/>
      <c r="AE242" s="189"/>
      <c r="AF242" s="196"/>
      <c r="AG242" s="197"/>
    </row>
    <row r="243" spans="1:33" ht="40.5" hidden="1" customHeight="1" x14ac:dyDescent="0.3">
      <c r="A243" s="227" t="s">
        <v>161</v>
      </c>
      <c r="B243" s="189"/>
      <c r="C243" s="189"/>
      <c r="D243" s="189"/>
      <c r="E243" s="189"/>
      <c r="F243" s="189"/>
      <c r="G243" s="189"/>
      <c r="H243" s="189"/>
      <c r="I243" s="189"/>
      <c r="J243" s="189"/>
      <c r="K243" s="189"/>
      <c r="L243" s="189"/>
      <c r="M243" s="189"/>
      <c r="N243" s="189"/>
      <c r="O243" s="189"/>
      <c r="P243" s="189"/>
      <c r="Q243" s="189"/>
      <c r="R243" s="189"/>
      <c r="S243" s="189"/>
      <c r="T243" s="189"/>
      <c r="U243" s="189"/>
      <c r="V243" s="189"/>
      <c r="W243" s="189"/>
      <c r="X243" s="189"/>
      <c r="Y243" s="189"/>
      <c r="Z243" s="189"/>
      <c r="AA243" s="189"/>
      <c r="AB243" s="189"/>
      <c r="AC243" s="189"/>
      <c r="AD243" s="189"/>
      <c r="AE243" s="189"/>
      <c r="AF243" s="196"/>
      <c r="AG243" s="197"/>
    </row>
    <row r="244" spans="1:33" ht="40.5" hidden="1" customHeight="1" x14ac:dyDescent="0.3">
      <c r="A244" s="227" t="s">
        <v>162</v>
      </c>
      <c r="B244" s="189"/>
      <c r="C244" s="189"/>
      <c r="D244" s="189"/>
      <c r="E244" s="189"/>
      <c r="F244" s="189"/>
      <c r="G244" s="189"/>
      <c r="H244" s="189"/>
      <c r="I244" s="189"/>
      <c r="J244" s="189"/>
      <c r="K244" s="189"/>
      <c r="L244" s="189"/>
      <c r="M244" s="189"/>
      <c r="N244" s="189"/>
      <c r="O244" s="189"/>
      <c r="P244" s="189"/>
      <c r="Q244" s="189"/>
      <c r="R244" s="189"/>
      <c r="S244" s="189"/>
      <c r="T244" s="189"/>
      <c r="U244" s="189"/>
      <c r="V244" s="189"/>
      <c r="W244" s="189"/>
      <c r="X244" s="189"/>
      <c r="Y244" s="189"/>
      <c r="Z244" s="189"/>
      <c r="AA244" s="189"/>
      <c r="AB244" s="189"/>
      <c r="AC244" s="189"/>
      <c r="AD244" s="189"/>
      <c r="AE244" s="189"/>
      <c r="AF244" s="196"/>
      <c r="AG244" s="197"/>
    </row>
    <row r="245" spans="1:33" ht="40.5" hidden="1" customHeight="1" x14ac:dyDescent="0.3">
      <c r="A245" s="228" t="s">
        <v>163</v>
      </c>
      <c r="B245" s="137"/>
      <c r="C245" s="137"/>
      <c r="D245" s="137"/>
      <c r="E245" s="137"/>
      <c r="F245" s="137"/>
      <c r="G245" s="137"/>
      <c r="H245" s="137"/>
      <c r="I245" s="137"/>
      <c r="J245" s="137"/>
      <c r="K245" s="137"/>
      <c r="L245" s="137"/>
      <c r="M245" s="137"/>
      <c r="N245" s="137"/>
      <c r="O245" s="137"/>
      <c r="P245" s="137"/>
      <c r="Q245" s="137"/>
      <c r="R245" s="137"/>
      <c r="S245" s="137"/>
      <c r="T245" s="137"/>
      <c r="U245" s="137"/>
      <c r="V245" s="137"/>
      <c r="W245" s="137"/>
      <c r="X245" s="137"/>
      <c r="Y245" s="137"/>
      <c r="Z245" s="137"/>
      <c r="AA245" s="137"/>
      <c r="AB245" s="137"/>
      <c r="AC245" s="137"/>
      <c r="AD245" s="137"/>
      <c r="AE245" s="137"/>
      <c r="AF245" s="188"/>
      <c r="AG245" s="138">
        <f t="shared" si="38"/>
        <v>0</v>
      </c>
    </row>
    <row r="246" spans="1:33" ht="39.75" hidden="1" customHeight="1" thickBot="1" x14ac:dyDescent="0.3">
      <c r="A246" s="229" t="s">
        <v>164</v>
      </c>
      <c r="B246" s="222"/>
      <c r="C246" s="222"/>
      <c r="D246" s="222"/>
      <c r="E246" s="222"/>
      <c r="F246" s="222"/>
      <c r="G246" s="222"/>
      <c r="H246" s="222"/>
      <c r="I246" s="222"/>
      <c r="J246" s="222"/>
      <c r="K246" s="222"/>
      <c r="L246" s="222"/>
      <c r="M246" s="222"/>
      <c r="N246" s="222"/>
      <c r="O246" s="222"/>
      <c r="P246" s="222"/>
      <c r="Q246" s="222"/>
      <c r="R246" s="222"/>
      <c r="S246" s="222"/>
      <c r="T246" s="222"/>
      <c r="U246" s="222"/>
      <c r="V246" s="222"/>
      <c r="W246" s="222"/>
      <c r="X246" s="222"/>
      <c r="Y246" s="222"/>
      <c r="Z246" s="222"/>
      <c r="AA246" s="222"/>
      <c r="AB246" s="222"/>
      <c r="AC246" s="222"/>
      <c r="AD246" s="222"/>
      <c r="AE246" s="222"/>
      <c r="AF246" s="223"/>
      <c r="AG246" s="224">
        <f t="shared" si="38"/>
        <v>0</v>
      </c>
    </row>
    <row r="247" spans="1:33" ht="21.75" x14ac:dyDescent="0.25">
      <c r="A247" s="225" t="s">
        <v>151</v>
      </c>
      <c r="B247" s="363"/>
      <c r="C247" s="363"/>
      <c r="D247" s="363"/>
      <c r="E247" s="363"/>
      <c r="F247" s="363"/>
      <c r="G247" s="363"/>
      <c r="H247" s="363"/>
      <c r="I247" s="363"/>
      <c r="J247" s="363"/>
      <c r="K247" s="363"/>
      <c r="L247" s="363"/>
      <c r="M247" s="363"/>
      <c r="N247" s="363"/>
      <c r="O247" s="363"/>
      <c r="P247" s="363"/>
      <c r="Q247" s="363"/>
      <c r="R247" s="363"/>
      <c r="S247" s="363"/>
      <c r="T247" s="363"/>
      <c r="U247" s="363"/>
      <c r="V247" s="363"/>
      <c r="W247" s="363"/>
      <c r="X247" s="363"/>
      <c r="Y247" s="363"/>
      <c r="Z247" s="363"/>
      <c r="AA247" s="363"/>
      <c r="AB247" s="363"/>
      <c r="AC247" s="363"/>
      <c r="AD247" s="363"/>
      <c r="AE247" s="363"/>
      <c r="AF247" s="367"/>
      <c r="AG247" s="369">
        <f>SUM(B247:AF247)</f>
        <v>0</v>
      </c>
    </row>
    <row r="248" spans="1:33" ht="22.5" thickBot="1" x14ac:dyDescent="0.3">
      <c r="A248" s="226" t="s">
        <v>152</v>
      </c>
      <c r="B248" s="364"/>
      <c r="C248" s="364"/>
      <c r="D248" s="364"/>
      <c r="E248" s="364"/>
      <c r="F248" s="364"/>
      <c r="G248" s="364"/>
      <c r="H248" s="364"/>
      <c r="I248" s="364"/>
      <c r="J248" s="364"/>
      <c r="K248" s="364"/>
      <c r="L248" s="364"/>
      <c r="M248" s="364"/>
      <c r="N248" s="364"/>
      <c r="O248" s="364"/>
      <c r="P248" s="364"/>
      <c r="Q248" s="364"/>
      <c r="R248" s="364"/>
      <c r="S248" s="364"/>
      <c r="T248" s="364"/>
      <c r="U248" s="364"/>
      <c r="V248" s="364"/>
      <c r="W248" s="364"/>
      <c r="X248" s="364"/>
      <c r="Y248" s="364"/>
      <c r="Z248" s="364"/>
      <c r="AA248" s="364"/>
      <c r="AB248" s="364"/>
      <c r="AC248" s="364"/>
      <c r="AD248" s="364"/>
      <c r="AE248" s="364"/>
      <c r="AF248" s="368"/>
      <c r="AG248" s="370">
        <f>SUM(B248:AF248)</f>
        <v>0</v>
      </c>
    </row>
    <row r="268" ht="18.75" customHeight="1" x14ac:dyDescent="0.25"/>
    <row r="269" ht="18.75" customHeight="1" x14ac:dyDescent="0.25"/>
    <row r="270" ht="18.75" customHeight="1" x14ac:dyDescent="0.25"/>
    <row r="271" ht="18.75" customHeight="1" x14ac:dyDescent="0.25"/>
    <row r="272" ht="18.75" customHeight="1" x14ac:dyDescent="0.25"/>
    <row r="273" ht="18.75" customHeight="1" x14ac:dyDescent="0.25"/>
    <row r="274" ht="18.75" customHeight="1" x14ac:dyDescent="0.25"/>
    <row r="275" ht="18.75" customHeight="1" x14ac:dyDescent="0.25"/>
    <row r="276" ht="18.75" customHeight="1" x14ac:dyDescent="0.25"/>
    <row r="277" ht="18.75" customHeight="1" x14ac:dyDescent="0.25"/>
    <row r="278" ht="18.75" customHeight="1" x14ac:dyDescent="0.25"/>
    <row r="279" ht="19.5" customHeight="1" x14ac:dyDescent="0.25"/>
    <row r="281" ht="18.75" customHeight="1" x14ac:dyDescent="0.25"/>
    <row r="284" ht="18.75" customHeight="1" x14ac:dyDescent="0.25"/>
  </sheetData>
  <dataConsolidate/>
  <mergeCells count="5">
    <mergeCell ref="A1:AG1"/>
    <mergeCell ref="AI84:AI86"/>
    <mergeCell ref="AH220:AH231"/>
    <mergeCell ref="AH233:AH235"/>
    <mergeCell ref="AH236:AH239"/>
  </mergeCells>
  <conditionalFormatting sqref="B29:AF52">
    <cfRule type="cellIs" dxfId="71" priority="6" operator="lessThan">
      <formula>0</formula>
    </cfRule>
  </conditionalFormatting>
  <conditionalFormatting sqref="D54:D77">
    <cfRule type="cellIs" dxfId="70" priority="2" operator="lessThan">
      <formula>0</formula>
    </cfRule>
  </conditionalFormatting>
  <conditionalFormatting sqref="G54:G77">
    <cfRule type="cellIs" dxfId="69" priority="1" operator="lessThan">
      <formula>0</formula>
    </cfRule>
  </conditionalFormatting>
  <conditionalFormatting sqref="AH81">
    <cfRule type="cellIs" dxfId="68" priority="4" operator="equal">
      <formula>"*"</formula>
    </cfRule>
  </conditionalFormatting>
  <conditionalFormatting sqref="AH84 AH87">
    <cfRule type="cellIs" dxfId="67" priority="5" operator="equal">
      <formula>"*"</formula>
    </cfRule>
  </conditionalFormatting>
  <conditionalFormatting sqref="AH93">
    <cfRule type="cellIs" dxfId="66" priority="10" operator="equal">
      <formula>"*"</formula>
    </cfRule>
  </conditionalFormatting>
  <conditionalFormatting sqref="AH130">
    <cfRule type="cellIs" dxfId="65" priority="8" operator="equal">
      <formula>"*"</formula>
    </cfRule>
  </conditionalFormatting>
  <conditionalFormatting sqref="AH144:AH145">
    <cfRule type="cellIs" dxfId="64" priority="9" operator="equal">
      <formula>"*"</formula>
    </cfRule>
  </conditionalFormatting>
  <conditionalFormatting sqref="AH179">
    <cfRule type="cellIs" dxfId="63" priority="7" operator="equal">
      <formula>"*"</formula>
    </cfRule>
  </conditionalFormatting>
  <conditionalFormatting sqref="AH206">
    <cfRule type="cellIs" dxfId="62" priority="3" operator="equal">
      <formula>"X"</formula>
    </cfRule>
  </conditionalFormatting>
  <dataValidations disablePrompts="1" count="1">
    <dataValidation type="whole" allowBlank="1" showInputMessage="1" showErrorMessage="1" errorTitle="ERROR" error="Por favor ingrese solo Números" sqref="A98:A99 A101:A115" xr:uid="{00000000-0002-0000-0800-000000000000}">
      <formula1>0</formula1>
      <formula2>1000000000</formula2>
    </dataValidation>
  </dataValidations>
  <pageMargins left="0.7" right="0.7" top="0.75" bottom="0.75" header="0.3" footer="0.3"/>
  <pageSetup orientation="portrait" horizontalDpi="0" verticalDpi="0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I284"/>
  <sheetViews>
    <sheetView zoomScale="80" zoomScaleNormal="80" workbookViewId="0">
      <pane xSplit="1" ySplit="3" topLeftCell="G4" activePane="bottomRight" state="frozen"/>
      <selection pane="topRight" activeCell="B1" sqref="B1"/>
      <selection pane="bottomLeft" activeCell="A4" sqref="A4"/>
      <selection pane="bottomRight" activeCell="AF3" sqref="AF3"/>
    </sheetView>
  </sheetViews>
  <sheetFormatPr baseColWidth="10" defaultRowHeight="15" x14ac:dyDescent="0.25"/>
  <cols>
    <col min="1" max="1" width="34.7109375" customWidth="1"/>
    <col min="2" max="13" width="8.28515625" customWidth="1"/>
    <col min="14" max="14" width="10.140625" customWidth="1"/>
    <col min="15" max="27" width="8.28515625" customWidth="1"/>
    <col min="28" max="28" width="9.7109375" customWidth="1"/>
    <col min="29" max="32" width="8.28515625" customWidth="1"/>
    <col min="33" max="33" width="11.140625" customWidth="1"/>
    <col min="34" max="34" width="12.42578125" customWidth="1"/>
  </cols>
  <sheetData>
    <row r="1" spans="1:33" ht="21.75" thickBot="1" x14ac:dyDescent="0.3">
      <c r="A1" s="431"/>
      <c r="B1" s="432"/>
      <c r="C1" s="432"/>
      <c r="D1" s="432"/>
      <c r="E1" s="432"/>
      <c r="F1" s="432"/>
      <c r="G1" s="432"/>
      <c r="H1" s="432"/>
      <c r="I1" s="432"/>
      <c r="J1" s="432"/>
      <c r="K1" s="432"/>
      <c r="L1" s="432"/>
      <c r="M1" s="432"/>
      <c r="N1" s="432"/>
      <c r="O1" s="432"/>
      <c r="P1" s="432"/>
      <c r="Q1" s="432"/>
      <c r="R1" s="432"/>
      <c r="S1" s="432"/>
      <c r="T1" s="432"/>
      <c r="U1" s="432"/>
      <c r="V1" s="432"/>
      <c r="W1" s="432"/>
      <c r="X1" s="432"/>
      <c r="Y1" s="432"/>
      <c r="Z1" s="432"/>
      <c r="AA1" s="432"/>
      <c r="AB1" s="432"/>
      <c r="AC1" s="432"/>
      <c r="AD1" s="432"/>
      <c r="AE1" s="432"/>
      <c r="AF1" s="432"/>
      <c r="AG1" s="433"/>
    </row>
    <row r="2" spans="1:33" ht="21.75" thickBot="1" x14ac:dyDescent="0.3">
      <c r="A2" s="82" t="s">
        <v>121</v>
      </c>
      <c r="B2" s="230">
        <v>1</v>
      </c>
      <c r="C2" s="230">
        <f t="shared" ref="C2:AA2" si="0">+B2+1</f>
        <v>2</v>
      </c>
      <c r="D2" s="230">
        <f t="shared" si="0"/>
        <v>3</v>
      </c>
      <c r="E2" s="230">
        <f t="shared" si="0"/>
        <v>4</v>
      </c>
      <c r="F2" s="230">
        <f t="shared" si="0"/>
        <v>5</v>
      </c>
      <c r="G2" s="230">
        <f t="shared" si="0"/>
        <v>6</v>
      </c>
      <c r="H2" s="230">
        <f t="shared" si="0"/>
        <v>7</v>
      </c>
      <c r="I2" s="230">
        <f t="shared" si="0"/>
        <v>8</v>
      </c>
      <c r="J2" s="230">
        <f t="shared" si="0"/>
        <v>9</v>
      </c>
      <c r="K2" s="230">
        <f t="shared" si="0"/>
        <v>10</v>
      </c>
      <c r="L2" s="230">
        <f t="shared" si="0"/>
        <v>11</v>
      </c>
      <c r="M2" s="230">
        <f t="shared" si="0"/>
        <v>12</v>
      </c>
      <c r="N2" s="230">
        <f t="shared" si="0"/>
        <v>13</v>
      </c>
      <c r="O2" s="230">
        <f t="shared" si="0"/>
        <v>14</v>
      </c>
      <c r="P2" s="230">
        <f t="shared" si="0"/>
        <v>15</v>
      </c>
      <c r="Q2" s="230">
        <f t="shared" si="0"/>
        <v>16</v>
      </c>
      <c r="R2" s="230">
        <f t="shared" si="0"/>
        <v>17</v>
      </c>
      <c r="S2" s="230">
        <f t="shared" si="0"/>
        <v>18</v>
      </c>
      <c r="T2" s="230">
        <f t="shared" si="0"/>
        <v>19</v>
      </c>
      <c r="U2" s="230">
        <f t="shared" si="0"/>
        <v>20</v>
      </c>
      <c r="V2" s="230">
        <f t="shared" si="0"/>
        <v>21</v>
      </c>
      <c r="W2" s="230">
        <f t="shared" si="0"/>
        <v>22</v>
      </c>
      <c r="X2" s="230">
        <f t="shared" si="0"/>
        <v>23</v>
      </c>
      <c r="Y2" s="230">
        <f t="shared" si="0"/>
        <v>24</v>
      </c>
      <c r="Z2" s="230">
        <f t="shared" si="0"/>
        <v>25</v>
      </c>
      <c r="AA2" s="230">
        <f t="shared" si="0"/>
        <v>26</v>
      </c>
      <c r="AB2" s="230">
        <v>27</v>
      </c>
      <c r="AC2" s="230">
        <f>+AB2+1</f>
        <v>28</v>
      </c>
      <c r="AD2" s="230">
        <v>29</v>
      </c>
      <c r="AE2" s="230">
        <v>30</v>
      </c>
      <c r="AF2" s="230">
        <v>31</v>
      </c>
      <c r="AG2" s="3" t="s">
        <v>80</v>
      </c>
    </row>
    <row r="3" spans="1:33" ht="19.5" thickBot="1" x14ac:dyDescent="0.3">
      <c r="A3" s="136" t="s">
        <v>0</v>
      </c>
      <c r="B3" s="135">
        <f t="shared" ref="B3:AF3" si="1">SUM(B4:B27)</f>
        <v>89</v>
      </c>
      <c r="C3" s="135">
        <f t="shared" si="1"/>
        <v>101</v>
      </c>
      <c r="D3" s="135">
        <f t="shared" si="1"/>
        <v>91</v>
      </c>
      <c r="E3" s="135">
        <f t="shared" si="1"/>
        <v>101</v>
      </c>
      <c r="F3" s="135">
        <f t="shared" si="1"/>
        <v>93</v>
      </c>
      <c r="G3" s="135">
        <f t="shared" si="1"/>
        <v>146</v>
      </c>
      <c r="H3" s="135">
        <f t="shared" si="1"/>
        <v>117</v>
      </c>
      <c r="I3" s="135">
        <f t="shared" si="1"/>
        <v>121</v>
      </c>
      <c r="J3" s="135">
        <f t="shared" si="1"/>
        <v>86</v>
      </c>
      <c r="K3" s="135">
        <f t="shared" si="1"/>
        <v>138</v>
      </c>
      <c r="L3" s="135">
        <f t="shared" si="1"/>
        <v>82</v>
      </c>
      <c r="M3" s="135">
        <f t="shared" si="1"/>
        <v>82</v>
      </c>
      <c r="N3" s="135">
        <f t="shared" si="1"/>
        <v>111</v>
      </c>
      <c r="O3" s="135">
        <f t="shared" si="1"/>
        <v>121</v>
      </c>
      <c r="P3" s="135">
        <f t="shared" si="1"/>
        <v>125</v>
      </c>
      <c r="Q3" s="135">
        <f t="shared" si="1"/>
        <v>85</v>
      </c>
      <c r="R3" s="135">
        <f t="shared" si="1"/>
        <v>121</v>
      </c>
      <c r="S3" s="135">
        <f t="shared" si="1"/>
        <v>103</v>
      </c>
      <c r="T3" s="135">
        <f t="shared" si="1"/>
        <v>89</v>
      </c>
      <c r="U3" s="135">
        <f t="shared" si="1"/>
        <v>133</v>
      </c>
      <c r="V3" s="135">
        <f t="shared" si="1"/>
        <v>121</v>
      </c>
      <c r="W3" s="135">
        <f t="shared" si="1"/>
        <v>129</v>
      </c>
      <c r="X3" s="135">
        <f t="shared" si="1"/>
        <v>115</v>
      </c>
      <c r="Y3" s="135">
        <f t="shared" si="1"/>
        <v>115</v>
      </c>
      <c r="Z3" s="135">
        <f t="shared" si="1"/>
        <v>90</v>
      </c>
      <c r="AA3" s="135">
        <f t="shared" si="1"/>
        <v>69</v>
      </c>
      <c r="AB3" s="135">
        <f t="shared" si="1"/>
        <v>142</v>
      </c>
      <c r="AC3" s="135">
        <f t="shared" si="1"/>
        <v>109</v>
      </c>
      <c r="AD3" s="135">
        <f t="shared" si="1"/>
        <v>83</v>
      </c>
      <c r="AE3" s="135">
        <f t="shared" si="1"/>
        <v>90</v>
      </c>
      <c r="AF3" s="135">
        <f t="shared" si="1"/>
        <v>81</v>
      </c>
      <c r="AG3" s="187">
        <f>SUM(B3:AF3)</f>
        <v>3279</v>
      </c>
    </row>
    <row r="4" spans="1:33" ht="18.75" x14ac:dyDescent="0.25">
      <c r="A4" s="113" t="s">
        <v>54</v>
      </c>
      <c r="B4" s="114">
        <v>3</v>
      </c>
      <c r="C4" s="114">
        <v>3</v>
      </c>
      <c r="D4" s="114">
        <v>8</v>
      </c>
      <c r="E4" s="114">
        <v>5</v>
      </c>
      <c r="F4" s="114">
        <v>1</v>
      </c>
      <c r="G4" s="114">
        <v>16</v>
      </c>
      <c r="H4" s="114">
        <v>5</v>
      </c>
      <c r="I4" s="114">
        <v>5</v>
      </c>
      <c r="J4" s="114">
        <v>4</v>
      </c>
      <c r="K4" s="114">
        <v>1</v>
      </c>
      <c r="L4" s="114">
        <v>1</v>
      </c>
      <c r="M4" s="114">
        <v>3</v>
      </c>
      <c r="N4" s="114">
        <v>11</v>
      </c>
      <c r="O4" s="114">
        <v>4</v>
      </c>
      <c r="P4" s="114">
        <v>11</v>
      </c>
      <c r="Q4" s="114"/>
      <c r="R4" s="114">
        <v>10</v>
      </c>
      <c r="S4" s="114">
        <v>1</v>
      </c>
      <c r="T4" s="114">
        <v>5</v>
      </c>
      <c r="U4" s="114">
        <v>6</v>
      </c>
      <c r="V4" s="114">
        <v>6</v>
      </c>
      <c r="W4" s="114">
        <v>9</v>
      </c>
      <c r="X4" s="114">
        <v>8</v>
      </c>
      <c r="Y4" s="114">
        <v>5</v>
      </c>
      <c r="Z4" s="114">
        <v>2</v>
      </c>
      <c r="AA4" s="114">
        <v>1</v>
      </c>
      <c r="AB4" s="114">
        <v>14</v>
      </c>
      <c r="AC4" s="114">
        <v>3</v>
      </c>
      <c r="AD4" s="114">
        <v>5</v>
      </c>
      <c r="AE4" s="114">
        <v>6</v>
      </c>
      <c r="AF4" s="115">
        <v>3</v>
      </c>
      <c r="AG4" s="132">
        <f t="shared" ref="AG4:AG83" si="2">SUM(B4:AF4)</f>
        <v>165</v>
      </c>
    </row>
    <row r="5" spans="1:33" ht="18.75" x14ac:dyDescent="0.25">
      <c r="A5" s="41" t="s">
        <v>55</v>
      </c>
      <c r="B5" s="7">
        <v>5</v>
      </c>
      <c r="C5" s="7">
        <v>7</v>
      </c>
      <c r="D5" s="7">
        <v>6</v>
      </c>
      <c r="E5" s="7">
        <v>3</v>
      </c>
      <c r="F5" s="7">
        <v>1</v>
      </c>
      <c r="G5" s="7">
        <v>9</v>
      </c>
      <c r="H5" s="7">
        <v>6</v>
      </c>
      <c r="I5" s="7">
        <v>14</v>
      </c>
      <c r="J5" s="7">
        <v>9</v>
      </c>
      <c r="K5" s="7">
        <v>7</v>
      </c>
      <c r="L5" s="7">
        <v>6</v>
      </c>
      <c r="M5" s="7">
        <v>4</v>
      </c>
      <c r="N5" s="7">
        <v>7</v>
      </c>
      <c r="O5" s="7">
        <v>4</v>
      </c>
      <c r="P5" s="7">
        <v>3</v>
      </c>
      <c r="Q5" s="7">
        <v>6</v>
      </c>
      <c r="R5" s="7">
        <v>1</v>
      </c>
      <c r="S5" s="7">
        <v>7</v>
      </c>
      <c r="T5" s="7">
        <v>1</v>
      </c>
      <c r="U5" s="7">
        <v>2</v>
      </c>
      <c r="V5" s="7">
        <v>10</v>
      </c>
      <c r="W5" s="7">
        <v>11</v>
      </c>
      <c r="X5" s="7">
        <v>7</v>
      </c>
      <c r="Y5" s="7">
        <v>14</v>
      </c>
      <c r="Z5" s="7">
        <v>5</v>
      </c>
      <c r="AA5" s="7"/>
      <c r="AB5" s="7">
        <v>8</v>
      </c>
      <c r="AC5" s="7">
        <v>9</v>
      </c>
      <c r="AD5" s="7">
        <v>7</v>
      </c>
      <c r="AE5" s="7">
        <v>6</v>
      </c>
      <c r="AF5" s="8">
        <v>5</v>
      </c>
      <c r="AG5" s="4">
        <f t="shared" si="2"/>
        <v>190</v>
      </c>
    </row>
    <row r="6" spans="1:33" ht="18.75" x14ac:dyDescent="0.25">
      <c r="A6" s="41" t="s">
        <v>56</v>
      </c>
      <c r="B6" s="7">
        <v>4</v>
      </c>
      <c r="C6" s="7">
        <v>7</v>
      </c>
      <c r="D6" s="7">
        <v>4</v>
      </c>
      <c r="E6" s="7">
        <v>3</v>
      </c>
      <c r="F6" s="7">
        <v>2</v>
      </c>
      <c r="G6" s="7">
        <v>22</v>
      </c>
      <c r="H6" s="7">
        <v>5</v>
      </c>
      <c r="I6" s="7">
        <v>5</v>
      </c>
      <c r="J6" s="7">
        <v>8</v>
      </c>
      <c r="K6" s="7">
        <v>10</v>
      </c>
      <c r="L6" s="7">
        <v>5</v>
      </c>
      <c r="M6" s="7">
        <v>3</v>
      </c>
      <c r="N6" s="7">
        <v>6</v>
      </c>
      <c r="O6" s="7">
        <v>7</v>
      </c>
      <c r="P6" s="7">
        <v>8</v>
      </c>
      <c r="Q6" s="7">
        <v>7</v>
      </c>
      <c r="R6" s="7">
        <v>6</v>
      </c>
      <c r="S6" s="7">
        <v>10</v>
      </c>
      <c r="T6" s="7">
        <v>4</v>
      </c>
      <c r="U6" s="7">
        <v>14</v>
      </c>
      <c r="V6" s="7">
        <v>6</v>
      </c>
      <c r="W6" s="7">
        <v>9</v>
      </c>
      <c r="X6" s="7">
        <v>10</v>
      </c>
      <c r="Y6" s="7">
        <v>5</v>
      </c>
      <c r="Z6" s="7">
        <v>6</v>
      </c>
      <c r="AA6" s="7">
        <v>6</v>
      </c>
      <c r="AB6" s="7">
        <v>5</v>
      </c>
      <c r="AC6" s="7">
        <v>8</v>
      </c>
      <c r="AD6" s="7">
        <v>6</v>
      </c>
      <c r="AE6" s="7">
        <v>7</v>
      </c>
      <c r="AF6" s="8">
        <v>6</v>
      </c>
      <c r="AG6" s="4">
        <f t="shared" si="2"/>
        <v>214</v>
      </c>
    </row>
    <row r="7" spans="1:33" ht="18.75" x14ac:dyDescent="0.25">
      <c r="A7" s="41" t="s">
        <v>38</v>
      </c>
      <c r="B7" s="7">
        <v>3</v>
      </c>
      <c r="C7" s="7">
        <v>5</v>
      </c>
      <c r="D7" s="7">
        <v>5</v>
      </c>
      <c r="E7" s="7">
        <v>6</v>
      </c>
      <c r="F7" s="7">
        <v>8</v>
      </c>
      <c r="G7" s="7">
        <v>11</v>
      </c>
      <c r="H7" s="7">
        <v>11</v>
      </c>
      <c r="I7" s="7">
        <v>11</v>
      </c>
      <c r="J7" s="7">
        <v>2</v>
      </c>
      <c r="K7" s="7">
        <v>4</v>
      </c>
      <c r="L7" s="7">
        <v>4</v>
      </c>
      <c r="M7" s="7">
        <v>7</v>
      </c>
      <c r="N7" s="7">
        <v>8</v>
      </c>
      <c r="O7" s="7">
        <v>6</v>
      </c>
      <c r="P7" s="7">
        <v>9</v>
      </c>
      <c r="Q7" s="7">
        <v>7</v>
      </c>
      <c r="R7" s="7">
        <v>4</v>
      </c>
      <c r="S7" s="7">
        <v>5</v>
      </c>
      <c r="T7" s="7">
        <v>4</v>
      </c>
      <c r="U7" s="7">
        <v>11</v>
      </c>
      <c r="V7" s="7">
        <v>10</v>
      </c>
      <c r="W7" s="7">
        <v>9</v>
      </c>
      <c r="X7" s="7">
        <v>10</v>
      </c>
      <c r="Y7" s="7">
        <v>6</v>
      </c>
      <c r="Z7" s="7">
        <v>8</v>
      </c>
      <c r="AA7" s="7">
        <v>5</v>
      </c>
      <c r="AB7" s="7">
        <v>12</v>
      </c>
      <c r="AC7" s="7">
        <v>6</v>
      </c>
      <c r="AD7" s="7">
        <v>3</v>
      </c>
      <c r="AE7" s="7">
        <v>3</v>
      </c>
      <c r="AF7" s="8">
        <v>4</v>
      </c>
      <c r="AG7" s="4">
        <f t="shared" si="2"/>
        <v>207</v>
      </c>
    </row>
    <row r="8" spans="1:33" ht="18.75" x14ac:dyDescent="0.25">
      <c r="A8" s="41" t="s">
        <v>39</v>
      </c>
      <c r="B8" s="7">
        <v>4</v>
      </c>
      <c r="C8" s="7">
        <v>6</v>
      </c>
      <c r="D8" s="7">
        <v>5</v>
      </c>
      <c r="E8" s="7">
        <v>7</v>
      </c>
      <c r="F8" s="7">
        <v>5</v>
      </c>
      <c r="G8" s="7">
        <v>10</v>
      </c>
      <c r="H8" s="7">
        <v>12</v>
      </c>
      <c r="I8" s="7">
        <v>7</v>
      </c>
      <c r="J8" s="7">
        <v>6</v>
      </c>
      <c r="K8" s="7">
        <v>7</v>
      </c>
      <c r="L8" s="7">
        <v>5</v>
      </c>
      <c r="M8" s="7">
        <v>10</v>
      </c>
      <c r="N8" s="7">
        <v>4</v>
      </c>
      <c r="O8" s="7">
        <v>3</v>
      </c>
      <c r="P8" s="7">
        <v>14</v>
      </c>
      <c r="Q8" s="7">
        <v>2</v>
      </c>
      <c r="R8" s="7">
        <v>4</v>
      </c>
      <c r="S8" s="7">
        <v>4</v>
      </c>
      <c r="T8" s="7">
        <v>4</v>
      </c>
      <c r="U8" s="7">
        <v>18</v>
      </c>
      <c r="V8" s="7">
        <v>14</v>
      </c>
      <c r="W8" s="7">
        <v>5</v>
      </c>
      <c r="X8" s="7">
        <v>9</v>
      </c>
      <c r="Y8" s="7">
        <v>5</v>
      </c>
      <c r="Z8" s="7">
        <v>10</v>
      </c>
      <c r="AA8" s="7">
        <v>5</v>
      </c>
      <c r="AB8" s="7">
        <v>10</v>
      </c>
      <c r="AC8" s="7">
        <v>9</v>
      </c>
      <c r="AD8" s="7">
        <v>1</v>
      </c>
      <c r="AE8" s="7">
        <v>4</v>
      </c>
      <c r="AF8" s="8">
        <v>7</v>
      </c>
      <c r="AG8" s="4">
        <f t="shared" si="2"/>
        <v>216</v>
      </c>
    </row>
    <row r="9" spans="1:33" ht="18.75" x14ac:dyDescent="0.25">
      <c r="A9" s="41" t="s">
        <v>40</v>
      </c>
      <c r="B9" s="7">
        <v>3</v>
      </c>
      <c r="C9" s="7">
        <v>5</v>
      </c>
      <c r="D9" s="7">
        <v>4</v>
      </c>
      <c r="E9" s="7">
        <v>6</v>
      </c>
      <c r="F9" s="7">
        <v>7</v>
      </c>
      <c r="G9" s="7">
        <v>5</v>
      </c>
      <c r="H9" s="7">
        <v>8</v>
      </c>
      <c r="I9" s="7">
        <v>12</v>
      </c>
      <c r="J9" s="7">
        <v>2</v>
      </c>
      <c r="K9" s="7">
        <v>5</v>
      </c>
      <c r="L9" s="7">
        <v>5</v>
      </c>
      <c r="M9" s="7">
        <v>8</v>
      </c>
      <c r="N9" s="7">
        <v>4</v>
      </c>
      <c r="O9" s="7">
        <v>3</v>
      </c>
      <c r="P9" s="7">
        <v>15</v>
      </c>
      <c r="Q9" s="7">
        <v>3</v>
      </c>
      <c r="R9" s="7">
        <v>6</v>
      </c>
      <c r="S9" s="7">
        <v>1</v>
      </c>
      <c r="T9" s="7">
        <v>6</v>
      </c>
      <c r="U9" s="7">
        <v>6</v>
      </c>
      <c r="V9" s="7">
        <v>4</v>
      </c>
      <c r="W9" s="7">
        <v>5</v>
      </c>
      <c r="X9" s="7">
        <v>5</v>
      </c>
      <c r="Y9" s="7">
        <v>7</v>
      </c>
      <c r="Z9" s="7">
        <v>9</v>
      </c>
      <c r="AA9" s="7">
        <v>3</v>
      </c>
      <c r="AB9" s="7">
        <v>9</v>
      </c>
      <c r="AC9" s="7">
        <v>9</v>
      </c>
      <c r="AD9" s="7">
        <v>5</v>
      </c>
      <c r="AE9" s="7">
        <v>2</v>
      </c>
      <c r="AF9" s="8">
        <v>3</v>
      </c>
      <c r="AG9" s="4">
        <f t="shared" si="2"/>
        <v>175</v>
      </c>
    </row>
    <row r="10" spans="1:33" ht="18.75" x14ac:dyDescent="0.25">
      <c r="A10" s="41" t="s">
        <v>41</v>
      </c>
      <c r="B10" s="7">
        <v>2</v>
      </c>
      <c r="C10" s="7">
        <v>7</v>
      </c>
      <c r="D10" s="7">
        <v>6</v>
      </c>
      <c r="E10" s="7">
        <v>11</v>
      </c>
      <c r="F10" s="7">
        <v>9</v>
      </c>
      <c r="G10" s="7">
        <v>16</v>
      </c>
      <c r="H10" s="7">
        <v>6</v>
      </c>
      <c r="I10" s="7">
        <v>5</v>
      </c>
      <c r="J10" s="7">
        <v>3</v>
      </c>
      <c r="K10" s="7">
        <v>2</v>
      </c>
      <c r="L10" s="7">
        <v>3</v>
      </c>
      <c r="M10" s="7">
        <v>9</v>
      </c>
      <c r="N10" s="7">
        <v>6</v>
      </c>
      <c r="O10" s="7">
        <v>7</v>
      </c>
      <c r="P10" s="7">
        <v>7</v>
      </c>
      <c r="Q10" s="7">
        <v>8</v>
      </c>
      <c r="R10" s="7">
        <v>6</v>
      </c>
      <c r="S10" s="7">
        <v>13</v>
      </c>
      <c r="T10" s="7">
        <v>4</v>
      </c>
      <c r="U10" s="7">
        <v>15</v>
      </c>
      <c r="V10" s="7">
        <v>17</v>
      </c>
      <c r="W10" s="7">
        <v>15</v>
      </c>
      <c r="X10" s="7">
        <v>7</v>
      </c>
      <c r="Y10" s="7">
        <v>12</v>
      </c>
      <c r="Z10" s="7">
        <v>5</v>
      </c>
      <c r="AA10" s="7">
        <v>4</v>
      </c>
      <c r="AB10" s="7">
        <v>8</v>
      </c>
      <c r="AC10" s="7">
        <v>4</v>
      </c>
      <c r="AD10" s="7">
        <v>5</v>
      </c>
      <c r="AE10" s="7">
        <v>7</v>
      </c>
      <c r="AF10" s="8">
        <v>6</v>
      </c>
      <c r="AG10" s="4">
        <f t="shared" si="2"/>
        <v>235</v>
      </c>
    </row>
    <row r="11" spans="1:33" ht="18.75" x14ac:dyDescent="0.25">
      <c r="A11" s="41" t="s">
        <v>42</v>
      </c>
      <c r="B11" s="7">
        <v>8</v>
      </c>
      <c r="C11" s="7">
        <v>10</v>
      </c>
      <c r="D11" s="7">
        <v>6</v>
      </c>
      <c r="E11" s="7">
        <v>6</v>
      </c>
      <c r="F11" s="7">
        <v>11</v>
      </c>
      <c r="G11" s="7">
        <v>8</v>
      </c>
      <c r="H11" s="7">
        <v>9</v>
      </c>
      <c r="I11" s="7">
        <v>3</v>
      </c>
      <c r="J11" s="7">
        <v>7</v>
      </c>
      <c r="K11" s="7">
        <v>12</v>
      </c>
      <c r="L11" s="7">
        <v>4</v>
      </c>
      <c r="M11" s="7">
        <v>7</v>
      </c>
      <c r="N11" s="7">
        <v>6</v>
      </c>
      <c r="O11" s="7">
        <v>5</v>
      </c>
      <c r="P11" s="7">
        <v>6</v>
      </c>
      <c r="Q11" s="7">
        <v>1</v>
      </c>
      <c r="R11" s="7">
        <v>15</v>
      </c>
      <c r="S11" s="7">
        <v>8</v>
      </c>
      <c r="T11" s="7">
        <v>6</v>
      </c>
      <c r="U11" s="7">
        <v>5</v>
      </c>
      <c r="V11" s="7">
        <v>8</v>
      </c>
      <c r="W11" s="7">
        <v>14</v>
      </c>
      <c r="X11" s="7">
        <v>7</v>
      </c>
      <c r="Y11" s="7">
        <v>8</v>
      </c>
      <c r="Z11" s="7">
        <v>11</v>
      </c>
      <c r="AA11" s="7">
        <v>6</v>
      </c>
      <c r="AB11" s="7">
        <v>8</v>
      </c>
      <c r="AC11" s="7">
        <v>5</v>
      </c>
      <c r="AD11" s="7">
        <v>3</v>
      </c>
      <c r="AE11" s="7">
        <v>6</v>
      </c>
      <c r="AF11" s="8">
        <v>8</v>
      </c>
      <c r="AG11" s="4">
        <f t="shared" si="2"/>
        <v>227</v>
      </c>
    </row>
    <row r="12" spans="1:33" ht="18.75" x14ac:dyDescent="0.25">
      <c r="A12" s="41" t="s">
        <v>43</v>
      </c>
      <c r="B12" s="7">
        <v>12</v>
      </c>
      <c r="C12" s="7">
        <v>12</v>
      </c>
      <c r="D12" s="7">
        <v>3</v>
      </c>
      <c r="E12" s="7">
        <v>9</v>
      </c>
      <c r="F12" s="7">
        <v>6</v>
      </c>
      <c r="G12" s="7">
        <v>13</v>
      </c>
      <c r="H12" s="7">
        <v>14</v>
      </c>
      <c r="I12" s="7">
        <v>8</v>
      </c>
      <c r="J12" s="7">
        <v>8</v>
      </c>
      <c r="K12" s="7">
        <v>9</v>
      </c>
      <c r="L12" s="7">
        <v>5</v>
      </c>
      <c r="M12" s="7">
        <v>6</v>
      </c>
      <c r="N12" s="7">
        <v>16</v>
      </c>
      <c r="O12" s="7">
        <v>20</v>
      </c>
      <c r="P12" s="7">
        <v>9</v>
      </c>
      <c r="Q12" s="7">
        <v>7</v>
      </c>
      <c r="R12" s="7">
        <v>6</v>
      </c>
      <c r="S12" s="7">
        <v>14</v>
      </c>
      <c r="T12" s="7">
        <v>7</v>
      </c>
      <c r="U12" s="7">
        <v>15</v>
      </c>
      <c r="V12" s="7">
        <v>8</v>
      </c>
      <c r="W12" s="7">
        <v>13</v>
      </c>
      <c r="X12" s="7">
        <v>11</v>
      </c>
      <c r="Y12" s="7">
        <v>7</v>
      </c>
      <c r="Z12" s="7">
        <v>9</v>
      </c>
      <c r="AA12" s="7">
        <v>8</v>
      </c>
      <c r="AB12" s="7">
        <v>16</v>
      </c>
      <c r="AC12" s="7">
        <v>4</v>
      </c>
      <c r="AD12" s="7">
        <v>12</v>
      </c>
      <c r="AE12" s="7">
        <v>7</v>
      </c>
      <c r="AF12" s="8">
        <v>6</v>
      </c>
      <c r="AG12" s="4">
        <f t="shared" si="2"/>
        <v>300</v>
      </c>
    </row>
    <row r="13" spans="1:33" ht="18.75" x14ac:dyDescent="0.25">
      <c r="A13" s="41" t="s">
        <v>44</v>
      </c>
      <c r="B13" s="7">
        <v>9</v>
      </c>
      <c r="C13" s="7">
        <v>7</v>
      </c>
      <c r="D13" s="7">
        <v>17</v>
      </c>
      <c r="E13" s="7">
        <v>14</v>
      </c>
      <c r="F13" s="7">
        <v>12</v>
      </c>
      <c r="G13" s="7">
        <v>10</v>
      </c>
      <c r="H13" s="7">
        <v>13</v>
      </c>
      <c r="I13" s="7">
        <v>14</v>
      </c>
      <c r="J13" s="7">
        <v>10</v>
      </c>
      <c r="K13" s="7">
        <v>23</v>
      </c>
      <c r="L13" s="7">
        <v>8</v>
      </c>
      <c r="M13" s="7">
        <v>4</v>
      </c>
      <c r="N13" s="7">
        <v>10</v>
      </c>
      <c r="O13" s="7">
        <v>20</v>
      </c>
      <c r="P13" s="7">
        <v>13</v>
      </c>
      <c r="Q13" s="7">
        <v>8</v>
      </c>
      <c r="R13" s="7">
        <v>14</v>
      </c>
      <c r="S13" s="7">
        <v>6</v>
      </c>
      <c r="T13" s="7">
        <v>12</v>
      </c>
      <c r="U13" s="7">
        <v>9</v>
      </c>
      <c r="V13" s="7">
        <v>8</v>
      </c>
      <c r="W13" s="7">
        <v>10</v>
      </c>
      <c r="X13" s="7">
        <v>14</v>
      </c>
      <c r="Y13" s="7">
        <v>10</v>
      </c>
      <c r="Z13" s="7">
        <v>8</v>
      </c>
      <c r="AA13" s="7">
        <v>11</v>
      </c>
      <c r="AB13" s="7">
        <v>15</v>
      </c>
      <c r="AC13" s="7">
        <v>18</v>
      </c>
      <c r="AD13" s="7">
        <v>6</v>
      </c>
      <c r="AE13" s="7">
        <v>13</v>
      </c>
      <c r="AF13" s="8">
        <v>7</v>
      </c>
      <c r="AG13" s="4">
        <f t="shared" si="2"/>
        <v>353</v>
      </c>
    </row>
    <row r="14" spans="1:33" ht="18.75" x14ac:dyDescent="0.25">
      <c r="A14" s="41" t="s">
        <v>45</v>
      </c>
      <c r="B14" s="7">
        <v>11</v>
      </c>
      <c r="C14" s="7">
        <v>9</v>
      </c>
      <c r="D14" s="7">
        <v>10</v>
      </c>
      <c r="E14" s="7">
        <v>7</v>
      </c>
      <c r="F14" s="7">
        <v>6</v>
      </c>
      <c r="G14" s="7">
        <v>7</v>
      </c>
      <c r="H14" s="7">
        <v>8</v>
      </c>
      <c r="I14" s="7">
        <v>11</v>
      </c>
      <c r="J14" s="7">
        <v>10</v>
      </c>
      <c r="K14" s="7">
        <v>25</v>
      </c>
      <c r="L14" s="7">
        <v>7</v>
      </c>
      <c r="M14" s="7">
        <v>5</v>
      </c>
      <c r="N14" s="7">
        <v>5</v>
      </c>
      <c r="O14" s="7">
        <v>16</v>
      </c>
      <c r="P14" s="7">
        <v>5</v>
      </c>
      <c r="Q14" s="7">
        <v>6</v>
      </c>
      <c r="R14" s="7">
        <v>8</v>
      </c>
      <c r="S14" s="7">
        <v>10</v>
      </c>
      <c r="T14" s="7">
        <v>9</v>
      </c>
      <c r="U14" s="7">
        <v>8</v>
      </c>
      <c r="V14" s="7">
        <v>11</v>
      </c>
      <c r="W14" s="7">
        <v>6</v>
      </c>
      <c r="X14" s="7">
        <v>5</v>
      </c>
      <c r="Y14" s="7">
        <v>7</v>
      </c>
      <c r="Z14" s="7">
        <v>3</v>
      </c>
      <c r="AA14" s="7">
        <v>4</v>
      </c>
      <c r="AB14" s="7">
        <v>6</v>
      </c>
      <c r="AC14" s="7">
        <v>6</v>
      </c>
      <c r="AD14" s="7">
        <v>9</v>
      </c>
      <c r="AE14" s="7">
        <v>9</v>
      </c>
      <c r="AF14" s="8">
        <v>6</v>
      </c>
      <c r="AG14" s="4">
        <f t="shared" si="2"/>
        <v>255</v>
      </c>
    </row>
    <row r="15" spans="1:33" ht="18.75" x14ac:dyDescent="0.25">
      <c r="A15" s="41" t="s">
        <v>46</v>
      </c>
      <c r="B15" s="7">
        <v>9</v>
      </c>
      <c r="C15" s="7">
        <v>9</v>
      </c>
      <c r="D15" s="7">
        <v>2</v>
      </c>
      <c r="E15" s="7">
        <v>5</v>
      </c>
      <c r="F15" s="7">
        <v>3</v>
      </c>
      <c r="G15" s="7">
        <v>4</v>
      </c>
      <c r="H15" s="7">
        <v>8</v>
      </c>
      <c r="I15" s="7">
        <v>9</v>
      </c>
      <c r="J15" s="7">
        <v>3</v>
      </c>
      <c r="K15" s="7">
        <v>7</v>
      </c>
      <c r="L15" s="7">
        <v>6</v>
      </c>
      <c r="M15" s="7">
        <v>4</v>
      </c>
      <c r="N15" s="7">
        <v>8</v>
      </c>
      <c r="O15" s="7">
        <v>6</v>
      </c>
      <c r="P15" s="7">
        <v>7</v>
      </c>
      <c r="Q15" s="7">
        <v>5</v>
      </c>
      <c r="R15" s="7">
        <v>9</v>
      </c>
      <c r="S15" s="7">
        <v>6</v>
      </c>
      <c r="T15" s="7">
        <v>6</v>
      </c>
      <c r="U15" s="7">
        <v>2</v>
      </c>
      <c r="V15" s="7">
        <v>2</v>
      </c>
      <c r="W15" s="7">
        <v>5</v>
      </c>
      <c r="X15" s="7">
        <v>8</v>
      </c>
      <c r="Y15" s="7">
        <v>7</v>
      </c>
      <c r="Z15" s="7">
        <v>2</v>
      </c>
      <c r="AA15" s="7">
        <v>3</v>
      </c>
      <c r="AB15" s="7">
        <v>10</v>
      </c>
      <c r="AC15" s="7">
        <v>8</v>
      </c>
      <c r="AD15" s="7">
        <v>5</v>
      </c>
      <c r="AE15" s="7">
        <v>6</v>
      </c>
      <c r="AF15" s="8">
        <v>5</v>
      </c>
      <c r="AG15" s="4">
        <f t="shared" si="2"/>
        <v>179</v>
      </c>
    </row>
    <row r="16" spans="1:33" ht="18.75" x14ac:dyDescent="0.25">
      <c r="A16" s="41" t="s">
        <v>47</v>
      </c>
      <c r="B16" s="7">
        <v>2</v>
      </c>
      <c r="C16" s="7">
        <v>5</v>
      </c>
      <c r="D16" s="7">
        <v>4</v>
      </c>
      <c r="E16" s="7">
        <v>4</v>
      </c>
      <c r="F16" s="7">
        <v>3</v>
      </c>
      <c r="G16" s="7">
        <v>5</v>
      </c>
      <c r="H16" s="7">
        <v>3</v>
      </c>
      <c r="I16" s="7">
        <v>7</v>
      </c>
      <c r="J16" s="7">
        <v>2</v>
      </c>
      <c r="K16" s="7">
        <v>7</v>
      </c>
      <c r="L16" s="7">
        <v>5</v>
      </c>
      <c r="M16" s="7">
        <v>2</v>
      </c>
      <c r="N16" s="7">
        <v>8</v>
      </c>
      <c r="O16" s="7">
        <v>6</v>
      </c>
      <c r="P16" s="7">
        <v>5</v>
      </c>
      <c r="Q16" s="7">
        <v>6</v>
      </c>
      <c r="R16" s="7">
        <v>9</v>
      </c>
      <c r="S16" s="7">
        <v>7</v>
      </c>
      <c r="T16" s="7">
        <v>5</v>
      </c>
      <c r="U16" s="7">
        <v>5</v>
      </c>
      <c r="V16" s="7">
        <v>4</v>
      </c>
      <c r="W16" s="7">
        <v>6</v>
      </c>
      <c r="X16" s="7">
        <v>3</v>
      </c>
      <c r="Y16" s="7">
        <v>2</v>
      </c>
      <c r="Z16" s="7"/>
      <c r="AA16" s="7">
        <v>5</v>
      </c>
      <c r="AB16" s="7">
        <v>7</v>
      </c>
      <c r="AC16" s="7">
        <v>3</v>
      </c>
      <c r="AD16" s="7">
        <v>5</v>
      </c>
      <c r="AE16" s="7">
        <v>3</v>
      </c>
      <c r="AF16" s="8">
        <v>2</v>
      </c>
      <c r="AG16" s="4">
        <f t="shared" si="2"/>
        <v>140</v>
      </c>
    </row>
    <row r="17" spans="1:33" ht="18.75" x14ac:dyDescent="0.25">
      <c r="A17" s="41" t="s">
        <v>48</v>
      </c>
      <c r="B17" s="7">
        <v>4</v>
      </c>
      <c r="C17" s="7">
        <v>3</v>
      </c>
      <c r="D17" s="7">
        <v>3</v>
      </c>
      <c r="E17" s="7">
        <v>5</v>
      </c>
      <c r="F17" s="7">
        <v>4</v>
      </c>
      <c r="G17" s="7">
        <v>3</v>
      </c>
      <c r="H17" s="7">
        <v>5</v>
      </c>
      <c r="I17" s="7">
        <v>4</v>
      </c>
      <c r="J17" s="7">
        <v>2</v>
      </c>
      <c r="K17" s="7">
        <v>5</v>
      </c>
      <c r="L17" s="7">
        <v>2</v>
      </c>
      <c r="M17" s="7">
        <v>6</v>
      </c>
      <c r="N17" s="7">
        <v>8</v>
      </c>
      <c r="O17" s="7">
        <v>6</v>
      </c>
      <c r="P17" s="7">
        <v>6</v>
      </c>
      <c r="Q17" s="7">
        <v>4</v>
      </c>
      <c r="R17" s="7">
        <v>15</v>
      </c>
      <c r="S17" s="7">
        <v>5</v>
      </c>
      <c r="T17" s="7">
        <v>2</v>
      </c>
      <c r="U17" s="7">
        <v>5</v>
      </c>
      <c r="V17" s="7">
        <v>3</v>
      </c>
      <c r="W17" s="7">
        <v>3</v>
      </c>
      <c r="X17" s="7">
        <v>2</v>
      </c>
      <c r="Y17" s="7">
        <v>2</v>
      </c>
      <c r="Z17" s="7">
        <v>1</v>
      </c>
      <c r="AA17" s="7">
        <v>3</v>
      </c>
      <c r="AB17" s="7">
        <v>3</v>
      </c>
      <c r="AC17" s="7">
        <v>6</v>
      </c>
      <c r="AD17" s="7">
        <v>1</v>
      </c>
      <c r="AE17" s="7">
        <v>3</v>
      </c>
      <c r="AF17" s="8">
        <v>3</v>
      </c>
      <c r="AG17" s="4">
        <f t="shared" si="2"/>
        <v>127</v>
      </c>
    </row>
    <row r="18" spans="1:33" ht="18.75" x14ac:dyDescent="0.25">
      <c r="A18" s="41" t="s">
        <v>49</v>
      </c>
      <c r="B18" s="7">
        <v>1</v>
      </c>
      <c r="C18" s="7">
        <v>3</v>
      </c>
      <c r="D18" s="7">
        <v>1</v>
      </c>
      <c r="E18" s="7">
        <v>4</v>
      </c>
      <c r="F18" s="7">
        <v>6</v>
      </c>
      <c r="G18" s="7"/>
      <c r="H18" s="7">
        <v>1</v>
      </c>
      <c r="I18" s="7">
        <v>3</v>
      </c>
      <c r="J18" s="7">
        <v>1</v>
      </c>
      <c r="K18" s="7">
        <v>1</v>
      </c>
      <c r="L18" s="7">
        <v>4</v>
      </c>
      <c r="M18" s="7"/>
      <c r="N18" s="7">
        <v>3</v>
      </c>
      <c r="O18" s="7">
        <v>2</v>
      </c>
      <c r="P18" s="7">
        <v>2</v>
      </c>
      <c r="Q18" s="7">
        <v>3</v>
      </c>
      <c r="R18" s="7">
        <v>4</v>
      </c>
      <c r="S18" s="7">
        <v>3</v>
      </c>
      <c r="T18" s="7">
        <v>3</v>
      </c>
      <c r="U18" s="7">
        <v>3</v>
      </c>
      <c r="V18" s="7"/>
      <c r="W18" s="7">
        <v>1</v>
      </c>
      <c r="X18" s="7">
        <v>3</v>
      </c>
      <c r="Y18" s="7">
        <v>4</v>
      </c>
      <c r="Z18" s="7">
        <v>2</v>
      </c>
      <c r="AA18" s="7"/>
      <c r="AB18" s="7">
        <v>1</v>
      </c>
      <c r="AC18" s="7">
        <v>1</v>
      </c>
      <c r="AD18" s="7">
        <v>2</v>
      </c>
      <c r="AE18" s="7">
        <v>2</v>
      </c>
      <c r="AF18" s="8">
        <v>1</v>
      </c>
      <c r="AG18" s="4">
        <f t="shared" si="2"/>
        <v>65</v>
      </c>
    </row>
    <row r="19" spans="1:33" ht="18.75" x14ac:dyDescent="0.25">
      <c r="A19" s="41" t="s">
        <v>50</v>
      </c>
      <c r="B19" s="7"/>
      <c r="C19" s="7"/>
      <c r="D19" s="7">
        <v>1</v>
      </c>
      <c r="E19" s="7">
        <v>1</v>
      </c>
      <c r="F19" s="7">
        <v>6</v>
      </c>
      <c r="G19" s="7">
        <v>2</v>
      </c>
      <c r="H19" s="7">
        <v>1</v>
      </c>
      <c r="I19" s="7">
        <v>1</v>
      </c>
      <c r="J19" s="7"/>
      <c r="K19" s="7">
        <v>2</v>
      </c>
      <c r="L19" s="7">
        <v>7</v>
      </c>
      <c r="M19" s="7"/>
      <c r="N19" s="7">
        <v>0</v>
      </c>
      <c r="O19" s="7"/>
      <c r="P19" s="7">
        <v>2</v>
      </c>
      <c r="Q19" s="7">
        <v>4</v>
      </c>
      <c r="R19" s="7">
        <v>1</v>
      </c>
      <c r="S19" s="7"/>
      <c r="T19" s="7">
        <v>4</v>
      </c>
      <c r="U19" s="7">
        <v>1</v>
      </c>
      <c r="V19" s="7">
        <v>2</v>
      </c>
      <c r="W19" s="7">
        <v>2</v>
      </c>
      <c r="X19" s="7">
        <v>2</v>
      </c>
      <c r="Y19" s="7"/>
      <c r="Z19" s="7">
        <v>2</v>
      </c>
      <c r="AA19" s="7"/>
      <c r="AB19" s="7">
        <v>3</v>
      </c>
      <c r="AC19" s="7">
        <v>3</v>
      </c>
      <c r="AD19" s="7">
        <v>2</v>
      </c>
      <c r="AE19" s="7">
        <v>1</v>
      </c>
      <c r="AF19" s="8">
        <v>2</v>
      </c>
      <c r="AG19" s="4">
        <f t="shared" si="2"/>
        <v>52</v>
      </c>
    </row>
    <row r="20" spans="1:33" ht="18.75" x14ac:dyDescent="0.25">
      <c r="A20" s="41" t="s">
        <v>33</v>
      </c>
      <c r="B20" s="7">
        <v>1</v>
      </c>
      <c r="C20" s="7"/>
      <c r="D20" s="7">
        <v>1</v>
      </c>
      <c r="E20" s="7">
        <v>1</v>
      </c>
      <c r="F20" s="7">
        <v>2</v>
      </c>
      <c r="G20" s="7"/>
      <c r="H20" s="7"/>
      <c r="I20" s="7">
        <v>1</v>
      </c>
      <c r="J20" s="7">
        <v>1</v>
      </c>
      <c r="K20" s="7">
        <v>3</v>
      </c>
      <c r="L20" s="7">
        <v>1</v>
      </c>
      <c r="M20" s="7"/>
      <c r="N20" s="7">
        <v>1</v>
      </c>
      <c r="O20" s="7">
        <v>1</v>
      </c>
      <c r="P20" s="7">
        <v>1</v>
      </c>
      <c r="Q20" s="7"/>
      <c r="R20" s="7">
        <v>1</v>
      </c>
      <c r="S20" s="7">
        <v>1</v>
      </c>
      <c r="T20" s="7">
        <v>3</v>
      </c>
      <c r="U20" s="7">
        <v>1</v>
      </c>
      <c r="V20" s="7">
        <v>1</v>
      </c>
      <c r="W20" s="7">
        <v>1</v>
      </c>
      <c r="X20" s="7">
        <v>1</v>
      </c>
      <c r="Y20" s="7">
        <v>4</v>
      </c>
      <c r="Z20" s="7">
        <v>1</v>
      </c>
      <c r="AA20" s="7">
        <v>3</v>
      </c>
      <c r="AB20" s="7">
        <v>4</v>
      </c>
      <c r="AC20" s="7">
        <v>2</v>
      </c>
      <c r="AD20" s="7">
        <v>2</v>
      </c>
      <c r="AE20" s="7">
        <v>1</v>
      </c>
      <c r="AF20" s="8">
        <v>2</v>
      </c>
      <c r="AG20" s="4">
        <f t="shared" si="2"/>
        <v>42</v>
      </c>
    </row>
    <row r="21" spans="1:33" ht="18.75" x14ac:dyDescent="0.25">
      <c r="A21" s="41" t="s">
        <v>34</v>
      </c>
      <c r="B21" s="7">
        <v>3</v>
      </c>
      <c r="C21" s="7"/>
      <c r="D21" s="7"/>
      <c r="E21" s="7">
        <v>2</v>
      </c>
      <c r="F21" s="7"/>
      <c r="G21" s="7"/>
      <c r="H21" s="7">
        <v>1</v>
      </c>
      <c r="I21" s="7"/>
      <c r="J21" s="7">
        <v>4</v>
      </c>
      <c r="K21" s="7">
        <v>1</v>
      </c>
      <c r="L21" s="7">
        <v>0</v>
      </c>
      <c r="M21" s="7">
        <v>1</v>
      </c>
      <c r="N21" s="7"/>
      <c r="O21" s="7">
        <v>2</v>
      </c>
      <c r="P21" s="7">
        <v>2</v>
      </c>
      <c r="Q21" s="7">
        <v>2</v>
      </c>
      <c r="R21" s="7"/>
      <c r="S21" s="7">
        <v>1</v>
      </c>
      <c r="T21" s="7"/>
      <c r="U21" s="7">
        <v>1</v>
      </c>
      <c r="V21" s="7"/>
      <c r="W21" s="7">
        <v>1</v>
      </c>
      <c r="X21" s="7"/>
      <c r="Y21" s="7">
        <v>3</v>
      </c>
      <c r="Z21" s="7">
        <v>2</v>
      </c>
      <c r="AA21" s="7"/>
      <c r="AB21" s="7">
        <v>3</v>
      </c>
      <c r="AC21" s="7"/>
      <c r="AD21" s="7">
        <v>3</v>
      </c>
      <c r="AE21" s="7">
        <v>2</v>
      </c>
      <c r="AF21" s="8">
        <v>2</v>
      </c>
      <c r="AG21" s="4">
        <f t="shared" si="2"/>
        <v>36</v>
      </c>
    </row>
    <row r="22" spans="1:33" ht="18.75" x14ac:dyDescent="0.25">
      <c r="A22" s="41" t="s">
        <v>35</v>
      </c>
      <c r="B22" s="7"/>
      <c r="C22" s="7"/>
      <c r="D22" s="7"/>
      <c r="E22" s="7">
        <v>1</v>
      </c>
      <c r="F22" s="7"/>
      <c r="G22" s="7">
        <v>1</v>
      </c>
      <c r="H22" s="7"/>
      <c r="I22" s="7"/>
      <c r="J22" s="7"/>
      <c r="K22" s="7">
        <v>4</v>
      </c>
      <c r="L22" s="7">
        <v>1</v>
      </c>
      <c r="M22" s="7">
        <v>2</v>
      </c>
      <c r="N22" s="7"/>
      <c r="O22" s="7">
        <v>2</v>
      </c>
      <c r="P22" s="7"/>
      <c r="Q22" s="7">
        <v>4</v>
      </c>
      <c r="R22" s="7"/>
      <c r="S22" s="7"/>
      <c r="T22" s="7">
        <v>2</v>
      </c>
      <c r="U22" s="7"/>
      <c r="V22" s="7"/>
      <c r="W22" s="7"/>
      <c r="X22" s="7"/>
      <c r="Y22" s="7">
        <v>2</v>
      </c>
      <c r="Z22" s="7">
        <v>1</v>
      </c>
      <c r="AA22" s="7"/>
      <c r="AB22" s="7"/>
      <c r="AC22" s="7">
        <v>2</v>
      </c>
      <c r="AD22" s="7"/>
      <c r="AE22" s="7"/>
      <c r="AF22" s="8">
        <v>3</v>
      </c>
      <c r="AG22" s="4">
        <f t="shared" si="2"/>
        <v>25</v>
      </c>
    </row>
    <row r="23" spans="1:33" ht="18.75" x14ac:dyDescent="0.25">
      <c r="A23" s="41" t="s">
        <v>36</v>
      </c>
      <c r="B23" s="7"/>
      <c r="C23" s="7"/>
      <c r="D23" s="7">
        <v>1</v>
      </c>
      <c r="E23" s="7"/>
      <c r="F23" s="7"/>
      <c r="G23" s="7">
        <v>1</v>
      </c>
      <c r="H23" s="7"/>
      <c r="I23" s="7"/>
      <c r="J23" s="7">
        <v>1</v>
      </c>
      <c r="K23" s="7">
        <v>1</v>
      </c>
      <c r="L23" s="7">
        <v>0</v>
      </c>
      <c r="M23" s="7"/>
      <c r="N23" s="7"/>
      <c r="O23" s="7"/>
      <c r="P23" s="7"/>
      <c r="Q23" s="7"/>
      <c r="R23" s="7"/>
      <c r="S23" s="7"/>
      <c r="T23" s="7">
        <v>1</v>
      </c>
      <c r="U23" s="7"/>
      <c r="V23" s="7">
        <v>3</v>
      </c>
      <c r="W23" s="7"/>
      <c r="X23" s="7"/>
      <c r="Y23" s="7">
        <v>5</v>
      </c>
      <c r="Z23" s="7">
        <v>1</v>
      </c>
      <c r="AA23" s="7">
        <v>1</v>
      </c>
      <c r="AB23" s="7"/>
      <c r="AC23" s="7"/>
      <c r="AD23" s="7"/>
      <c r="AE23" s="7"/>
      <c r="AF23" s="8"/>
      <c r="AG23" s="4">
        <f t="shared" si="2"/>
        <v>15</v>
      </c>
    </row>
    <row r="24" spans="1:33" ht="18.75" x14ac:dyDescent="0.25">
      <c r="A24" s="41" t="s">
        <v>51</v>
      </c>
      <c r="B24" s="7">
        <v>3</v>
      </c>
      <c r="C24" s="7"/>
      <c r="D24" s="7"/>
      <c r="E24" s="7">
        <v>1</v>
      </c>
      <c r="F24" s="7"/>
      <c r="G24" s="7"/>
      <c r="H24" s="7"/>
      <c r="I24" s="7">
        <v>1</v>
      </c>
      <c r="J24" s="7">
        <v>3</v>
      </c>
      <c r="K24" s="7"/>
      <c r="L24" s="7">
        <v>1</v>
      </c>
      <c r="M24" s="7"/>
      <c r="N24" s="7"/>
      <c r="O24" s="7"/>
      <c r="P24" s="7"/>
      <c r="Q24" s="7"/>
      <c r="R24" s="7"/>
      <c r="S24" s="7"/>
      <c r="T24" s="7"/>
      <c r="U24" s="7"/>
      <c r="V24" s="7">
        <v>1</v>
      </c>
      <c r="W24" s="7"/>
      <c r="X24" s="7"/>
      <c r="Y24" s="7"/>
      <c r="Z24" s="7"/>
      <c r="AA24" s="7">
        <v>1</v>
      </c>
      <c r="AB24" s="7"/>
      <c r="AC24" s="7"/>
      <c r="AD24" s="7"/>
      <c r="AE24" s="7"/>
      <c r="AF24" s="8"/>
      <c r="AG24" s="4">
        <f t="shared" si="2"/>
        <v>11</v>
      </c>
    </row>
    <row r="25" spans="1:33" ht="18.75" x14ac:dyDescent="0.25">
      <c r="A25" s="41" t="s">
        <v>52</v>
      </c>
      <c r="B25" s="7"/>
      <c r="C25" s="7"/>
      <c r="D25" s="7">
        <v>1</v>
      </c>
      <c r="E25" s="7"/>
      <c r="F25" s="7">
        <v>1</v>
      </c>
      <c r="G25" s="7">
        <v>1</v>
      </c>
      <c r="H25" s="7"/>
      <c r="I25" s="7"/>
      <c r="J25" s="7"/>
      <c r="K25" s="7">
        <v>2</v>
      </c>
      <c r="L25" s="7">
        <v>0</v>
      </c>
      <c r="M25" s="7"/>
      <c r="N25" s="7"/>
      <c r="O25" s="7">
        <v>1</v>
      </c>
      <c r="P25" s="7"/>
      <c r="Q25" s="7"/>
      <c r="R25" s="7">
        <v>2</v>
      </c>
      <c r="S25" s="7"/>
      <c r="T25" s="7"/>
      <c r="U25" s="7">
        <v>5</v>
      </c>
      <c r="V25" s="7"/>
      <c r="W25" s="7">
        <v>4</v>
      </c>
      <c r="X25" s="7"/>
      <c r="Y25" s="7"/>
      <c r="Z25" s="7">
        <v>2</v>
      </c>
      <c r="AA25" s="7"/>
      <c r="AB25" s="7"/>
      <c r="AC25" s="7"/>
      <c r="AD25" s="7"/>
      <c r="AE25" s="7">
        <v>1</v>
      </c>
      <c r="AF25" s="8"/>
      <c r="AG25" s="4">
        <f t="shared" si="2"/>
        <v>20</v>
      </c>
    </row>
    <row r="26" spans="1:33" ht="18.75" x14ac:dyDescent="0.25">
      <c r="A26" s="41" t="s">
        <v>37</v>
      </c>
      <c r="B26" s="7">
        <v>2</v>
      </c>
      <c r="C26" s="7">
        <v>3</v>
      </c>
      <c r="D26" s="7">
        <v>2</v>
      </c>
      <c r="E26" s="7"/>
      <c r="F26" s="7"/>
      <c r="G26" s="7">
        <v>1</v>
      </c>
      <c r="H26" s="7">
        <v>1</v>
      </c>
      <c r="I26" s="7"/>
      <c r="J26" s="7"/>
      <c r="K26" s="7"/>
      <c r="L26" s="7">
        <v>1</v>
      </c>
      <c r="M26" s="7"/>
      <c r="N26" s="7"/>
      <c r="O26" s="7"/>
      <c r="P26" s="7"/>
      <c r="Q26" s="7">
        <v>1</v>
      </c>
      <c r="R26" s="7"/>
      <c r="S26" s="7"/>
      <c r="T26" s="7">
        <v>1</v>
      </c>
      <c r="U26" s="7"/>
      <c r="V26" s="7"/>
      <c r="W26" s="7"/>
      <c r="X26" s="7"/>
      <c r="Y26" s="7"/>
      <c r="Z26" s="7"/>
      <c r="AA26" s="7"/>
      <c r="AB26" s="7"/>
      <c r="AC26" s="7"/>
      <c r="AD26" s="7">
        <v>1</v>
      </c>
      <c r="AE26" s="7"/>
      <c r="AF26" s="8"/>
      <c r="AG26" s="4">
        <f t="shared" si="2"/>
        <v>13</v>
      </c>
    </row>
    <row r="27" spans="1:33" ht="19.5" thickBot="1" x14ac:dyDescent="0.3">
      <c r="A27" s="81" t="s">
        <v>53</v>
      </c>
      <c r="B27" s="78"/>
      <c r="C27" s="78"/>
      <c r="D27" s="78">
        <v>1</v>
      </c>
      <c r="E27" s="78"/>
      <c r="F27" s="78"/>
      <c r="G27" s="78">
        <v>1</v>
      </c>
      <c r="H27" s="78"/>
      <c r="I27" s="78"/>
      <c r="J27" s="78"/>
      <c r="K27" s="78"/>
      <c r="L27" s="78">
        <v>1</v>
      </c>
      <c r="M27" s="78">
        <v>1</v>
      </c>
      <c r="N27" s="78"/>
      <c r="O27" s="78"/>
      <c r="P27" s="78"/>
      <c r="Q27" s="78">
        <v>1</v>
      </c>
      <c r="R27" s="78"/>
      <c r="S27" s="78">
        <v>1</v>
      </c>
      <c r="T27" s="78"/>
      <c r="U27" s="78">
        <v>1</v>
      </c>
      <c r="V27" s="78">
        <v>3</v>
      </c>
      <c r="W27" s="78"/>
      <c r="X27" s="78">
        <v>3</v>
      </c>
      <c r="Y27" s="78"/>
      <c r="Z27" s="78"/>
      <c r="AA27" s="78"/>
      <c r="AB27" s="78"/>
      <c r="AC27" s="78">
        <v>3</v>
      </c>
      <c r="AD27" s="78"/>
      <c r="AE27" s="78">
        <v>1</v>
      </c>
      <c r="AF27" s="83"/>
      <c r="AG27" s="4">
        <f t="shared" si="2"/>
        <v>17</v>
      </c>
    </row>
    <row r="28" spans="1:33" ht="18.75" x14ac:dyDescent="0.25">
      <c r="A28" s="79" t="s">
        <v>107</v>
      </c>
      <c r="B28" s="80">
        <f>SUM(B29:B52)</f>
        <v>89</v>
      </c>
      <c r="C28" s="80">
        <f t="shared" ref="C28:AF28" si="3">SUM(C29:C52)</f>
        <v>93</v>
      </c>
      <c r="D28" s="80">
        <f t="shared" si="3"/>
        <v>87</v>
      </c>
      <c r="E28" s="80">
        <f t="shared" si="3"/>
        <v>100</v>
      </c>
      <c r="F28" s="80">
        <f t="shared" si="3"/>
        <v>90</v>
      </c>
      <c r="G28" s="80">
        <f t="shared" si="3"/>
        <v>127</v>
      </c>
      <c r="H28" s="80">
        <f t="shared" si="3"/>
        <v>107</v>
      </c>
      <c r="I28" s="80">
        <f t="shared" si="3"/>
        <v>110</v>
      </c>
      <c r="J28" s="80">
        <f t="shared" si="3"/>
        <v>81</v>
      </c>
      <c r="K28" s="80">
        <f t="shared" si="3"/>
        <v>132</v>
      </c>
      <c r="L28" s="80">
        <f t="shared" si="3"/>
        <v>81</v>
      </c>
      <c r="M28" s="80">
        <f t="shared" si="3"/>
        <v>81</v>
      </c>
      <c r="N28" s="80">
        <f t="shared" si="3"/>
        <v>109</v>
      </c>
      <c r="O28" s="80">
        <f t="shared" si="3"/>
        <v>111</v>
      </c>
      <c r="P28" s="80">
        <f t="shared" si="3"/>
        <v>119</v>
      </c>
      <c r="Q28" s="80">
        <f t="shared" si="3"/>
        <v>83</v>
      </c>
      <c r="R28" s="80">
        <f t="shared" si="3"/>
        <v>118</v>
      </c>
      <c r="S28" s="80">
        <f t="shared" si="3"/>
        <v>99</v>
      </c>
      <c r="T28" s="80">
        <f t="shared" si="3"/>
        <v>88</v>
      </c>
      <c r="U28" s="80">
        <f t="shared" si="3"/>
        <v>122</v>
      </c>
      <c r="V28" s="80">
        <f t="shared" si="3"/>
        <v>108</v>
      </c>
      <c r="W28" s="80">
        <f t="shared" si="3"/>
        <v>111</v>
      </c>
      <c r="X28" s="80">
        <f t="shared" si="3"/>
        <v>104</v>
      </c>
      <c r="Y28" s="80">
        <f t="shared" si="3"/>
        <v>106</v>
      </c>
      <c r="Z28" s="80">
        <f t="shared" si="3"/>
        <v>85</v>
      </c>
      <c r="AA28" s="80">
        <f t="shared" si="3"/>
        <v>69</v>
      </c>
      <c r="AB28" s="80">
        <f t="shared" si="3"/>
        <v>113</v>
      </c>
      <c r="AC28" s="80">
        <f t="shared" si="3"/>
        <v>103</v>
      </c>
      <c r="AD28" s="80">
        <f t="shared" si="3"/>
        <v>75</v>
      </c>
      <c r="AE28" s="80">
        <f>SUM(AE29:AE52)</f>
        <v>85</v>
      </c>
      <c r="AF28" s="80">
        <f t="shared" si="3"/>
        <v>78</v>
      </c>
      <c r="AG28" s="150">
        <f t="shared" si="2"/>
        <v>3064</v>
      </c>
    </row>
    <row r="29" spans="1:33" ht="18.75" x14ac:dyDescent="0.25">
      <c r="A29" s="41" t="s">
        <v>54</v>
      </c>
      <c r="B29" s="7">
        <v>1</v>
      </c>
      <c r="C29" s="7">
        <v>1</v>
      </c>
      <c r="D29" s="7">
        <v>2</v>
      </c>
      <c r="E29" s="7">
        <v>3</v>
      </c>
      <c r="F29" s="7">
        <v>1</v>
      </c>
      <c r="G29" s="7">
        <v>4</v>
      </c>
      <c r="H29" s="7">
        <v>3</v>
      </c>
      <c r="I29" s="7">
        <v>2</v>
      </c>
      <c r="J29" s="7">
        <v>2</v>
      </c>
      <c r="K29" s="7">
        <v>1</v>
      </c>
      <c r="L29" s="7">
        <v>1</v>
      </c>
      <c r="M29" s="7">
        <v>3</v>
      </c>
      <c r="N29" s="7">
        <v>2</v>
      </c>
      <c r="O29" s="7">
        <v>1</v>
      </c>
      <c r="P29" s="7">
        <v>4</v>
      </c>
      <c r="Q29" s="7">
        <v>1</v>
      </c>
      <c r="R29" s="7">
        <v>3</v>
      </c>
      <c r="S29" s="7">
        <v>1</v>
      </c>
      <c r="T29" s="7">
        <v>2</v>
      </c>
      <c r="U29" s="7">
        <v>1</v>
      </c>
      <c r="V29" s="7">
        <v>4</v>
      </c>
      <c r="W29" s="7">
        <v>3</v>
      </c>
      <c r="X29" s="7">
        <v>7</v>
      </c>
      <c r="Y29" s="7"/>
      <c r="Z29" s="7">
        <v>2</v>
      </c>
      <c r="AA29" s="7"/>
      <c r="AB29" s="7">
        <v>1</v>
      </c>
      <c r="AC29" s="7">
        <v>3</v>
      </c>
      <c r="AD29" s="7">
        <v>2</v>
      </c>
      <c r="AE29" s="7">
        <v>2</v>
      </c>
      <c r="AF29" s="8">
        <v>1</v>
      </c>
      <c r="AG29" s="4">
        <f t="shared" si="2"/>
        <v>64</v>
      </c>
    </row>
    <row r="30" spans="1:33" ht="18.75" x14ac:dyDescent="0.25">
      <c r="A30" s="41" t="s">
        <v>55</v>
      </c>
      <c r="B30" s="7">
        <v>5</v>
      </c>
      <c r="C30" s="7">
        <v>5</v>
      </c>
      <c r="D30" s="7">
        <v>9</v>
      </c>
      <c r="E30" s="7">
        <v>5</v>
      </c>
      <c r="F30" s="7">
        <v>1</v>
      </c>
      <c r="G30" s="7">
        <v>9</v>
      </c>
      <c r="H30" s="7">
        <v>5</v>
      </c>
      <c r="I30" s="7">
        <v>7</v>
      </c>
      <c r="J30" s="7">
        <v>7</v>
      </c>
      <c r="K30" s="7">
        <v>7</v>
      </c>
      <c r="L30" s="7">
        <v>6</v>
      </c>
      <c r="M30" s="7">
        <v>4</v>
      </c>
      <c r="N30" s="7">
        <v>12</v>
      </c>
      <c r="O30" s="7">
        <v>3</v>
      </c>
      <c r="P30" s="7">
        <v>7</v>
      </c>
      <c r="Q30" s="7">
        <v>2</v>
      </c>
      <c r="R30" s="7">
        <v>5</v>
      </c>
      <c r="S30" s="7">
        <v>4</v>
      </c>
      <c r="T30" s="7">
        <v>3</v>
      </c>
      <c r="U30" s="7">
        <v>8</v>
      </c>
      <c r="V30" s="7">
        <v>7</v>
      </c>
      <c r="W30" s="7">
        <v>7</v>
      </c>
      <c r="X30" s="7">
        <v>8</v>
      </c>
      <c r="Y30" s="7">
        <v>8</v>
      </c>
      <c r="Z30" s="7">
        <v>5</v>
      </c>
      <c r="AA30" s="7">
        <v>1</v>
      </c>
      <c r="AB30" s="7">
        <v>6</v>
      </c>
      <c r="AC30" s="7">
        <v>4</v>
      </c>
      <c r="AD30" s="7">
        <v>6</v>
      </c>
      <c r="AE30" s="7">
        <v>6</v>
      </c>
      <c r="AF30" s="8">
        <v>4</v>
      </c>
      <c r="AG30" s="4">
        <f t="shared" si="2"/>
        <v>176</v>
      </c>
    </row>
    <row r="31" spans="1:33" ht="18.75" x14ac:dyDescent="0.25">
      <c r="A31" s="41" t="s">
        <v>56</v>
      </c>
      <c r="B31" s="7">
        <v>6</v>
      </c>
      <c r="C31" s="7">
        <v>6</v>
      </c>
      <c r="D31" s="7">
        <v>5</v>
      </c>
      <c r="E31" s="7">
        <v>2</v>
      </c>
      <c r="F31" s="7">
        <v>2</v>
      </c>
      <c r="G31" s="7">
        <v>14</v>
      </c>
      <c r="H31" s="7">
        <v>5</v>
      </c>
      <c r="I31" s="7">
        <v>8</v>
      </c>
      <c r="J31" s="7">
        <v>9</v>
      </c>
      <c r="K31" s="7">
        <v>7</v>
      </c>
      <c r="L31" s="7">
        <v>5</v>
      </c>
      <c r="M31" s="7">
        <v>3</v>
      </c>
      <c r="N31" s="7">
        <v>8</v>
      </c>
      <c r="O31" s="7">
        <v>5</v>
      </c>
      <c r="P31" s="7">
        <v>7</v>
      </c>
      <c r="Q31" s="7">
        <v>4</v>
      </c>
      <c r="R31" s="7">
        <v>6</v>
      </c>
      <c r="S31" s="7">
        <v>10</v>
      </c>
      <c r="T31" s="7">
        <v>3</v>
      </c>
      <c r="U31" s="7">
        <v>4</v>
      </c>
      <c r="V31" s="7">
        <v>5</v>
      </c>
      <c r="W31" s="7">
        <v>7</v>
      </c>
      <c r="X31" s="7">
        <v>1</v>
      </c>
      <c r="Y31" s="7">
        <v>9</v>
      </c>
      <c r="Z31" s="7">
        <v>2</v>
      </c>
      <c r="AA31" s="7">
        <v>5</v>
      </c>
      <c r="AB31" s="7">
        <v>6</v>
      </c>
      <c r="AC31" s="7">
        <v>6</v>
      </c>
      <c r="AD31" s="7">
        <v>7</v>
      </c>
      <c r="AE31" s="7">
        <v>8</v>
      </c>
      <c r="AF31" s="8">
        <v>3</v>
      </c>
      <c r="AG31" s="4">
        <f t="shared" si="2"/>
        <v>178</v>
      </c>
    </row>
    <row r="32" spans="1:33" ht="18.75" x14ac:dyDescent="0.25">
      <c r="A32" s="41" t="s">
        <v>38</v>
      </c>
      <c r="B32" s="7"/>
      <c r="C32" s="7">
        <v>3</v>
      </c>
      <c r="D32" s="7">
        <v>3</v>
      </c>
      <c r="E32" s="7">
        <v>6</v>
      </c>
      <c r="F32" s="7">
        <v>4</v>
      </c>
      <c r="G32" s="7">
        <v>14</v>
      </c>
      <c r="H32" s="7">
        <v>7</v>
      </c>
      <c r="I32" s="7">
        <v>8</v>
      </c>
      <c r="J32" s="7">
        <v>2</v>
      </c>
      <c r="K32" s="7">
        <v>4</v>
      </c>
      <c r="L32" s="7">
        <v>4</v>
      </c>
      <c r="M32" s="7">
        <v>7</v>
      </c>
      <c r="N32" s="7">
        <v>6</v>
      </c>
      <c r="O32" s="7">
        <v>9</v>
      </c>
      <c r="P32" s="7">
        <v>5</v>
      </c>
      <c r="Q32" s="7">
        <v>4</v>
      </c>
      <c r="R32" s="7">
        <v>2</v>
      </c>
      <c r="S32" s="7">
        <v>5</v>
      </c>
      <c r="T32" s="7">
        <v>3</v>
      </c>
      <c r="U32" s="7">
        <v>11</v>
      </c>
      <c r="V32" s="7">
        <v>10</v>
      </c>
      <c r="W32" s="7">
        <v>6</v>
      </c>
      <c r="X32" s="7">
        <v>13</v>
      </c>
      <c r="Y32" s="7">
        <v>5</v>
      </c>
      <c r="Z32" s="7">
        <v>7</v>
      </c>
      <c r="AA32" s="7">
        <v>4</v>
      </c>
      <c r="AB32" s="7">
        <v>8</v>
      </c>
      <c r="AC32" s="7">
        <v>9</v>
      </c>
      <c r="AD32" s="7">
        <v>3</v>
      </c>
      <c r="AE32" s="7">
        <v>4</v>
      </c>
      <c r="AF32" s="8">
        <v>5</v>
      </c>
      <c r="AG32" s="4">
        <f t="shared" si="2"/>
        <v>181</v>
      </c>
    </row>
    <row r="33" spans="1:33" ht="18.75" x14ac:dyDescent="0.25">
      <c r="A33" s="41" t="s">
        <v>39</v>
      </c>
      <c r="B33" s="7">
        <v>5</v>
      </c>
      <c r="C33" s="7">
        <v>4</v>
      </c>
      <c r="D33" s="7">
        <v>4</v>
      </c>
      <c r="E33" s="7">
        <v>3</v>
      </c>
      <c r="F33" s="7">
        <v>6</v>
      </c>
      <c r="G33" s="7">
        <v>6</v>
      </c>
      <c r="H33" s="7">
        <v>12</v>
      </c>
      <c r="I33" s="7">
        <v>9</v>
      </c>
      <c r="J33" s="7">
        <v>4</v>
      </c>
      <c r="K33" s="7">
        <v>7</v>
      </c>
      <c r="L33" s="7">
        <v>5</v>
      </c>
      <c r="M33" s="7">
        <v>9</v>
      </c>
      <c r="N33" s="7">
        <v>6</v>
      </c>
      <c r="O33" s="7">
        <v>4</v>
      </c>
      <c r="P33" s="7">
        <v>14</v>
      </c>
      <c r="Q33" s="7">
        <v>5</v>
      </c>
      <c r="R33" s="7">
        <v>6</v>
      </c>
      <c r="S33" s="7">
        <v>4</v>
      </c>
      <c r="T33" s="7">
        <v>6</v>
      </c>
      <c r="U33" s="7">
        <v>9</v>
      </c>
      <c r="V33" s="7">
        <v>6</v>
      </c>
      <c r="W33" s="7">
        <v>7</v>
      </c>
      <c r="X33" s="7">
        <v>9</v>
      </c>
      <c r="Y33" s="7">
        <v>8</v>
      </c>
      <c r="Z33" s="7">
        <v>7</v>
      </c>
      <c r="AA33" s="7">
        <v>4</v>
      </c>
      <c r="AB33" s="7">
        <v>9</v>
      </c>
      <c r="AC33" s="7">
        <v>6</v>
      </c>
      <c r="AD33" s="7">
        <v>1</v>
      </c>
      <c r="AE33" s="7">
        <v>3</v>
      </c>
      <c r="AF33" s="8">
        <v>5</v>
      </c>
      <c r="AG33" s="4">
        <f t="shared" si="2"/>
        <v>193</v>
      </c>
    </row>
    <row r="34" spans="1:33" ht="18.75" x14ac:dyDescent="0.25">
      <c r="A34" s="41" t="s">
        <v>40</v>
      </c>
      <c r="B34" s="7">
        <v>2</v>
      </c>
      <c r="C34" s="7">
        <v>5</v>
      </c>
      <c r="D34" s="7">
        <v>5</v>
      </c>
      <c r="E34" s="7">
        <v>7</v>
      </c>
      <c r="F34" s="7">
        <v>7</v>
      </c>
      <c r="G34" s="7">
        <v>10</v>
      </c>
      <c r="H34" s="7">
        <v>8</v>
      </c>
      <c r="I34" s="7">
        <v>7</v>
      </c>
      <c r="J34" s="7">
        <v>3</v>
      </c>
      <c r="K34" s="7">
        <v>5</v>
      </c>
      <c r="L34" s="7">
        <v>5</v>
      </c>
      <c r="M34" s="7">
        <v>8</v>
      </c>
      <c r="N34" s="7">
        <v>3</v>
      </c>
      <c r="O34" s="7">
        <v>4</v>
      </c>
      <c r="P34" s="7">
        <v>17</v>
      </c>
      <c r="Q34" s="7">
        <v>6</v>
      </c>
      <c r="R34" s="7">
        <v>5</v>
      </c>
      <c r="S34" s="7">
        <v>3</v>
      </c>
      <c r="T34" s="7">
        <v>4</v>
      </c>
      <c r="U34" s="7">
        <v>15</v>
      </c>
      <c r="V34" s="7">
        <v>9</v>
      </c>
      <c r="W34" s="7">
        <v>5</v>
      </c>
      <c r="X34" s="7">
        <v>4</v>
      </c>
      <c r="Y34" s="7">
        <v>7</v>
      </c>
      <c r="Z34" s="7">
        <v>8</v>
      </c>
      <c r="AA34" s="7">
        <v>3</v>
      </c>
      <c r="AB34" s="7">
        <v>5</v>
      </c>
      <c r="AC34" s="7">
        <v>6</v>
      </c>
      <c r="AD34" s="7">
        <v>2</v>
      </c>
      <c r="AE34" s="7">
        <v>4</v>
      </c>
      <c r="AF34" s="8">
        <v>5</v>
      </c>
      <c r="AG34" s="4">
        <f t="shared" si="2"/>
        <v>187</v>
      </c>
    </row>
    <row r="35" spans="1:33" ht="18.75" x14ac:dyDescent="0.25">
      <c r="A35" s="41" t="s">
        <v>41</v>
      </c>
      <c r="B35" s="7">
        <v>5</v>
      </c>
      <c r="C35" s="7">
        <v>6</v>
      </c>
      <c r="D35" s="7">
        <v>3</v>
      </c>
      <c r="E35" s="7">
        <v>10</v>
      </c>
      <c r="F35" s="7">
        <v>9</v>
      </c>
      <c r="G35" s="7">
        <v>2</v>
      </c>
      <c r="H35" s="7">
        <v>8</v>
      </c>
      <c r="I35" s="7">
        <v>7</v>
      </c>
      <c r="J35" s="7">
        <v>3</v>
      </c>
      <c r="K35" s="7">
        <v>2</v>
      </c>
      <c r="L35" s="7">
        <v>3</v>
      </c>
      <c r="M35" s="7">
        <v>9</v>
      </c>
      <c r="N35" s="7">
        <v>4</v>
      </c>
      <c r="O35" s="7">
        <v>6</v>
      </c>
      <c r="P35" s="7">
        <v>6</v>
      </c>
      <c r="Q35" s="7">
        <v>1</v>
      </c>
      <c r="R35" s="7">
        <v>3</v>
      </c>
      <c r="S35" s="7">
        <v>4</v>
      </c>
      <c r="T35" s="7">
        <v>3</v>
      </c>
      <c r="U35" s="7">
        <v>7</v>
      </c>
      <c r="V35" s="7">
        <v>5</v>
      </c>
      <c r="W35" s="7">
        <v>3</v>
      </c>
      <c r="X35" s="7">
        <v>5</v>
      </c>
      <c r="Y35" s="7">
        <v>7</v>
      </c>
      <c r="Z35" s="7">
        <v>5</v>
      </c>
      <c r="AA35" s="7">
        <v>5</v>
      </c>
      <c r="AB35" s="7">
        <v>5</v>
      </c>
      <c r="AC35" s="7">
        <v>6</v>
      </c>
      <c r="AD35" s="7">
        <v>3</v>
      </c>
      <c r="AE35" s="7">
        <v>1</v>
      </c>
      <c r="AF35" s="8">
        <v>2</v>
      </c>
      <c r="AG35" s="4">
        <f t="shared" si="2"/>
        <v>148</v>
      </c>
    </row>
    <row r="36" spans="1:33" ht="18.75" x14ac:dyDescent="0.25">
      <c r="A36" s="41" t="s">
        <v>42</v>
      </c>
      <c r="B36" s="7">
        <v>7</v>
      </c>
      <c r="C36" s="7">
        <v>7</v>
      </c>
      <c r="D36" s="7">
        <v>9</v>
      </c>
      <c r="E36" s="7">
        <v>6</v>
      </c>
      <c r="F36" s="7">
        <v>9</v>
      </c>
      <c r="G36" s="7">
        <v>15</v>
      </c>
      <c r="H36" s="7">
        <v>5</v>
      </c>
      <c r="I36" s="7">
        <v>8</v>
      </c>
      <c r="J36" s="7">
        <v>3</v>
      </c>
      <c r="K36" s="7">
        <v>9</v>
      </c>
      <c r="L36" s="7">
        <v>4</v>
      </c>
      <c r="M36" s="7">
        <v>7</v>
      </c>
      <c r="N36" s="7">
        <v>8</v>
      </c>
      <c r="O36" s="7">
        <v>2</v>
      </c>
      <c r="P36" s="7">
        <v>4</v>
      </c>
      <c r="Q36" s="7">
        <v>10</v>
      </c>
      <c r="R36" s="7">
        <v>10</v>
      </c>
      <c r="S36" s="7">
        <v>13</v>
      </c>
      <c r="T36" s="7">
        <v>6</v>
      </c>
      <c r="U36" s="7">
        <v>14</v>
      </c>
      <c r="V36" s="7">
        <v>8</v>
      </c>
      <c r="W36" s="7">
        <v>10</v>
      </c>
      <c r="X36" s="7">
        <v>7</v>
      </c>
      <c r="Y36" s="7">
        <v>9</v>
      </c>
      <c r="Z36" s="7">
        <v>6</v>
      </c>
      <c r="AA36" s="7">
        <v>5</v>
      </c>
      <c r="AB36" s="7">
        <v>8</v>
      </c>
      <c r="AC36" s="7">
        <v>5</v>
      </c>
      <c r="AD36" s="7">
        <v>4</v>
      </c>
      <c r="AE36" s="7">
        <v>7</v>
      </c>
      <c r="AF36" s="8">
        <v>12</v>
      </c>
      <c r="AG36" s="4">
        <f t="shared" si="2"/>
        <v>237</v>
      </c>
    </row>
    <row r="37" spans="1:33" ht="18.75" x14ac:dyDescent="0.25">
      <c r="A37" s="41" t="s">
        <v>43</v>
      </c>
      <c r="B37" s="7">
        <v>6</v>
      </c>
      <c r="C37" s="7">
        <v>8</v>
      </c>
      <c r="D37" s="7">
        <v>4</v>
      </c>
      <c r="E37" s="7">
        <v>6</v>
      </c>
      <c r="F37" s="7">
        <v>8</v>
      </c>
      <c r="G37" s="7">
        <v>10</v>
      </c>
      <c r="H37" s="7">
        <v>10</v>
      </c>
      <c r="I37" s="7">
        <v>2</v>
      </c>
      <c r="J37" s="7">
        <v>7</v>
      </c>
      <c r="K37" s="7">
        <v>9</v>
      </c>
      <c r="L37" s="7">
        <v>5</v>
      </c>
      <c r="M37" s="7">
        <v>6</v>
      </c>
      <c r="N37" s="7">
        <v>6</v>
      </c>
      <c r="O37" s="7">
        <v>10</v>
      </c>
      <c r="P37" s="7">
        <v>6</v>
      </c>
      <c r="Q37" s="7">
        <v>5</v>
      </c>
      <c r="R37" s="7">
        <v>11</v>
      </c>
      <c r="S37" s="7">
        <v>9</v>
      </c>
      <c r="T37" s="7">
        <v>5</v>
      </c>
      <c r="U37" s="7">
        <v>7</v>
      </c>
      <c r="V37" s="7">
        <v>14</v>
      </c>
      <c r="W37" s="7">
        <v>15</v>
      </c>
      <c r="X37" s="7">
        <v>8</v>
      </c>
      <c r="Y37" s="7">
        <v>5</v>
      </c>
      <c r="Z37" s="7">
        <v>9</v>
      </c>
      <c r="AA37" s="7">
        <v>8</v>
      </c>
      <c r="AB37" s="7">
        <v>5</v>
      </c>
      <c r="AC37" s="7">
        <v>6</v>
      </c>
      <c r="AD37" s="7">
        <v>3</v>
      </c>
      <c r="AE37" s="7">
        <v>7</v>
      </c>
      <c r="AF37" s="8">
        <v>6</v>
      </c>
      <c r="AG37" s="4">
        <f t="shared" si="2"/>
        <v>226</v>
      </c>
    </row>
    <row r="38" spans="1:33" ht="18.75" x14ac:dyDescent="0.25">
      <c r="A38" s="41" t="s">
        <v>44</v>
      </c>
      <c r="B38" s="7">
        <v>7</v>
      </c>
      <c r="C38" s="7">
        <v>6</v>
      </c>
      <c r="D38" s="7">
        <v>5</v>
      </c>
      <c r="E38" s="7">
        <v>13</v>
      </c>
      <c r="F38" s="7">
        <v>7</v>
      </c>
      <c r="G38" s="7">
        <v>13</v>
      </c>
      <c r="H38" s="7">
        <v>10</v>
      </c>
      <c r="I38" s="7">
        <v>8</v>
      </c>
      <c r="J38" s="7">
        <v>9</v>
      </c>
      <c r="K38" s="7">
        <v>23</v>
      </c>
      <c r="L38" s="7">
        <v>8</v>
      </c>
      <c r="M38" s="7">
        <v>4</v>
      </c>
      <c r="N38" s="7">
        <v>4</v>
      </c>
      <c r="O38" s="7">
        <v>7</v>
      </c>
      <c r="P38" s="7">
        <v>4</v>
      </c>
      <c r="Q38" s="7">
        <v>7</v>
      </c>
      <c r="R38" s="7">
        <v>10</v>
      </c>
      <c r="S38" s="7">
        <v>7</v>
      </c>
      <c r="T38" s="7">
        <v>10</v>
      </c>
      <c r="U38" s="7">
        <v>7</v>
      </c>
      <c r="V38" s="7">
        <v>10</v>
      </c>
      <c r="W38" s="7">
        <v>7</v>
      </c>
      <c r="X38" s="7">
        <v>9</v>
      </c>
      <c r="Y38" s="7">
        <v>1</v>
      </c>
      <c r="Z38" s="7">
        <v>9</v>
      </c>
      <c r="AA38" s="7">
        <v>6</v>
      </c>
      <c r="AB38" s="7">
        <v>3</v>
      </c>
      <c r="AC38" s="7">
        <v>6</v>
      </c>
      <c r="AD38" s="7">
        <v>5</v>
      </c>
      <c r="AE38" s="7">
        <v>9</v>
      </c>
      <c r="AF38" s="8">
        <v>8</v>
      </c>
      <c r="AG38" s="4">
        <f t="shared" si="2"/>
        <v>242</v>
      </c>
    </row>
    <row r="39" spans="1:33" ht="18.75" x14ac:dyDescent="0.25">
      <c r="A39" s="41" t="s">
        <v>45</v>
      </c>
      <c r="B39" s="7">
        <v>8</v>
      </c>
      <c r="C39" s="7">
        <v>13</v>
      </c>
      <c r="D39" s="7">
        <v>13</v>
      </c>
      <c r="E39" s="7">
        <v>8</v>
      </c>
      <c r="F39" s="7">
        <v>11</v>
      </c>
      <c r="G39" s="7">
        <v>7</v>
      </c>
      <c r="H39" s="7">
        <v>10</v>
      </c>
      <c r="I39" s="7">
        <v>11</v>
      </c>
      <c r="J39" s="7">
        <v>9</v>
      </c>
      <c r="K39" s="7">
        <v>25</v>
      </c>
      <c r="L39" s="7">
        <v>7</v>
      </c>
      <c r="M39" s="7">
        <v>5</v>
      </c>
      <c r="N39" s="7">
        <v>14</v>
      </c>
      <c r="O39" s="7">
        <v>11</v>
      </c>
      <c r="P39" s="7">
        <v>10</v>
      </c>
      <c r="Q39" s="7">
        <v>6</v>
      </c>
      <c r="R39" s="7">
        <v>11</v>
      </c>
      <c r="S39" s="7">
        <v>11</v>
      </c>
      <c r="T39" s="7">
        <v>11</v>
      </c>
      <c r="U39" s="7">
        <v>12</v>
      </c>
      <c r="V39" s="7">
        <v>7</v>
      </c>
      <c r="W39" s="7">
        <v>12</v>
      </c>
      <c r="X39" s="7">
        <v>12</v>
      </c>
      <c r="Y39" s="7">
        <v>11</v>
      </c>
      <c r="Z39" s="7">
        <v>8</v>
      </c>
      <c r="AA39" s="7">
        <v>5</v>
      </c>
      <c r="AB39" s="7">
        <v>15</v>
      </c>
      <c r="AC39" s="7">
        <v>15</v>
      </c>
      <c r="AD39" s="7">
        <v>11</v>
      </c>
      <c r="AE39" s="7">
        <v>10</v>
      </c>
      <c r="AF39" s="8">
        <v>7</v>
      </c>
      <c r="AG39" s="4">
        <f t="shared" si="2"/>
        <v>326</v>
      </c>
    </row>
    <row r="40" spans="1:33" ht="18.75" x14ac:dyDescent="0.25">
      <c r="A40" s="41" t="s">
        <v>46</v>
      </c>
      <c r="B40" s="7">
        <v>13</v>
      </c>
      <c r="C40" s="7">
        <v>11</v>
      </c>
      <c r="D40" s="7">
        <v>7</v>
      </c>
      <c r="E40" s="7">
        <v>8</v>
      </c>
      <c r="F40" s="7">
        <v>4</v>
      </c>
      <c r="G40" s="7">
        <v>5</v>
      </c>
      <c r="H40" s="7">
        <v>7</v>
      </c>
      <c r="I40" s="7">
        <v>12</v>
      </c>
      <c r="J40" s="7">
        <v>9</v>
      </c>
      <c r="K40" s="7">
        <v>7</v>
      </c>
      <c r="L40" s="7">
        <v>6</v>
      </c>
      <c r="M40" s="7">
        <v>4</v>
      </c>
      <c r="N40" s="7">
        <v>10</v>
      </c>
      <c r="O40" s="7">
        <v>20</v>
      </c>
      <c r="P40" s="7">
        <v>8</v>
      </c>
      <c r="Q40" s="7">
        <v>5</v>
      </c>
      <c r="R40" s="7">
        <v>9</v>
      </c>
      <c r="S40" s="7">
        <v>8</v>
      </c>
      <c r="T40" s="7">
        <v>8</v>
      </c>
      <c r="U40" s="7">
        <v>6</v>
      </c>
      <c r="V40" s="7">
        <v>9</v>
      </c>
      <c r="W40" s="7">
        <v>7</v>
      </c>
      <c r="X40" s="7">
        <v>8</v>
      </c>
      <c r="Y40" s="7">
        <v>10</v>
      </c>
      <c r="Z40" s="7">
        <v>4</v>
      </c>
      <c r="AA40" s="7">
        <v>7</v>
      </c>
      <c r="AB40" s="7">
        <v>14</v>
      </c>
      <c r="AC40" s="7">
        <v>7</v>
      </c>
      <c r="AD40" s="7">
        <v>7</v>
      </c>
      <c r="AE40" s="7">
        <v>9</v>
      </c>
      <c r="AF40" s="8">
        <v>4</v>
      </c>
      <c r="AG40" s="4">
        <f t="shared" si="2"/>
        <v>253</v>
      </c>
    </row>
    <row r="41" spans="1:33" ht="18.75" x14ac:dyDescent="0.25">
      <c r="A41" s="41" t="s">
        <v>47</v>
      </c>
      <c r="B41" s="7">
        <v>7</v>
      </c>
      <c r="C41" s="7">
        <v>7</v>
      </c>
      <c r="D41" s="7">
        <v>5</v>
      </c>
      <c r="E41" s="7">
        <v>7</v>
      </c>
      <c r="F41" s="7">
        <v>2</v>
      </c>
      <c r="G41" s="7">
        <v>6</v>
      </c>
      <c r="H41" s="7">
        <v>8</v>
      </c>
      <c r="I41" s="7">
        <v>9</v>
      </c>
      <c r="J41" s="7">
        <v>1</v>
      </c>
      <c r="K41" s="7">
        <v>7</v>
      </c>
      <c r="L41" s="7">
        <v>5</v>
      </c>
      <c r="M41" s="7">
        <v>2</v>
      </c>
      <c r="N41" s="7">
        <v>7</v>
      </c>
      <c r="O41" s="7">
        <v>9</v>
      </c>
      <c r="P41" s="7">
        <v>12</v>
      </c>
      <c r="Q41" s="7">
        <v>6</v>
      </c>
      <c r="R41" s="7">
        <v>7</v>
      </c>
      <c r="S41" s="7">
        <v>4</v>
      </c>
      <c r="T41" s="7">
        <v>7</v>
      </c>
      <c r="U41" s="7">
        <v>5</v>
      </c>
      <c r="V41" s="7">
        <v>4</v>
      </c>
      <c r="W41" s="7">
        <v>6</v>
      </c>
      <c r="X41" s="7">
        <v>4</v>
      </c>
      <c r="Y41" s="7">
        <v>4</v>
      </c>
      <c r="Z41" s="7"/>
      <c r="AA41" s="7">
        <v>6</v>
      </c>
      <c r="AB41" s="7">
        <v>10</v>
      </c>
      <c r="AC41" s="7">
        <v>5</v>
      </c>
      <c r="AD41" s="7">
        <v>9</v>
      </c>
      <c r="AE41" s="7">
        <v>3</v>
      </c>
      <c r="AF41" s="8">
        <v>3</v>
      </c>
      <c r="AG41" s="4">
        <f t="shared" si="2"/>
        <v>177</v>
      </c>
    </row>
    <row r="42" spans="1:33" ht="18.75" x14ac:dyDescent="0.25">
      <c r="A42" s="41" t="s">
        <v>48</v>
      </c>
      <c r="B42" s="7">
        <v>6</v>
      </c>
      <c r="C42" s="7">
        <v>4</v>
      </c>
      <c r="D42" s="7">
        <v>2</v>
      </c>
      <c r="E42" s="7">
        <v>2</v>
      </c>
      <c r="F42" s="7">
        <v>3</v>
      </c>
      <c r="G42" s="7">
        <v>5</v>
      </c>
      <c r="H42" s="7">
        <v>5</v>
      </c>
      <c r="I42" s="7">
        <v>3</v>
      </c>
      <c r="J42" s="7">
        <v>2</v>
      </c>
      <c r="K42" s="7">
        <v>5</v>
      </c>
      <c r="L42" s="7">
        <v>2</v>
      </c>
      <c r="M42" s="7">
        <v>6</v>
      </c>
      <c r="N42" s="7">
        <v>11</v>
      </c>
      <c r="O42" s="7">
        <v>8</v>
      </c>
      <c r="P42" s="7">
        <v>4</v>
      </c>
      <c r="Q42" s="7">
        <v>6</v>
      </c>
      <c r="R42" s="7">
        <v>17</v>
      </c>
      <c r="S42" s="7">
        <v>9</v>
      </c>
      <c r="T42" s="7">
        <v>3</v>
      </c>
      <c r="U42" s="7">
        <v>1</v>
      </c>
      <c r="V42" s="7">
        <v>4</v>
      </c>
      <c r="W42" s="7">
        <v>6</v>
      </c>
      <c r="X42" s="7">
        <v>2</v>
      </c>
      <c r="Y42" s="7">
        <v>3</v>
      </c>
      <c r="Z42" s="7">
        <v>1</v>
      </c>
      <c r="AA42" s="7">
        <v>1</v>
      </c>
      <c r="AB42" s="7">
        <v>5</v>
      </c>
      <c r="AC42" s="7">
        <v>5</v>
      </c>
      <c r="AD42" s="7"/>
      <c r="AE42" s="7">
        <v>4</v>
      </c>
      <c r="AF42" s="8">
        <v>2</v>
      </c>
      <c r="AG42" s="4">
        <f t="shared" si="2"/>
        <v>137</v>
      </c>
    </row>
    <row r="43" spans="1:33" ht="18.75" x14ac:dyDescent="0.25">
      <c r="A43" s="41" t="s">
        <v>49</v>
      </c>
      <c r="B43" s="7">
        <v>1</v>
      </c>
      <c r="C43" s="7">
        <v>1</v>
      </c>
      <c r="D43" s="7">
        <v>4</v>
      </c>
      <c r="E43" s="7">
        <v>6</v>
      </c>
      <c r="F43" s="7">
        <v>6</v>
      </c>
      <c r="G43" s="7"/>
      <c r="H43" s="7">
        <v>2</v>
      </c>
      <c r="I43" s="7">
        <v>5</v>
      </c>
      <c r="J43" s="7">
        <v>2</v>
      </c>
      <c r="K43" s="7">
        <v>1</v>
      </c>
      <c r="L43" s="7">
        <v>4</v>
      </c>
      <c r="M43" s="7"/>
      <c r="N43" s="7">
        <v>3</v>
      </c>
      <c r="O43" s="7">
        <v>5</v>
      </c>
      <c r="P43" s="7">
        <v>6</v>
      </c>
      <c r="Q43" s="7">
        <v>4</v>
      </c>
      <c r="R43" s="7">
        <v>8</v>
      </c>
      <c r="S43" s="7">
        <v>3</v>
      </c>
      <c r="T43" s="7">
        <v>3</v>
      </c>
      <c r="U43" s="7">
        <v>7</v>
      </c>
      <c r="V43" s="7"/>
      <c r="W43" s="7">
        <v>2</v>
      </c>
      <c r="X43" s="7">
        <v>3</v>
      </c>
      <c r="Y43" s="7">
        <v>4</v>
      </c>
      <c r="Z43" s="7">
        <v>3</v>
      </c>
      <c r="AA43" s="7">
        <v>3</v>
      </c>
      <c r="AB43" s="7">
        <v>3</v>
      </c>
      <c r="AC43" s="7">
        <v>3</v>
      </c>
      <c r="AD43" s="7">
        <v>4</v>
      </c>
      <c r="AE43" s="7">
        <v>2</v>
      </c>
      <c r="AF43" s="8">
        <v>1</v>
      </c>
      <c r="AG43" s="4">
        <f t="shared" si="2"/>
        <v>99</v>
      </c>
    </row>
    <row r="44" spans="1:33" ht="18.75" x14ac:dyDescent="0.25">
      <c r="A44" s="41" t="s">
        <v>50</v>
      </c>
      <c r="B44" s="7"/>
      <c r="C44" s="7">
        <v>3</v>
      </c>
      <c r="D44" s="7">
        <v>1</v>
      </c>
      <c r="E44" s="7">
        <v>3</v>
      </c>
      <c r="F44" s="7">
        <v>7</v>
      </c>
      <c r="G44" s="7">
        <v>2</v>
      </c>
      <c r="H44" s="7"/>
      <c r="I44" s="7">
        <v>2</v>
      </c>
      <c r="J44" s="7"/>
      <c r="K44" s="7">
        <v>2</v>
      </c>
      <c r="L44" s="7">
        <v>6</v>
      </c>
      <c r="M44" s="7"/>
      <c r="N44" s="7">
        <v>3</v>
      </c>
      <c r="O44" s="7">
        <v>1</v>
      </c>
      <c r="P44" s="7">
        <v>2</v>
      </c>
      <c r="Q44" s="7">
        <v>3</v>
      </c>
      <c r="R44" s="7">
        <v>1</v>
      </c>
      <c r="S44" s="7">
        <v>1</v>
      </c>
      <c r="T44" s="7">
        <v>4</v>
      </c>
      <c r="U44" s="7"/>
      <c r="V44" s="7">
        <v>1</v>
      </c>
      <c r="W44" s="7">
        <v>1</v>
      </c>
      <c r="X44" s="7">
        <v>2</v>
      </c>
      <c r="Y44" s="7">
        <v>1</v>
      </c>
      <c r="Z44" s="7">
        <v>2</v>
      </c>
      <c r="AA44" s="7">
        <v>1</v>
      </c>
      <c r="AB44" s="7">
        <v>3</v>
      </c>
      <c r="AC44" s="7">
        <v>3</v>
      </c>
      <c r="AD44" s="7">
        <v>2</v>
      </c>
      <c r="AE44" s="7">
        <v>1</v>
      </c>
      <c r="AF44" s="8">
        <v>3</v>
      </c>
      <c r="AG44" s="4">
        <f t="shared" si="2"/>
        <v>61</v>
      </c>
    </row>
    <row r="45" spans="1:33" ht="18.75" x14ac:dyDescent="0.25">
      <c r="A45" s="41" t="s">
        <v>33</v>
      </c>
      <c r="B45" s="7">
        <v>2</v>
      </c>
      <c r="C45" s="7"/>
      <c r="D45" s="7">
        <v>1</v>
      </c>
      <c r="E45" s="7"/>
      <c r="F45" s="7">
        <v>2</v>
      </c>
      <c r="G45" s="7"/>
      <c r="H45" s="7"/>
      <c r="I45" s="7">
        <v>1</v>
      </c>
      <c r="J45" s="7"/>
      <c r="K45" s="7">
        <v>3</v>
      </c>
      <c r="L45" s="7">
        <v>1</v>
      </c>
      <c r="M45" s="7"/>
      <c r="N45" s="7">
        <v>1</v>
      </c>
      <c r="O45" s="7">
        <v>1</v>
      </c>
      <c r="P45" s="7">
        <v>1</v>
      </c>
      <c r="Q45" s="7">
        <v>1</v>
      </c>
      <c r="R45" s="7">
        <v>2</v>
      </c>
      <c r="S45" s="7">
        <v>1</v>
      </c>
      <c r="T45" s="7">
        <v>1</v>
      </c>
      <c r="U45" s="7">
        <v>2</v>
      </c>
      <c r="V45" s="7">
        <v>2</v>
      </c>
      <c r="W45" s="7">
        <v>2</v>
      </c>
      <c r="X45" s="7">
        <v>1</v>
      </c>
      <c r="Y45" s="7">
        <v>2</v>
      </c>
      <c r="Z45" s="7">
        <v>1</v>
      </c>
      <c r="AA45" s="7">
        <v>3</v>
      </c>
      <c r="AB45" s="7">
        <v>3</v>
      </c>
      <c r="AC45" s="7">
        <v>2</v>
      </c>
      <c r="AD45" s="7">
        <v>2</v>
      </c>
      <c r="AE45" s="7">
        <v>1</v>
      </c>
      <c r="AF45" s="8">
        <v>3</v>
      </c>
      <c r="AG45" s="4">
        <f t="shared" si="2"/>
        <v>42</v>
      </c>
    </row>
    <row r="46" spans="1:33" ht="18.75" x14ac:dyDescent="0.25">
      <c r="A46" s="41" t="s">
        <v>34</v>
      </c>
      <c r="B46" s="7">
        <v>3</v>
      </c>
      <c r="C46" s="7"/>
      <c r="D46" s="7"/>
      <c r="E46" s="7">
        <v>2</v>
      </c>
      <c r="F46" s="7"/>
      <c r="G46" s="7"/>
      <c r="H46" s="7"/>
      <c r="I46" s="7"/>
      <c r="J46" s="7">
        <v>5</v>
      </c>
      <c r="K46" s="7">
        <v>1</v>
      </c>
      <c r="L46" s="7">
        <v>0</v>
      </c>
      <c r="M46" s="7">
        <v>1</v>
      </c>
      <c r="N46" s="7">
        <v>1</v>
      </c>
      <c r="O46" s="7">
        <v>2</v>
      </c>
      <c r="P46" s="7">
        <v>2</v>
      </c>
      <c r="Q46" s="7">
        <v>2</v>
      </c>
      <c r="R46" s="7"/>
      <c r="S46" s="7">
        <v>1</v>
      </c>
      <c r="T46" s="7">
        <v>2</v>
      </c>
      <c r="U46" s="7"/>
      <c r="V46" s="7"/>
      <c r="W46" s="7">
        <v>1</v>
      </c>
      <c r="X46" s="7">
        <v>1</v>
      </c>
      <c r="Y46" s="7">
        <v>5</v>
      </c>
      <c r="Z46" s="7">
        <v>1</v>
      </c>
      <c r="AA46" s="7"/>
      <c r="AB46" s="7">
        <v>4</v>
      </c>
      <c r="AC46" s="7">
        <v>1</v>
      </c>
      <c r="AD46" s="7">
        <v>3</v>
      </c>
      <c r="AE46" s="7">
        <v>2</v>
      </c>
      <c r="AF46" s="8"/>
      <c r="AG46" s="4">
        <f t="shared" si="2"/>
        <v>40</v>
      </c>
    </row>
    <row r="47" spans="1:33" ht="18.75" x14ac:dyDescent="0.25">
      <c r="A47" s="41" t="s">
        <v>35</v>
      </c>
      <c r="B47" s="7"/>
      <c r="C47" s="7"/>
      <c r="D47" s="7"/>
      <c r="E47" s="7">
        <v>2</v>
      </c>
      <c r="F47" s="7"/>
      <c r="G47" s="7">
        <v>1</v>
      </c>
      <c r="H47" s="7">
        <v>1</v>
      </c>
      <c r="I47" s="7"/>
      <c r="J47" s="7"/>
      <c r="K47" s="7">
        <v>4</v>
      </c>
      <c r="L47" s="7">
        <v>1</v>
      </c>
      <c r="M47" s="7">
        <v>2</v>
      </c>
      <c r="N47" s="7"/>
      <c r="O47" s="7">
        <v>2</v>
      </c>
      <c r="P47" s="7"/>
      <c r="Q47" s="7">
        <v>4</v>
      </c>
      <c r="R47" s="7"/>
      <c r="S47" s="7"/>
      <c r="T47" s="7">
        <v>1</v>
      </c>
      <c r="U47" s="7">
        <v>1</v>
      </c>
      <c r="V47" s="7"/>
      <c r="W47" s="7"/>
      <c r="X47" s="7"/>
      <c r="Y47" s="7">
        <v>2</v>
      </c>
      <c r="Z47" s="7">
        <v>2</v>
      </c>
      <c r="AA47" s="7"/>
      <c r="AB47" s="7"/>
      <c r="AC47" s="7"/>
      <c r="AD47" s="7"/>
      <c r="AE47" s="7"/>
      <c r="AF47" s="8">
        <v>4</v>
      </c>
      <c r="AG47" s="4">
        <f t="shared" si="2"/>
        <v>27</v>
      </c>
    </row>
    <row r="48" spans="1:33" ht="18.75" x14ac:dyDescent="0.25">
      <c r="A48" s="41" t="s">
        <v>36</v>
      </c>
      <c r="B48" s="7"/>
      <c r="C48" s="7"/>
      <c r="D48" s="7">
        <v>1</v>
      </c>
      <c r="E48" s="7"/>
      <c r="F48" s="7"/>
      <c r="G48" s="7"/>
      <c r="H48" s="7"/>
      <c r="I48" s="7"/>
      <c r="J48" s="7">
        <v>1</v>
      </c>
      <c r="K48" s="7">
        <v>1</v>
      </c>
      <c r="L48" s="7">
        <v>0</v>
      </c>
      <c r="M48" s="7"/>
      <c r="N48" s="7"/>
      <c r="O48" s="7"/>
      <c r="P48" s="7"/>
      <c r="Q48" s="7"/>
      <c r="R48" s="7"/>
      <c r="S48" s="7"/>
      <c r="T48" s="7">
        <v>2</v>
      </c>
      <c r="U48" s="7"/>
      <c r="V48" s="7">
        <v>1</v>
      </c>
      <c r="W48" s="7"/>
      <c r="X48" s="7"/>
      <c r="Y48" s="7">
        <v>4</v>
      </c>
      <c r="Z48" s="7"/>
      <c r="AA48" s="7">
        <v>1</v>
      </c>
      <c r="AB48" s="7"/>
      <c r="AC48" s="7">
        <v>2</v>
      </c>
      <c r="AD48" s="7"/>
      <c r="AE48" s="7"/>
      <c r="AF48" s="8"/>
      <c r="AG48" s="4">
        <f t="shared" si="2"/>
        <v>13</v>
      </c>
    </row>
    <row r="49" spans="1:33" ht="18.75" x14ac:dyDescent="0.25">
      <c r="A49" s="41" t="s">
        <v>51</v>
      </c>
      <c r="B49" s="7">
        <v>2</v>
      </c>
      <c r="C49" s="7"/>
      <c r="D49" s="7"/>
      <c r="E49" s="7">
        <v>1</v>
      </c>
      <c r="F49" s="7"/>
      <c r="G49" s="7">
        <v>1</v>
      </c>
      <c r="H49" s="7"/>
      <c r="I49" s="7">
        <v>1</v>
      </c>
      <c r="J49" s="7">
        <v>3</v>
      </c>
      <c r="K49" s="7"/>
      <c r="L49" s="7">
        <v>1</v>
      </c>
      <c r="M49" s="7"/>
      <c r="N49" s="7"/>
      <c r="O49" s="7"/>
      <c r="P49" s="7"/>
      <c r="Q49" s="7"/>
      <c r="R49" s="7"/>
      <c r="S49" s="7"/>
      <c r="T49" s="7"/>
      <c r="U49" s="7"/>
      <c r="V49" s="7">
        <v>1</v>
      </c>
      <c r="W49" s="7"/>
      <c r="X49" s="7"/>
      <c r="Y49" s="7">
        <v>1</v>
      </c>
      <c r="Z49" s="7">
        <v>1</v>
      </c>
      <c r="AA49" s="7">
        <v>1</v>
      </c>
      <c r="AB49" s="7"/>
      <c r="AC49" s="7"/>
      <c r="AD49" s="7"/>
      <c r="AE49" s="7"/>
      <c r="AF49" s="8"/>
      <c r="AG49" s="4">
        <f t="shared" si="2"/>
        <v>13</v>
      </c>
    </row>
    <row r="50" spans="1:33" ht="18.75" x14ac:dyDescent="0.25">
      <c r="A50" s="41" t="s">
        <v>52</v>
      </c>
      <c r="B50" s="7">
        <v>1</v>
      </c>
      <c r="C50" s="7"/>
      <c r="D50" s="7"/>
      <c r="E50" s="7"/>
      <c r="F50" s="7">
        <v>1</v>
      </c>
      <c r="G50" s="7"/>
      <c r="H50" s="7"/>
      <c r="I50" s="7"/>
      <c r="J50" s="7"/>
      <c r="K50" s="7">
        <v>2</v>
      </c>
      <c r="L50" s="7">
        <v>0</v>
      </c>
      <c r="M50" s="7"/>
      <c r="N50" s="7"/>
      <c r="O50" s="7"/>
      <c r="P50" s="7"/>
      <c r="Q50" s="7"/>
      <c r="R50" s="7">
        <v>2</v>
      </c>
      <c r="S50" s="7"/>
      <c r="T50" s="7"/>
      <c r="U50" s="7">
        <v>3</v>
      </c>
      <c r="V50" s="7"/>
      <c r="W50" s="7">
        <v>4</v>
      </c>
      <c r="X50" s="7"/>
      <c r="Y50" s="7"/>
      <c r="Z50" s="7">
        <v>2</v>
      </c>
      <c r="AA50" s="7"/>
      <c r="AB50" s="7"/>
      <c r="AC50" s="7"/>
      <c r="AD50" s="7"/>
      <c r="AE50" s="7">
        <v>1</v>
      </c>
      <c r="AF50" s="8"/>
      <c r="AG50" s="4">
        <f t="shared" si="2"/>
        <v>16</v>
      </c>
    </row>
    <row r="51" spans="1:33" ht="18.75" x14ac:dyDescent="0.25">
      <c r="A51" s="41" t="s">
        <v>37</v>
      </c>
      <c r="B51" s="7">
        <v>2</v>
      </c>
      <c r="C51" s="7">
        <v>3</v>
      </c>
      <c r="D51" s="7">
        <v>3</v>
      </c>
      <c r="E51" s="7"/>
      <c r="F51" s="7"/>
      <c r="G51" s="7">
        <v>2</v>
      </c>
      <c r="H51" s="7"/>
      <c r="I51" s="7"/>
      <c r="J51" s="7"/>
      <c r="K51" s="7"/>
      <c r="L51" s="7">
        <v>1</v>
      </c>
      <c r="M51" s="7"/>
      <c r="N51" s="7"/>
      <c r="O51" s="7">
        <v>1</v>
      </c>
      <c r="P51" s="7"/>
      <c r="Q51" s="7">
        <v>1</v>
      </c>
      <c r="R51" s="7"/>
      <c r="S51" s="7"/>
      <c r="T51" s="7">
        <v>1</v>
      </c>
      <c r="U51" s="7">
        <v>2</v>
      </c>
      <c r="V51" s="7"/>
      <c r="W51" s="7"/>
      <c r="X51" s="7"/>
      <c r="Y51" s="7"/>
      <c r="Z51" s="7"/>
      <c r="AA51" s="7"/>
      <c r="AB51" s="7"/>
      <c r="AC51" s="7"/>
      <c r="AD51" s="7">
        <v>1</v>
      </c>
      <c r="AE51" s="7"/>
      <c r="AF51" s="8"/>
      <c r="AG51" s="4">
        <f t="shared" si="2"/>
        <v>17</v>
      </c>
    </row>
    <row r="52" spans="1:33" ht="19.5" thickBot="1" x14ac:dyDescent="0.3">
      <c r="A52" s="77" t="s">
        <v>53</v>
      </c>
      <c r="B52" s="9"/>
      <c r="C52" s="9"/>
      <c r="D52" s="9">
        <v>1</v>
      </c>
      <c r="E52" s="9"/>
      <c r="F52" s="9"/>
      <c r="G52" s="9">
        <v>1</v>
      </c>
      <c r="H52" s="9">
        <v>1</v>
      </c>
      <c r="I52" s="9"/>
      <c r="J52" s="9"/>
      <c r="K52" s="9"/>
      <c r="L52" s="9">
        <v>1</v>
      </c>
      <c r="M52" s="9">
        <v>1</v>
      </c>
      <c r="N52" s="9"/>
      <c r="O52" s="9"/>
      <c r="P52" s="9"/>
      <c r="Q52" s="9"/>
      <c r="R52" s="9"/>
      <c r="S52" s="9">
        <v>1</v>
      </c>
      <c r="T52" s="9"/>
      <c r="U52" s="9"/>
      <c r="V52" s="9">
        <v>1</v>
      </c>
      <c r="W52" s="9"/>
      <c r="X52" s="9"/>
      <c r="Y52" s="9"/>
      <c r="Z52" s="9"/>
      <c r="AA52" s="9"/>
      <c r="AB52" s="9"/>
      <c r="AC52" s="9">
        <v>3</v>
      </c>
      <c r="AD52" s="9"/>
      <c r="AE52" s="9">
        <v>1</v>
      </c>
      <c r="AF52" s="10"/>
      <c r="AG52" s="108">
        <f t="shared" si="2"/>
        <v>11</v>
      </c>
    </row>
    <row r="53" spans="1:33" ht="19.5" thickBot="1" x14ac:dyDescent="0.3">
      <c r="A53" s="136" t="s">
        <v>108</v>
      </c>
      <c r="B53" s="135">
        <f t="shared" ref="B53:AF53" si="4">SUM(B54:B77)</f>
        <v>0</v>
      </c>
      <c r="C53" s="135">
        <f t="shared" si="4"/>
        <v>8</v>
      </c>
      <c r="D53" s="135">
        <f t="shared" si="4"/>
        <v>4</v>
      </c>
      <c r="E53" s="135">
        <f t="shared" si="4"/>
        <v>1</v>
      </c>
      <c r="F53" s="135">
        <f t="shared" si="4"/>
        <v>3</v>
      </c>
      <c r="G53" s="135">
        <f t="shared" si="4"/>
        <v>19</v>
      </c>
      <c r="H53" s="135">
        <f t="shared" si="4"/>
        <v>10</v>
      </c>
      <c r="I53" s="135">
        <f t="shared" si="4"/>
        <v>11</v>
      </c>
      <c r="J53" s="135">
        <f t="shared" si="4"/>
        <v>5</v>
      </c>
      <c r="K53" s="135">
        <f t="shared" si="4"/>
        <v>6</v>
      </c>
      <c r="L53" s="135">
        <f t="shared" si="4"/>
        <v>1</v>
      </c>
      <c r="M53" s="135">
        <f t="shared" si="4"/>
        <v>1</v>
      </c>
      <c r="N53" s="135">
        <f t="shared" si="4"/>
        <v>2</v>
      </c>
      <c r="O53" s="135">
        <f t="shared" si="4"/>
        <v>10</v>
      </c>
      <c r="P53" s="135">
        <f t="shared" si="4"/>
        <v>6</v>
      </c>
      <c r="Q53" s="135">
        <f t="shared" si="4"/>
        <v>2</v>
      </c>
      <c r="R53" s="135">
        <f t="shared" si="4"/>
        <v>3</v>
      </c>
      <c r="S53" s="135">
        <f t="shared" si="4"/>
        <v>4</v>
      </c>
      <c r="T53" s="135">
        <f t="shared" si="4"/>
        <v>1</v>
      </c>
      <c r="U53" s="135">
        <f t="shared" si="4"/>
        <v>11</v>
      </c>
      <c r="V53" s="135">
        <f t="shared" si="4"/>
        <v>11</v>
      </c>
      <c r="W53" s="135">
        <f t="shared" si="4"/>
        <v>18</v>
      </c>
      <c r="X53" s="135">
        <f t="shared" si="4"/>
        <v>11</v>
      </c>
      <c r="Y53" s="135">
        <f t="shared" si="4"/>
        <v>9</v>
      </c>
      <c r="Z53" s="135">
        <f t="shared" si="4"/>
        <v>5</v>
      </c>
      <c r="AA53" s="135">
        <f t="shared" si="4"/>
        <v>0</v>
      </c>
      <c r="AB53" s="135">
        <f t="shared" si="4"/>
        <v>29</v>
      </c>
      <c r="AC53" s="135">
        <f t="shared" si="4"/>
        <v>6</v>
      </c>
      <c r="AD53" s="135">
        <f t="shared" si="4"/>
        <v>8</v>
      </c>
      <c r="AE53" s="135">
        <f t="shared" si="4"/>
        <v>5</v>
      </c>
      <c r="AF53" s="135">
        <f t="shared" si="4"/>
        <v>3</v>
      </c>
      <c r="AG53" s="116">
        <f t="shared" si="2"/>
        <v>213</v>
      </c>
    </row>
    <row r="54" spans="1:33" ht="18.75" x14ac:dyDescent="0.25">
      <c r="A54" s="113" t="s">
        <v>54</v>
      </c>
      <c r="B54" s="114"/>
      <c r="C54" s="114"/>
      <c r="D54" s="7"/>
      <c r="E54" s="114"/>
      <c r="F54" s="114"/>
      <c r="G54" s="7">
        <v>2</v>
      </c>
      <c r="H54" s="114">
        <v>1</v>
      </c>
      <c r="I54" s="114"/>
      <c r="J54" s="114"/>
      <c r="K54" s="114"/>
      <c r="L54" s="114"/>
      <c r="M54" s="114"/>
      <c r="N54" s="114"/>
      <c r="O54" s="114"/>
      <c r="P54" s="114"/>
      <c r="Q54" s="114"/>
      <c r="R54" s="114">
        <v>1</v>
      </c>
      <c r="S54" s="114"/>
      <c r="T54" s="114"/>
      <c r="U54" s="114"/>
      <c r="V54" s="114"/>
      <c r="W54" s="114">
        <v>1</v>
      </c>
      <c r="X54" s="114">
        <v>1</v>
      </c>
      <c r="Y54" s="114"/>
      <c r="Z54" s="114"/>
      <c r="AA54" s="114"/>
      <c r="AB54" s="114"/>
      <c r="AC54" s="114"/>
      <c r="AD54" s="114"/>
      <c r="AE54" s="114"/>
      <c r="AF54" s="115"/>
      <c r="AG54" s="132">
        <f t="shared" si="2"/>
        <v>6</v>
      </c>
    </row>
    <row r="55" spans="1:33" ht="18.75" x14ac:dyDescent="0.25">
      <c r="A55" s="41" t="s">
        <v>55</v>
      </c>
      <c r="B55" s="7"/>
      <c r="C55" s="7">
        <v>1</v>
      </c>
      <c r="D55" s="7">
        <v>2</v>
      </c>
      <c r="E55" s="7"/>
      <c r="F55" s="7"/>
      <c r="G55" s="7"/>
      <c r="H55" s="7"/>
      <c r="I55" s="7">
        <v>3</v>
      </c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>
        <v>2</v>
      </c>
      <c r="W55" s="7">
        <v>3</v>
      </c>
      <c r="X55" s="7">
        <v>2</v>
      </c>
      <c r="Y55" s="7"/>
      <c r="Z55" s="7"/>
      <c r="AA55" s="7"/>
      <c r="AB55" s="7"/>
      <c r="AC55" s="7"/>
      <c r="AD55" s="7"/>
      <c r="AE55" s="7"/>
      <c r="AF55" s="8">
        <v>1</v>
      </c>
      <c r="AG55" s="4">
        <f t="shared" si="2"/>
        <v>14</v>
      </c>
    </row>
    <row r="56" spans="1:33" ht="18.75" x14ac:dyDescent="0.25">
      <c r="A56" s="41" t="s">
        <v>56</v>
      </c>
      <c r="B56" s="7"/>
      <c r="C56" s="7">
        <v>1</v>
      </c>
      <c r="D56" s="7"/>
      <c r="E56" s="7"/>
      <c r="F56" s="7"/>
      <c r="G56" s="7">
        <v>5</v>
      </c>
      <c r="H56" s="7"/>
      <c r="I56" s="7">
        <v>1</v>
      </c>
      <c r="J56" s="7">
        <v>2</v>
      </c>
      <c r="K56" s="7">
        <v>3</v>
      </c>
      <c r="L56" s="7"/>
      <c r="M56" s="7"/>
      <c r="N56" s="7"/>
      <c r="O56" s="7"/>
      <c r="P56" s="7"/>
      <c r="Q56" s="7">
        <v>1</v>
      </c>
      <c r="R56" s="7"/>
      <c r="S56" s="7"/>
      <c r="T56" s="7"/>
      <c r="U56" s="7">
        <v>1</v>
      </c>
      <c r="V56" s="7">
        <v>2</v>
      </c>
      <c r="W56" s="7">
        <v>3</v>
      </c>
      <c r="X56" s="7">
        <v>1</v>
      </c>
      <c r="Y56" s="7">
        <v>1</v>
      </c>
      <c r="Z56" s="7"/>
      <c r="AA56" s="7"/>
      <c r="AB56" s="7">
        <v>2</v>
      </c>
      <c r="AC56" s="7">
        <v>1</v>
      </c>
      <c r="AD56" s="7"/>
      <c r="AE56" s="7"/>
      <c r="AF56" s="8"/>
      <c r="AG56" s="4">
        <f t="shared" si="2"/>
        <v>24</v>
      </c>
    </row>
    <row r="57" spans="1:33" ht="18.75" x14ac:dyDescent="0.25">
      <c r="A57" s="41" t="s">
        <v>38</v>
      </c>
      <c r="B57" s="7"/>
      <c r="C57" s="7">
        <v>1</v>
      </c>
      <c r="D57" s="7"/>
      <c r="E57" s="7"/>
      <c r="F57" s="7"/>
      <c r="G57" s="7">
        <v>5</v>
      </c>
      <c r="H57" s="7"/>
      <c r="I57" s="7">
        <v>1</v>
      </c>
      <c r="J57" s="7"/>
      <c r="K57" s="7"/>
      <c r="L57" s="7"/>
      <c r="M57" s="7"/>
      <c r="N57" s="7"/>
      <c r="O57" s="7"/>
      <c r="P57" s="7">
        <v>1</v>
      </c>
      <c r="Q57" s="7"/>
      <c r="R57" s="7">
        <v>1</v>
      </c>
      <c r="S57" s="7">
        <v>1</v>
      </c>
      <c r="T57" s="7"/>
      <c r="U57" s="7">
        <v>2</v>
      </c>
      <c r="V57" s="7">
        <v>1</v>
      </c>
      <c r="W57" s="7">
        <v>2</v>
      </c>
      <c r="X57" s="7">
        <v>2</v>
      </c>
      <c r="Y57" s="7"/>
      <c r="Z57" s="7">
        <v>1</v>
      </c>
      <c r="AA57" s="7"/>
      <c r="AB57" s="7"/>
      <c r="AC57" s="7"/>
      <c r="AD57" s="7">
        <v>1</v>
      </c>
      <c r="AE57" s="7">
        <v>1</v>
      </c>
      <c r="AF57" s="8"/>
      <c r="AG57" s="4">
        <f t="shared" si="2"/>
        <v>20</v>
      </c>
    </row>
    <row r="58" spans="1:33" ht="18.75" x14ac:dyDescent="0.25">
      <c r="A58" s="41" t="s">
        <v>39</v>
      </c>
      <c r="B58" s="7"/>
      <c r="C58" s="7">
        <v>1</v>
      </c>
      <c r="D58" s="7"/>
      <c r="E58" s="7"/>
      <c r="F58" s="7"/>
      <c r="G58" s="7">
        <v>2</v>
      </c>
      <c r="H58" s="7">
        <v>2</v>
      </c>
      <c r="I58" s="7"/>
      <c r="J58" s="7"/>
      <c r="K58" s="7"/>
      <c r="L58" s="7"/>
      <c r="M58" s="7">
        <v>1</v>
      </c>
      <c r="N58" s="7"/>
      <c r="O58" s="7"/>
      <c r="P58" s="7"/>
      <c r="Q58" s="7"/>
      <c r="R58" s="7"/>
      <c r="S58" s="7"/>
      <c r="T58" s="7"/>
      <c r="U58" s="7">
        <v>2</v>
      </c>
      <c r="V58" s="7"/>
      <c r="W58" s="7">
        <v>1</v>
      </c>
      <c r="X58" s="7">
        <v>2</v>
      </c>
      <c r="Y58" s="7">
        <v>1</v>
      </c>
      <c r="Z58" s="7">
        <v>1</v>
      </c>
      <c r="AA58" s="7"/>
      <c r="AB58" s="7">
        <v>4</v>
      </c>
      <c r="AC58" s="7">
        <v>1</v>
      </c>
      <c r="AD58" s="7">
        <v>1</v>
      </c>
      <c r="AE58" s="7"/>
      <c r="AF58" s="8">
        <v>1</v>
      </c>
      <c r="AG58" s="4">
        <f t="shared" si="2"/>
        <v>20</v>
      </c>
    </row>
    <row r="59" spans="1:33" ht="18.75" x14ac:dyDescent="0.25">
      <c r="A59" s="41" t="s">
        <v>40</v>
      </c>
      <c r="B59" s="7"/>
      <c r="C59" s="7">
        <v>1</v>
      </c>
      <c r="D59" s="7"/>
      <c r="E59" s="7"/>
      <c r="F59" s="7"/>
      <c r="G59" s="7">
        <v>1</v>
      </c>
      <c r="H59" s="7"/>
      <c r="I59" s="7"/>
      <c r="J59" s="7"/>
      <c r="K59" s="7"/>
      <c r="L59" s="7"/>
      <c r="M59" s="7"/>
      <c r="N59" s="7">
        <v>1</v>
      </c>
      <c r="O59" s="7"/>
      <c r="P59" s="7"/>
      <c r="Q59" s="7"/>
      <c r="R59" s="7"/>
      <c r="S59" s="7"/>
      <c r="T59" s="7"/>
      <c r="U59" s="7"/>
      <c r="V59" s="7"/>
      <c r="W59" s="7">
        <v>1</v>
      </c>
      <c r="X59" s="7"/>
      <c r="Y59" s="7">
        <v>1</v>
      </c>
      <c r="Z59" s="7">
        <v>3</v>
      </c>
      <c r="AA59" s="7"/>
      <c r="AB59" s="7">
        <v>1</v>
      </c>
      <c r="AC59" s="7">
        <v>3</v>
      </c>
      <c r="AD59" s="7"/>
      <c r="AE59" s="7"/>
      <c r="AF59" s="8"/>
      <c r="AG59" s="4">
        <f t="shared" si="2"/>
        <v>12</v>
      </c>
    </row>
    <row r="60" spans="1:33" ht="18.75" x14ac:dyDescent="0.25">
      <c r="A60" s="41" t="s">
        <v>41</v>
      </c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>
        <v>1</v>
      </c>
      <c r="Q60" s="7"/>
      <c r="R60" s="7"/>
      <c r="S60" s="7">
        <v>1</v>
      </c>
      <c r="T60" s="7"/>
      <c r="U60" s="7">
        <v>2</v>
      </c>
      <c r="V60" s="7">
        <v>1</v>
      </c>
      <c r="W60" s="7"/>
      <c r="X60" s="7">
        <v>1</v>
      </c>
      <c r="Y60" s="7">
        <v>1</v>
      </c>
      <c r="Z60" s="7"/>
      <c r="AA60" s="7"/>
      <c r="AB60" s="7">
        <v>5</v>
      </c>
      <c r="AC60" s="7"/>
      <c r="AD60" s="7">
        <v>1</v>
      </c>
      <c r="AE60" s="7">
        <v>3</v>
      </c>
      <c r="AF60" s="8"/>
      <c r="AG60" s="4">
        <f t="shared" si="2"/>
        <v>16</v>
      </c>
    </row>
    <row r="61" spans="1:33" ht="18.75" x14ac:dyDescent="0.25">
      <c r="A61" s="41" t="s">
        <v>42</v>
      </c>
      <c r="B61" s="7"/>
      <c r="C61" s="7">
        <v>1</v>
      </c>
      <c r="D61" s="7">
        <v>1</v>
      </c>
      <c r="E61" s="7"/>
      <c r="F61" s="7"/>
      <c r="G61" s="7">
        <v>2</v>
      </c>
      <c r="H61" s="7">
        <v>2</v>
      </c>
      <c r="I61" s="7"/>
      <c r="J61" s="7">
        <v>1</v>
      </c>
      <c r="K61" s="7">
        <v>3</v>
      </c>
      <c r="L61" s="7"/>
      <c r="M61" s="7"/>
      <c r="N61" s="7"/>
      <c r="O61" s="7"/>
      <c r="P61" s="7">
        <v>1</v>
      </c>
      <c r="Q61" s="7"/>
      <c r="R61" s="7"/>
      <c r="S61" s="7">
        <v>1</v>
      </c>
      <c r="T61" s="7"/>
      <c r="U61" s="7">
        <v>1</v>
      </c>
      <c r="V61" s="7">
        <v>2</v>
      </c>
      <c r="W61" s="7">
        <v>2</v>
      </c>
      <c r="X61" s="7"/>
      <c r="Y61" s="7"/>
      <c r="Z61" s="7"/>
      <c r="AA61" s="7"/>
      <c r="AB61" s="7">
        <v>1</v>
      </c>
      <c r="AC61" s="7"/>
      <c r="AD61" s="7">
        <v>3</v>
      </c>
      <c r="AE61" s="7"/>
      <c r="AF61" s="8"/>
      <c r="AG61" s="4">
        <f t="shared" si="2"/>
        <v>21</v>
      </c>
    </row>
    <row r="62" spans="1:33" ht="18.75" x14ac:dyDescent="0.25">
      <c r="A62" s="41" t="s">
        <v>43</v>
      </c>
      <c r="B62" s="7"/>
      <c r="C62" s="7"/>
      <c r="D62" s="7"/>
      <c r="E62" s="7"/>
      <c r="F62" s="7">
        <v>2</v>
      </c>
      <c r="G62" s="7">
        <v>1</v>
      </c>
      <c r="H62" s="7"/>
      <c r="I62" s="7">
        <v>1</v>
      </c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>
        <v>3</v>
      </c>
      <c r="V62" s="7"/>
      <c r="W62" s="7"/>
      <c r="X62" s="7"/>
      <c r="Y62" s="7">
        <v>2</v>
      </c>
      <c r="Z62" s="7"/>
      <c r="AA62" s="7"/>
      <c r="AB62" s="7">
        <v>4</v>
      </c>
      <c r="AC62" s="7"/>
      <c r="AD62" s="7"/>
      <c r="AE62" s="7"/>
      <c r="AF62" s="8"/>
      <c r="AG62" s="4">
        <f t="shared" si="2"/>
        <v>13</v>
      </c>
    </row>
    <row r="63" spans="1:33" ht="18.75" x14ac:dyDescent="0.25">
      <c r="A63" s="41" t="s">
        <v>44</v>
      </c>
      <c r="B63" s="7"/>
      <c r="C63" s="7"/>
      <c r="D63" s="7">
        <v>1</v>
      </c>
      <c r="E63" s="7"/>
      <c r="F63" s="7"/>
      <c r="G63" s="7"/>
      <c r="H63" s="7">
        <v>1</v>
      </c>
      <c r="I63" s="7">
        <v>3</v>
      </c>
      <c r="J63" s="7"/>
      <c r="K63" s="7"/>
      <c r="L63" s="7"/>
      <c r="M63" s="7"/>
      <c r="N63" s="7">
        <v>1</v>
      </c>
      <c r="O63" s="7">
        <v>2</v>
      </c>
      <c r="P63" s="7">
        <v>2</v>
      </c>
      <c r="Q63" s="7"/>
      <c r="R63" s="7"/>
      <c r="S63" s="7">
        <v>1</v>
      </c>
      <c r="T63" s="7"/>
      <c r="U63" s="7"/>
      <c r="V63" s="7">
        <v>2</v>
      </c>
      <c r="W63" s="7">
        <v>2</v>
      </c>
      <c r="X63" s="7"/>
      <c r="Y63" s="7"/>
      <c r="Z63" s="7"/>
      <c r="AA63" s="7"/>
      <c r="AB63" s="7">
        <v>5</v>
      </c>
      <c r="AC63" s="7"/>
      <c r="AD63" s="7">
        <v>1</v>
      </c>
      <c r="AE63" s="7"/>
      <c r="AF63" s="8"/>
      <c r="AG63" s="4">
        <f t="shared" si="2"/>
        <v>21</v>
      </c>
    </row>
    <row r="64" spans="1:33" ht="18.75" x14ac:dyDescent="0.25">
      <c r="A64" s="41" t="s">
        <v>45</v>
      </c>
      <c r="B64" s="7"/>
      <c r="C64" s="7">
        <v>1</v>
      </c>
      <c r="D64" s="7"/>
      <c r="E64" s="7"/>
      <c r="F64" s="7"/>
      <c r="G64" s="7">
        <v>1</v>
      </c>
      <c r="H64" s="7">
        <v>3</v>
      </c>
      <c r="I64" s="7">
        <v>1</v>
      </c>
      <c r="J64" s="7">
        <v>2</v>
      </c>
      <c r="K64" s="7"/>
      <c r="L64" s="7"/>
      <c r="M64" s="7"/>
      <c r="N64" s="7"/>
      <c r="O64" s="7">
        <v>5</v>
      </c>
      <c r="P64" s="7">
        <v>1</v>
      </c>
      <c r="Q64" s="7">
        <v>1</v>
      </c>
      <c r="R64" s="7"/>
      <c r="S64" s="7"/>
      <c r="T64" s="7">
        <v>1</v>
      </c>
      <c r="U64" s="7"/>
      <c r="V64" s="7"/>
      <c r="W64" s="7">
        <v>3</v>
      </c>
      <c r="X64" s="7">
        <v>1</v>
      </c>
      <c r="Y64" s="7">
        <v>1</v>
      </c>
      <c r="Z64" s="7"/>
      <c r="AA64" s="7"/>
      <c r="AB64" s="7">
        <v>6</v>
      </c>
      <c r="AC64" s="7">
        <v>1</v>
      </c>
      <c r="AD64" s="7">
        <v>1</v>
      </c>
      <c r="AE64" s="7">
        <v>1</v>
      </c>
      <c r="AF64" s="8"/>
      <c r="AG64" s="4">
        <f t="shared" si="2"/>
        <v>30</v>
      </c>
    </row>
    <row r="65" spans="1:33" ht="18.75" x14ac:dyDescent="0.25">
      <c r="A65" s="41" t="s">
        <v>46</v>
      </c>
      <c r="B65" s="7"/>
      <c r="C65" s="7">
        <v>1</v>
      </c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>
        <v>1</v>
      </c>
      <c r="P65" s="7"/>
      <c r="Q65" s="7"/>
      <c r="R65" s="7">
        <v>1</v>
      </c>
      <c r="S65" s="7"/>
      <c r="T65" s="7"/>
      <c r="U65" s="7"/>
      <c r="V65" s="7"/>
      <c r="W65" s="7"/>
      <c r="X65" s="7">
        <v>1</v>
      </c>
      <c r="Y65" s="7">
        <v>2</v>
      </c>
      <c r="Z65" s="7"/>
      <c r="AA65" s="7"/>
      <c r="AB65" s="7"/>
      <c r="AC65" s="7"/>
      <c r="AD65" s="7"/>
      <c r="AE65" s="7"/>
      <c r="AF65" s="8">
        <v>1</v>
      </c>
      <c r="AG65" s="4">
        <f t="shared" si="2"/>
        <v>7</v>
      </c>
    </row>
    <row r="66" spans="1:33" ht="18.75" x14ac:dyDescent="0.25">
      <c r="A66" s="41" t="s">
        <v>47</v>
      </c>
      <c r="B66" s="7"/>
      <c r="C66" s="7"/>
      <c r="D66" s="7"/>
      <c r="E66" s="7">
        <v>1</v>
      </c>
      <c r="F66" s="7"/>
      <c r="G66" s="7"/>
      <c r="H66" s="7"/>
      <c r="I66" s="7">
        <v>1</v>
      </c>
      <c r="J66" s="7"/>
      <c r="K66" s="7"/>
      <c r="L66" s="7"/>
      <c r="M66" s="7"/>
      <c r="N66" s="7"/>
      <c r="O66" s="7">
        <v>1</v>
      </c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>
        <v>1</v>
      </c>
      <c r="AC66" s="7"/>
      <c r="AD66" s="7"/>
      <c r="AE66" s="7"/>
      <c r="AF66" s="8"/>
      <c r="AG66" s="4">
        <f t="shared" si="2"/>
        <v>4</v>
      </c>
    </row>
    <row r="67" spans="1:33" ht="18.75" x14ac:dyDescent="0.25">
      <c r="A67" s="41" t="s">
        <v>48</v>
      </c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>
        <v>1</v>
      </c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8"/>
      <c r="AG67" s="4">
        <f t="shared" si="2"/>
        <v>1</v>
      </c>
    </row>
    <row r="68" spans="1:33" ht="18.75" x14ac:dyDescent="0.25">
      <c r="A68" s="41" t="s">
        <v>49</v>
      </c>
      <c r="B68" s="7"/>
      <c r="C68" s="7"/>
      <c r="D68" s="7"/>
      <c r="E68" s="7"/>
      <c r="F68" s="7">
        <v>1</v>
      </c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8"/>
      <c r="AG68" s="4">
        <f t="shared" si="2"/>
        <v>1</v>
      </c>
    </row>
    <row r="69" spans="1:33" ht="18.75" x14ac:dyDescent="0.25">
      <c r="A69" s="41" t="s">
        <v>50</v>
      </c>
      <c r="B69" s="7"/>
      <c r="C69" s="7"/>
      <c r="D69" s="7"/>
      <c r="E69" s="7"/>
      <c r="F69" s="7"/>
      <c r="G69" s="7"/>
      <c r="H69" s="7">
        <v>1</v>
      </c>
      <c r="I69" s="7"/>
      <c r="J69" s="7"/>
      <c r="K69" s="7"/>
      <c r="L69" s="7">
        <v>1</v>
      </c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8"/>
      <c r="AG69" s="4">
        <f t="shared" si="2"/>
        <v>2</v>
      </c>
    </row>
    <row r="70" spans="1:33" ht="18.75" x14ac:dyDescent="0.25">
      <c r="A70" s="41" t="s">
        <v>33</v>
      </c>
      <c r="B70" s="114"/>
      <c r="C70" s="114"/>
      <c r="D70" s="7"/>
      <c r="E70" s="114"/>
      <c r="F70" s="114"/>
      <c r="G70" s="7"/>
      <c r="H70" s="114"/>
      <c r="I70" s="7"/>
      <c r="J70" s="114"/>
      <c r="K70" s="114"/>
      <c r="L70" s="114"/>
      <c r="M70" s="114"/>
      <c r="N70" s="114"/>
      <c r="O70" s="114"/>
      <c r="P70" s="114"/>
      <c r="Q70" s="114"/>
      <c r="R70" s="114"/>
      <c r="S70" s="114"/>
      <c r="T70" s="114"/>
      <c r="U70" s="114"/>
      <c r="V70" s="114"/>
      <c r="W70" s="114"/>
      <c r="X70" s="114"/>
      <c r="Y70" s="114"/>
      <c r="Z70" s="114"/>
      <c r="AA70" s="114"/>
      <c r="AB70" s="114"/>
      <c r="AC70" s="114"/>
      <c r="AD70" s="114"/>
      <c r="AE70" s="114"/>
      <c r="AF70" s="115"/>
      <c r="AG70" s="4">
        <f t="shared" si="2"/>
        <v>0</v>
      </c>
    </row>
    <row r="71" spans="1:33" ht="18.75" x14ac:dyDescent="0.25">
      <c r="A71" s="41" t="s">
        <v>34</v>
      </c>
      <c r="B71" s="114"/>
      <c r="C71" s="114"/>
      <c r="D71" s="7"/>
      <c r="E71" s="114"/>
      <c r="F71" s="114"/>
      <c r="G71" s="7"/>
      <c r="H71" s="114"/>
      <c r="I71" s="7"/>
      <c r="J71" s="114"/>
      <c r="K71" s="114"/>
      <c r="L71" s="114"/>
      <c r="M71" s="114"/>
      <c r="N71" s="114"/>
      <c r="O71" s="114"/>
      <c r="P71" s="114"/>
      <c r="Q71" s="114"/>
      <c r="R71" s="114"/>
      <c r="S71" s="114"/>
      <c r="T71" s="114"/>
      <c r="U71" s="114"/>
      <c r="V71" s="114"/>
      <c r="W71" s="114"/>
      <c r="X71" s="114"/>
      <c r="Y71" s="114"/>
      <c r="Z71" s="114"/>
      <c r="AA71" s="114"/>
      <c r="AB71" s="114"/>
      <c r="AC71" s="114"/>
      <c r="AD71" s="114"/>
      <c r="AE71" s="114"/>
      <c r="AF71" s="115"/>
      <c r="AG71" s="4">
        <f t="shared" si="2"/>
        <v>0</v>
      </c>
    </row>
    <row r="72" spans="1:33" ht="18.75" x14ac:dyDescent="0.25">
      <c r="A72" s="41" t="s">
        <v>35</v>
      </c>
      <c r="B72" s="114"/>
      <c r="C72" s="114"/>
      <c r="D72" s="7"/>
      <c r="E72" s="114"/>
      <c r="F72" s="114"/>
      <c r="G72" s="7"/>
      <c r="H72" s="114"/>
      <c r="I72" s="7"/>
      <c r="J72" s="114"/>
      <c r="K72" s="114"/>
      <c r="L72" s="114"/>
      <c r="M72" s="114"/>
      <c r="N72" s="114"/>
      <c r="O72" s="114"/>
      <c r="P72" s="114"/>
      <c r="Q72" s="114"/>
      <c r="R72" s="114"/>
      <c r="S72" s="114"/>
      <c r="T72" s="114"/>
      <c r="U72" s="114"/>
      <c r="V72" s="114"/>
      <c r="W72" s="114"/>
      <c r="X72" s="114"/>
      <c r="Y72" s="114"/>
      <c r="Z72" s="114"/>
      <c r="AA72" s="114"/>
      <c r="AB72" s="114"/>
      <c r="AC72" s="114"/>
      <c r="AD72" s="114"/>
      <c r="AE72" s="114"/>
      <c r="AF72" s="115"/>
      <c r="AG72" s="4">
        <f t="shared" si="2"/>
        <v>0</v>
      </c>
    </row>
    <row r="73" spans="1:33" ht="18.75" x14ac:dyDescent="0.25">
      <c r="A73" s="41" t="s">
        <v>36</v>
      </c>
      <c r="B73" s="114"/>
      <c r="C73" s="114"/>
      <c r="D73" s="7"/>
      <c r="E73" s="114"/>
      <c r="F73" s="114"/>
      <c r="G73" s="7"/>
      <c r="H73" s="114"/>
      <c r="I73" s="7"/>
      <c r="J73" s="114"/>
      <c r="K73" s="114"/>
      <c r="L73" s="114"/>
      <c r="M73" s="114"/>
      <c r="N73" s="114"/>
      <c r="O73" s="114"/>
      <c r="P73" s="114"/>
      <c r="Q73" s="114"/>
      <c r="R73" s="114"/>
      <c r="S73" s="114"/>
      <c r="T73" s="114"/>
      <c r="U73" s="114"/>
      <c r="V73" s="114"/>
      <c r="W73" s="114"/>
      <c r="X73" s="114"/>
      <c r="Y73" s="114"/>
      <c r="Z73" s="114"/>
      <c r="AA73" s="114"/>
      <c r="AB73" s="114"/>
      <c r="AC73" s="114"/>
      <c r="AD73" s="114"/>
      <c r="AE73" s="114"/>
      <c r="AF73" s="115"/>
      <c r="AG73" s="4">
        <f t="shared" si="2"/>
        <v>0</v>
      </c>
    </row>
    <row r="74" spans="1:33" ht="18.75" x14ac:dyDescent="0.25">
      <c r="A74" s="41" t="s">
        <v>51</v>
      </c>
      <c r="B74" s="114"/>
      <c r="C74" s="114"/>
      <c r="D74" s="7"/>
      <c r="E74" s="114"/>
      <c r="F74" s="114"/>
      <c r="G74" s="7"/>
      <c r="H74" s="114"/>
      <c r="I74" s="7"/>
      <c r="J74" s="114"/>
      <c r="K74" s="114"/>
      <c r="L74" s="114"/>
      <c r="M74" s="114"/>
      <c r="N74" s="114"/>
      <c r="O74" s="114"/>
      <c r="P74" s="114"/>
      <c r="Q74" s="114"/>
      <c r="R74" s="114"/>
      <c r="S74" s="114"/>
      <c r="T74" s="114"/>
      <c r="U74" s="114"/>
      <c r="V74" s="114"/>
      <c r="W74" s="114"/>
      <c r="X74" s="114"/>
      <c r="Y74" s="114"/>
      <c r="Z74" s="114"/>
      <c r="AA74" s="114"/>
      <c r="AB74" s="114"/>
      <c r="AC74" s="114"/>
      <c r="AD74" s="114"/>
      <c r="AE74" s="114"/>
      <c r="AF74" s="115"/>
      <c r="AG74" s="4">
        <f t="shared" si="2"/>
        <v>0</v>
      </c>
    </row>
    <row r="75" spans="1:33" ht="18.75" x14ac:dyDescent="0.25">
      <c r="A75" s="41" t="s">
        <v>52</v>
      </c>
      <c r="B75" s="114"/>
      <c r="C75" s="114"/>
      <c r="D75" s="7"/>
      <c r="E75" s="114"/>
      <c r="F75" s="114"/>
      <c r="G75" s="7"/>
      <c r="H75" s="114"/>
      <c r="I75" s="7"/>
      <c r="J75" s="114"/>
      <c r="K75" s="114"/>
      <c r="L75" s="114"/>
      <c r="M75" s="114"/>
      <c r="N75" s="114"/>
      <c r="O75" s="114"/>
      <c r="P75" s="114"/>
      <c r="Q75" s="114"/>
      <c r="R75" s="114"/>
      <c r="S75" s="114"/>
      <c r="T75" s="114"/>
      <c r="U75" s="114"/>
      <c r="V75" s="114"/>
      <c r="W75" s="114"/>
      <c r="X75" s="114"/>
      <c r="Y75" s="114"/>
      <c r="Z75" s="114"/>
      <c r="AA75" s="114"/>
      <c r="AB75" s="114"/>
      <c r="AC75" s="114"/>
      <c r="AD75" s="114"/>
      <c r="AE75" s="114"/>
      <c r="AF75" s="115"/>
      <c r="AG75" s="4">
        <f t="shared" si="2"/>
        <v>0</v>
      </c>
    </row>
    <row r="76" spans="1:33" ht="18.75" x14ac:dyDescent="0.25">
      <c r="A76" s="41" t="s">
        <v>37</v>
      </c>
      <c r="B76" s="114"/>
      <c r="C76" s="114"/>
      <c r="D76" s="7"/>
      <c r="E76" s="114"/>
      <c r="F76" s="114"/>
      <c r="G76" s="7"/>
      <c r="H76" s="114"/>
      <c r="I76" s="7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X76" s="114"/>
      <c r="Y76" s="114"/>
      <c r="Z76" s="114"/>
      <c r="AA76" s="114"/>
      <c r="AB76" s="114"/>
      <c r="AC76" s="114"/>
      <c r="AD76" s="114"/>
      <c r="AE76" s="114"/>
      <c r="AF76" s="115"/>
      <c r="AG76" s="4">
        <f t="shared" si="2"/>
        <v>0</v>
      </c>
    </row>
    <row r="77" spans="1:33" ht="19.5" thickBot="1" x14ac:dyDescent="0.3">
      <c r="A77" s="134" t="s">
        <v>53</v>
      </c>
      <c r="B77" s="166"/>
      <c r="C77" s="166"/>
      <c r="D77" s="9"/>
      <c r="E77" s="166"/>
      <c r="F77" s="166"/>
      <c r="G77" s="9"/>
      <c r="H77" s="166"/>
      <c r="I77" s="9"/>
      <c r="J77" s="166"/>
      <c r="K77" s="166"/>
      <c r="L77" s="166"/>
      <c r="M77" s="166"/>
      <c r="N77" s="166"/>
      <c r="O77" s="166"/>
      <c r="P77" s="166"/>
      <c r="Q77" s="166"/>
      <c r="R77" s="166"/>
      <c r="S77" s="166"/>
      <c r="T77" s="166"/>
      <c r="U77" s="166"/>
      <c r="V77" s="166">
        <v>1</v>
      </c>
      <c r="W77" s="166"/>
      <c r="X77" s="166"/>
      <c r="Y77" s="166"/>
      <c r="Z77" s="166"/>
      <c r="AA77" s="166"/>
      <c r="AB77" s="166"/>
      <c r="AC77" s="166"/>
      <c r="AD77" s="166"/>
      <c r="AE77" s="166"/>
      <c r="AF77" s="167"/>
      <c r="AG77" s="108">
        <f t="shared" si="2"/>
        <v>1</v>
      </c>
    </row>
    <row r="78" spans="1:33" ht="19.5" hidden="1" customHeight="1" thickBot="1" x14ac:dyDescent="0.3">
      <c r="A78" s="183" t="s">
        <v>99</v>
      </c>
      <c r="B78" s="185">
        <f t="shared" ref="B78:AF78" si="5">SUM(B79:B80)</f>
        <v>89</v>
      </c>
      <c r="C78" s="185">
        <f t="shared" si="5"/>
        <v>101</v>
      </c>
      <c r="D78" s="185">
        <f t="shared" si="5"/>
        <v>91</v>
      </c>
      <c r="E78" s="184">
        <f t="shared" si="5"/>
        <v>101</v>
      </c>
      <c r="F78" s="184">
        <f t="shared" si="5"/>
        <v>93</v>
      </c>
      <c r="G78" s="184">
        <f t="shared" si="5"/>
        <v>146</v>
      </c>
      <c r="H78" s="184">
        <f t="shared" si="5"/>
        <v>117</v>
      </c>
      <c r="I78" s="184">
        <f t="shared" si="5"/>
        <v>121</v>
      </c>
      <c r="J78" s="184">
        <f t="shared" si="5"/>
        <v>86</v>
      </c>
      <c r="K78" s="184">
        <f t="shared" si="5"/>
        <v>138</v>
      </c>
      <c r="L78" s="184">
        <f t="shared" si="5"/>
        <v>82</v>
      </c>
      <c r="M78" s="184">
        <f t="shared" si="5"/>
        <v>82</v>
      </c>
      <c r="N78" s="184">
        <f t="shared" si="5"/>
        <v>111</v>
      </c>
      <c r="O78" s="184">
        <f>SUM(O79:O80)</f>
        <v>121</v>
      </c>
      <c r="P78" s="184">
        <f t="shared" si="5"/>
        <v>125</v>
      </c>
      <c r="Q78" s="184">
        <f t="shared" si="5"/>
        <v>85</v>
      </c>
      <c r="R78" s="184">
        <f t="shared" si="5"/>
        <v>121</v>
      </c>
      <c r="S78" s="184">
        <f t="shared" si="5"/>
        <v>103</v>
      </c>
      <c r="T78" s="184">
        <f t="shared" si="5"/>
        <v>89</v>
      </c>
      <c r="U78" s="184">
        <f t="shared" si="5"/>
        <v>133</v>
      </c>
      <c r="V78" s="184">
        <f t="shared" si="5"/>
        <v>121</v>
      </c>
      <c r="W78" s="184">
        <f t="shared" si="5"/>
        <v>129</v>
      </c>
      <c r="X78" s="184">
        <f t="shared" si="5"/>
        <v>115</v>
      </c>
      <c r="Y78" s="184">
        <f t="shared" si="5"/>
        <v>115</v>
      </c>
      <c r="Z78" s="184">
        <f t="shared" si="5"/>
        <v>90</v>
      </c>
      <c r="AA78" s="184">
        <f t="shared" si="5"/>
        <v>69</v>
      </c>
      <c r="AB78" s="184">
        <f t="shared" si="5"/>
        <v>142</v>
      </c>
      <c r="AC78" s="184">
        <f t="shared" si="5"/>
        <v>109</v>
      </c>
      <c r="AD78" s="184">
        <f t="shared" si="5"/>
        <v>83</v>
      </c>
      <c r="AE78" s="184">
        <f t="shared" si="5"/>
        <v>90</v>
      </c>
      <c r="AF78" s="186">
        <f t="shared" si="5"/>
        <v>81</v>
      </c>
      <c r="AG78" s="116">
        <f t="shared" si="2"/>
        <v>3279</v>
      </c>
    </row>
    <row r="79" spans="1:33" ht="19.5" hidden="1" customHeight="1" thickBot="1" x14ac:dyDescent="0.3">
      <c r="A79" s="181" t="s">
        <v>58</v>
      </c>
      <c r="B79" s="114">
        <f t="shared" ref="B79:AF79" si="6">SUM(B4:B27)-B80</f>
        <v>89</v>
      </c>
      <c r="C79" s="114">
        <f t="shared" si="6"/>
        <v>101</v>
      </c>
      <c r="D79" s="114">
        <f t="shared" si="6"/>
        <v>91</v>
      </c>
      <c r="E79" s="114">
        <f t="shared" si="6"/>
        <v>101</v>
      </c>
      <c r="F79" s="114">
        <f t="shared" si="6"/>
        <v>43</v>
      </c>
      <c r="G79" s="114">
        <f t="shared" si="6"/>
        <v>36</v>
      </c>
      <c r="H79" s="114">
        <f t="shared" si="6"/>
        <v>41</v>
      </c>
      <c r="I79" s="114">
        <f t="shared" si="6"/>
        <v>121</v>
      </c>
      <c r="J79" s="114">
        <f t="shared" si="6"/>
        <v>86</v>
      </c>
      <c r="K79" s="114">
        <f t="shared" si="6"/>
        <v>138</v>
      </c>
      <c r="L79" s="114">
        <f t="shared" si="6"/>
        <v>82</v>
      </c>
      <c r="M79" s="114">
        <f t="shared" si="6"/>
        <v>25</v>
      </c>
      <c r="N79" s="114">
        <f t="shared" si="6"/>
        <v>43</v>
      </c>
      <c r="O79" s="114">
        <f t="shared" si="6"/>
        <v>62</v>
      </c>
      <c r="P79" s="114">
        <f t="shared" si="6"/>
        <v>125</v>
      </c>
      <c r="Q79" s="114">
        <f t="shared" si="6"/>
        <v>85</v>
      </c>
      <c r="R79" s="114">
        <f t="shared" si="6"/>
        <v>63</v>
      </c>
      <c r="S79" s="114">
        <f t="shared" si="6"/>
        <v>40</v>
      </c>
      <c r="T79" s="114">
        <f t="shared" si="6"/>
        <v>48</v>
      </c>
      <c r="U79" s="114">
        <f t="shared" si="6"/>
        <v>41</v>
      </c>
      <c r="V79" s="114">
        <f t="shared" si="6"/>
        <v>38</v>
      </c>
      <c r="W79" s="114">
        <f t="shared" si="6"/>
        <v>129</v>
      </c>
      <c r="X79" s="114">
        <f t="shared" si="6"/>
        <v>115</v>
      </c>
      <c r="Y79" s="114">
        <f t="shared" si="6"/>
        <v>46</v>
      </c>
      <c r="Z79" s="114">
        <f t="shared" si="6"/>
        <v>90</v>
      </c>
      <c r="AA79" s="114">
        <f t="shared" si="6"/>
        <v>31</v>
      </c>
      <c r="AB79" s="114">
        <f t="shared" si="6"/>
        <v>52</v>
      </c>
      <c r="AC79" s="114">
        <f t="shared" si="6"/>
        <v>52</v>
      </c>
      <c r="AD79" s="114">
        <f t="shared" si="6"/>
        <v>83</v>
      </c>
      <c r="AE79" s="114">
        <f t="shared" si="6"/>
        <v>90</v>
      </c>
      <c r="AF79" s="114">
        <f t="shared" si="6"/>
        <v>33</v>
      </c>
      <c r="AG79" s="132">
        <f t="shared" si="2"/>
        <v>2220</v>
      </c>
    </row>
    <row r="80" spans="1:33" ht="19.5" hidden="1" customHeight="1" thickBot="1" x14ac:dyDescent="0.3">
      <c r="A80" s="107" t="s">
        <v>57</v>
      </c>
      <c r="B80" s="11"/>
      <c r="C80" s="11"/>
      <c r="D80" s="9">
        <v>0</v>
      </c>
      <c r="E80" s="9">
        <v>0</v>
      </c>
      <c r="F80" s="9">
        <f>SUM(F4:F12)</f>
        <v>50</v>
      </c>
      <c r="G80" s="9">
        <f>SUM(G4:G12)</f>
        <v>110</v>
      </c>
      <c r="H80" s="9">
        <f>SUM(H4:H12)</f>
        <v>76</v>
      </c>
      <c r="I80" s="11"/>
      <c r="J80" s="11"/>
      <c r="K80" s="9">
        <v>0</v>
      </c>
      <c r="L80" s="9">
        <v>0</v>
      </c>
      <c r="M80" s="9">
        <f>SUM(M4:M12)</f>
        <v>57</v>
      </c>
      <c r="N80" s="9">
        <f>SUM(N4:N12)</f>
        <v>68</v>
      </c>
      <c r="O80" s="9">
        <f>SUM(O4:O12)</f>
        <v>59</v>
      </c>
      <c r="P80" s="11"/>
      <c r="Q80" s="11"/>
      <c r="R80" s="9">
        <f>SUM(R4:R12)</f>
        <v>58</v>
      </c>
      <c r="S80" s="9">
        <f>SUM(S4:S12)</f>
        <v>63</v>
      </c>
      <c r="T80" s="9">
        <f>SUM(T4:T12)</f>
        <v>41</v>
      </c>
      <c r="U80" s="9">
        <f>SUM(U4:U12)</f>
        <v>92</v>
      </c>
      <c r="V80" s="9">
        <f>SUM(V4:V12)</f>
        <v>83</v>
      </c>
      <c r="W80" s="11"/>
      <c r="X80" s="11"/>
      <c r="Y80" s="9">
        <f>SUM(Y4:Y12)</f>
        <v>69</v>
      </c>
      <c r="Z80" s="11"/>
      <c r="AA80" s="9">
        <f>SUM(AA4:AA12)</f>
        <v>38</v>
      </c>
      <c r="AB80" s="9">
        <f>SUM(AB4:AB12)</f>
        <v>90</v>
      </c>
      <c r="AC80" s="9">
        <f>SUM(AC4:AC12)</f>
        <v>57</v>
      </c>
      <c r="AD80" s="11"/>
      <c r="AE80" s="11"/>
      <c r="AF80" s="9">
        <f>SUM(AF4:AF12)</f>
        <v>48</v>
      </c>
      <c r="AG80" s="108">
        <f t="shared" si="2"/>
        <v>1059</v>
      </c>
    </row>
    <row r="81" spans="1:35" ht="19.5" thickBot="1" x14ac:dyDescent="0.3">
      <c r="A81" s="183" t="s">
        <v>98</v>
      </c>
      <c r="B81" s="184">
        <f t="shared" ref="B81:AF81" si="7">SUM(B82:B83)</f>
        <v>0</v>
      </c>
      <c r="C81" s="184">
        <f t="shared" si="7"/>
        <v>8</v>
      </c>
      <c r="D81" s="184">
        <f t="shared" si="7"/>
        <v>4</v>
      </c>
      <c r="E81" s="184">
        <f t="shared" si="7"/>
        <v>1</v>
      </c>
      <c r="F81" s="184">
        <f t="shared" si="7"/>
        <v>3</v>
      </c>
      <c r="G81" s="184">
        <f t="shared" si="7"/>
        <v>19</v>
      </c>
      <c r="H81" s="184">
        <f t="shared" si="7"/>
        <v>10</v>
      </c>
      <c r="I81" s="184">
        <f t="shared" si="7"/>
        <v>11</v>
      </c>
      <c r="J81" s="184">
        <f t="shared" si="7"/>
        <v>5</v>
      </c>
      <c r="K81" s="184">
        <f t="shared" si="7"/>
        <v>6</v>
      </c>
      <c r="L81" s="184">
        <f t="shared" si="7"/>
        <v>1</v>
      </c>
      <c r="M81" s="184">
        <f t="shared" si="7"/>
        <v>1</v>
      </c>
      <c r="N81" s="184">
        <f t="shared" si="7"/>
        <v>2</v>
      </c>
      <c r="O81" s="184">
        <f t="shared" si="7"/>
        <v>10</v>
      </c>
      <c r="P81" s="184">
        <f t="shared" si="7"/>
        <v>6</v>
      </c>
      <c r="Q81" s="184">
        <f t="shared" si="7"/>
        <v>2</v>
      </c>
      <c r="R81" s="184">
        <f t="shared" si="7"/>
        <v>3</v>
      </c>
      <c r="S81" s="184">
        <f t="shared" si="7"/>
        <v>4</v>
      </c>
      <c r="T81" s="184">
        <f t="shared" si="7"/>
        <v>1</v>
      </c>
      <c r="U81" s="184">
        <f t="shared" si="7"/>
        <v>11</v>
      </c>
      <c r="V81" s="184">
        <f t="shared" si="7"/>
        <v>11</v>
      </c>
      <c r="W81" s="184">
        <f t="shared" si="7"/>
        <v>18</v>
      </c>
      <c r="X81" s="184">
        <f t="shared" si="7"/>
        <v>11</v>
      </c>
      <c r="Y81" s="184">
        <f t="shared" si="7"/>
        <v>9</v>
      </c>
      <c r="Z81" s="184">
        <f>SUM(Z82:Z83)</f>
        <v>5</v>
      </c>
      <c r="AA81" s="184">
        <f t="shared" si="7"/>
        <v>0</v>
      </c>
      <c r="AB81" s="184">
        <f t="shared" si="7"/>
        <v>29</v>
      </c>
      <c r="AC81" s="184">
        <f t="shared" si="7"/>
        <v>6</v>
      </c>
      <c r="AD81" s="184">
        <f t="shared" si="7"/>
        <v>8</v>
      </c>
      <c r="AE81" s="184">
        <f t="shared" si="7"/>
        <v>5</v>
      </c>
      <c r="AF81" s="184">
        <f t="shared" si="7"/>
        <v>3</v>
      </c>
      <c r="AG81" s="116">
        <f t="shared" si="2"/>
        <v>213</v>
      </c>
      <c r="AH81" s="180" t="str">
        <f>IF(AG81&lt;&gt;AG53,"*","")</f>
        <v/>
      </c>
    </row>
    <row r="82" spans="1:35" ht="18.75" x14ac:dyDescent="0.25">
      <c r="A82" s="181" t="s">
        <v>57</v>
      </c>
      <c r="B82" s="114">
        <f t="shared" ref="B82:AF82" si="8">SUM(B54:B62)</f>
        <v>0</v>
      </c>
      <c r="C82" s="114">
        <f t="shared" si="8"/>
        <v>6</v>
      </c>
      <c r="D82" s="114">
        <f t="shared" si="8"/>
        <v>3</v>
      </c>
      <c r="E82" s="114">
        <f t="shared" si="8"/>
        <v>0</v>
      </c>
      <c r="F82" s="114">
        <f t="shared" si="8"/>
        <v>2</v>
      </c>
      <c r="G82" s="114">
        <f t="shared" si="8"/>
        <v>18</v>
      </c>
      <c r="H82" s="114">
        <f t="shared" si="8"/>
        <v>5</v>
      </c>
      <c r="I82" s="114">
        <f t="shared" si="8"/>
        <v>6</v>
      </c>
      <c r="J82" s="114">
        <f t="shared" si="8"/>
        <v>3</v>
      </c>
      <c r="K82" s="114">
        <f t="shared" si="8"/>
        <v>6</v>
      </c>
      <c r="L82" s="114">
        <f t="shared" si="8"/>
        <v>0</v>
      </c>
      <c r="M82" s="114">
        <f t="shared" si="8"/>
        <v>1</v>
      </c>
      <c r="N82" s="114">
        <f t="shared" si="8"/>
        <v>1</v>
      </c>
      <c r="O82" s="114">
        <f t="shared" si="8"/>
        <v>0</v>
      </c>
      <c r="P82" s="114">
        <f t="shared" si="8"/>
        <v>3</v>
      </c>
      <c r="Q82" s="114">
        <f t="shared" si="8"/>
        <v>1</v>
      </c>
      <c r="R82" s="114">
        <f t="shared" si="8"/>
        <v>2</v>
      </c>
      <c r="S82" s="114">
        <f t="shared" si="8"/>
        <v>3</v>
      </c>
      <c r="T82" s="114">
        <f t="shared" si="8"/>
        <v>0</v>
      </c>
      <c r="U82" s="114">
        <f t="shared" si="8"/>
        <v>11</v>
      </c>
      <c r="V82" s="114">
        <f t="shared" si="8"/>
        <v>8</v>
      </c>
      <c r="W82" s="114">
        <f t="shared" si="8"/>
        <v>13</v>
      </c>
      <c r="X82" s="114">
        <f t="shared" si="8"/>
        <v>9</v>
      </c>
      <c r="Y82" s="114">
        <f t="shared" si="8"/>
        <v>6</v>
      </c>
      <c r="Z82" s="114">
        <f t="shared" si="8"/>
        <v>5</v>
      </c>
      <c r="AA82" s="114">
        <f t="shared" si="8"/>
        <v>0</v>
      </c>
      <c r="AB82" s="114">
        <f t="shared" si="8"/>
        <v>17</v>
      </c>
      <c r="AC82" s="114">
        <f t="shared" si="8"/>
        <v>5</v>
      </c>
      <c r="AD82" s="114">
        <f t="shared" si="8"/>
        <v>6</v>
      </c>
      <c r="AE82" s="114">
        <f t="shared" si="8"/>
        <v>4</v>
      </c>
      <c r="AF82" s="114">
        <f t="shared" si="8"/>
        <v>2</v>
      </c>
      <c r="AG82" s="132">
        <f t="shared" si="2"/>
        <v>146</v>
      </c>
    </row>
    <row r="83" spans="1:35" ht="19.5" thickBot="1" x14ac:dyDescent="0.3">
      <c r="A83" s="107" t="s">
        <v>58</v>
      </c>
      <c r="B83" s="9">
        <f t="shared" ref="B83" si="9">SUM(B54:B77)-B82</f>
        <v>0</v>
      </c>
      <c r="C83" s="9">
        <f t="shared" ref="C83" si="10">SUM(C54:C77)-C82</f>
        <v>2</v>
      </c>
      <c r="D83" s="9">
        <f t="shared" ref="D83:AF83" si="11">SUM(D54:D77)-D82</f>
        <v>1</v>
      </c>
      <c r="E83" s="9">
        <f t="shared" si="11"/>
        <v>1</v>
      </c>
      <c r="F83" s="9">
        <f t="shared" si="11"/>
        <v>1</v>
      </c>
      <c r="G83" s="9">
        <f t="shared" si="11"/>
        <v>1</v>
      </c>
      <c r="H83" s="9">
        <f t="shared" si="11"/>
        <v>5</v>
      </c>
      <c r="I83" s="9">
        <f t="shared" si="11"/>
        <v>5</v>
      </c>
      <c r="J83" s="9">
        <f t="shared" si="11"/>
        <v>2</v>
      </c>
      <c r="K83" s="9">
        <f t="shared" si="11"/>
        <v>0</v>
      </c>
      <c r="L83" s="9">
        <f t="shared" si="11"/>
        <v>1</v>
      </c>
      <c r="M83" s="9">
        <f t="shared" si="11"/>
        <v>0</v>
      </c>
      <c r="N83" s="9">
        <f t="shared" si="11"/>
        <v>1</v>
      </c>
      <c r="O83" s="9">
        <f t="shared" si="11"/>
        <v>10</v>
      </c>
      <c r="P83" s="9">
        <f t="shared" si="11"/>
        <v>3</v>
      </c>
      <c r="Q83" s="9">
        <f t="shared" si="11"/>
        <v>1</v>
      </c>
      <c r="R83" s="9">
        <f t="shared" si="11"/>
        <v>1</v>
      </c>
      <c r="S83" s="9">
        <f t="shared" si="11"/>
        <v>1</v>
      </c>
      <c r="T83" s="9">
        <f t="shared" si="11"/>
        <v>1</v>
      </c>
      <c r="U83" s="9">
        <f t="shared" si="11"/>
        <v>0</v>
      </c>
      <c r="V83" s="9">
        <f t="shared" si="11"/>
        <v>3</v>
      </c>
      <c r="W83" s="9">
        <f t="shared" si="11"/>
        <v>5</v>
      </c>
      <c r="X83" s="9">
        <f t="shared" si="11"/>
        <v>2</v>
      </c>
      <c r="Y83" s="9">
        <f t="shared" si="11"/>
        <v>3</v>
      </c>
      <c r="Z83" s="9">
        <f t="shared" si="11"/>
        <v>0</v>
      </c>
      <c r="AA83" s="9">
        <f t="shared" si="11"/>
        <v>0</v>
      </c>
      <c r="AB83" s="9">
        <f t="shared" si="11"/>
        <v>12</v>
      </c>
      <c r="AC83" s="9">
        <f t="shared" si="11"/>
        <v>1</v>
      </c>
      <c r="AD83" s="9">
        <f t="shared" si="11"/>
        <v>2</v>
      </c>
      <c r="AE83" s="9">
        <f t="shared" si="11"/>
        <v>1</v>
      </c>
      <c r="AF83" s="9">
        <f t="shared" si="11"/>
        <v>1</v>
      </c>
      <c r="AG83" s="4">
        <f t="shared" si="2"/>
        <v>67</v>
      </c>
    </row>
    <row r="84" spans="1:35" ht="19.5" thickBot="1" x14ac:dyDescent="0.3">
      <c r="A84" s="164" t="s">
        <v>146</v>
      </c>
      <c r="B84" s="165">
        <f>SUM(B85:B86)</f>
        <v>0</v>
      </c>
      <c r="C84" s="165">
        <f t="shared" ref="C84:AF84" si="12">SUM(C85:C86)</f>
        <v>8</v>
      </c>
      <c r="D84" s="165">
        <f t="shared" si="12"/>
        <v>4</v>
      </c>
      <c r="E84" s="165">
        <f t="shared" si="12"/>
        <v>1</v>
      </c>
      <c r="F84" s="165">
        <f t="shared" si="12"/>
        <v>3</v>
      </c>
      <c r="G84" s="165">
        <f t="shared" si="12"/>
        <v>19</v>
      </c>
      <c r="H84" s="165">
        <f t="shared" si="12"/>
        <v>10</v>
      </c>
      <c r="I84" s="165">
        <f t="shared" si="12"/>
        <v>11</v>
      </c>
      <c r="J84" s="165">
        <f t="shared" si="12"/>
        <v>5</v>
      </c>
      <c r="K84" s="165">
        <f t="shared" si="12"/>
        <v>6</v>
      </c>
      <c r="L84" s="165">
        <f t="shared" si="12"/>
        <v>1</v>
      </c>
      <c r="M84" s="165">
        <f t="shared" si="12"/>
        <v>1</v>
      </c>
      <c r="N84" s="165">
        <f t="shared" si="12"/>
        <v>2</v>
      </c>
      <c r="O84" s="165">
        <f t="shared" si="12"/>
        <v>10</v>
      </c>
      <c r="P84" s="165">
        <f t="shared" si="12"/>
        <v>6</v>
      </c>
      <c r="Q84" s="165">
        <f t="shared" si="12"/>
        <v>2</v>
      </c>
      <c r="R84" s="165">
        <f t="shared" si="12"/>
        <v>3</v>
      </c>
      <c r="S84" s="165">
        <f t="shared" si="12"/>
        <v>4</v>
      </c>
      <c r="T84" s="165">
        <f t="shared" si="12"/>
        <v>1</v>
      </c>
      <c r="U84" s="165">
        <f t="shared" si="12"/>
        <v>11</v>
      </c>
      <c r="V84" s="165">
        <f t="shared" si="12"/>
        <v>11</v>
      </c>
      <c r="W84" s="165">
        <f t="shared" si="12"/>
        <v>18</v>
      </c>
      <c r="X84" s="165">
        <f t="shared" si="12"/>
        <v>11</v>
      </c>
      <c r="Y84" s="165">
        <f t="shared" si="12"/>
        <v>9</v>
      </c>
      <c r="Z84" s="165">
        <f t="shared" si="12"/>
        <v>5</v>
      </c>
      <c r="AA84" s="165">
        <f t="shared" si="12"/>
        <v>0</v>
      </c>
      <c r="AB84" s="165">
        <f t="shared" si="12"/>
        <v>29</v>
      </c>
      <c r="AC84" s="165">
        <f t="shared" si="12"/>
        <v>6</v>
      </c>
      <c r="AD84" s="165">
        <f t="shared" si="12"/>
        <v>8</v>
      </c>
      <c r="AE84" s="165">
        <f t="shared" si="12"/>
        <v>5</v>
      </c>
      <c r="AF84" s="165">
        <f t="shared" si="12"/>
        <v>3</v>
      </c>
      <c r="AG84" s="171">
        <f t="shared" ref="AG84:AG126" si="13">SUM(B84:AF84)</f>
        <v>213</v>
      </c>
      <c r="AH84" s="180" t="str">
        <f>IF(AG84&lt;&gt;AG82+AG83,"*","")</f>
        <v/>
      </c>
      <c r="AI84" s="434" t="s">
        <v>1</v>
      </c>
    </row>
    <row r="85" spans="1:35" ht="18.75" x14ac:dyDescent="0.25">
      <c r="A85" s="72" t="s">
        <v>144</v>
      </c>
      <c r="B85" s="169">
        <v>0</v>
      </c>
      <c r="C85" s="169">
        <v>0</v>
      </c>
      <c r="D85" s="169">
        <v>1</v>
      </c>
      <c r="E85" s="169">
        <v>0</v>
      </c>
      <c r="F85" s="169">
        <v>0</v>
      </c>
      <c r="G85" s="169">
        <v>0</v>
      </c>
      <c r="H85" s="169">
        <v>1</v>
      </c>
      <c r="I85" s="169">
        <v>1</v>
      </c>
      <c r="J85" s="169">
        <v>0</v>
      </c>
      <c r="K85" s="169"/>
      <c r="L85" s="169"/>
      <c r="M85" s="169"/>
      <c r="N85" s="169"/>
      <c r="O85" s="169">
        <v>1</v>
      </c>
      <c r="P85" s="169">
        <v>1</v>
      </c>
      <c r="Q85" s="169">
        <v>1</v>
      </c>
      <c r="R85" s="169">
        <v>0</v>
      </c>
      <c r="S85" s="169">
        <v>0</v>
      </c>
      <c r="T85" s="169">
        <v>0</v>
      </c>
      <c r="U85" s="169">
        <v>0</v>
      </c>
      <c r="V85" s="169">
        <v>0</v>
      </c>
      <c r="W85" s="169">
        <v>2</v>
      </c>
      <c r="X85" s="169">
        <v>0</v>
      </c>
      <c r="Y85" s="169">
        <v>0</v>
      </c>
      <c r="Z85" s="169">
        <v>0</v>
      </c>
      <c r="AA85" s="169">
        <v>0</v>
      </c>
      <c r="AB85" s="169">
        <v>0</v>
      </c>
      <c r="AC85" s="169">
        <v>0</v>
      </c>
      <c r="AD85" s="169">
        <v>1</v>
      </c>
      <c r="AE85" s="169">
        <v>1</v>
      </c>
      <c r="AF85" s="170">
        <v>1</v>
      </c>
      <c r="AG85" s="168">
        <f t="shared" si="13"/>
        <v>11</v>
      </c>
      <c r="AI85" s="435"/>
    </row>
    <row r="86" spans="1:35" ht="19.5" thickBot="1" x14ac:dyDescent="0.3">
      <c r="A86" s="172" t="s">
        <v>145</v>
      </c>
      <c r="B86" s="173">
        <v>0</v>
      </c>
      <c r="C86" s="173">
        <v>8</v>
      </c>
      <c r="D86" s="173">
        <v>3</v>
      </c>
      <c r="E86" s="173">
        <v>1</v>
      </c>
      <c r="F86" s="173">
        <v>3</v>
      </c>
      <c r="G86" s="173">
        <v>19</v>
      </c>
      <c r="H86" s="173">
        <v>9</v>
      </c>
      <c r="I86" s="173">
        <v>10</v>
      </c>
      <c r="J86" s="173">
        <v>5</v>
      </c>
      <c r="K86" s="173">
        <v>6</v>
      </c>
      <c r="L86" s="173">
        <v>1</v>
      </c>
      <c r="M86" s="173">
        <v>1</v>
      </c>
      <c r="N86" s="173">
        <v>2</v>
      </c>
      <c r="O86" s="173">
        <v>9</v>
      </c>
      <c r="P86" s="173">
        <v>5</v>
      </c>
      <c r="Q86" s="173">
        <v>1</v>
      </c>
      <c r="R86" s="173">
        <v>3</v>
      </c>
      <c r="S86" s="173">
        <v>4</v>
      </c>
      <c r="T86" s="173">
        <v>1</v>
      </c>
      <c r="U86" s="173">
        <v>11</v>
      </c>
      <c r="V86" s="173">
        <v>11</v>
      </c>
      <c r="W86" s="173">
        <v>16</v>
      </c>
      <c r="X86" s="173">
        <v>11</v>
      </c>
      <c r="Y86" s="173">
        <v>9</v>
      </c>
      <c r="Z86" s="173">
        <v>5</v>
      </c>
      <c r="AA86" s="173">
        <v>0</v>
      </c>
      <c r="AB86" s="173">
        <v>29</v>
      </c>
      <c r="AC86" s="173">
        <v>6</v>
      </c>
      <c r="AD86" s="173">
        <v>7</v>
      </c>
      <c r="AE86" s="173">
        <v>4</v>
      </c>
      <c r="AF86" s="174">
        <v>2</v>
      </c>
      <c r="AG86" s="176">
        <f t="shared" si="13"/>
        <v>202</v>
      </c>
      <c r="AI86" s="436"/>
    </row>
    <row r="87" spans="1:35" ht="19.5" thickBot="1" x14ac:dyDescent="0.3">
      <c r="A87" s="177" t="s">
        <v>147</v>
      </c>
      <c r="B87" s="178">
        <f>SUM(B88:B92)</f>
        <v>0</v>
      </c>
      <c r="C87" s="178">
        <f t="shared" ref="C87:AF87" si="14">SUM(C88:C92)</f>
        <v>8</v>
      </c>
      <c r="D87" s="178">
        <f t="shared" si="14"/>
        <v>4</v>
      </c>
      <c r="E87" s="178">
        <f t="shared" si="14"/>
        <v>1</v>
      </c>
      <c r="F87" s="178">
        <f t="shared" si="14"/>
        <v>3</v>
      </c>
      <c r="G87" s="178">
        <f t="shared" si="14"/>
        <v>19</v>
      </c>
      <c r="H87" s="178">
        <f t="shared" si="14"/>
        <v>10</v>
      </c>
      <c r="I87" s="178">
        <f t="shared" si="14"/>
        <v>11</v>
      </c>
      <c r="J87" s="178">
        <f t="shared" si="14"/>
        <v>5</v>
      </c>
      <c r="K87" s="178">
        <f t="shared" si="14"/>
        <v>6</v>
      </c>
      <c r="L87" s="178">
        <f t="shared" si="14"/>
        <v>1</v>
      </c>
      <c r="M87" s="178">
        <f t="shared" si="14"/>
        <v>1</v>
      </c>
      <c r="N87" s="178">
        <f t="shared" si="14"/>
        <v>2</v>
      </c>
      <c r="O87" s="178">
        <f t="shared" si="14"/>
        <v>10</v>
      </c>
      <c r="P87" s="178">
        <f t="shared" si="14"/>
        <v>6</v>
      </c>
      <c r="Q87" s="178">
        <f t="shared" si="14"/>
        <v>2</v>
      </c>
      <c r="R87" s="178">
        <f t="shared" si="14"/>
        <v>3</v>
      </c>
      <c r="S87" s="178">
        <f t="shared" si="14"/>
        <v>4</v>
      </c>
      <c r="T87" s="178">
        <f t="shared" si="14"/>
        <v>1</v>
      </c>
      <c r="U87" s="178">
        <f t="shared" si="14"/>
        <v>11</v>
      </c>
      <c r="V87" s="178">
        <f t="shared" si="14"/>
        <v>11</v>
      </c>
      <c r="W87" s="178">
        <f t="shared" si="14"/>
        <v>18</v>
      </c>
      <c r="X87" s="178">
        <f t="shared" si="14"/>
        <v>11</v>
      </c>
      <c r="Y87" s="178">
        <f t="shared" si="14"/>
        <v>9</v>
      </c>
      <c r="Z87" s="178">
        <f t="shared" si="14"/>
        <v>5</v>
      </c>
      <c r="AA87" s="178">
        <f t="shared" si="14"/>
        <v>0</v>
      </c>
      <c r="AB87" s="178">
        <f t="shared" si="14"/>
        <v>29</v>
      </c>
      <c r="AC87" s="178">
        <f t="shared" si="14"/>
        <v>6</v>
      </c>
      <c r="AD87" s="178">
        <f t="shared" si="14"/>
        <v>8</v>
      </c>
      <c r="AE87" s="178">
        <f t="shared" si="14"/>
        <v>5</v>
      </c>
      <c r="AF87" s="178">
        <f t="shared" si="14"/>
        <v>3</v>
      </c>
      <c r="AG87" s="179">
        <f t="shared" si="13"/>
        <v>213</v>
      </c>
      <c r="AH87" s="175" t="str">
        <f>IF(AG87&lt;&gt;AG84,"*","")</f>
        <v/>
      </c>
    </row>
    <row r="88" spans="1:35" ht="18.75" x14ac:dyDescent="0.25">
      <c r="A88" s="104" t="s">
        <v>127</v>
      </c>
      <c r="B88" s="166"/>
      <c r="C88" s="166">
        <v>4</v>
      </c>
      <c r="D88" s="166">
        <v>1</v>
      </c>
      <c r="E88" s="166"/>
      <c r="F88" s="166">
        <v>1</v>
      </c>
      <c r="G88" s="166">
        <v>17</v>
      </c>
      <c r="H88" s="166">
        <v>7</v>
      </c>
      <c r="I88" s="166">
        <v>7</v>
      </c>
      <c r="J88" s="166">
        <v>3</v>
      </c>
      <c r="K88" s="166">
        <v>5</v>
      </c>
      <c r="L88" s="166">
        <v>1</v>
      </c>
      <c r="M88" s="166"/>
      <c r="N88" s="166">
        <v>1</v>
      </c>
      <c r="O88" s="166">
        <v>4</v>
      </c>
      <c r="P88" s="166">
        <v>5</v>
      </c>
      <c r="Q88" s="166">
        <v>2</v>
      </c>
      <c r="R88" s="166">
        <v>2</v>
      </c>
      <c r="S88" s="166">
        <v>2</v>
      </c>
      <c r="T88" s="166">
        <v>1</v>
      </c>
      <c r="U88" s="166">
        <v>9</v>
      </c>
      <c r="V88" s="166">
        <v>9</v>
      </c>
      <c r="W88" s="166">
        <v>15</v>
      </c>
      <c r="X88" s="166">
        <v>10</v>
      </c>
      <c r="Y88" s="166">
        <v>4</v>
      </c>
      <c r="Z88" s="166">
        <v>4</v>
      </c>
      <c r="AA88" s="166"/>
      <c r="AB88" s="166">
        <v>5</v>
      </c>
      <c r="AC88" s="166">
        <v>4</v>
      </c>
      <c r="AD88" s="166">
        <v>5</v>
      </c>
      <c r="AE88" s="166">
        <v>4</v>
      </c>
      <c r="AF88" s="167">
        <v>1</v>
      </c>
      <c r="AG88" s="132">
        <f t="shared" si="13"/>
        <v>133</v>
      </c>
    </row>
    <row r="89" spans="1:35" ht="18.75" x14ac:dyDescent="0.25">
      <c r="A89" s="105" t="s">
        <v>73</v>
      </c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10"/>
      <c r="AG89" s="4">
        <f t="shared" si="13"/>
        <v>0</v>
      </c>
    </row>
    <row r="90" spans="1:35" ht="18.75" x14ac:dyDescent="0.25">
      <c r="A90" s="105" t="s">
        <v>74</v>
      </c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>
        <v>1</v>
      </c>
      <c r="O90" s="9">
        <v>1</v>
      </c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>
        <v>1</v>
      </c>
      <c r="AF90" s="10"/>
      <c r="AG90" s="4">
        <f t="shared" si="13"/>
        <v>3</v>
      </c>
    </row>
    <row r="91" spans="1:35" ht="18.75" x14ac:dyDescent="0.25">
      <c r="A91" s="105" t="s">
        <v>75</v>
      </c>
      <c r="B91" s="9"/>
      <c r="C91" s="9"/>
      <c r="D91" s="9">
        <v>1</v>
      </c>
      <c r="E91" s="9"/>
      <c r="F91" s="9"/>
      <c r="G91" s="9"/>
      <c r="H91" s="9">
        <v>1</v>
      </c>
      <c r="I91" s="9">
        <v>1</v>
      </c>
      <c r="J91" s="9"/>
      <c r="K91" s="9"/>
      <c r="L91" s="9"/>
      <c r="M91" s="9"/>
      <c r="N91" s="9"/>
      <c r="O91" s="9"/>
      <c r="P91" s="9"/>
      <c r="Q91" s="9"/>
      <c r="R91" s="9"/>
      <c r="S91" s="9">
        <v>2</v>
      </c>
      <c r="T91" s="9"/>
      <c r="U91" s="9"/>
      <c r="V91" s="9"/>
      <c r="W91" s="9"/>
      <c r="X91" s="9">
        <v>1</v>
      </c>
      <c r="Y91" s="9"/>
      <c r="Z91" s="9"/>
      <c r="AA91" s="9"/>
      <c r="AB91" s="9">
        <v>5</v>
      </c>
      <c r="AC91" s="9">
        <v>1</v>
      </c>
      <c r="AD91" s="9"/>
      <c r="AE91" s="9"/>
      <c r="AF91" s="10"/>
      <c r="AG91" s="4">
        <f t="shared" si="13"/>
        <v>12</v>
      </c>
    </row>
    <row r="92" spans="1:35" ht="19.5" thickBot="1" x14ac:dyDescent="0.3">
      <c r="A92" s="105" t="s">
        <v>76</v>
      </c>
      <c r="B92" s="9"/>
      <c r="C92" s="9">
        <v>4</v>
      </c>
      <c r="D92" s="9">
        <v>2</v>
      </c>
      <c r="E92" s="9">
        <v>1</v>
      </c>
      <c r="F92" s="9">
        <v>2</v>
      </c>
      <c r="G92" s="9">
        <v>2</v>
      </c>
      <c r="H92" s="9">
        <v>2</v>
      </c>
      <c r="I92" s="9">
        <v>3</v>
      </c>
      <c r="J92" s="9">
        <v>2</v>
      </c>
      <c r="K92" s="9">
        <v>1</v>
      </c>
      <c r="L92" s="9"/>
      <c r="M92" s="9">
        <v>1</v>
      </c>
      <c r="N92" s="9"/>
      <c r="O92" s="9">
        <v>5</v>
      </c>
      <c r="P92" s="9">
        <v>1</v>
      </c>
      <c r="Q92" s="9"/>
      <c r="R92" s="9">
        <v>1</v>
      </c>
      <c r="S92" s="9"/>
      <c r="T92" s="9"/>
      <c r="U92" s="9">
        <v>2</v>
      </c>
      <c r="V92" s="9">
        <v>2</v>
      </c>
      <c r="W92" s="9">
        <v>3</v>
      </c>
      <c r="X92" s="9"/>
      <c r="Y92" s="9">
        <v>5</v>
      </c>
      <c r="Z92" s="9">
        <v>1</v>
      </c>
      <c r="AA92" s="9"/>
      <c r="AB92" s="9">
        <v>19</v>
      </c>
      <c r="AC92" s="9">
        <v>1</v>
      </c>
      <c r="AD92" s="9">
        <v>3</v>
      </c>
      <c r="AE92" s="9"/>
      <c r="AF92" s="10">
        <v>2</v>
      </c>
      <c r="AG92" s="4">
        <f t="shared" si="13"/>
        <v>65</v>
      </c>
    </row>
    <row r="93" spans="1:35" ht="18.75" x14ac:dyDescent="0.25">
      <c r="A93" s="73" t="s">
        <v>615</v>
      </c>
      <c r="B93" s="74">
        <f t="shared" ref="B93:AF93" si="15">+B94+B100</f>
        <v>89</v>
      </c>
      <c r="C93" s="74">
        <f t="shared" si="15"/>
        <v>93</v>
      </c>
      <c r="D93" s="74">
        <f t="shared" si="15"/>
        <v>87</v>
      </c>
      <c r="E93" s="74">
        <f t="shared" si="15"/>
        <v>100</v>
      </c>
      <c r="F93" s="74">
        <f t="shared" si="15"/>
        <v>90</v>
      </c>
      <c r="G93" s="74">
        <f t="shared" si="15"/>
        <v>127</v>
      </c>
      <c r="H93" s="74">
        <f t="shared" si="15"/>
        <v>107</v>
      </c>
      <c r="I93" s="74">
        <f t="shared" si="15"/>
        <v>110</v>
      </c>
      <c r="J93" s="74">
        <f t="shared" si="15"/>
        <v>81</v>
      </c>
      <c r="K93" s="74">
        <f t="shared" si="15"/>
        <v>132</v>
      </c>
      <c r="L93" s="74">
        <f t="shared" si="15"/>
        <v>81</v>
      </c>
      <c r="M93" s="74">
        <f t="shared" si="15"/>
        <v>81</v>
      </c>
      <c r="N93" s="74">
        <f t="shared" si="15"/>
        <v>109</v>
      </c>
      <c r="O93" s="74">
        <f t="shared" si="15"/>
        <v>111</v>
      </c>
      <c r="P93" s="74">
        <f t="shared" si="15"/>
        <v>119</v>
      </c>
      <c r="Q93" s="74">
        <f t="shared" si="15"/>
        <v>83</v>
      </c>
      <c r="R93" s="74">
        <f t="shared" si="15"/>
        <v>118</v>
      </c>
      <c r="S93" s="74">
        <f t="shared" si="15"/>
        <v>99</v>
      </c>
      <c r="T93" s="74">
        <f t="shared" si="15"/>
        <v>88</v>
      </c>
      <c r="U93" s="74">
        <f t="shared" si="15"/>
        <v>122</v>
      </c>
      <c r="V93" s="74">
        <f t="shared" si="15"/>
        <v>108</v>
      </c>
      <c r="W93" s="74">
        <f t="shared" si="15"/>
        <v>111</v>
      </c>
      <c r="X93" s="74">
        <f t="shared" si="15"/>
        <v>104</v>
      </c>
      <c r="Y93" s="74">
        <f t="shared" si="15"/>
        <v>106</v>
      </c>
      <c r="Z93" s="74">
        <f t="shared" si="15"/>
        <v>85</v>
      </c>
      <c r="AA93" s="74">
        <f t="shared" si="15"/>
        <v>69</v>
      </c>
      <c r="AB93" s="74">
        <f t="shared" si="15"/>
        <v>113</v>
      </c>
      <c r="AC93" s="74">
        <f t="shared" si="15"/>
        <v>103</v>
      </c>
      <c r="AD93" s="74">
        <f t="shared" si="15"/>
        <v>75</v>
      </c>
      <c r="AE93" s="74">
        <f t="shared" si="15"/>
        <v>85</v>
      </c>
      <c r="AF93" s="84">
        <f t="shared" si="15"/>
        <v>78</v>
      </c>
      <c r="AG93" s="150">
        <f t="shared" si="13"/>
        <v>3064</v>
      </c>
      <c r="AH93" s="37" t="str">
        <f>IF(AG93&lt;&gt;AG28,"*","")</f>
        <v/>
      </c>
    </row>
    <row r="94" spans="1:35" ht="18.75" x14ac:dyDescent="0.25">
      <c r="A94" s="42" t="s">
        <v>65</v>
      </c>
      <c r="B94" s="17">
        <f t="shared" ref="B94:AF94" si="16">SUM(B95:B99)</f>
        <v>5</v>
      </c>
      <c r="C94" s="17">
        <f t="shared" si="16"/>
        <v>1</v>
      </c>
      <c r="D94" s="17">
        <f t="shared" si="16"/>
        <v>9</v>
      </c>
      <c r="E94" s="17">
        <f t="shared" si="16"/>
        <v>10</v>
      </c>
      <c r="F94" s="17">
        <f t="shared" si="16"/>
        <v>7</v>
      </c>
      <c r="G94" s="17">
        <f t="shared" si="16"/>
        <v>9</v>
      </c>
      <c r="H94" s="17">
        <f t="shared" si="16"/>
        <v>9</v>
      </c>
      <c r="I94" s="17">
        <f t="shared" si="16"/>
        <v>3</v>
      </c>
      <c r="J94" s="17">
        <f t="shared" si="16"/>
        <v>3</v>
      </c>
      <c r="K94" s="17">
        <f t="shared" si="16"/>
        <v>6</v>
      </c>
      <c r="L94" s="17">
        <f t="shared" si="16"/>
        <v>3</v>
      </c>
      <c r="M94" s="17">
        <f t="shared" si="16"/>
        <v>6</v>
      </c>
      <c r="N94" s="17">
        <f t="shared" si="16"/>
        <v>8</v>
      </c>
      <c r="O94" s="17">
        <f t="shared" si="16"/>
        <v>9</v>
      </c>
      <c r="P94" s="17">
        <f t="shared" si="16"/>
        <v>7</v>
      </c>
      <c r="Q94" s="17">
        <f t="shared" si="16"/>
        <v>8</v>
      </c>
      <c r="R94" s="17">
        <f t="shared" si="16"/>
        <v>3</v>
      </c>
      <c r="S94" s="17">
        <f t="shared" si="16"/>
        <v>7</v>
      </c>
      <c r="T94" s="17">
        <f t="shared" si="16"/>
        <v>8</v>
      </c>
      <c r="U94" s="17">
        <f t="shared" si="16"/>
        <v>9</v>
      </c>
      <c r="V94" s="17">
        <f t="shared" si="16"/>
        <v>4</v>
      </c>
      <c r="W94" s="17">
        <f t="shared" si="16"/>
        <v>6</v>
      </c>
      <c r="X94" s="17">
        <f t="shared" si="16"/>
        <v>3</v>
      </c>
      <c r="Y94" s="17">
        <f t="shared" si="16"/>
        <v>6</v>
      </c>
      <c r="Z94" s="17">
        <f t="shared" si="16"/>
        <v>6</v>
      </c>
      <c r="AA94" s="17">
        <f t="shared" si="16"/>
        <v>6</v>
      </c>
      <c r="AB94" s="17">
        <f t="shared" si="16"/>
        <v>6</v>
      </c>
      <c r="AC94" s="17">
        <f t="shared" si="16"/>
        <v>4</v>
      </c>
      <c r="AD94" s="17">
        <f t="shared" si="16"/>
        <v>5</v>
      </c>
      <c r="AE94" s="17">
        <f t="shared" si="16"/>
        <v>6</v>
      </c>
      <c r="AF94" s="18">
        <f t="shared" si="16"/>
        <v>3</v>
      </c>
      <c r="AG94" s="4">
        <f t="shared" si="13"/>
        <v>185</v>
      </c>
    </row>
    <row r="95" spans="1:35" ht="18.75" x14ac:dyDescent="0.25">
      <c r="A95" s="44" t="s">
        <v>81</v>
      </c>
      <c r="B95" s="7"/>
      <c r="C95" s="7"/>
      <c r="D95" s="7"/>
      <c r="E95" s="7"/>
      <c r="F95" s="7"/>
      <c r="G95" s="7">
        <v>1</v>
      </c>
      <c r="H95" s="7"/>
      <c r="I95" s="7">
        <v>2</v>
      </c>
      <c r="J95" s="7"/>
      <c r="K95" s="7">
        <v>0</v>
      </c>
      <c r="L95" s="7">
        <v>1</v>
      </c>
      <c r="M95" s="7">
        <v>0</v>
      </c>
      <c r="N95" s="7">
        <v>0</v>
      </c>
      <c r="O95" s="7"/>
      <c r="P95" s="7"/>
      <c r="Q95" s="7">
        <v>1</v>
      </c>
      <c r="R95" s="7"/>
      <c r="S95" s="7">
        <v>1</v>
      </c>
      <c r="T95" s="7">
        <v>1</v>
      </c>
      <c r="U95" s="7">
        <v>1</v>
      </c>
      <c r="V95" s="7"/>
      <c r="W95" s="7">
        <v>1</v>
      </c>
      <c r="X95" s="7"/>
      <c r="Y95" s="7"/>
      <c r="Z95" s="7"/>
      <c r="AA95" s="7"/>
      <c r="AB95" s="7"/>
      <c r="AC95" s="7"/>
      <c r="AD95" s="7"/>
      <c r="AE95" s="7"/>
      <c r="AF95" s="8"/>
      <c r="AG95" s="4">
        <f t="shared" si="13"/>
        <v>9</v>
      </c>
    </row>
    <row r="96" spans="1:35" ht="18.75" x14ac:dyDescent="0.25">
      <c r="A96" s="45" t="s">
        <v>82</v>
      </c>
      <c r="B96" s="7">
        <v>1</v>
      </c>
      <c r="C96" s="7"/>
      <c r="D96" s="7">
        <v>2</v>
      </c>
      <c r="E96" s="7">
        <v>2</v>
      </c>
      <c r="F96" s="7"/>
      <c r="G96" s="7">
        <v>1</v>
      </c>
      <c r="H96" s="7">
        <v>1</v>
      </c>
      <c r="I96" s="7"/>
      <c r="J96" s="7"/>
      <c r="K96" s="7">
        <v>0</v>
      </c>
      <c r="L96" s="7">
        <v>0</v>
      </c>
      <c r="M96" s="7">
        <v>0</v>
      </c>
      <c r="N96" s="7">
        <v>0</v>
      </c>
      <c r="O96" s="7"/>
      <c r="P96" s="7">
        <v>3</v>
      </c>
      <c r="Q96" s="7">
        <v>1</v>
      </c>
      <c r="R96" s="7"/>
      <c r="S96" s="141"/>
      <c r="T96" s="7"/>
      <c r="U96" s="7">
        <v>1</v>
      </c>
      <c r="V96" s="7"/>
      <c r="W96" s="7">
        <v>2</v>
      </c>
      <c r="X96" s="7"/>
      <c r="Y96" s="7"/>
      <c r="Z96" s="7"/>
      <c r="AA96" s="7"/>
      <c r="AB96" s="7"/>
      <c r="AC96" s="7">
        <v>1</v>
      </c>
      <c r="AD96" s="7">
        <v>2</v>
      </c>
      <c r="AE96" s="7"/>
      <c r="AF96" s="8">
        <v>1</v>
      </c>
      <c r="AG96" s="4">
        <f t="shared" si="13"/>
        <v>18</v>
      </c>
    </row>
    <row r="97" spans="1:33" ht="18.75" x14ac:dyDescent="0.25">
      <c r="A97" s="46" t="s">
        <v>70</v>
      </c>
      <c r="B97" s="7">
        <v>1</v>
      </c>
      <c r="C97" s="7"/>
      <c r="D97" s="7">
        <v>3</v>
      </c>
      <c r="E97" s="7">
        <v>1</v>
      </c>
      <c r="F97" s="7"/>
      <c r="G97" s="7">
        <v>1</v>
      </c>
      <c r="H97" s="7">
        <v>1</v>
      </c>
      <c r="I97" s="7"/>
      <c r="J97" s="7">
        <v>1</v>
      </c>
      <c r="K97" s="7">
        <v>2</v>
      </c>
      <c r="L97" s="7">
        <v>1</v>
      </c>
      <c r="M97" s="7">
        <v>2</v>
      </c>
      <c r="N97" s="7">
        <v>2</v>
      </c>
      <c r="O97" s="7">
        <v>1</v>
      </c>
      <c r="P97" s="7">
        <v>2</v>
      </c>
      <c r="Q97" s="7">
        <v>1</v>
      </c>
      <c r="R97" s="7"/>
      <c r="S97" s="7"/>
      <c r="T97" s="7">
        <v>2</v>
      </c>
      <c r="U97" s="7">
        <v>3</v>
      </c>
      <c r="V97" s="7">
        <v>1</v>
      </c>
      <c r="W97" s="7"/>
      <c r="X97" s="7">
        <v>1</v>
      </c>
      <c r="Y97" s="7"/>
      <c r="Z97" s="7">
        <v>2</v>
      </c>
      <c r="AA97" s="7"/>
      <c r="AB97" s="7">
        <v>1</v>
      </c>
      <c r="AC97" s="7">
        <v>2</v>
      </c>
      <c r="AD97" s="7"/>
      <c r="AE97" s="7">
        <v>1</v>
      </c>
      <c r="AF97" s="8"/>
      <c r="AG97" s="4">
        <f t="shared" si="13"/>
        <v>32</v>
      </c>
    </row>
    <row r="98" spans="1:33" ht="18.75" x14ac:dyDescent="0.25">
      <c r="A98" s="47" t="s">
        <v>6</v>
      </c>
      <c r="B98" s="7">
        <v>1</v>
      </c>
      <c r="C98" s="7"/>
      <c r="D98" s="7">
        <v>2</v>
      </c>
      <c r="E98" s="7">
        <v>2</v>
      </c>
      <c r="F98" s="7">
        <v>3</v>
      </c>
      <c r="G98" s="7">
        <v>1</v>
      </c>
      <c r="H98" s="7">
        <v>2</v>
      </c>
      <c r="I98" s="7"/>
      <c r="J98" s="7">
        <v>2</v>
      </c>
      <c r="K98" s="7">
        <v>1</v>
      </c>
      <c r="L98" s="7">
        <v>1</v>
      </c>
      <c r="M98" s="7">
        <v>2</v>
      </c>
      <c r="N98" s="7">
        <v>4</v>
      </c>
      <c r="O98" s="7">
        <v>2</v>
      </c>
      <c r="P98" s="7"/>
      <c r="Q98" s="7">
        <v>3</v>
      </c>
      <c r="R98" s="7">
        <v>2</v>
      </c>
      <c r="S98" s="7">
        <v>2</v>
      </c>
      <c r="T98" s="7">
        <v>3</v>
      </c>
      <c r="U98" s="7">
        <v>3</v>
      </c>
      <c r="V98" s="7">
        <v>2</v>
      </c>
      <c r="W98" s="7">
        <v>1</v>
      </c>
      <c r="X98" s="7">
        <v>2</v>
      </c>
      <c r="Y98" s="7">
        <v>4</v>
      </c>
      <c r="Z98" s="7"/>
      <c r="AA98" s="7">
        <v>3</v>
      </c>
      <c r="AB98" s="7">
        <v>2</v>
      </c>
      <c r="AC98" s="7">
        <v>1</v>
      </c>
      <c r="AD98" s="7">
        <v>2</v>
      </c>
      <c r="AE98" s="7">
        <v>2</v>
      </c>
      <c r="AF98" s="8">
        <v>1</v>
      </c>
      <c r="AG98" s="4">
        <f t="shared" si="13"/>
        <v>56</v>
      </c>
    </row>
    <row r="99" spans="1:33" ht="18.75" x14ac:dyDescent="0.25">
      <c r="A99" s="48" t="s">
        <v>7</v>
      </c>
      <c r="B99" s="7">
        <v>2</v>
      </c>
      <c r="C99" s="7">
        <v>1</v>
      </c>
      <c r="D99" s="7">
        <v>2</v>
      </c>
      <c r="E99" s="7">
        <v>5</v>
      </c>
      <c r="F99" s="7">
        <v>4</v>
      </c>
      <c r="G99" s="7">
        <v>5</v>
      </c>
      <c r="H99" s="7">
        <v>5</v>
      </c>
      <c r="I99" s="7">
        <v>1</v>
      </c>
      <c r="J99" s="7"/>
      <c r="K99" s="7">
        <v>3</v>
      </c>
      <c r="L99" s="7">
        <v>0</v>
      </c>
      <c r="M99" s="7">
        <v>2</v>
      </c>
      <c r="N99" s="7">
        <v>2</v>
      </c>
      <c r="O99" s="7">
        <v>6</v>
      </c>
      <c r="P99" s="7">
        <v>2</v>
      </c>
      <c r="Q99" s="7">
        <v>2</v>
      </c>
      <c r="R99" s="7">
        <v>1</v>
      </c>
      <c r="S99" s="7">
        <v>4</v>
      </c>
      <c r="T99" s="7">
        <v>2</v>
      </c>
      <c r="U99" s="7">
        <v>1</v>
      </c>
      <c r="V99" s="7">
        <v>1</v>
      </c>
      <c r="W99" s="7">
        <v>2</v>
      </c>
      <c r="X99" s="7"/>
      <c r="Y99" s="7">
        <v>2</v>
      </c>
      <c r="Z99" s="7">
        <v>4</v>
      </c>
      <c r="AA99" s="7">
        <v>3</v>
      </c>
      <c r="AB99" s="7">
        <v>3</v>
      </c>
      <c r="AC99" s="7"/>
      <c r="AD99" s="7">
        <v>1</v>
      </c>
      <c r="AE99" s="7">
        <v>3</v>
      </c>
      <c r="AF99" s="8">
        <v>1</v>
      </c>
      <c r="AG99" s="4">
        <f t="shared" si="13"/>
        <v>70</v>
      </c>
    </row>
    <row r="100" spans="1:33" ht="18.75" x14ac:dyDescent="0.25">
      <c r="A100" s="42" t="s">
        <v>66</v>
      </c>
      <c r="B100" s="17">
        <f t="shared" ref="B100:AF100" si="17">SUM(B101:B115)</f>
        <v>84</v>
      </c>
      <c r="C100" s="17">
        <f t="shared" si="17"/>
        <v>92</v>
      </c>
      <c r="D100" s="17">
        <f t="shared" si="17"/>
        <v>78</v>
      </c>
      <c r="E100" s="17">
        <f t="shared" si="17"/>
        <v>90</v>
      </c>
      <c r="F100" s="17">
        <f t="shared" si="17"/>
        <v>83</v>
      </c>
      <c r="G100" s="17">
        <f t="shared" si="17"/>
        <v>118</v>
      </c>
      <c r="H100" s="17">
        <f t="shared" si="17"/>
        <v>98</v>
      </c>
      <c r="I100" s="17">
        <f t="shared" si="17"/>
        <v>107</v>
      </c>
      <c r="J100" s="17">
        <f t="shared" si="17"/>
        <v>78</v>
      </c>
      <c r="K100" s="17">
        <f t="shared" si="17"/>
        <v>126</v>
      </c>
      <c r="L100" s="17">
        <f t="shared" si="17"/>
        <v>78</v>
      </c>
      <c r="M100" s="17">
        <f t="shared" si="17"/>
        <v>75</v>
      </c>
      <c r="N100" s="17">
        <f t="shared" si="17"/>
        <v>101</v>
      </c>
      <c r="O100" s="17">
        <f t="shared" si="17"/>
        <v>102</v>
      </c>
      <c r="P100" s="17">
        <f t="shared" si="17"/>
        <v>112</v>
      </c>
      <c r="Q100" s="17">
        <f t="shared" si="17"/>
        <v>75</v>
      </c>
      <c r="R100" s="17">
        <f t="shared" si="17"/>
        <v>115</v>
      </c>
      <c r="S100" s="17">
        <f t="shared" si="17"/>
        <v>92</v>
      </c>
      <c r="T100" s="17">
        <f t="shared" si="17"/>
        <v>80</v>
      </c>
      <c r="U100" s="17">
        <f t="shared" si="17"/>
        <v>113</v>
      </c>
      <c r="V100" s="17">
        <f t="shared" si="17"/>
        <v>104</v>
      </c>
      <c r="W100" s="17">
        <f t="shared" si="17"/>
        <v>105</v>
      </c>
      <c r="X100" s="17">
        <f t="shared" si="17"/>
        <v>101</v>
      </c>
      <c r="Y100" s="17">
        <f t="shared" si="17"/>
        <v>100</v>
      </c>
      <c r="Z100" s="17">
        <f t="shared" si="17"/>
        <v>79</v>
      </c>
      <c r="AA100" s="17">
        <f t="shared" si="17"/>
        <v>63</v>
      </c>
      <c r="AB100" s="17">
        <f t="shared" si="17"/>
        <v>107</v>
      </c>
      <c r="AC100" s="17">
        <f t="shared" si="17"/>
        <v>99</v>
      </c>
      <c r="AD100" s="17">
        <f t="shared" si="17"/>
        <v>70</v>
      </c>
      <c r="AE100" s="17">
        <f t="shared" si="17"/>
        <v>79</v>
      </c>
      <c r="AF100" s="18">
        <f t="shared" si="17"/>
        <v>75</v>
      </c>
      <c r="AG100" s="4">
        <f t="shared" si="13"/>
        <v>2879</v>
      </c>
    </row>
    <row r="101" spans="1:33" ht="18.75" x14ac:dyDescent="0.25">
      <c r="A101" s="48" t="s">
        <v>8</v>
      </c>
      <c r="B101" s="7">
        <v>9</v>
      </c>
      <c r="C101" s="7">
        <v>5</v>
      </c>
      <c r="D101" s="7">
        <v>5</v>
      </c>
      <c r="E101" s="7">
        <v>6</v>
      </c>
      <c r="F101" s="7">
        <v>3</v>
      </c>
      <c r="G101" s="7">
        <v>12</v>
      </c>
      <c r="H101" s="7">
        <v>2</v>
      </c>
      <c r="I101" s="7">
        <v>6</v>
      </c>
      <c r="J101" s="7">
        <v>3</v>
      </c>
      <c r="K101" s="7">
        <v>4</v>
      </c>
      <c r="L101" s="7">
        <v>8</v>
      </c>
      <c r="M101" s="7">
        <v>2</v>
      </c>
      <c r="N101" s="7">
        <v>5</v>
      </c>
      <c r="O101" s="7">
        <v>5</v>
      </c>
      <c r="P101" s="7">
        <v>9</v>
      </c>
      <c r="Q101" s="7">
        <v>6</v>
      </c>
      <c r="R101" s="7">
        <v>2</v>
      </c>
      <c r="S101" s="7">
        <v>2</v>
      </c>
      <c r="T101" s="7">
        <v>4</v>
      </c>
      <c r="U101" s="7">
        <v>9</v>
      </c>
      <c r="V101" s="7">
        <v>7</v>
      </c>
      <c r="W101" s="7">
        <v>10</v>
      </c>
      <c r="X101" s="7">
        <v>10</v>
      </c>
      <c r="Y101" s="7">
        <v>8</v>
      </c>
      <c r="Z101" s="7">
        <v>7</v>
      </c>
      <c r="AA101" s="7">
        <v>1</v>
      </c>
      <c r="AB101" s="7">
        <v>6</v>
      </c>
      <c r="AC101" s="7">
        <v>4</v>
      </c>
      <c r="AD101" s="7">
        <v>1</v>
      </c>
      <c r="AE101" s="7">
        <v>4</v>
      </c>
      <c r="AF101" s="8">
        <v>9</v>
      </c>
      <c r="AG101" s="4">
        <f t="shared" si="13"/>
        <v>174</v>
      </c>
    </row>
    <row r="102" spans="1:33" ht="18.75" x14ac:dyDescent="0.25">
      <c r="A102" s="48" t="s">
        <v>9</v>
      </c>
      <c r="B102" s="7">
        <v>7</v>
      </c>
      <c r="C102" s="7">
        <v>7</v>
      </c>
      <c r="D102" s="7">
        <v>5</v>
      </c>
      <c r="E102" s="7">
        <v>6</v>
      </c>
      <c r="F102" s="7">
        <v>4</v>
      </c>
      <c r="G102" s="7">
        <v>8</v>
      </c>
      <c r="H102" s="7">
        <v>7</v>
      </c>
      <c r="I102" s="7">
        <v>11</v>
      </c>
      <c r="J102" s="7">
        <v>6</v>
      </c>
      <c r="K102" s="7">
        <v>9</v>
      </c>
      <c r="L102" s="7">
        <v>5</v>
      </c>
      <c r="M102" s="7">
        <v>6</v>
      </c>
      <c r="N102" s="7">
        <v>18</v>
      </c>
      <c r="O102" s="7">
        <v>10</v>
      </c>
      <c r="P102" s="7">
        <v>6</v>
      </c>
      <c r="Q102" s="7">
        <v>12</v>
      </c>
      <c r="R102" s="7">
        <v>23</v>
      </c>
      <c r="S102" s="7">
        <v>11</v>
      </c>
      <c r="T102" s="7">
        <v>7</v>
      </c>
      <c r="U102" s="7">
        <v>10</v>
      </c>
      <c r="V102" s="7">
        <v>10</v>
      </c>
      <c r="W102" s="7">
        <v>9</v>
      </c>
      <c r="X102" s="7">
        <v>7</v>
      </c>
      <c r="Y102" s="7">
        <v>13</v>
      </c>
      <c r="Z102" s="7">
        <v>4</v>
      </c>
      <c r="AA102" s="7">
        <v>9</v>
      </c>
      <c r="AB102" s="7">
        <v>5</v>
      </c>
      <c r="AC102" s="7">
        <v>7</v>
      </c>
      <c r="AD102" s="7">
        <v>4</v>
      </c>
      <c r="AE102" s="7">
        <v>7</v>
      </c>
      <c r="AF102" s="8">
        <v>7</v>
      </c>
      <c r="AG102" s="4">
        <f t="shared" si="13"/>
        <v>260</v>
      </c>
    </row>
    <row r="103" spans="1:33" ht="18.75" x14ac:dyDescent="0.25">
      <c r="A103" s="49" t="s">
        <v>10</v>
      </c>
      <c r="B103" s="7">
        <v>7</v>
      </c>
      <c r="C103" s="7">
        <v>4</v>
      </c>
      <c r="D103" s="7">
        <v>7</v>
      </c>
      <c r="E103" s="7">
        <v>12</v>
      </c>
      <c r="F103" s="7">
        <v>9</v>
      </c>
      <c r="G103" s="7">
        <v>8</v>
      </c>
      <c r="H103" s="7">
        <v>4</v>
      </c>
      <c r="I103" s="7">
        <v>8</v>
      </c>
      <c r="J103" s="7">
        <v>9</v>
      </c>
      <c r="K103" s="7">
        <v>8</v>
      </c>
      <c r="L103" s="7">
        <v>7</v>
      </c>
      <c r="M103" s="7">
        <v>5</v>
      </c>
      <c r="N103" s="7">
        <v>8</v>
      </c>
      <c r="O103" s="7">
        <v>11</v>
      </c>
      <c r="P103" s="7">
        <v>11</v>
      </c>
      <c r="Q103" s="7">
        <v>6</v>
      </c>
      <c r="R103" s="7">
        <v>16</v>
      </c>
      <c r="S103" s="7">
        <v>15</v>
      </c>
      <c r="T103" s="7">
        <v>8</v>
      </c>
      <c r="U103" s="7">
        <v>6</v>
      </c>
      <c r="V103" s="7">
        <v>8</v>
      </c>
      <c r="W103" s="7">
        <v>8</v>
      </c>
      <c r="X103" s="7">
        <v>5</v>
      </c>
      <c r="Y103" s="7">
        <v>7</v>
      </c>
      <c r="Z103" s="7">
        <v>8</v>
      </c>
      <c r="AA103" s="7">
        <v>8</v>
      </c>
      <c r="AB103" s="7">
        <v>11</v>
      </c>
      <c r="AC103" s="7">
        <v>8</v>
      </c>
      <c r="AD103" s="7">
        <v>13</v>
      </c>
      <c r="AE103" s="7">
        <v>15</v>
      </c>
      <c r="AF103" s="8">
        <v>3</v>
      </c>
      <c r="AG103" s="4">
        <f t="shared" si="13"/>
        <v>263</v>
      </c>
    </row>
    <row r="104" spans="1:33" ht="18.75" x14ac:dyDescent="0.25">
      <c r="A104" s="49" t="s">
        <v>11</v>
      </c>
      <c r="B104" s="7">
        <v>7</v>
      </c>
      <c r="C104" s="7">
        <v>9</v>
      </c>
      <c r="D104" s="7">
        <v>12</v>
      </c>
      <c r="E104" s="7">
        <v>12</v>
      </c>
      <c r="F104" s="7">
        <v>12</v>
      </c>
      <c r="G104" s="7">
        <v>18</v>
      </c>
      <c r="H104" s="7">
        <v>14</v>
      </c>
      <c r="I104" s="7">
        <v>7</v>
      </c>
      <c r="J104" s="7">
        <v>10</v>
      </c>
      <c r="K104" s="7">
        <v>11</v>
      </c>
      <c r="L104" s="7">
        <v>8</v>
      </c>
      <c r="M104" s="7">
        <v>8</v>
      </c>
      <c r="N104" s="7">
        <v>7</v>
      </c>
      <c r="O104" s="7">
        <v>5</v>
      </c>
      <c r="P104" s="7">
        <v>16</v>
      </c>
      <c r="Q104" s="7">
        <v>6</v>
      </c>
      <c r="R104" s="7">
        <v>20</v>
      </c>
      <c r="S104" s="7">
        <v>12</v>
      </c>
      <c r="T104" s="7">
        <v>10</v>
      </c>
      <c r="U104" s="7">
        <v>6</v>
      </c>
      <c r="V104" s="7">
        <v>10</v>
      </c>
      <c r="W104" s="7">
        <v>4</v>
      </c>
      <c r="X104" s="7">
        <v>11</v>
      </c>
      <c r="Y104" s="7">
        <v>7</v>
      </c>
      <c r="Z104" s="7">
        <v>16</v>
      </c>
      <c r="AA104" s="7">
        <v>2</v>
      </c>
      <c r="AB104" s="7">
        <v>10</v>
      </c>
      <c r="AC104" s="7">
        <v>9</v>
      </c>
      <c r="AD104" s="7">
        <v>4</v>
      </c>
      <c r="AE104" s="7">
        <v>10</v>
      </c>
      <c r="AF104" s="8">
        <v>8</v>
      </c>
      <c r="AG104" s="4">
        <f t="shared" si="13"/>
        <v>301</v>
      </c>
    </row>
    <row r="105" spans="1:33" ht="18.75" x14ac:dyDescent="0.25">
      <c r="A105" s="49" t="s">
        <v>12</v>
      </c>
      <c r="B105" s="7">
        <v>7</v>
      </c>
      <c r="C105" s="7">
        <v>15</v>
      </c>
      <c r="D105" s="7">
        <v>10</v>
      </c>
      <c r="E105" s="7">
        <v>4</v>
      </c>
      <c r="F105" s="7">
        <v>9</v>
      </c>
      <c r="G105" s="7">
        <v>7</v>
      </c>
      <c r="H105" s="7">
        <v>11</v>
      </c>
      <c r="I105" s="7">
        <v>8</v>
      </c>
      <c r="J105" s="7">
        <v>3</v>
      </c>
      <c r="K105" s="7">
        <v>10</v>
      </c>
      <c r="L105" s="7">
        <v>9</v>
      </c>
      <c r="M105" s="7">
        <v>7</v>
      </c>
      <c r="N105" s="7">
        <v>4</v>
      </c>
      <c r="O105" s="7">
        <v>4</v>
      </c>
      <c r="P105" s="7">
        <v>7</v>
      </c>
      <c r="Q105" s="7">
        <v>5</v>
      </c>
      <c r="R105" s="7">
        <v>7</v>
      </c>
      <c r="S105" s="7">
        <v>3</v>
      </c>
      <c r="T105" s="7">
        <v>7</v>
      </c>
      <c r="U105" s="7">
        <v>6</v>
      </c>
      <c r="V105" s="7">
        <v>6</v>
      </c>
      <c r="W105" s="7">
        <v>7</v>
      </c>
      <c r="X105" s="7">
        <v>9</v>
      </c>
      <c r="Y105" s="7">
        <v>7</v>
      </c>
      <c r="Z105" s="7">
        <v>2</v>
      </c>
      <c r="AA105" s="7">
        <v>3</v>
      </c>
      <c r="AB105" s="7">
        <v>9</v>
      </c>
      <c r="AC105" s="7">
        <v>13</v>
      </c>
      <c r="AD105" s="7">
        <v>7</v>
      </c>
      <c r="AE105" s="7">
        <v>7</v>
      </c>
      <c r="AF105" s="8">
        <v>2</v>
      </c>
      <c r="AG105" s="4">
        <f t="shared" si="13"/>
        <v>215</v>
      </c>
    </row>
    <row r="106" spans="1:33" ht="18.75" x14ac:dyDescent="0.25">
      <c r="A106" s="49" t="s">
        <v>13</v>
      </c>
      <c r="B106" s="7">
        <v>7</v>
      </c>
      <c r="C106" s="7">
        <v>8</v>
      </c>
      <c r="D106" s="7">
        <v>3</v>
      </c>
      <c r="E106" s="7">
        <v>7</v>
      </c>
      <c r="F106" s="7">
        <v>6</v>
      </c>
      <c r="G106" s="7">
        <v>10</v>
      </c>
      <c r="H106" s="7">
        <v>8</v>
      </c>
      <c r="I106" s="7">
        <v>6</v>
      </c>
      <c r="J106" s="7">
        <v>7</v>
      </c>
      <c r="K106" s="7">
        <v>6</v>
      </c>
      <c r="L106" s="7">
        <v>7</v>
      </c>
      <c r="M106" s="7">
        <v>7</v>
      </c>
      <c r="N106" s="7">
        <v>5</v>
      </c>
      <c r="O106" s="7">
        <v>9</v>
      </c>
      <c r="P106" s="7">
        <v>9</v>
      </c>
      <c r="Q106" s="7">
        <v>6</v>
      </c>
      <c r="R106" s="7">
        <v>4</v>
      </c>
      <c r="S106" s="7">
        <v>7</v>
      </c>
      <c r="T106" s="7">
        <v>7</v>
      </c>
      <c r="U106" s="7">
        <v>7</v>
      </c>
      <c r="V106" s="7">
        <v>11</v>
      </c>
      <c r="W106" s="7">
        <v>7</v>
      </c>
      <c r="X106" s="7">
        <v>3</v>
      </c>
      <c r="Y106" s="7">
        <v>3</v>
      </c>
      <c r="Z106" s="7">
        <v>10</v>
      </c>
      <c r="AA106" s="7">
        <v>9</v>
      </c>
      <c r="AB106" s="7">
        <v>9</v>
      </c>
      <c r="AC106" s="7">
        <v>9</v>
      </c>
      <c r="AD106" s="7">
        <v>2</v>
      </c>
      <c r="AE106" s="7">
        <v>6</v>
      </c>
      <c r="AF106" s="8">
        <v>3</v>
      </c>
      <c r="AG106" s="4">
        <f t="shared" si="13"/>
        <v>208</v>
      </c>
    </row>
    <row r="107" spans="1:33" ht="18.75" x14ac:dyDescent="0.25">
      <c r="A107" s="49" t="s">
        <v>14</v>
      </c>
      <c r="B107" s="7">
        <v>8</v>
      </c>
      <c r="C107" s="7">
        <v>8</v>
      </c>
      <c r="D107" s="7">
        <v>4</v>
      </c>
      <c r="E107" s="7">
        <v>10</v>
      </c>
      <c r="F107" s="7">
        <v>10</v>
      </c>
      <c r="G107" s="7">
        <v>4</v>
      </c>
      <c r="H107" s="7">
        <v>6</v>
      </c>
      <c r="I107" s="7">
        <v>10</v>
      </c>
      <c r="J107" s="7">
        <v>5</v>
      </c>
      <c r="K107" s="7">
        <v>4</v>
      </c>
      <c r="L107" s="7">
        <v>8</v>
      </c>
      <c r="M107" s="7">
        <v>6</v>
      </c>
      <c r="N107" s="7">
        <v>5</v>
      </c>
      <c r="O107" s="7">
        <v>8</v>
      </c>
      <c r="P107" s="7">
        <v>15</v>
      </c>
      <c r="Q107" s="7">
        <v>8</v>
      </c>
      <c r="R107" s="7">
        <v>11</v>
      </c>
      <c r="S107" s="7">
        <v>11</v>
      </c>
      <c r="T107" s="7">
        <v>6</v>
      </c>
      <c r="U107" s="7">
        <v>10</v>
      </c>
      <c r="V107" s="7">
        <v>7</v>
      </c>
      <c r="W107" s="7">
        <v>13</v>
      </c>
      <c r="X107" s="7">
        <v>9</v>
      </c>
      <c r="Y107" s="7">
        <v>6</v>
      </c>
      <c r="Z107" s="7">
        <v>9</v>
      </c>
      <c r="AA107" s="7">
        <v>3</v>
      </c>
      <c r="AB107" s="7">
        <v>4</v>
      </c>
      <c r="AC107" s="7">
        <v>10</v>
      </c>
      <c r="AD107" s="7">
        <v>8</v>
      </c>
      <c r="AE107" s="7">
        <v>7</v>
      </c>
      <c r="AF107" s="8">
        <v>11</v>
      </c>
      <c r="AG107" s="4">
        <f t="shared" si="13"/>
        <v>244</v>
      </c>
    </row>
    <row r="108" spans="1:33" ht="18.75" x14ac:dyDescent="0.25">
      <c r="A108" s="49" t="s">
        <v>15</v>
      </c>
      <c r="B108" s="7">
        <v>8</v>
      </c>
      <c r="C108" s="7">
        <v>9</v>
      </c>
      <c r="D108" s="7">
        <v>5</v>
      </c>
      <c r="E108" s="7">
        <v>8</v>
      </c>
      <c r="F108" s="7">
        <v>6</v>
      </c>
      <c r="G108" s="7">
        <v>10</v>
      </c>
      <c r="H108" s="7">
        <v>13</v>
      </c>
      <c r="I108" s="7">
        <v>11</v>
      </c>
      <c r="J108" s="7">
        <v>4</v>
      </c>
      <c r="K108" s="7">
        <v>17</v>
      </c>
      <c r="L108" s="7">
        <v>9</v>
      </c>
      <c r="M108" s="7">
        <v>10</v>
      </c>
      <c r="N108" s="7">
        <v>14</v>
      </c>
      <c r="O108" s="7">
        <v>9</v>
      </c>
      <c r="P108" s="7">
        <v>8</v>
      </c>
      <c r="Q108" s="7">
        <v>5</v>
      </c>
      <c r="R108" s="7">
        <v>8</v>
      </c>
      <c r="S108" s="7">
        <v>6</v>
      </c>
      <c r="T108" s="7">
        <v>7</v>
      </c>
      <c r="U108" s="7">
        <v>7</v>
      </c>
      <c r="V108" s="7">
        <v>8</v>
      </c>
      <c r="W108" s="7">
        <v>14</v>
      </c>
      <c r="X108" s="7">
        <v>8</v>
      </c>
      <c r="Y108" s="7">
        <v>9</v>
      </c>
      <c r="Z108" s="7">
        <v>3</v>
      </c>
      <c r="AA108" s="7">
        <v>8</v>
      </c>
      <c r="AB108" s="7">
        <v>7</v>
      </c>
      <c r="AC108" s="7">
        <v>9</v>
      </c>
      <c r="AD108" s="7">
        <v>3</v>
      </c>
      <c r="AE108" s="7">
        <v>8</v>
      </c>
      <c r="AF108" s="8">
        <v>5</v>
      </c>
      <c r="AG108" s="4">
        <f t="shared" si="13"/>
        <v>256</v>
      </c>
    </row>
    <row r="109" spans="1:33" ht="18.75" x14ac:dyDescent="0.25">
      <c r="A109" s="49" t="s">
        <v>16</v>
      </c>
      <c r="B109" s="7">
        <v>7</v>
      </c>
      <c r="C109" s="7">
        <v>5</v>
      </c>
      <c r="D109" s="7">
        <v>12</v>
      </c>
      <c r="E109" s="7">
        <v>9</v>
      </c>
      <c r="F109" s="7">
        <v>7</v>
      </c>
      <c r="G109" s="7">
        <v>7</v>
      </c>
      <c r="H109" s="7">
        <v>10</v>
      </c>
      <c r="I109" s="7">
        <v>15</v>
      </c>
      <c r="J109" s="7">
        <v>6</v>
      </c>
      <c r="K109" s="7">
        <v>10</v>
      </c>
      <c r="L109" s="7">
        <v>6</v>
      </c>
      <c r="M109" s="7">
        <v>9</v>
      </c>
      <c r="N109" s="7">
        <v>10</v>
      </c>
      <c r="O109" s="7">
        <v>9</v>
      </c>
      <c r="P109" s="7">
        <v>8</v>
      </c>
      <c r="Q109" s="7">
        <v>7</v>
      </c>
      <c r="R109" s="7">
        <v>6</v>
      </c>
      <c r="S109" s="7">
        <v>4</v>
      </c>
      <c r="T109" s="7">
        <v>9</v>
      </c>
      <c r="U109" s="7">
        <v>16</v>
      </c>
      <c r="V109" s="7">
        <v>10</v>
      </c>
      <c r="W109" s="7">
        <v>8</v>
      </c>
      <c r="X109" s="7">
        <v>16</v>
      </c>
      <c r="Y109" s="7">
        <v>7</v>
      </c>
      <c r="Z109" s="7">
        <v>7</v>
      </c>
      <c r="AA109" s="7">
        <v>5</v>
      </c>
      <c r="AB109" s="7">
        <v>10</v>
      </c>
      <c r="AC109" s="7">
        <v>8</v>
      </c>
      <c r="AD109" s="7">
        <v>8</v>
      </c>
      <c r="AE109" s="7">
        <v>5</v>
      </c>
      <c r="AF109" s="8">
        <v>7</v>
      </c>
      <c r="AG109" s="4">
        <f t="shared" si="13"/>
        <v>263</v>
      </c>
    </row>
    <row r="110" spans="1:33" ht="18.75" x14ac:dyDescent="0.25">
      <c r="A110" s="49" t="s">
        <v>17</v>
      </c>
      <c r="B110" s="7">
        <v>4</v>
      </c>
      <c r="C110" s="7">
        <v>6</v>
      </c>
      <c r="D110" s="7">
        <v>8</v>
      </c>
      <c r="E110" s="7">
        <v>4</v>
      </c>
      <c r="F110" s="7">
        <v>3</v>
      </c>
      <c r="G110" s="7">
        <v>9</v>
      </c>
      <c r="H110" s="7">
        <v>5</v>
      </c>
      <c r="I110" s="7">
        <v>6</v>
      </c>
      <c r="J110" s="7">
        <v>9</v>
      </c>
      <c r="K110" s="7">
        <v>11</v>
      </c>
      <c r="L110" s="7">
        <v>3</v>
      </c>
      <c r="M110" s="7">
        <v>7</v>
      </c>
      <c r="N110" s="7">
        <v>6</v>
      </c>
      <c r="O110" s="7">
        <v>13</v>
      </c>
      <c r="P110" s="7">
        <v>10</v>
      </c>
      <c r="Q110" s="7">
        <v>5</v>
      </c>
      <c r="R110" s="7">
        <v>6</v>
      </c>
      <c r="S110" s="7">
        <v>6</v>
      </c>
      <c r="T110" s="7">
        <v>5</v>
      </c>
      <c r="U110" s="7">
        <v>5</v>
      </c>
      <c r="V110" s="7">
        <v>8</v>
      </c>
      <c r="W110" s="7">
        <v>10</v>
      </c>
      <c r="X110" s="7">
        <v>7</v>
      </c>
      <c r="Y110" s="7">
        <v>9</v>
      </c>
      <c r="Z110" s="7">
        <v>2</v>
      </c>
      <c r="AA110" s="7">
        <v>3</v>
      </c>
      <c r="AB110" s="7">
        <v>6</v>
      </c>
      <c r="AC110" s="7">
        <v>6</v>
      </c>
      <c r="AD110" s="7">
        <v>4</v>
      </c>
      <c r="AE110" s="7">
        <v>6</v>
      </c>
      <c r="AF110" s="8">
        <v>7</v>
      </c>
      <c r="AG110" s="4">
        <f t="shared" si="13"/>
        <v>199</v>
      </c>
    </row>
    <row r="111" spans="1:33" ht="18.75" x14ac:dyDescent="0.25">
      <c r="A111" s="49" t="s">
        <v>18</v>
      </c>
      <c r="B111" s="7">
        <v>6</v>
      </c>
      <c r="C111" s="7">
        <v>9</v>
      </c>
      <c r="D111" s="7">
        <v>2</v>
      </c>
      <c r="E111" s="7">
        <v>5</v>
      </c>
      <c r="F111" s="7">
        <v>5</v>
      </c>
      <c r="G111" s="7">
        <v>9</v>
      </c>
      <c r="H111" s="7">
        <v>2</v>
      </c>
      <c r="I111" s="7">
        <v>9</v>
      </c>
      <c r="J111" s="7">
        <v>6</v>
      </c>
      <c r="K111" s="7">
        <v>12</v>
      </c>
      <c r="L111" s="7">
        <v>4</v>
      </c>
      <c r="M111" s="7">
        <v>3</v>
      </c>
      <c r="N111" s="7">
        <v>7</v>
      </c>
      <c r="O111" s="7">
        <v>4</v>
      </c>
      <c r="P111" s="7">
        <v>3</v>
      </c>
      <c r="Q111" s="7">
        <v>2</v>
      </c>
      <c r="R111" s="7">
        <v>7</v>
      </c>
      <c r="S111" s="7">
        <v>5</v>
      </c>
      <c r="T111" s="7">
        <v>3</v>
      </c>
      <c r="U111" s="7">
        <v>8</v>
      </c>
      <c r="V111" s="7">
        <v>8</v>
      </c>
      <c r="W111" s="7">
        <v>5</v>
      </c>
      <c r="X111" s="7">
        <v>8</v>
      </c>
      <c r="Y111" s="7">
        <v>4</v>
      </c>
      <c r="Z111" s="7">
        <v>5</v>
      </c>
      <c r="AA111" s="7">
        <v>4</v>
      </c>
      <c r="AB111" s="7">
        <v>11</v>
      </c>
      <c r="AC111" s="7">
        <v>2</v>
      </c>
      <c r="AD111" s="7">
        <v>3</v>
      </c>
      <c r="AE111" s="7">
        <v>1</v>
      </c>
      <c r="AF111" s="8">
        <v>3</v>
      </c>
      <c r="AG111" s="4">
        <f t="shared" si="13"/>
        <v>165</v>
      </c>
    </row>
    <row r="112" spans="1:33" ht="18.75" x14ac:dyDescent="0.25">
      <c r="A112" s="49" t="s">
        <v>19</v>
      </c>
      <c r="B112" s="7">
        <v>2</v>
      </c>
      <c r="C112" s="7">
        <v>3</v>
      </c>
      <c r="D112" s="7">
        <v>3</v>
      </c>
      <c r="E112" s="7">
        <v>4</v>
      </c>
      <c r="F112" s="7">
        <v>4</v>
      </c>
      <c r="G112" s="7">
        <v>7</v>
      </c>
      <c r="H112" s="7">
        <v>7</v>
      </c>
      <c r="I112" s="7">
        <v>3</v>
      </c>
      <c r="J112" s="7">
        <v>4</v>
      </c>
      <c r="K112" s="7">
        <v>5</v>
      </c>
      <c r="L112" s="7">
        <v>1</v>
      </c>
      <c r="M112" s="7">
        <v>2</v>
      </c>
      <c r="N112" s="7">
        <v>5</v>
      </c>
      <c r="O112" s="7">
        <v>4</v>
      </c>
      <c r="P112" s="7">
        <v>2</v>
      </c>
      <c r="Q112" s="7">
        <v>2</v>
      </c>
      <c r="R112" s="7">
        <v>2</v>
      </c>
      <c r="S112" s="7">
        <v>4</v>
      </c>
      <c r="T112" s="7">
        <v>4</v>
      </c>
      <c r="U112" s="7">
        <v>10</v>
      </c>
      <c r="V112" s="7">
        <v>3</v>
      </c>
      <c r="W112" s="7">
        <v>6</v>
      </c>
      <c r="X112" s="7">
        <v>3</v>
      </c>
      <c r="Y112" s="7">
        <v>9</v>
      </c>
      <c r="Z112" s="7">
        <v>2</v>
      </c>
      <c r="AA112" s="7">
        <v>1</v>
      </c>
      <c r="AB112" s="7">
        <v>6</v>
      </c>
      <c r="AC112" s="7">
        <v>5</v>
      </c>
      <c r="AD112" s="7">
        <v>5</v>
      </c>
      <c r="AE112" s="7">
        <v>2</v>
      </c>
      <c r="AF112" s="8">
        <v>3</v>
      </c>
      <c r="AG112" s="4">
        <f>SUM(B112:AF112)</f>
        <v>123</v>
      </c>
    </row>
    <row r="113" spans="1:33" ht="18.75" x14ac:dyDescent="0.25">
      <c r="A113" s="49" t="s">
        <v>20</v>
      </c>
      <c r="B113" s="7">
        <v>1</v>
      </c>
      <c r="C113" s="7">
        <v>1</v>
      </c>
      <c r="D113" s="7">
        <v>1</v>
      </c>
      <c r="E113" s="7">
        <v>2</v>
      </c>
      <c r="F113" s="7">
        <v>5</v>
      </c>
      <c r="G113" s="7">
        <v>4</v>
      </c>
      <c r="H113" s="7">
        <v>1</v>
      </c>
      <c r="I113" s="7">
        <v>6</v>
      </c>
      <c r="J113" s="7">
        <v>2</v>
      </c>
      <c r="K113" s="7">
        <v>3</v>
      </c>
      <c r="L113" s="7">
        <v>3</v>
      </c>
      <c r="M113" s="7">
        <v>1</v>
      </c>
      <c r="N113" s="7">
        <v>3</v>
      </c>
      <c r="O113" s="7">
        <v>1</v>
      </c>
      <c r="P113" s="7">
        <v>4</v>
      </c>
      <c r="Q113" s="7">
        <v>3</v>
      </c>
      <c r="R113" s="7">
        <v>2</v>
      </c>
      <c r="S113" s="7">
        <v>3</v>
      </c>
      <c r="T113" s="7">
        <v>2</v>
      </c>
      <c r="U113" s="7">
        <v>9</v>
      </c>
      <c r="V113" s="7">
        <v>6</v>
      </c>
      <c r="W113" s="7">
        <v>2</v>
      </c>
      <c r="X113" s="7">
        <v>2</v>
      </c>
      <c r="Y113" s="7">
        <v>1</v>
      </c>
      <c r="Z113" s="7">
        <v>2</v>
      </c>
      <c r="AA113" s="7">
        <v>5</v>
      </c>
      <c r="AB113" s="7">
        <v>2</v>
      </c>
      <c r="AC113" s="7">
        <v>2</v>
      </c>
      <c r="AD113" s="7">
        <v>3</v>
      </c>
      <c r="AE113" s="7"/>
      <c r="AF113" s="8">
        <v>3</v>
      </c>
      <c r="AG113" s="4">
        <f t="shared" si="13"/>
        <v>85</v>
      </c>
    </row>
    <row r="114" spans="1:33" ht="18.75" x14ac:dyDescent="0.25">
      <c r="A114" s="49" t="s">
        <v>21</v>
      </c>
      <c r="B114" s="7">
        <v>4</v>
      </c>
      <c r="C114" s="7">
        <v>3</v>
      </c>
      <c r="D114" s="7">
        <v>1</v>
      </c>
      <c r="E114" s="7">
        <v>1</v>
      </c>
      <c r="F114" s="7"/>
      <c r="G114" s="7">
        <v>5</v>
      </c>
      <c r="H114" s="7">
        <v>8</v>
      </c>
      <c r="I114" s="7">
        <v>1</v>
      </c>
      <c r="J114" s="7">
        <v>4</v>
      </c>
      <c r="K114" s="7">
        <v>16</v>
      </c>
      <c r="L114" s="7">
        <v>0</v>
      </c>
      <c r="M114" s="7">
        <v>2</v>
      </c>
      <c r="N114" s="7">
        <v>4</v>
      </c>
      <c r="O114" s="7">
        <v>10</v>
      </c>
      <c r="P114" s="7">
        <v>4</v>
      </c>
      <c r="Q114" s="7">
        <v>2</v>
      </c>
      <c r="R114" s="7">
        <v>1</v>
      </c>
      <c r="S114" s="7">
        <v>3</v>
      </c>
      <c r="T114" s="7">
        <v>1</v>
      </c>
      <c r="U114" s="7">
        <v>4</v>
      </c>
      <c r="V114" s="7">
        <v>2</v>
      </c>
      <c r="W114" s="7">
        <v>2</v>
      </c>
      <c r="X114" s="7">
        <v>3</v>
      </c>
      <c r="Y114" s="7">
        <v>10</v>
      </c>
      <c r="Z114" s="7">
        <v>2</v>
      </c>
      <c r="AA114" s="7">
        <v>2</v>
      </c>
      <c r="AB114" s="7">
        <v>11</v>
      </c>
      <c r="AC114" s="7">
        <v>7</v>
      </c>
      <c r="AD114" s="7">
        <v>5</v>
      </c>
      <c r="AE114" s="7">
        <v>1</v>
      </c>
      <c r="AF114" s="8">
        <v>4</v>
      </c>
      <c r="AG114" s="4">
        <f t="shared" si="13"/>
        <v>123</v>
      </c>
    </row>
    <row r="115" spans="1:33" ht="19.5" thickBot="1" x14ac:dyDescent="0.3">
      <c r="A115" s="76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2"/>
      <c r="AG115" s="4">
        <f t="shared" si="13"/>
        <v>0</v>
      </c>
    </row>
    <row r="116" spans="1:33" ht="18.75" x14ac:dyDescent="0.25">
      <c r="A116" s="73" t="s">
        <v>61</v>
      </c>
      <c r="B116" s="74">
        <f t="shared" ref="B116:AF116" si="18">SUM(B117:B129)</f>
        <v>46</v>
      </c>
      <c r="C116" s="74">
        <f t="shared" si="18"/>
        <v>60</v>
      </c>
      <c r="D116" s="74">
        <f t="shared" si="18"/>
        <v>57</v>
      </c>
      <c r="E116" s="74">
        <f t="shared" si="18"/>
        <v>39</v>
      </c>
      <c r="F116" s="74">
        <f t="shared" si="18"/>
        <v>37</v>
      </c>
      <c r="G116" s="74">
        <f t="shared" si="18"/>
        <v>89</v>
      </c>
      <c r="H116" s="74">
        <f t="shared" si="18"/>
        <v>66</v>
      </c>
      <c r="I116" s="74">
        <f t="shared" si="18"/>
        <v>74</v>
      </c>
      <c r="J116" s="74">
        <f t="shared" si="18"/>
        <v>55</v>
      </c>
      <c r="K116" s="74">
        <f t="shared" si="18"/>
        <v>78</v>
      </c>
      <c r="L116" s="74">
        <f t="shared" si="18"/>
        <v>38</v>
      </c>
      <c r="M116" s="74">
        <f t="shared" si="18"/>
        <v>38</v>
      </c>
      <c r="N116" s="74">
        <f t="shared" si="18"/>
        <v>44</v>
      </c>
      <c r="O116" s="74">
        <f t="shared" si="18"/>
        <v>70</v>
      </c>
      <c r="P116" s="74">
        <f t="shared" si="18"/>
        <v>79</v>
      </c>
      <c r="Q116" s="74">
        <f t="shared" si="18"/>
        <v>46</v>
      </c>
      <c r="R116" s="74">
        <f t="shared" si="18"/>
        <v>59</v>
      </c>
      <c r="S116" s="74">
        <f t="shared" si="18"/>
        <v>46</v>
      </c>
      <c r="T116" s="74">
        <f t="shared" si="18"/>
        <v>34</v>
      </c>
      <c r="U116" s="74">
        <f t="shared" si="18"/>
        <v>82</v>
      </c>
      <c r="V116" s="74">
        <f t="shared" si="18"/>
        <v>71</v>
      </c>
      <c r="W116" s="74">
        <f t="shared" si="18"/>
        <v>78</v>
      </c>
      <c r="X116" s="74">
        <f t="shared" si="18"/>
        <v>60</v>
      </c>
      <c r="Y116" s="74">
        <f t="shared" si="18"/>
        <v>62</v>
      </c>
      <c r="Z116" s="74">
        <f t="shared" si="18"/>
        <v>40</v>
      </c>
      <c r="AA116" s="74">
        <f t="shared" si="18"/>
        <v>28</v>
      </c>
      <c r="AB116" s="74">
        <f t="shared" si="18"/>
        <v>85</v>
      </c>
      <c r="AC116" s="74">
        <f t="shared" si="18"/>
        <v>61</v>
      </c>
      <c r="AD116" s="74">
        <f t="shared" si="18"/>
        <v>49</v>
      </c>
      <c r="AE116" s="74">
        <f t="shared" si="18"/>
        <v>48</v>
      </c>
      <c r="AF116" s="84">
        <f t="shared" si="18"/>
        <v>34</v>
      </c>
      <c r="AG116" s="4">
        <f t="shared" si="13"/>
        <v>1753</v>
      </c>
    </row>
    <row r="117" spans="1:33" ht="18.75" x14ac:dyDescent="0.25">
      <c r="A117" s="43" t="s">
        <v>59</v>
      </c>
      <c r="B117" s="7">
        <v>38</v>
      </c>
      <c r="C117" s="7">
        <v>51</v>
      </c>
      <c r="D117" s="7">
        <v>39</v>
      </c>
      <c r="E117" s="7">
        <v>23</v>
      </c>
      <c r="F117" s="7">
        <v>26</v>
      </c>
      <c r="G117" s="7">
        <v>76</v>
      </c>
      <c r="H117" s="7">
        <v>55</v>
      </c>
      <c r="I117" s="7">
        <v>60</v>
      </c>
      <c r="J117" s="7">
        <v>44</v>
      </c>
      <c r="K117" s="7">
        <v>58</v>
      </c>
      <c r="L117" s="7">
        <v>30</v>
      </c>
      <c r="M117" s="7">
        <v>38</v>
      </c>
      <c r="N117" s="7">
        <v>44</v>
      </c>
      <c r="O117" s="7">
        <v>55</v>
      </c>
      <c r="P117" s="7">
        <v>57</v>
      </c>
      <c r="Q117" s="7">
        <v>30</v>
      </c>
      <c r="R117" s="7">
        <v>37</v>
      </c>
      <c r="S117" s="7">
        <v>38</v>
      </c>
      <c r="T117" s="7">
        <v>23</v>
      </c>
      <c r="U117" s="7">
        <v>64</v>
      </c>
      <c r="V117" s="7">
        <v>55</v>
      </c>
      <c r="W117" s="7">
        <v>65</v>
      </c>
      <c r="X117" s="7">
        <v>47</v>
      </c>
      <c r="Y117" s="7">
        <v>45</v>
      </c>
      <c r="Z117" s="7">
        <v>30</v>
      </c>
      <c r="AA117" s="7">
        <v>20</v>
      </c>
      <c r="AB117" s="7">
        <v>71</v>
      </c>
      <c r="AC117" s="7">
        <v>47</v>
      </c>
      <c r="AD117" s="7">
        <v>36</v>
      </c>
      <c r="AE117" s="7">
        <v>39</v>
      </c>
      <c r="AF117" s="8">
        <v>26</v>
      </c>
      <c r="AG117" s="4">
        <f t="shared" si="13"/>
        <v>1367</v>
      </c>
    </row>
    <row r="118" spans="1:33" ht="19.5" hidden="1" customHeight="1" thickBot="1" x14ac:dyDescent="0.25">
      <c r="A118" s="43" t="s">
        <v>23</v>
      </c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8"/>
      <c r="AG118" s="4">
        <f t="shared" si="13"/>
        <v>0</v>
      </c>
    </row>
    <row r="119" spans="1:33" ht="19.5" hidden="1" customHeight="1" thickBot="1" x14ac:dyDescent="0.25">
      <c r="A119" s="43" t="s">
        <v>24</v>
      </c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8"/>
      <c r="AG119" s="4">
        <f t="shared" si="13"/>
        <v>0</v>
      </c>
    </row>
    <row r="120" spans="1:33" ht="19.5" hidden="1" customHeight="1" thickBot="1" x14ac:dyDescent="0.25">
      <c r="A120" s="43" t="s">
        <v>25</v>
      </c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8"/>
      <c r="AG120" s="4">
        <f t="shared" si="13"/>
        <v>0</v>
      </c>
    </row>
    <row r="121" spans="1:33" ht="19.5" hidden="1" customHeight="1" thickBot="1" x14ac:dyDescent="0.25">
      <c r="A121" s="43" t="s">
        <v>26</v>
      </c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8"/>
      <c r="AG121" s="4">
        <f t="shared" si="13"/>
        <v>0</v>
      </c>
    </row>
    <row r="122" spans="1:33" ht="19.5" hidden="1" customHeight="1" thickBot="1" x14ac:dyDescent="0.25">
      <c r="A122" s="43" t="s">
        <v>27</v>
      </c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8"/>
      <c r="AG122" s="4">
        <f t="shared" si="13"/>
        <v>0</v>
      </c>
    </row>
    <row r="123" spans="1:33" ht="19.5" hidden="1" customHeight="1" thickBot="1" x14ac:dyDescent="0.25">
      <c r="A123" s="43" t="s">
        <v>28</v>
      </c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8"/>
      <c r="AG123" s="4">
        <f t="shared" si="13"/>
        <v>0</v>
      </c>
    </row>
    <row r="124" spans="1:33" ht="19.5" hidden="1" customHeight="1" thickBot="1" x14ac:dyDescent="0.25">
      <c r="A124" s="43" t="s">
        <v>29</v>
      </c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8"/>
      <c r="AG124" s="4">
        <f t="shared" si="13"/>
        <v>0</v>
      </c>
    </row>
    <row r="125" spans="1:33" ht="19.5" hidden="1" customHeight="1" thickBot="1" x14ac:dyDescent="0.25">
      <c r="A125" s="41" t="s">
        <v>30</v>
      </c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8"/>
      <c r="AG125" s="4">
        <f t="shared" si="13"/>
        <v>0</v>
      </c>
    </row>
    <row r="126" spans="1:33" ht="19.5" hidden="1" customHeight="1" thickBot="1" x14ac:dyDescent="0.25">
      <c r="A126" s="41" t="s">
        <v>31</v>
      </c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8"/>
      <c r="AG126" s="4">
        <f t="shared" si="13"/>
        <v>0</v>
      </c>
    </row>
    <row r="127" spans="1:33" ht="19.5" hidden="1" customHeight="1" thickBot="1" x14ac:dyDescent="0.25">
      <c r="A127" s="41" t="s">
        <v>32</v>
      </c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8"/>
      <c r="AG127" s="4">
        <f t="shared" ref="AG127:AG133" si="19">SUM(B127:AF127)</f>
        <v>0</v>
      </c>
    </row>
    <row r="128" spans="1:33" ht="19.5" hidden="1" customHeight="1" thickBot="1" x14ac:dyDescent="0.25">
      <c r="A128" s="43" t="s">
        <v>60</v>
      </c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8"/>
      <c r="AG128" s="4">
        <f t="shared" si="19"/>
        <v>0</v>
      </c>
    </row>
    <row r="129" spans="1:35" ht="19.5" thickBot="1" x14ac:dyDescent="0.3">
      <c r="A129" s="75" t="s">
        <v>86</v>
      </c>
      <c r="B129" s="13">
        <f>6+2</f>
        <v>8</v>
      </c>
      <c r="C129" s="13">
        <f>4+5</f>
        <v>9</v>
      </c>
      <c r="D129" s="13">
        <f>8+10</f>
        <v>18</v>
      </c>
      <c r="E129" s="13">
        <f>9+1+6</f>
        <v>16</v>
      </c>
      <c r="F129" s="13">
        <f>7+4</f>
        <v>11</v>
      </c>
      <c r="G129" s="13">
        <f>7+6</f>
        <v>13</v>
      </c>
      <c r="H129" s="13">
        <f>4+7</f>
        <v>11</v>
      </c>
      <c r="I129" s="13">
        <f>7+7</f>
        <v>14</v>
      </c>
      <c r="J129" s="13">
        <f>7+4</f>
        <v>11</v>
      </c>
      <c r="K129" s="13">
        <v>20</v>
      </c>
      <c r="L129" s="13">
        <v>8</v>
      </c>
      <c r="M129" s="13"/>
      <c r="N129" s="13"/>
      <c r="O129" s="13">
        <f>5+10</f>
        <v>15</v>
      </c>
      <c r="P129" s="13">
        <f>12+10</f>
        <v>22</v>
      </c>
      <c r="Q129" s="13">
        <f>1+5+10</f>
        <v>16</v>
      </c>
      <c r="R129" s="13">
        <f>5+17</f>
        <v>22</v>
      </c>
      <c r="S129" s="13">
        <f>2+6</f>
        <v>8</v>
      </c>
      <c r="T129" s="13">
        <f>4+7</f>
        <v>11</v>
      </c>
      <c r="U129" s="13">
        <f>11+7</f>
        <v>18</v>
      </c>
      <c r="V129" s="13">
        <f>9+7</f>
        <v>16</v>
      </c>
      <c r="W129" s="13">
        <f>7+6</f>
        <v>13</v>
      </c>
      <c r="X129" s="13">
        <f>7+1+5</f>
        <v>13</v>
      </c>
      <c r="Y129" s="13">
        <f>10+7</f>
        <v>17</v>
      </c>
      <c r="Z129" s="13">
        <f>4+6</f>
        <v>10</v>
      </c>
      <c r="AA129" s="13">
        <f>4+4</f>
        <v>8</v>
      </c>
      <c r="AB129" s="13">
        <f>10+4</f>
        <v>14</v>
      </c>
      <c r="AC129" s="13">
        <f>5+9</f>
        <v>14</v>
      </c>
      <c r="AD129" s="13">
        <f>2+1+10</f>
        <v>13</v>
      </c>
      <c r="AE129" s="13">
        <f>3+6</f>
        <v>9</v>
      </c>
      <c r="AF129" s="14">
        <f>3+5</f>
        <v>8</v>
      </c>
      <c r="AG129" s="4">
        <f t="shared" si="19"/>
        <v>386</v>
      </c>
    </row>
    <row r="130" spans="1:35" ht="18.75" x14ac:dyDescent="0.25">
      <c r="A130" s="73" t="s">
        <v>109</v>
      </c>
      <c r="B130" s="74">
        <f t="shared" ref="B130:AF130" si="20">SUM(B131:B143)</f>
        <v>89</v>
      </c>
      <c r="C130" s="74">
        <f t="shared" si="20"/>
        <v>93</v>
      </c>
      <c r="D130" s="74">
        <f t="shared" si="20"/>
        <v>87</v>
      </c>
      <c r="E130" s="74">
        <f t="shared" si="20"/>
        <v>100</v>
      </c>
      <c r="F130" s="74">
        <f t="shared" si="20"/>
        <v>90</v>
      </c>
      <c r="G130" s="74">
        <f t="shared" si="20"/>
        <v>127</v>
      </c>
      <c r="H130" s="74">
        <f t="shared" si="20"/>
        <v>107</v>
      </c>
      <c r="I130" s="74">
        <f t="shared" si="20"/>
        <v>110</v>
      </c>
      <c r="J130" s="74">
        <f t="shared" si="20"/>
        <v>81</v>
      </c>
      <c r="K130" s="74">
        <f t="shared" si="20"/>
        <v>132</v>
      </c>
      <c r="L130" s="74">
        <f t="shared" si="20"/>
        <v>81</v>
      </c>
      <c r="M130" s="74">
        <f t="shared" si="20"/>
        <v>81</v>
      </c>
      <c r="N130" s="74">
        <f t="shared" si="20"/>
        <v>109</v>
      </c>
      <c r="O130" s="74">
        <f t="shared" si="20"/>
        <v>111</v>
      </c>
      <c r="P130" s="74">
        <f t="shared" si="20"/>
        <v>119</v>
      </c>
      <c r="Q130" s="74">
        <f t="shared" si="20"/>
        <v>83</v>
      </c>
      <c r="R130" s="74">
        <f t="shared" si="20"/>
        <v>118</v>
      </c>
      <c r="S130" s="74">
        <f t="shared" si="20"/>
        <v>99</v>
      </c>
      <c r="T130" s="74">
        <f t="shared" si="20"/>
        <v>88</v>
      </c>
      <c r="U130" s="74">
        <f t="shared" si="20"/>
        <v>122</v>
      </c>
      <c r="V130" s="74">
        <f t="shared" si="20"/>
        <v>108</v>
      </c>
      <c r="W130" s="74">
        <f t="shared" si="20"/>
        <v>111</v>
      </c>
      <c r="X130" s="74">
        <f t="shared" si="20"/>
        <v>104</v>
      </c>
      <c r="Y130" s="74">
        <f t="shared" si="20"/>
        <v>106</v>
      </c>
      <c r="Z130" s="74">
        <f t="shared" si="20"/>
        <v>85</v>
      </c>
      <c r="AA130" s="74">
        <f t="shared" si="20"/>
        <v>69</v>
      </c>
      <c r="AB130" s="74">
        <f t="shared" si="20"/>
        <v>113</v>
      </c>
      <c r="AC130" s="74">
        <f t="shared" si="20"/>
        <v>103</v>
      </c>
      <c r="AD130" s="74">
        <f t="shared" si="20"/>
        <v>75</v>
      </c>
      <c r="AE130" s="74">
        <f t="shared" si="20"/>
        <v>85</v>
      </c>
      <c r="AF130" s="84">
        <f t="shared" si="20"/>
        <v>78</v>
      </c>
      <c r="AG130" s="150">
        <f t="shared" si="19"/>
        <v>3064</v>
      </c>
      <c r="AH130" s="1" t="str">
        <f>IF(AG130&lt;&gt;AG93,"*","")</f>
        <v/>
      </c>
    </row>
    <row r="131" spans="1:35" ht="18.75" x14ac:dyDescent="0.25">
      <c r="A131" s="43" t="s">
        <v>59</v>
      </c>
      <c r="B131" s="7">
        <v>38</v>
      </c>
      <c r="C131" s="7">
        <v>48</v>
      </c>
      <c r="D131" s="7">
        <v>36</v>
      </c>
      <c r="E131" s="7">
        <v>23</v>
      </c>
      <c r="F131" s="7">
        <v>25</v>
      </c>
      <c r="G131" s="7">
        <v>62</v>
      </c>
      <c r="H131" s="7">
        <v>50</v>
      </c>
      <c r="I131" s="7">
        <v>57</v>
      </c>
      <c r="J131" s="7">
        <v>39</v>
      </c>
      <c r="K131" s="7">
        <v>57</v>
      </c>
      <c r="L131" s="7">
        <v>30</v>
      </c>
      <c r="M131" s="7">
        <v>38</v>
      </c>
      <c r="N131" s="7">
        <v>44</v>
      </c>
      <c r="O131" s="7">
        <v>50</v>
      </c>
      <c r="P131" s="7">
        <v>54</v>
      </c>
      <c r="Q131" s="7">
        <v>29</v>
      </c>
      <c r="R131" s="7">
        <v>37</v>
      </c>
      <c r="S131" s="7">
        <v>38</v>
      </c>
      <c r="T131" s="7">
        <v>23</v>
      </c>
      <c r="U131" s="7">
        <v>57</v>
      </c>
      <c r="V131" s="7">
        <v>48</v>
      </c>
      <c r="W131" s="7">
        <v>51</v>
      </c>
      <c r="X131" s="7">
        <v>42</v>
      </c>
      <c r="Y131" s="7">
        <v>41</v>
      </c>
      <c r="Z131" s="7">
        <v>28</v>
      </c>
      <c r="AA131" s="7">
        <v>20</v>
      </c>
      <c r="AB131" s="7">
        <v>54</v>
      </c>
      <c r="AC131" s="7">
        <v>45</v>
      </c>
      <c r="AD131" s="7">
        <v>32</v>
      </c>
      <c r="AE131" s="7">
        <v>38</v>
      </c>
      <c r="AF131" s="8">
        <v>25</v>
      </c>
      <c r="AG131" s="4">
        <f t="shared" si="19"/>
        <v>1259</v>
      </c>
    </row>
    <row r="132" spans="1:35" ht="18.75" x14ac:dyDescent="0.25">
      <c r="A132" s="43" t="s">
        <v>23</v>
      </c>
      <c r="B132" s="7">
        <v>7</v>
      </c>
      <c r="C132" s="7">
        <v>1</v>
      </c>
      <c r="D132" s="7">
        <v>3</v>
      </c>
      <c r="E132" s="7">
        <v>4</v>
      </c>
      <c r="F132" s="7">
        <v>5</v>
      </c>
      <c r="G132" s="7">
        <v>3</v>
      </c>
      <c r="H132" s="7">
        <v>6</v>
      </c>
      <c r="I132" s="7">
        <v>5</v>
      </c>
      <c r="J132" s="7">
        <v>3</v>
      </c>
      <c r="K132" s="7">
        <v>6</v>
      </c>
      <c r="L132" s="7">
        <v>4</v>
      </c>
      <c r="M132" s="7">
        <v>6</v>
      </c>
      <c r="N132" s="7">
        <v>5</v>
      </c>
      <c r="O132" s="7">
        <v>4</v>
      </c>
      <c r="P132" s="7">
        <v>2</v>
      </c>
      <c r="Q132" s="7">
        <v>3</v>
      </c>
      <c r="R132" s="7">
        <v>7</v>
      </c>
      <c r="S132" s="7">
        <v>5</v>
      </c>
      <c r="T132" s="7">
        <v>7</v>
      </c>
      <c r="U132" s="7">
        <v>6</v>
      </c>
      <c r="V132" s="7">
        <v>4</v>
      </c>
      <c r="W132" s="7">
        <v>7</v>
      </c>
      <c r="X132" s="7">
        <v>6</v>
      </c>
      <c r="Y132" s="7">
        <v>7</v>
      </c>
      <c r="Z132" s="7">
        <v>10</v>
      </c>
      <c r="AA132" s="7">
        <v>4</v>
      </c>
      <c r="AB132" s="7">
        <v>5</v>
      </c>
      <c r="AC132" s="7">
        <v>4</v>
      </c>
      <c r="AD132" s="7">
        <v>2</v>
      </c>
      <c r="AE132" s="7">
        <v>4</v>
      </c>
      <c r="AF132" s="8">
        <v>2</v>
      </c>
      <c r="AG132" s="4">
        <f t="shared" si="19"/>
        <v>147</v>
      </c>
    </row>
    <row r="133" spans="1:35" ht="18.75" x14ac:dyDescent="0.25">
      <c r="A133" s="43" t="s">
        <v>24</v>
      </c>
      <c r="B133" s="7">
        <v>6</v>
      </c>
      <c r="C133" s="7">
        <v>4</v>
      </c>
      <c r="D133" s="7">
        <v>4</v>
      </c>
      <c r="E133" s="7">
        <v>9</v>
      </c>
      <c r="F133" s="7">
        <v>7</v>
      </c>
      <c r="G133" s="7">
        <v>8</v>
      </c>
      <c r="H133" s="7">
        <v>6</v>
      </c>
      <c r="I133" s="7">
        <v>10</v>
      </c>
      <c r="J133" s="7">
        <v>3</v>
      </c>
      <c r="K133" s="7">
        <v>11</v>
      </c>
      <c r="L133" s="7">
        <v>7</v>
      </c>
      <c r="M133" s="7">
        <v>12</v>
      </c>
      <c r="N133" s="7">
        <v>2</v>
      </c>
      <c r="O133" s="7">
        <v>9</v>
      </c>
      <c r="P133" s="7">
        <v>4</v>
      </c>
      <c r="Q133" s="7">
        <v>8</v>
      </c>
      <c r="R133" s="7">
        <v>2</v>
      </c>
      <c r="S133" s="7">
        <v>2</v>
      </c>
      <c r="T133" s="7">
        <v>10</v>
      </c>
      <c r="U133" s="7">
        <v>4</v>
      </c>
      <c r="V133" s="7">
        <v>8</v>
      </c>
      <c r="W133" s="7">
        <v>15</v>
      </c>
      <c r="X133" s="7">
        <v>10</v>
      </c>
      <c r="Y133" s="7">
        <v>7</v>
      </c>
      <c r="Z133" s="7">
        <v>4</v>
      </c>
      <c r="AA133" s="7">
        <v>5</v>
      </c>
      <c r="AB133" s="7">
        <v>7</v>
      </c>
      <c r="AC133" s="7">
        <v>5</v>
      </c>
      <c r="AD133" s="7">
        <v>3</v>
      </c>
      <c r="AE133" s="7">
        <v>6</v>
      </c>
      <c r="AF133" s="8">
        <v>8</v>
      </c>
      <c r="AG133" s="4">
        <f t="shared" si="19"/>
        <v>206</v>
      </c>
    </row>
    <row r="134" spans="1:35" ht="18.75" x14ac:dyDescent="0.25">
      <c r="A134" s="43" t="s">
        <v>25</v>
      </c>
      <c r="B134" s="7">
        <v>5</v>
      </c>
      <c r="C134" s="7">
        <v>3</v>
      </c>
      <c r="D134" s="7"/>
      <c r="E134" s="7">
        <v>2</v>
      </c>
      <c r="F134" s="7">
        <v>5</v>
      </c>
      <c r="G134" s="7">
        <f>3+1</f>
        <v>4</v>
      </c>
      <c r="H134" s="7">
        <v>7</v>
      </c>
      <c r="I134" s="7">
        <v>5</v>
      </c>
      <c r="J134" s="7">
        <v>2</v>
      </c>
      <c r="K134" s="7">
        <f>1+8</f>
        <v>9</v>
      </c>
      <c r="L134" s="7">
        <v>4</v>
      </c>
      <c r="M134" s="7">
        <f>1+2</f>
        <v>3</v>
      </c>
      <c r="N134" s="7">
        <v>7</v>
      </c>
      <c r="O134" s="7">
        <v>4</v>
      </c>
      <c r="P134" s="7">
        <f>1+5</f>
        <v>6</v>
      </c>
      <c r="Q134" s="7">
        <v>4</v>
      </c>
      <c r="R134" s="7">
        <v>13</v>
      </c>
      <c r="S134" s="7">
        <v>4</v>
      </c>
      <c r="T134" s="7">
        <v>6</v>
      </c>
      <c r="U134" s="7">
        <v>3</v>
      </c>
      <c r="V134" s="7">
        <v>5</v>
      </c>
      <c r="W134" s="7">
        <v>4</v>
      </c>
      <c r="X134" s="7">
        <v>5</v>
      </c>
      <c r="Y134" s="7">
        <f>2+4</f>
        <v>6</v>
      </c>
      <c r="Z134" s="7">
        <v>5</v>
      </c>
      <c r="AA134" s="7">
        <v>9</v>
      </c>
      <c r="AB134" s="7">
        <v>9</v>
      </c>
      <c r="AC134" s="7">
        <f>1+4</f>
        <v>5</v>
      </c>
      <c r="AD134" s="7">
        <v>4</v>
      </c>
      <c r="AE134" s="7">
        <f>1+2</f>
        <v>3</v>
      </c>
      <c r="AF134" s="8">
        <f>1+6</f>
        <v>7</v>
      </c>
      <c r="AG134" s="4">
        <f t="shared" ref="AG134:AG147" si="21">SUM(B134:AF134)</f>
        <v>158</v>
      </c>
    </row>
    <row r="135" spans="1:35" ht="18.75" x14ac:dyDescent="0.25">
      <c r="A135" s="43" t="s">
        <v>26</v>
      </c>
      <c r="B135" s="7">
        <v>4</v>
      </c>
      <c r="C135" s="7">
        <v>3</v>
      </c>
      <c r="D135" s="7">
        <v>4</v>
      </c>
      <c r="E135" s="7">
        <v>7</v>
      </c>
      <c r="F135" s="7">
        <v>6</v>
      </c>
      <c r="G135" s="7">
        <v>8</v>
      </c>
      <c r="H135" s="7">
        <v>1</v>
      </c>
      <c r="I135" s="7">
        <v>3</v>
      </c>
      <c r="J135" s="7">
        <v>3</v>
      </c>
      <c r="K135" s="7">
        <v>5</v>
      </c>
      <c r="L135" s="7">
        <v>4</v>
      </c>
      <c r="M135" s="7">
        <v>2</v>
      </c>
      <c r="N135" s="7">
        <v>6</v>
      </c>
      <c r="O135" s="7">
        <v>5</v>
      </c>
      <c r="P135" s="7">
        <v>4</v>
      </c>
      <c r="Q135" s="7">
        <v>4</v>
      </c>
      <c r="R135" s="7">
        <v>4</v>
      </c>
      <c r="S135" s="7">
        <v>9</v>
      </c>
      <c r="T135" s="7">
        <v>10</v>
      </c>
      <c r="U135" s="7">
        <v>6</v>
      </c>
      <c r="V135" s="7">
        <v>5</v>
      </c>
      <c r="W135" s="7">
        <v>4</v>
      </c>
      <c r="X135" s="7">
        <v>5</v>
      </c>
      <c r="Y135" s="7">
        <v>4</v>
      </c>
      <c r="Z135" s="7">
        <v>3</v>
      </c>
      <c r="AA135" s="7">
        <v>5</v>
      </c>
      <c r="AB135" s="7">
        <v>4</v>
      </c>
      <c r="AC135" s="7">
        <v>4</v>
      </c>
      <c r="AD135" s="7">
        <v>4</v>
      </c>
      <c r="AE135" s="7">
        <v>3</v>
      </c>
      <c r="AF135" s="8">
        <v>5</v>
      </c>
      <c r="AG135" s="4">
        <f t="shared" si="21"/>
        <v>144</v>
      </c>
    </row>
    <row r="136" spans="1:35" ht="18.75" x14ac:dyDescent="0.25">
      <c r="A136" s="43" t="s">
        <v>27</v>
      </c>
      <c r="B136" s="7">
        <v>9</v>
      </c>
      <c r="C136" s="7">
        <v>8</v>
      </c>
      <c r="D136" s="7">
        <v>12</v>
      </c>
      <c r="E136" s="7">
        <v>20</v>
      </c>
      <c r="F136" s="7">
        <v>14</v>
      </c>
      <c r="G136" s="7">
        <v>6</v>
      </c>
      <c r="H136" s="7">
        <v>13</v>
      </c>
      <c r="I136" s="7">
        <v>10</v>
      </c>
      <c r="J136" s="7">
        <v>11</v>
      </c>
      <c r="K136" s="7">
        <v>15</v>
      </c>
      <c r="L136" s="7">
        <v>15</v>
      </c>
      <c r="M136" s="7">
        <v>6</v>
      </c>
      <c r="N136" s="7">
        <v>6</v>
      </c>
      <c r="O136" s="7">
        <v>14</v>
      </c>
      <c r="P136" s="7">
        <v>18</v>
      </c>
      <c r="Q136" s="7">
        <v>8</v>
      </c>
      <c r="R136" s="7">
        <v>14</v>
      </c>
      <c r="S136" s="7">
        <v>21</v>
      </c>
      <c r="T136" s="7">
        <v>12</v>
      </c>
      <c r="U136" s="7">
        <v>19</v>
      </c>
      <c r="V136" s="7">
        <v>10</v>
      </c>
      <c r="W136" s="7">
        <v>11</v>
      </c>
      <c r="X136" s="7">
        <v>15</v>
      </c>
      <c r="Y136" s="7">
        <v>16</v>
      </c>
      <c r="Z136" s="7">
        <v>18</v>
      </c>
      <c r="AA136" s="7">
        <v>14</v>
      </c>
      <c r="AB136" s="7">
        <v>13</v>
      </c>
      <c r="AC136" s="7">
        <v>12</v>
      </c>
      <c r="AD136" s="7">
        <v>11</v>
      </c>
      <c r="AE136" s="7">
        <v>6</v>
      </c>
      <c r="AF136" s="8">
        <v>13</v>
      </c>
      <c r="AG136" s="4">
        <f t="shared" si="21"/>
        <v>390</v>
      </c>
    </row>
    <row r="137" spans="1:35" ht="18.75" x14ac:dyDescent="0.25">
      <c r="A137" s="43" t="s">
        <v>28</v>
      </c>
      <c r="B137" s="7">
        <f>4+1</f>
        <v>5</v>
      </c>
      <c r="C137" s="7">
        <v>5</v>
      </c>
      <c r="D137" s="7">
        <v>1</v>
      </c>
      <c r="E137" s="7">
        <f>5+2</f>
        <v>7</v>
      </c>
      <c r="F137" s="7">
        <v>2</v>
      </c>
      <c r="G137" s="7">
        <f>8+2</f>
        <v>10</v>
      </c>
      <c r="H137" s="7">
        <f>4+1</f>
        <v>5</v>
      </c>
      <c r="I137" s="7">
        <v>2</v>
      </c>
      <c r="J137" s="7">
        <f>3+1</f>
        <v>4</v>
      </c>
      <c r="K137" s="7">
        <v>2</v>
      </c>
      <c r="L137" s="7">
        <v>3</v>
      </c>
      <c r="M137" s="7">
        <v>1</v>
      </c>
      <c r="N137" s="7">
        <f>3+1</f>
        <v>4</v>
      </c>
      <c r="O137" s="7">
        <f>2+1</f>
        <v>3</v>
      </c>
      <c r="P137" s="7">
        <v>1</v>
      </c>
      <c r="Q137" s="7">
        <v>4</v>
      </c>
      <c r="R137" s="7">
        <v>1</v>
      </c>
      <c r="S137" s="7">
        <v>7</v>
      </c>
      <c r="T137" s="7">
        <f>3+1</f>
        <v>4</v>
      </c>
      <c r="U137" s="7">
        <v>4</v>
      </c>
      <c r="V137" s="7">
        <v>5</v>
      </c>
      <c r="W137" s="7">
        <v>1</v>
      </c>
      <c r="X137" s="7">
        <v>4</v>
      </c>
      <c r="Y137" s="7">
        <f>3+1</f>
        <v>4</v>
      </c>
      <c r="Z137" s="7">
        <v>2</v>
      </c>
      <c r="AA137" s="7">
        <v>4</v>
      </c>
      <c r="AB137" s="7">
        <f>4+1</f>
        <v>5</v>
      </c>
      <c r="AC137" s="7">
        <v>5</v>
      </c>
      <c r="AD137" s="7">
        <v>2</v>
      </c>
      <c r="AE137" s="7">
        <f>6+1</f>
        <v>7</v>
      </c>
      <c r="AF137" s="8">
        <f>4+1</f>
        <v>5</v>
      </c>
      <c r="AG137" s="4">
        <f t="shared" si="21"/>
        <v>119</v>
      </c>
    </row>
    <row r="138" spans="1:35" ht="18.75" x14ac:dyDescent="0.25">
      <c r="A138" s="43" t="s">
        <v>29</v>
      </c>
      <c r="B138" s="7">
        <v>1</v>
      </c>
      <c r="C138" s="7">
        <v>3</v>
      </c>
      <c r="D138" s="7">
        <v>5</v>
      </c>
      <c r="E138" s="7">
        <v>1</v>
      </c>
      <c r="F138" s="7">
        <v>2</v>
      </c>
      <c r="G138" s="7">
        <v>3</v>
      </c>
      <c r="H138" s="7">
        <v>2</v>
      </c>
      <c r="I138" s="7">
        <v>1</v>
      </c>
      <c r="J138" s="7">
        <v>1</v>
      </c>
      <c r="K138" s="7">
        <v>2</v>
      </c>
      <c r="L138" s="7">
        <v>3</v>
      </c>
      <c r="M138" s="7">
        <v>1</v>
      </c>
      <c r="N138" s="7">
        <v>1</v>
      </c>
      <c r="O138" s="7">
        <v>2</v>
      </c>
      <c r="P138" s="7"/>
      <c r="Q138" s="7">
        <v>4</v>
      </c>
      <c r="R138" s="7">
        <v>1</v>
      </c>
      <c r="S138" s="7">
        <v>1</v>
      </c>
      <c r="T138" s="7">
        <v>3</v>
      </c>
      <c r="U138" s="7">
        <v>2</v>
      </c>
      <c r="V138" s="7">
        <v>3</v>
      </c>
      <c r="W138" s="7">
        <v>1</v>
      </c>
      <c r="X138" s="7">
        <v>3</v>
      </c>
      <c r="Y138" s="7">
        <v>1</v>
      </c>
      <c r="Z138" s="7">
        <v>1</v>
      </c>
      <c r="AA138" s="7"/>
      <c r="AB138" s="7">
        <v>2</v>
      </c>
      <c r="AC138" s="7">
        <v>3</v>
      </c>
      <c r="AD138" s="7">
        <v>2</v>
      </c>
      <c r="AE138" s="7">
        <v>1</v>
      </c>
      <c r="AF138" s="8">
        <v>2</v>
      </c>
      <c r="AG138" s="4">
        <f t="shared" si="21"/>
        <v>58</v>
      </c>
    </row>
    <row r="139" spans="1:35" ht="18.75" x14ac:dyDescent="0.25">
      <c r="A139" s="41" t="s">
        <v>30</v>
      </c>
      <c r="B139" s="7">
        <v>2</v>
      </c>
      <c r="C139" s="7">
        <f>9+1</f>
        <v>10</v>
      </c>
      <c r="D139" s="7">
        <f>2+2</f>
        <v>4</v>
      </c>
      <c r="E139" s="7">
        <f>8+1</f>
        <v>9</v>
      </c>
      <c r="F139" s="7">
        <v>6</v>
      </c>
      <c r="G139" s="7">
        <f>6+1</f>
        <v>7</v>
      </c>
      <c r="H139" s="7">
        <f>5+1</f>
        <v>6</v>
      </c>
      <c r="I139" s="7"/>
      <c r="J139" s="7"/>
      <c r="K139" s="7">
        <v>1</v>
      </c>
      <c r="L139" s="7">
        <v>2</v>
      </c>
      <c r="M139" s="7">
        <v>1</v>
      </c>
      <c r="N139" s="7">
        <v>1</v>
      </c>
      <c r="O139" s="7">
        <v>2</v>
      </c>
      <c r="P139" s="7">
        <v>2</v>
      </c>
      <c r="Q139" s="7"/>
      <c r="R139" s="7">
        <v>3</v>
      </c>
      <c r="S139" s="7">
        <v>1</v>
      </c>
      <c r="T139" s="7">
        <v>1</v>
      </c>
      <c r="U139" s="7"/>
      <c r="V139" s="7">
        <v>1</v>
      </c>
      <c r="W139" s="7"/>
      <c r="X139" s="7"/>
      <c r="Y139" s="7">
        <v>2</v>
      </c>
      <c r="Z139" s="7"/>
      <c r="AA139" s="7"/>
      <c r="AB139" s="7">
        <v>1</v>
      </c>
      <c r="AC139" s="7">
        <v>1</v>
      </c>
      <c r="AD139" s="7"/>
      <c r="AE139" s="7">
        <v>1</v>
      </c>
      <c r="AF139" s="8"/>
      <c r="AG139" s="4">
        <f t="shared" si="21"/>
        <v>64</v>
      </c>
    </row>
    <row r="140" spans="1:35" ht="18.75" x14ac:dyDescent="0.25">
      <c r="A140" s="41" t="s">
        <v>31</v>
      </c>
      <c r="B140" s="7"/>
      <c r="C140" s="7"/>
      <c r="D140" s="7"/>
      <c r="E140" s="7"/>
      <c r="F140" s="7"/>
      <c r="G140" s="7"/>
      <c r="H140" s="7">
        <v>1</v>
      </c>
      <c r="I140" s="7">
        <v>2</v>
      </c>
      <c r="J140" s="7"/>
      <c r="K140" s="7">
        <v>1</v>
      </c>
      <c r="L140" s="7">
        <v>1</v>
      </c>
      <c r="M140" s="7">
        <v>2</v>
      </c>
      <c r="N140" s="7"/>
      <c r="O140" s="7"/>
      <c r="P140" s="7">
        <v>1</v>
      </c>
      <c r="Q140" s="7"/>
      <c r="R140" s="7">
        <v>1</v>
      </c>
      <c r="S140" s="7"/>
      <c r="T140" s="7"/>
      <c r="U140" s="7">
        <v>1</v>
      </c>
      <c r="V140" s="7">
        <v>1</v>
      </c>
      <c r="W140" s="7"/>
      <c r="X140" s="7">
        <v>1</v>
      </c>
      <c r="Y140" s="7"/>
      <c r="Z140" s="7">
        <v>2</v>
      </c>
      <c r="AA140" s="7"/>
      <c r="AB140" s="7"/>
      <c r="AC140" s="7"/>
      <c r="AD140" s="7"/>
      <c r="AE140" s="7"/>
      <c r="AF140" s="8">
        <v>1</v>
      </c>
      <c r="AG140" s="4">
        <f t="shared" si="21"/>
        <v>15</v>
      </c>
    </row>
    <row r="141" spans="1:35" ht="18.75" x14ac:dyDescent="0.25">
      <c r="A141" s="41" t="s">
        <v>32</v>
      </c>
      <c r="B141" s="7"/>
      <c r="C141" s="7"/>
      <c r="D141" s="7"/>
      <c r="E141" s="7">
        <v>1</v>
      </c>
      <c r="F141" s="7"/>
      <c r="G141" s="7"/>
      <c r="H141" s="7"/>
      <c r="I141" s="7">
        <v>1</v>
      </c>
      <c r="J141" s="7"/>
      <c r="K141" s="7"/>
      <c r="L141" s="7"/>
      <c r="M141" s="7"/>
      <c r="N141" s="7"/>
      <c r="O141" s="7"/>
      <c r="P141" s="7"/>
      <c r="Q141" s="7"/>
      <c r="R141" s="7">
        <v>1</v>
      </c>
      <c r="S141" s="7"/>
      <c r="T141" s="7"/>
      <c r="U141" s="7"/>
      <c r="V141" s="7">
        <v>1</v>
      </c>
      <c r="W141" s="7">
        <v>1</v>
      </c>
      <c r="X141" s="7">
        <v>1</v>
      </c>
      <c r="Y141" s="7"/>
      <c r="Z141" s="7"/>
      <c r="AA141" s="7"/>
      <c r="AB141" s="7"/>
      <c r="AC141" s="7"/>
      <c r="AD141" s="7"/>
      <c r="AE141" s="7">
        <v>4</v>
      </c>
      <c r="AF141" s="8"/>
      <c r="AG141" s="4">
        <f t="shared" si="21"/>
        <v>10</v>
      </c>
    </row>
    <row r="142" spans="1:35" ht="18.75" x14ac:dyDescent="0.25">
      <c r="A142" s="43" t="s">
        <v>60</v>
      </c>
      <c r="B142" s="7">
        <f>1+2+1</f>
        <v>4</v>
      </c>
      <c r="C142" s="7">
        <v>1</v>
      </c>
      <c r="D142" s="7">
        <v>10</v>
      </c>
      <c r="E142" s="7">
        <f>1+1</f>
        <v>2</v>
      </c>
      <c r="F142" s="7">
        <f>1+1+1+1+2+1</f>
        <v>7</v>
      </c>
      <c r="G142" s="7">
        <f>1+1+1+2+1</f>
        <v>6</v>
      </c>
      <c r="H142" s="7">
        <f>1+1</f>
        <v>2</v>
      </c>
      <c r="I142" s="7">
        <f>1+1</f>
        <v>2</v>
      </c>
      <c r="J142" s="7">
        <f>1+3</f>
        <v>4</v>
      </c>
      <c r="K142" s="7">
        <v>4</v>
      </c>
      <c r="L142" s="7">
        <v>5</v>
      </c>
      <c r="M142" s="7">
        <f>1+1+1</f>
        <v>3</v>
      </c>
      <c r="N142" s="7">
        <f>2+1+1+1+1+2</f>
        <v>8</v>
      </c>
      <c r="O142" s="7">
        <f>1+1+1+2</f>
        <v>5</v>
      </c>
      <c r="P142" s="7">
        <f>1+1+1+1+1+1</f>
        <v>6</v>
      </c>
      <c r="Q142" s="7">
        <f>1+1+1</f>
        <v>3</v>
      </c>
      <c r="R142" s="7">
        <f>1+2+1+2+1+1+2+1+1</f>
        <v>12</v>
      </c>
      <c r="S142" s="7">
        <f>1+2+1+1</f>
        <v>5</v>
      </c>
      <c r="T142" s="7">
        <f>1</f>
        <v>1</v>
      </c>
      <c r="U142" s="7">
        <f>1+1+1</f>
        <v>3</v>
      </c>
      <c r="V142" s="7">
        <f>1+1</f>
        <v>2</v>
      </c>
      <c r="W142" s="7">
        <f>1+1+1+1</f>
        <v>4</v>
      </c>
      <c r="X142" s="7">
        <f>1+1</f>
        <v>2</v>
      </c>
      <c r="Y142" s="7">
        <f>1+1+1</f>
        <v>3</v>
      </c>
      <c r="Z142" s="7">
        <f>1+1</f>
        <v>2</v>
      </c>
      <c r="AA142" s="7"/>
      <c r="AB142" s="7">
        <f>1+1+2+1</f>
        <v>5</v>
      </c>
      <c r="AC142" s="7">
        <f>1+2+1+1+1</f>
        <v>6</v>
      </c>
      <c r="AD142" s="7">
        <f>1+1+2</f>
        <v>4</v>
      </c>
      <c r="AE142" s="7">
        <f>1+2+1</f>
        <v>4</v>
      </c>
      <c r="AF142" s="8">
        <f>1+1</f>
        <v>2</v>
      </c>
      <c r="AG142" s="4">
        <f t="shared" si="21"/>
        <v>127</v>
      </c>
    </row>
    <row r="143" spans="1:35" ht="19.5" thickBot="1" x14ac:dyDescent="0.3">
      <c r="A143" s="75" t="s">
        <v>86</v>
      </c>
      <c r="B143" s="13">
        <f>6+2</f>
        <v>8</v>
      </c>
      <c r="C143" s="13">
        <f>2+5</f>
        <v>7</v>
      </c>
      <c r="D143" s="13">
        <v>8</v>
      </c>
      <c r="E143" s="13">
        <f>8+1+6</f>
        <v>15</v>
      </c>
      <c r="F143" s="13">
        <f>7+4</f>
        <v>11</v>
      </c>
      <c r="G143" s="13">
        <f>5+5</f>
        <v>10</v>
      </c>
      <c r="H143" s="13">
        <f>4+4</f>
        <v>8</v>
      </c>
      <c r="I143" s="13">
        <f>6+6</f>
        <v>12</v>
      </c>
      <c r="J143" s="13">
        <f>7+4</f>
        <v>11</v>
      </c>
      <c r="K143" s="13">
        <v>19</v>
      </c>
      <c r="L143" s="13">
        <v>3</v>
      </c>
      <c r="M143" s="13">
        <v>6</v>
      </c>
      <c r="N143" s="13">
        <f>12+13</f>
        <v>25</v>
      </c>
      <c r="O143" s="13">
        <f>4+9</f>
        <v>13</v>
      </c>
      <c r="P143" s="13">
        <f>11+10</f>
        <v>21</v>
      </c>
      <c r="Q143" s="13">
        <f>1+5+10</f>
        <v>16</v>
      </c>
      <c r="R143" s="13">
        <f>5+17</f>
        <v>22</v>
      </c>
      <c r="S143" s="13">
        <f>1+5</f>
        <v>6</v>
      </c>
      <c r="T143" s="13">
        <f>4+7</f>
        <v>11</v>
      </c>
      <c r="U143" s="13">
        <f>10+7</f>
        <v>17</v>
      </c>
      <c r="V143" s="13">
        <f>8+7</f>
        <v>15</v>
      </c>
      <c r="W143" s="13">
        <f>7+5</f>
        <v>12</v>
      </c>
      <c r="X143" s="13">
        <f>5+1+4</f>
        <v>10</v>
      </c>
      <c r="Y143" s="13">
        <f>8+7</f>
        <v>15</v>
      </c>
      <c r="Z143" s="13">
        <f>4+6</f>
        <v>10</v>
      </c>
      <c r="AA143" s="13">
        <f>4+4</f>
        <v>8</v>
      </c>
      <c r="AB143" s="13">
        <f>6+2</f>
        <v>8</v>
      </c>
      <c r="AC143" s="13">
        <f>5+8</f>
        <v>13</v>
      </c>
      <c r="AD143" s="13">
        <f>2+1+8</f>
        <v>11</v>
      </c>
      <c r="AE143" s="13">
        <f>3+5</f>
        <v>8</v>
      </c>
      <c r="AF143" s="14">
        <f>3+5</f>
        <v>8</v>
      </c>
      <c r="AG143" s="108">
        <f t="shared" si="21"/>
        <v>367</v>
      </c>
    </row>
    <row r="144" spans="1:35" ht="19.5" thickBot="1" x14ac:dyDescent="0.3">
      <c r="A144" s="164" t="s">
        <v>89</v>
      </c>
      <c r="B144" s="165">
        <f t="shared" ref="B144:AD144" si="22">+B146+B156+B158+B167</f>
        <v>89</v>
      </c>
      <c r="C144" s="165">
        <f t="shared" si="22"/>
        <v>93</v>
      </c>
      <c r="D144" s="165">
        <f t="shared" si="22"/>
        <v>87</v>
      </c>
      <c r="E144" s="165">
        <f t="shared" si="22"/>
        <v>100</v>
      </c>
      <c r="F144" s="165">
        <f t="shared" si="22"/>
        <v>90</v>
      </c>
      <c r="G144" s="165">
        <f t="shared" si="22"/>
        <v>127</v>
      </c>
      <c r="H144" s="165">
        <f t="shared" si="22"/>
        <v>107</v>
      </c>
      <c r="I144" s="165">
        <f t="shared" si="22"/>
        <v>110</v>
      </c>
      <c r="J144" s="165">
        <f t="shared" si="22"/>
        <v>81</v>
      </c>
      <c r="K144" s="165">
        <f t="shared" si="22"/>
        <v>132</v>
      </c>
      <c r="L144" s="165">
        <f t="shared" si="22"/>
        <v>81</v>
      </c>
      <c r="M144" s="165">
        <f t="shared" si="22"/>
        <v>81</v>
      </c>
      <c r="N144" s="165">
        <f t="shared" si="22"/>
        <v>109</v>
      </c>
      <c r="O144" s="165">
        <f t="shared" si="22"/>
        <v>111</v>
      </c>
      <c r="P144" s="165">
        <f t="shared" si="22"/>
        <v>119</v>
      </c>
      <c r="Q144" s="165">
        <f t="shared" si="22"/>
        <v>83</v>
      </c>
      <c r="R144" s="165">
        <f t="shared" si="22"/>
        <v>118</v>
      </c>
      <c r="S144" s="165">
        <f t="shared" si="22"/>
        <v>99</v>
      </c>
      <c r="T144" s="165">
        <f t="shared" si="22"/>
        <v>88</v>
      </c>
      <c r="U144" s="165">
        <f t="shared" si="22"/>
        <v>122</v>
      </c>
      <c r="V144" s="165">
        <f t="shared" si="22"/>
        <v>108</v>
      </c>
      <c r="W144" s="165">
        <f t="shared" si="22"/>
        <v>111</v>
      </c>
      <c r="X144" s="165">
        <f t="shared" si="22"/>
        <v>104</v>
      </c>
      <c r="Y144" s="165">
        <f t="shared" si="22"/>
        <v>106</v>
      </c>
      <c r="Z144" s="165">
        <f t="shared" si="22"/>
        <v>85</v>
      </c>
      <c r="AA144" s="165">
        <f t="shared" si="22"/>
        <v>69</v>
      </c>
      <c r="AB144" s="165">
        <f t="shared" si="22"/>
        <v>113</v>
      </c>
      <c r="AC144" s="165">
        <f t="shared" si="22"/>
        <v>103</v>
      </c>
      <c r="AD144" s="165">
        <f t="shared" si="22"/>
        <v>75</v>
      </c>
      <c r="AE144" s="165">
        <f>+AE146+AE156+AE158+AE167</f>
        <v>85</v>
      </c>
      <c r="AF144" s="165">
        <f t="shared" ref="AF144" si="23">+AF146+AF156+AF158+AF167</f>
        <v>78</v>
      </c>
      <c r="AG144" s="116">
        <f t="shared" si="21"/>
        <v>3064</v>
      </c>
      <c r="AH144" s="38" t="str">
        <f>IF(AG144&lt;&gt;AG93,"*","")</f>
        <v/>
      </c>
      <c r="AI144" t="s">
        <v>140</v>
      </c>
    </row>
    <row r="145" spans="1:34" ht="19.5" thickBot="1" x14ac:dyDescent="0.3">
      <c r="A145" s="160" t="s">
        <v>98</v>
      </c>
      <c r="B145" s="161">
        <f t="shared" ref="B145:AD145" si="24">+B149+B155+B157+B172</f>
        <v>0</v>
      </c>
      <c r="C145" s="161">
        <f t="shared" si="24"/>
        <v>8</v>
      </c>
      <c r="D145" s="161">
        <f t="shared" si="24"/>
        <v>4</v>
      </c>
      <c r="E145" s="161">
        <f t="shared" si="24"/>
        <v>1</v>
      </c>
      <c r="F145" s="161">
        <f t="shared" si="24"/>
        <v>3</v>
      </c>
      <c r="G145" s="161">
        <f t="shared" si="24"/>
        <v>19</v>
      </c>
      <c r="H145" s="161">
        <f t="shared" si="24"/>
        <v>10</v>
      </c>
      <c r="I145" s="161">
        <f t="shared" si="24"/>
        <v>11</v>
      </c>
      <c r="J145" s="161">
        <f t="shared" si="24"/>
        <v>5</v>
      </c>
      <c r="K145" s="161">
        <f t="shared" si="24"/>
        <v>6</v>
      </c>
      <c r="L145" s="161">
        <f t="shared" si="24"/>
        <v>1</v>
      </c>
      <c r="M145" s="161">
        <f t="shared" si="24"/>
        <v>1</v>
      </c>
      <c r="N145" s="161">
        <f t="shared" si="24"/>
        <v>2</v>
      </c>
      <c r="O145" s="161">
        <f t="shared" si="24"/>
        <v>10</v>
      </c>
      <c r="P145" s="161">
        <f t="shared" si="24"/>
        <v>6</v>
      </c>
      <c r="Q145" s="161">
        <f t="shared" si="24"/>
        <v>2</v>
      </c>
      <c r="R145" s="161">
        <f t="shared" si="24"/>
        <v>3</v>
      </c>
      <c r="S145" s="161">
        <f t="shared" si="24"/>
        <v>4</v>
      </c>
      <c r="T145" s="161">
        <f t="shared" si="24"/>
        <v>1</v>
      </c>
      <c r="U145" s="161">
        <f t="shared" si="24"/>
        <v>11</v>
      </c>
      <c r="V145" s="161">
        <f t="shared" si="24"/>
        <v>11</v>
      </c>
      <c r="W145" s="161">
        <f t="shared" si="24"/>
        <v>18</v>
      </c>
      <c r="X145" s="161">
        <f t="shared" si="24"/>
        <v>11</v>
      </c>
      <c r="Y145" s="161">
        <f t="shared" si="24"/>
        <v>9</v>
      </c>
      <c r="Z145" s="161">
        <f t="shared" si="24"/>
        <v>5</v>
      </c>
      <c r="AA145" s="161">
        <f t="shared" si="24"/>
        <v>0</v>
      </c>
      <c r="AB145" s="161">
        <f t="shared" si="24"/>
        <v>29</v>
      </c>
      <c r="AC145" s="161">
        <f t="shared" si="24"/>
        <v>6</v>
      </c>
      <c r="AD145" s="161">
        <f t="shared" si="24"/>
        <v>8</v>
      </c>
      <c r="AE145" s="161">
        <f>+AE149+AE155+AE157+AE172</f>
        <v>5</v>
      </c>
      <c r="AF145" s="162">
        <f t="shared" ref="AF145" si="25">+AF149+AF155+AF157+AF172</f>
        <v>3</v>
      </c>
      <c r="AG145" s="163">
        <f t="shared" si="21"/>
        <v>213</v>
      </c>
      <c r="AH145" s="1"/>
    </row>
    <row r="146" spans="1:34" ht="19.5" thickBot="1" x14ac:dyDescent="0.3">
      <c r="A146" s="117" t="s">
        <v>69</v>
      </c>
      <c r="B146" s="118">
        <f t="shared" ref="B146:AG147" si="26">+B148+B154</f>
        <v>0</v>
      </c>
      <c r="C146" s="118">
        <f t="shared" si="26"/>
        <v>0</v>
      </c>
      <c r="D146" s="118">
        <f t="shared" si="26"/>
        <v>0</v>
      </c>
      <c r="E146" s="118">
        <f t="shared" si="26"/>
        <v>0</v>
      </c>
      <c r="F146" s="118">
        <f t="shared" si="26"/>
        <v>0</v>
      </c>
      <c r="G146" s="118">
        <f t="shared" si="26"/>
        <v>0</v>
      </c>
      <c r="H146" s="118">
        <f t="shared" si="26"/>
        <v>0</v>
      </c>
      <c r="I146" s="118">
        <f t="shared" si="26"/>
        <v>1</v>
      </c>
      <c r="J146" s="118">
        <f t="shared" si="26"/>
        <v>0</v>
      </c>
      <c r="K146" s="118">
        <f t="shared" si="26"/>
        <v>0</v>
      </c>
      <c r="L146" s="118">
        <f t="shared" si="26"/>
        <v>0</v>
      </c>
      <c r="M146" s="118">
        <f t="shared" si="26"/>
        <v>0</v>
      </c>
      <c r="N146" s="118">
        <f t="shared" si="26"/>
        <v>0</v>
      </c>
      <c r="O146" s="118">
        <f t="shared" si="26"/>
        <v>0</v>
      </c>
      <c r="P146" s="118">
        <f t="shared" si="26"/>
        <v>0</v>
      </c>
      <c r="Q146" s="118">
        <f t="shared" si="26"/>
        <v>0</v>
      </c>
      <c r="R146" s="118">
        <f t="shared" si="26"/>
        <v>0</v>
      </c>
      <c r="S146" s="118">
        <f t="shared" si="26"/>
        <v>0</v>
      </c>
      <c r="T146" s="118">
        <f t="shared" si="26"/>
        <v>0</v>
      </c>
      <c r="U146" s="118">
        <f t="shared" si="26"/>
        <v>0</v>
      </c>
      <c r="V146" s="118">
        <f t="shared" si="26"/>
        <v>0</v>
      </c>
      <c r="W146" s="118">
        <f t="shared" si="26"/>
        <v>0</v>
      </c>
      <c r="X146" s="118">
        <f t="shared" si="26"/>
        <v>0</v>
      </c>
      <c r="Y146" s="118">
        <f t="shared" si="26"/>
        <v>0</v>
      </c>
      <c r="Z146" s="118">
        <f t="shared" si="26"/>
        <v>0</v>
      </c>
      <c r="AA146" s="118">
        <f t="shared" si="26"/>
        <v>0</v>
      </c>
      <c r="AB146" s="118">
        <f t="shared" si="26"/>
        <v>0</v>
      </c>
      <c r="AC146" s="118">
        <f t="shared" si="26"/>
        <v>0</v>
      </c>
      <c r="AD146" s="118">
        <f t="shared" si="26"/>
        <v>0</v>
      </c>
      <c r="AE146" s="118">
        <f t="shared" si="26"/>
        <v>0</v>
      </c>
      <c r="AF146" s="119">
        <f t="shared" si="26"/>
        <v>0</v>
      </c>
      <c r="AG146" s="120">
        <f t="shared" si="26"/>
        <v>1</v>
      </c>
    </row>
    <row r="147" spans="1:34" ht="19.5" thickBot="1" x14ac:dyDescent="0.3">
      <c r="A147" s="153" t="s">
        <v>130</v>
      </c>
      <c r="B147" s="154">
        <f t="shared" si="26"/>
        <v>0</v>
      </c>
      <c r="C147" s="154">
        <f t="shared" si="26"/>
        <v>0</v>
      </c>
      <c r="D147" s="154">
        <f t="shared" si="26"/>
        <v>0</v>
      </c>
      <c r="E147" s="154">
        <f t="shared" si="26"/>
        <v>0</v>
      </c>
      <c r="F147" s="154">
        <f t="shared" si="26"/>
        <v>0</v>
      </c>
      <c r="G147" s="154">
        <f t="shared" si="26"/>
        <v>0</v>
      </c>
      <c r="H147" s="154">
        <f t="shared" si="26"/>
        <v>0</v>
      </c>
      <c r="I147" s="154">
        <f t="shared" si="26"/>
        <v>0</v>
      </c>
      <c r="J147" s="154">
        <f t="shared" si="26"/>
        <v>0</v>
      </c>
      <c r="K147" s="154">
        <f t="shared" si="26"/>
        <v>0</v>
      </c>
      <c r="L147" s="154">
        <f t="shared" si="26"/>
        <v>0</v>
      </c>
      <c r="M147" s="154">
        <f t="shared" si="26"/>
        <v>0</v>
      </c>
      <c r="N147" s="154">
        <f t="shared" si="26"/>
        <v>0</v>
      </c>
      <c r="O147" s="154">
        <f t="shared" si="26"/>
        <v>0</v>
      </c>
      <c r="P147" s="154">
        <f t="shared" si="26"/>
        <v>0</v>
      </c>
      <c r="Q147" s="154">
        <f t="shared" si="26"/>
        <v>0</v>
      </c>
      <c r="R147" s="154">
        <f t="shared" si="26"/>
        <v>0</v>
      </c>
      <c r="S147" s="154">
        <f t="shared" si="26"/>
        <v>0</v>
      </c>
      <c r="T147" s="154">
        <f t="shared" si="26"/>
        <v>0</v>
      </c>
      <c r="U147" s="154">
        <f t="shared" si="26"/>
        <v>0</v>
      </c>
      <c r="V147" s="154">
        <f t="shared" si="26"/>
        <v>0</v>
      </c>
      <c r="W147" s="154">
        <f t="shared" si="26"/>
        <v>0</v>
      </c>
      <c r="X147" s="154">
        <f t="shared" si="26"/>
        <v>0</v>
      </c>
      <c r="Y147" s="154">
        <f t="shared" si="26"/>
        <v>0</v>
      </c>
      <c r="Z147" s="154">
        <f t="shared" si="26"/>
        <v>0</v>
      </c>
      <c r="AA147" s="154">
        <f t="shared" si="26"/>
        <v>0</v>
      </c>
      <c r="AB147" s="154">
        <f>+AB149+AB155</f>
        <v>0</v>
      </c>
      <c r="AC147" s="154">
        <f t="shared" si="26"/>
        <v>0</v>
      </c>
      <c r="AD147" s="154">
        <f t="shared" si="26"/>
        <v>0</v>
      </c>
      <c r="AE147" s="154">
        <f t="shared" si="26"/>
        <v>0</v>
      </c>
      <c r="AF147" s="155"/>
      <c r="AG147" s="156">
        <f t="shared" si="21"/>
        <v>0</v>
      </c>
    </row>
    <row r="148" spans="1:34" ht="19.5" thickBot="1" x14ac:dyDescent="0.3">
      <c r="A148" s="125" t="s">
        <v>68</v>
      </c>
      <c r="B148" s="126">
        <f>SUM(B150:B153)</f>
        <v>0</v>
      </c>
      <c r="C148" s="126">
        <f t="shared" ref="C148:AF148" si="27">SUM(C150:C153)</f>
        <v>0</v>
      </c>
      <c r="D148" s="126">
        <f t="shared" si="27"/>
        <v>0</v>
      </c>
      <c r="E148" s="126">
        <f t="shared" si="27"/>
        <v>0</v>
      </c>
      <c r="F148" s="126">
        <f t="shared" si="27"/>
        <v>0</v>
      </c>
      <c r="G148" s="126">
        <f t="shared" si="27"/>
        <v>0</v>
      </c>
      <c r="H148" s="126">
        <f t="shared" si="27"/>
        <v>0</v>
      </c>
      <c r="I148" s="126">
        <f t="shared" si="27"/>
        <v>0</v>
      </c>
      <c r="J148" s="126">
        <f t="shared" si="27"/>
        <v>0</v>
      </c>
      <c r="K148" s="126">
        <f t="shared" si="27"/>
        <v>0</v>
      </c>
      <c r="L148" s="126">
        <f t="shared" si="27"/>
        <v>0</v>
      </c>
      <c r="M148" s="126">
        <f t="shared" si="27"/>
        <v>0</v>
      </c>
      <c r="N148" s="126">
        <f t="shared" si="27"/>
        <v>0</v>
      </c>
      <c r="O148" s="126">
        <f t="shared" si="27"/>
        <v>0</v>
      </c>
      <c r="P148" s="126">
        <f t="shared" si="27"/>
        <v>0</v>
      </c>
      <c r="Q148" s="126">
        <f t="shared" si="27"/>
        <v>0</v>
      </c>
      <c r="R148" s="126">
        <f t="shared" si="27"/>
        <v>0</v>
      </c>
      <c r="S148" s="126">
        <f t="shared" si="27"/>
        <v>0</v>
      </c>
      <c r="T148" s="126">
        <f t="shared" si="27"/>
        <v>0</v>
      </c>
      <c r="U148" s="126">
        <f t="shared" si="27"/>
        <v>0</v>
      </c>
      <c r="V148" s="126">
        <f t="shared" si="27"/>
        <v>0</v>
      </c>
      <c r="W148" s="126">
        <f t="shared" si="27"/>
        <v>0</v>
      </c>
      <c r="X148" s="126">
        <f t="shared" si="27"/>
        <v>0</v>
      </c>
      <c r="Y148" s="126">
        <f t="shared" si="27"/>
        <v>0</v>
      </c>
      <c r="Z148" s="126">
        <f t="shared" si="27"/>
        <v>0</v>
      </c>
      <c r="AA148" s="126">
        <f t="shared" si="27"/>
        <v>0</v>
      </c>
      <c r="AB148" s="126">
        <f t="shared" si="27"/>
        <v>0</v>
      </c>
      <c r="AC148" s="126">
        <f t="shared" si="27"/>
        <v>0</v>
      </c>
      <c r="AD148" s="126">
        <f t="shared" si="27"/>
        <v>0</v>
      </c>
      <c r="AE148" s="126">
        <f t="shared" si="27"/>
        <v>0</v>
      </c>
      <c r="AF148" s="127">
        <f t="shared" si="27"/>
        <v>0</v>
      </c>
      <c r="AG148" s="128">
        <f t="shared" ref="AG148:AG232" si="28">SUM(B148:AF148)</f>
        <v>0</v>
      </c>
    </row>
    <row r="149" spans="1:34" ht="19.5" thickBot="1" x14ac:dyDescent="0.3">
      <c r="A149" s="153" t="s">
        <v>131</v>
      </c>
      <c r="B149" s="154"/>
      <c r="C149" s="154"/>
      <c r="D149" s="154"/>
      <c r="E149" s="154"/>
      <c r="F149" s="154"/>
      <c r="G149" s="154"/>
      <c r="H149" s="154"/>
      <c r="I149" s="154"/>
      <c r="J149" s="154"/>
      <c r="K149" s="154"/>
      <c r="L149" s="154"/>
      <c r="M149" s="154"/>
      <c r="N149" s="154"/>
      <c r="O149" s="154"/>
      <c r="P149" s="154"/>
      <c r="Q149" s="154"/>
      <c r="R149" s="154"/>
      <c r="S149" s="154"/>
      <c r="T149" s="154"/>
      <c r="U149" s="154"/>
      <c r="V149" s="154"/>
      <c r="W149" s="154"/>
      <c r="X149" s="154"/>
      <c r="Y149" s="154"/>
      <c r="Z149" s="154"/>
      <c r="AA149" s="154"/>
      <c r="AB149" s="154"/>
      <c r="AC149" s="154"/>
      <c r="AD149" s="154"/>
      <c r="AE149" s="154"/>
      <c r="AF149" s="155"/>
      <c r="AG149" s="156">
        <f t="shared" si="28"/>
        <v>0</v>
      </c>
    </row>
    <row r="150" spans="1:34" ht="18.75" x14ac:dyDescent="0.25">
      <c r="A150" s="129" t="s">
        <v>100</v>
      </c>
      <c r="B150" s="130"/>
      <c r="C150" s="130"/>
      <c r="D150" s="130"/>
      <c r="E150" s="130"/>
      <c r="F150" s="130"/>
      <c r="G150" s="130"/>
      <c r="H150" s="130"/>
      <c r="I150" s="130"/>
      <c r="J150" s="130"/>
      <c r="K150" s="130"/>
      <c r="L150" s="130"/>
      <c r="M150" s="130"/>
      <c r="N150" s="130"/>
      <c r="O150" s="130"/>
      <c r="P150" s="130"/>
      <c r="Q150" s="130"/>
      <c r="R150" s="130"/>
      <c r="S150" s="130"/>
      <c r="T150" s="130"/>
      <c r="U150" s="130"/>
      <c r="V150" s="130"/>
      <c r="W150" s="130"/>
      <c r="X150" s="130"/>
      <c r="Y150" s="130"/>
      <c r="Z150" s="130"/>
      <c r="AA150" s="130"/>
      <c r="AB150" s="130"/>
      <c r="AC150" s="130"/>
      <c r="AD150" s="130"/>
      <c r="AE150" s="130"/>
      <c r="AF150" s="131"/>
      <c r="AG150" s="132">
        <f t="shared" si="28"/>
        <v>0</v>
      </c>
    </row>
    <row r="151" spans="1:34" ht="18.75" x14ac:dyDescent="0.25">
      <c r="A151" s="50" t="s">
        <v>101</v>
      </c>
      <c r="B151" s="29"/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  <c r="AA151" s="29"/>
      <c r="AB151" s="29"/>
      <c r="AC151" s="29"/>
      <c r="AD151" s="29"/>
      <c r="AE151" s="29"/>
      <c r="AF151" s="21"/>
      <c r="AG151" s="4">
        <f t="shared" si="28"/>
        <v>0</v>
      </c>
    </row>
    <row r="152" spans="1:34" ht="18.75" x14ac:dyDescent="0.25">
      <c r="A152" s="50" t="s">
        <v>102</v>
      </c>
      <c r="B152" s="29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  <c r="AA152" s="29"/>
      <c r="AB152" s="29"/>
      <c r="AC152" s="29"/>
      <c r="AD152" s="29"/>
      <c r="AE152" s="29"/>
      <c r="AF152" s="21"/>
      <c r="AG152" s="4">
        <f t="shared" si="28"/>
        <v>0</v>
      </c>
    </row>
    <row r="153" spans="1:34" ht="19.5" thickBot="1" x14ac:dyDescent="0.3">
      <c r="A153" s="71" t="s">
        <v>103</v>
      </c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  <c r="AA153" s="30"/>
      <c r="AB153" s="30"/>
      <c r="AC153" s="30"/>
      <c r="AD153" s="30"/>
      <c r="AE153" s="30"/>
      <c r="AF153" s="22"/>
      <c r="AG153" s="28">
        <f t="shared" si="28"/>
        <v>0</v>
      </c>
    </row>
    <row r="154" spans="1:34" ht="19.5" thickBot="1" x14ac:dyDescent="0.3">
      <c r="A154" s="125" t="s">
        <v>67</v>
      </c>
      <c r="B154" s="126"/>
      <c r="C154" s="126"/>
      <c r="D154" s="126"/>
      <c r="E154" s="126"/>
      <c r="F154" s="126"/>
      <c r="G154" s="126"/>
      <c r="H154" s="126"/>
      <c r="I154" s="126">
        <v>1</v>
      </c>
      <c r="J154" s="126"/>
      <c r="K154" s="126"/>
      <c r="L154" s="126"/>
      <c r="M154" s="126"/>
      <c r="N154" s="126"/>
      <c r="O154" s="126"/>
      <c r="P154" s="126"/>
      <c r="Q154" s="126"/>
      <c r="R154" s="126"/>
      <c r="S154" s="126"/>
      <c r="T154" s="126"/>
      <c r="U154" s="126"/>
      <c r="V154" s="126"/>
      <c r="W154" s="126"/>
      <c r="X154" s="126"/>
      <c r="Y154" s="126"/>
      <c r="Z154" s="126"/>
      <c r="AA154" s="126"/>
      <c r="AB154" s="126"/>
      <c r="AC154" s="126"/>
      <c r="AD154" s="126"/>
      <c r="AE154" s="126"/>
      <c r="AF154" s="127"/>
      <c r="AG154" s="128">
        <f t="shared" si="28"/>
        <v>1</v>
      </c>
    </row>
    <row r="155" spans="1:34" ht="19.5" thickBot="1" x14ac:dyDescent="0.3">
      <c r="A155" s="153" t="s">
        <v>132</v>
      </c>
      <c r="B155" s="154"/>
      <c r="C155" s="154"/>
      <c r="D155" s="154"/>
      <c r="E155" s="154"/>
      <c r="F155" s="154"/>
      <c r="G155" s="154"/>
      <c r="H155" s="154"/>
      <c r="I155" s="154"/>
      <c r="J155" s="154"/>
      <c r="K155" s="154"/>
      <c r="L155" s="154"/>
      <c r="M155" s="154"/>
      <c r="N155" s="154"/>
      <c r="O155" s="154"/>
      <c r="P155" s="154"/>
      <c r="Q155" s="154"/>
      <c r="R155" s="154"/>
      <c r="S155" s="154"/>
      <c r="T155" s="154"/>
      <c r="U155" s="154"/>
      <c r="V155" s="154"/>
      <c r="W155" s="154"/>
      <c r="X155" s="154"/>
      <c r="Y155" s="154"/>
      <c r="Z155" s="154"/>
      <c r="AA155" s="154"/>
      <c r="AB155" s="154"/>
      <c r="AC155" s="154"/>
      <c r="AD155" s="154"/>
      <c r="AE155" s="154"/>
      <c r="AF155" s="155"/>
      <c r="AG155" s="156">
        <f t="shared" si="28"/>
        <v>0</v>
      </c>
    </row>
    <row r="156" spans="1:34" ht="18.75" x14ac:dyDescent="0.25">
      <c r="A156" s="69" t="s">
        <v>62</v>
      </c>
      <c r="B156" s="56">
        <v>86</v>
      </c>
      <c r="C156" s="56">
        <v>81</v>
      </c>
      <c r="D156" s="56">
        <v>80</v>
      </c>
      <c r="E156" s="56">
        <v>87</v>
      </c>
      <c r="F156" s="56">
        <v>75</v>
      </c>
      <c r="G156" s="56">
        <v>115</v>
      </c>
      <c r="H156" s="56">
        <v>99</v>
      </c>
      <c r="I156" s="56">
        <v>108</v>
      </c>
      <c r="J156" s="56">
        <v>81</v>
      </c>
      <c r="K156" s="56">
        <v>132</v>
      </c>
      <c r="L156" s="56">
        <v>81</v>
      </c>
      <c r="M156" s="56">
        <v>81</v>
      </c>
      <c r="N156" s="56">
        <v>109</v>
      </c>
      <c r="O156" s="56">
        <v>110</v>
      </c>
      <c r="P156" s="56">
        <v>118</v>
      </c>
      <c r="Q156" s="56">
        <v>59</v>
      </c>
      <c r="R156" s="56">
        <v>116</v>
      </c>
      <c r="S156" s="56">
        <v>93</v>
      </c>
      <c r="T156" s="56">
        <v>88</v>
      </c>
      <c r="U156" s="56">
        <v>120</v>
      </c>
      <c r="V156" s="56">
        <v>107</v>
      </c>
      <c r="W156" s="56">
        <v>110</v>
      </c>
      <c r="X156" s="56">
        <v>104</v>
      </c>
      <c r="Y156" s="56">
        <v>106</v>
      </c>
      <c r="Z156" s="56">
        <v>85</v>
      </c>
      <c r="AA156" s="56">
        <v>56</v>
      </c>
      <c r="AB156" s="56">
        <v>113</v>
      </c>
      <c r="AC156" s="56">
        <v>102</v>
      </c>
      <c r="AD156" s="56">
        <v>75</v>
      </c>
      <c r="AE156" s="56">
        <v>85</v>
      </c>
      <c r="AF156" s="85">
        <v>78</v>
      </c>
      <c r="AG156" s="95">
        <f t="shared" si="28"/>
        <v>2940</v>
      </c>
      <c r="AH156" s="2" t="s">
        <v>84</v>
      </c>
    </row>
    <row r="157" spans="1:34" ht="19.5" thickBot="1" x14ac:dyDescent="0.3">
      <c r="A157" s="75" t="s">
        <v>1</v>
      </c>
      <c r="B157" s="13">
        <v>0</v>
      </c>
      <c r="C157" s="13">
        <v>8</v>
      </c>
      <c r="D157" s="13">
        <v>4</v>
      </c>
      <c r="E157" s="13">
        <v>1</v>
      </c>
      <c r="F157" s="13">
        <v>3</v>
      </c>
      <c r="G157" s="13">
        <v>19</v>
      </c>
      <c r="H157" s="13">
        <v>10</v>
      </c>
      <c r="I157" s="13">
        <v>11</v>
      </c>
      <c r="J157" s="13">
        <v>5</v>
      </c>
      <c r="K157" s="13">
        <v>6</v>
      </c>
      <c r="L157" s="13">
        <v>1</v>
      </c>
      <c r="M157" s="13">
        <v>1</v>
      </c>
      <c r="N157" s="13">
        <v>2</v>
      </c>
      <c r="O157" s="13">
        <v>9</v>
      </c>
      <c r="P157" s="13">
        <v>6</v>
      </c>
      <c r="Q157" s="13">
        <v>2</v>
      </c>
      <c r="R157" s="13">
        <v>3</v>
      </c>
      <c r="S157" s="13">
        <v>4</v>
      </c>
      <c r="T157" s="13">
        <v>1</v>
      </c>
      <c r="U157" s="13">
        <v>11</v>
      </c>
      <c r="V157" s="13">
        <v>11</v>
      </c>
      <c r="W157" s="13">
        <v>18</v>
      </c>
      <c r="X157" s="13">
        <v>11</v>
      </c>
      <c r="Y157" s="13">
        <v>9</v>
      </c>
      <c r="Z157" s="13">
        <v>5</v>
      </c>
      <c r="AA157" s="13">
        <v>0</v>
      </c>
      <c r="AB157" s="13">
        <v>29</v>
      </c>
      <c r="AC157" s="13">
        <v>6</v>
      </c>
      <c r="AD157" s="13">
        <v>8</v>
      </c>
      <c r="AE157" s="13">
        <v>5</v>
      </c>
      <c r="AF157" s="14">
        <v>3</v>
      </c>
      <c r="AG157" s="157">
        <f t="shared" si="28"/>
        <v>212</v>
      </c>
      <c r="AH157" s="2"/>
    </row>
    <row r="158" spans="1:34" ht="19.5" thickBot="1" x14ac:dyDescent="0.3">
      <c r="A158" s="121" t="s">
        <v>22</v>
      </c>
      <c r="B158" s="122">
        <f t="shared" ref="B158:AF158" si="29">SUM(B159:B166)</f>
        <v>2</v>
      </c>
      <c r="C158" s="122">
        <f t="shared" si="29"/>
        <v>5</v>
      </c>
      <c r="D158" s="122">
        <f t="shared" si="29"/>
        <v>2</v>
      </c>
      <c r="E158" s="122">
        <f t="shared" si="29"/>
        <v>5</v>
      </c>
      <c r="F158" s="122">
        <f t="shared" si="29"/>
        <v>2</v>
      </c>
      <c r="G158" s="122">
        <f t="shared" si="29"/>
        <v>6</v>
      </c>
      <c r="H158" s="122">
        <f t="shared" si="29"/>
        <v>0</v>
      </c>
      <c r="I158" s="122">
        <f t="shared" si="29"/>
        <v>0</v>
      </c>
      <c r="J158" s="122">
        <f t="shared" si="29"/>
        <v>0</v>
      </c>
      <c r="K158" s="122">
        <f t="shared" si="29"/>
        <v>0</v>
      </c>
      <c r="L158" s="122">
        <f t="shared" si="29"/>
        <v>0</v>
      </c>
      <c r="M158" s="122">
        <f t="shared" si="29"/>
        <v>0</v>
      </c>
      <c r="N158" s="122">
        <f t="shared" si="29"/>
        <v>0</v>
      </c>
      <c r="O158" s="122">
        <f t="shared" si="29"/>
        <v>0</v>
      </c>
      <c r="P158" s="122">
        <f t="shared" si="29"/>
        <v>1</v>
      </c>
      <c r="Q158" s="122">
        <f t="shared" si="29"/>
        <v>23</v>
      </c>
      <c r="R158" s="122">
        <f t="shared" si="29"/>
        <v>1</v>
      </c>
      <c r="S158" s="122">
        <f t="shared" si="29"/>
        <v>5</v>
      </c>
      <c r="T158" s="122">
        <f t="shared" si="29"/>
        <v>0</v>
      </c>
      <c r="U158" s="122">
        <f t="shared" si="29"/>
        <v>0</v>
      </c>
      <c r="V158" s="122">
        <f t="shared" si="29"/>
        <v>0</v>
      </c>
      <c r="W158" s="122">
        <f t="shared" si="29"/>
        <v>1</v>
      </c>
      <c r="X158" s="122">
        <f t="shared" si="29"/>
        <v>0</v>
      </c>
      <c r="Y158" s="122">
        <f t="shared" si="29"/>
        <v>0</v>
      </c>
      <c r="Z158" s="122">
        <f t="shared" si="29"/>
        <v>0</v>
      </c>
      <c r="AA158" s="122">
        <f t="shared" si="29"/>
        <v>11</v>
      </c>
      <c r="AB158" s="122">
        <f t="shared" si="29"/>
        <v>0</v>
      </c>
      <c r="AC158" s="122">
        <f t="shared" si="29"/>
        <v>0</v>
      </c>
      <c r="AD158" s="122">
        <f t="shared" si="29"/>
        <v>0</v>
      </c>
      <c r="AE158" s="122">
        <f t="shared" si="29"/>
        <v>0</v>
      </c>
      <c r="AF158" s="123">
        <f t="shared" si="29"/>
        <v>0</v>
      </c>
      <c r="AG158" s="124">
        <f t="shared" si="28"/>
        <v>64</v>
      </c>
    </row>
    <row r="159" spans="1:34" ht="18.75" x14ac:dyDescent="0.25">
      <c r="A159" s="129" t="s">
        <v>23</v>
      </c>
      <c r="B159" s="130"/>
      <c r="C159" s="130"/>
      <c r="D159" s="130"/>
      <c r="E159" s="130"/>
      <c r="F159" s="130">
        <v>1</v>
      </c>
      <c r="G159" s="130">
        <v>1</v>
      </c>
      <c r="H159" s="130"/>
      <c r="I159" s="130"/>
      <c r="J159" s="130"/>
      <c r="K159" s="130"/>
      <c r="L159" s="130"/>
      <c r="M159" s="130"/>
      <c r="N159" s="130"/>
      <c r="O159" s="130"/>
      <c r="P159" s="130"/>
      <c r="Q159" s="130">
        <v>1</v>
      </c>
      <c r="R159" s="130"/>
      <c r="S159" s="130">
        <v>1</v>
      </c>
      <c r="T159" s="130"/>
      <c r="U159" s="130"/>
      <c r="V159" s="130"/>
      <c r="W159" s="130"/>
      <c r="X159" s="130"/>
      <c r="Y159" s="130"/>
      <c r="Z159" s="130"/>
      <c r="AA159" s="130"/>
      <c r="AB159" s="130"/>
      <c r="AC159" s="130"/>
      <c r="AD159" s="130"/>
      <c r="AE159" s="130"/>
      <c r="AF159" s="131"/>
      <c r="AG159" s="132">
        <f t="shared" si="28"/>
        <v>4</v>
      </c>
    </row>
    <row r="160" spans="1:34" ht="18.75" x14ac:dyDescent="0.25">
      <c r="A160" s="50" t="s">
        <v>24</v>
      </c>
      <c r="B160" s="29"/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>
        <v>1</v>
      </c>
      <c r="Q160" s="29">
        <v>6</v>
      </c>
      <c r="R160" s="29"/>
      <c r="S160" s="29">
        <v>1</v>
      </c>
      <c r="T160" s="29"/>
      <c r="U160" s="29"/>
      <c r="V160" s="29"/>
      <c r="W160" s="29"/>
      <c r="X160" s="29"/>
      <c r="Y160" s="29"/>
      <c r="Z160" s="29"/>
      <c r="AA160" s="29">
        <v>1</v>
      </c>
      <c r="AB160" s="29"/>
      <c r="AC160" s="29"/>
      <c r="AD160" s="29"/>
      <c r="AE160" s="29"/>
      <c r="AF160" s="21"/>
      <c r="AG160" s="4">
        <f t="shared" si="28"/>
        <v>9</v>
      </c>
    </row>
    <row r="161" spans="1:34" ht="18.75" x14ac:dyDescent="0.25">
      <c r="A161" s="50" t="s">
        <v>59</v>
      </c>
      <c r="B161" s="29"/>
      <c r="C161" s="29">
        <v>2</v>
      </c>
      <c r="D161" s="29">
        <v>1</v>
      </c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>
        <v>13</v>
      </c>
      <c r="R161" s="29"/>
      <c r="S161" s="29">
        <v>2</v>
      </c>
      <c r="T161" s="29"/>
      <c r="U161" s="29"/>
      <c r="V161" s="29"/>
      <c r="W161" s="29"/>
      <c r="X161" s="29"/>
      <c r="Y161" s="29"/>
      <c r="Z161" s="29"/>
      <c r="AA161" s="29">
        <v>6</v>
      </c>
      <c r="AB161" s="29"/>
      <c r="AC161" s="29"/>
      <c r="AD161" s="29"/>
      <c r="AE161" s="29"/>
      <c r="AF161" s="21"/>
      <c r="AG161" s="4">
        <f t="shared" si="28"/>
        <v>24</v>
      </c>
    </row>
    <row r="162" spans="1:34" ht="18.75" x14ac:dyDescent="0.25">
      <c r="A162" s="50" t="s">
        <v>25</v>
      </c>
      <c r="B162" s="29"/>
      <c r="C162" s="29">
        <v>1</v>
      </c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>
        <v>1</v>
      </c>
      <c r="R162" s="29">
        <v>1</v>
      </c>
      <c r="S162" s="29"/>
      <c r="T162" s="29"/>
      <c r="U162" s="29"/>
      <c r="V162" s="29"/>
      <c r="W162" s="29"/>
      <c r="X162" s="29"/>
      <c r="Y162" s="29"/>
      <c r="Z162" s="29"/>
      <c r="AA162" s="29">
        <v>1</v>
      </c>
      <c r="AB162" s="29"/>
      <c r="AC162" s="29"/>
      <c r="AD162" s="29"/>
      <c r="AE162" s="29"/>
      <c r="AF162" s="21"/>
      <c r="AG162" s="4">
        <f t="shared" si="28"/>
        <v>4</v>
      </c>
    </row>
    <row r="163" spans="1:34" ht="18.75" x14ac:dyDescent="0.25">
      <c r="A163" s="50" t="s">
        <v>26</v>
      </c>
      <c r="B163" s="29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  <c r="AA163" s="29"/>
      <c r="AB163" s="29"/>
      <c r="AC163" s="29"/>
      <c r="AD163" s="29"/>
      <c r="AE163" s="29"/>
      <c r="AF163" s="21"/>
      <c r="AG163" s="4">
        <f t="shared" si="28"/>
        <v>0</v>
      </c>
    </row>
    <row r="164" spans="1:34" ht="18.75" x14ac:dyDescent="0.25">
      <c r="A164" s="50" t="s">
        <v>27</v>
      </c>
      <c r="B164" s="29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>
        <v>2</v>
      </c>
      <c r="R164" s="29"/>
      <c r="S164" s="29">
        <v>1</v>
      </c>
      <c r="T164" s="29"/>
      <c r="U164" s="29"/>
      <c r="V164" s="29"/>
      <c r="W164" s="29"/>
      <c r="X164" s="29"/>
      <c r="Y164" s="29"/>
      <c r="Z164" s="29"/>
      <c r="AA164" s="29">
        <v>3</v>
      </c>
      <c r="AB164" s="29"/>
      <c r="AC164" s="29"/>
      <c r="AD164" s="29"/>
      <c r="AE164" s="29"/>
      <c r="AF164" s="21"/>
      <c r="AG164" s="4">
        <f t="shared" si="28"/>
        <v>6</v>
      </c>
    </row>
    <row r="165" spans="1:34" ht="18.75" x14ac:dyDescent="0.25">
      <c r="A165" s="50" t="s">
        <v>28</v>
      </c>
      <c r="B165" s="29">
        <v>2</v>
      </c>
      <c r="C165" s="29">
        <v>2</v>
      </c>
      <c r="D165" s="29">
        <v>1</v>
      </c>
      <c r="E165" s="29">
        <v>5</v>
      </c>
      <c r="F165" s="29">
        <v>1</v>
      </c>
      <c r="G165" s="29">
        <v>5</v>
      </c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>
        <v>1</v>
      </c>
      <c r="X165" s="29"/>
      <c r="Y165" s="29"/>
      <c r="Z165" s="29"/>
      <c r="AA165" s="29"/>
      <c r="AB165" s="29"/>
      <c r="AC165" s="29"/>
      <c r="AD165" s="29"/>
      <c r="AE165" s="29"/>
      <c r="AF165" s="21"/>
      <c r="AG165" s="4">
        <f t="shared" si="28"/>
        <v>17</v>
      </c>
    </row>
    <row r="166" spans="1:34" ht="19.5" thickBot="1" x14ac:dyDescent="0.3">
      <c r="A166" s="71" t="s">
        <v>29</v>
      </c>
      <c r="B166" s="30"/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  <c r="AA166" s="30"/>
      <c r="AB166" s="30"/>
      <c r="AC166" s="30"/>
      <c r="AD166" s="30"/>
      <c r="AE166" s="30"/>
      <c r="AF166" s="22"/>
      <c r="AG166" s="28">
        <f t="shared" si="28"/>
        <v>0</v>
      </c>
    </row>
    <row r="167" spans="1:34" ht="18.75" x14ac:dyDescent="0.25">
      <c r="A167" s="69" t="s">
        <v>71</v>
      </c>
      <c r="B167" s="56">
        <f t="shared" ref="B167:AF167" si="30">SUM(B168:B171)</f>
        <v>1</v>
      </c>
      <c r="C167" s="56">
        <f t="shared" si="30"/>
        <v>7</v>
      </c>
      <c r="D167" s="56">
        <f t="shared" si="30"/>
        <v>5</v>
      </c>
      <c r="E167" s="56">
        <f t="shared" si="30"/>
        <v>8</v>
      </c>
      <c r="F167" s="56">
        <f t="shared" si="30"/>
        <v>13</v>
      </c>
      <c r="G167" s="56">
        <f t="shared" si="30"/>
        <v>6</v>
      </c>
      <c r="H167" s="56">
        <f t="shared" si="30"/>
        <v>8</v>
      </c>
      <c r="I167" s="56">
        <f t="shared" si="30"/>
        <v>1</v>
      </c>
      <c r="J167" s="56">
        <f t="shared" si="30"/>
        <v>0</v>
      </c>
      <c r="K167" s="56">
        <f t="shared" si="30"/>
        <v>0</v>
      </c>
      <c r="L167" s="56">
        <f t="shared" si="30"/>
        <v>0</v>
      </c>
      <c r="M167" s="56">
        <f t="shared" si="30"/>
        <v>0</v>
      </c>
      <c r="N167" s="56">
        <f t="shared" si="30"/>
        <v>0</v>
      </c>
      <c r="O167" s="56">
        <f t="shared" si="30"/>
        <v>1</v>
      </c>
      <c r="P167" s="56">
        <f t="shared" si="30"/>
        <v>0</v>
      </c>
      <c r="Q167" s="56">
        <f t="shared" si="30"/>
        <v>1</v>
      </c>
      <c r="R167" s="56">
        <f t="shared" si="30"/>
        <v>1</v>
      </c>
      <c r="S167" s="56">
        <f t="shared" si="30"/>
        <v>1</v>
      </c>
      <c r="T167" s="56">
        <f t="shared" si="30"/>
        <v>0</v>
      </c>
      <c r="U167" s="56">
        <f t="shared" si="30"/>
        <v>2</v>
      </c>
      <c r="V167" s="56">
        <f t="shared" si="30"/>
        <v>1</v>
      </c>
      <c r="W167" s="56">
        <f t="shared" si="30"/>
        <v>0</v>
      </c>
      <c r="X167" s="56">
        <f t="shared" si="30"/>
        <v>0</v>
      </c>
      <c r="Y167" s="56">
        <f t="shared" si="30"/>
        <v>0</v>
      </c>
      <c r="Z167" s="56">
        <f t="shared" si="30"/>
        <v>0</v>
      </c>
      <c r="AA167" s="56">
        <f t="shared" si="30"/>
        <v>2</v>
      </c>
      <c r="AB167" s="56">
        <f t="shared" si="30"/>
        <v>0</v>
      </c>
      <c r="AC167" s="56">
        <f t="shared" si="30"/>
        <v>1</v>
      </c>
      <c r="AD167" s="56">
        <f t="shared" si="30"/>
        <v>0</v>
      </c>
      <c r="AE167" s="56">
        <f t="shared" si="30"/>
        <v>0</v>
      </c>
      <c r="AF167" s="85">
        <f t="shared" si="30"/>
        <v>0</v>
      </c>
      <c r="AG167" s="95">
        <f t="shared" si="28"/>
        <v>59</v>
      </c>
    </row>
    <row r="168" spans="1:34" ht="18.75" x14ac:dyDescent="0.25">
      <c r="A168" s="51" t="s">
        <v>30</v>
      </c>
      <c r="B168" s="29">
        <v>1</v>
      </c>
      <c r="C168" s="29">
        <v>7</v>
      </c>
      <c r="D168" s="29">
        <v>4</v>
      </c>
      <c r="E168" s="29">
        <v>7</v>
      </c>
      <c r="F168" s="29">
        <v>12</v>
      </c>
      <c r="G168" s="29">
        <v>6</v>
      </c>
      <c r="H168" s="29">
        <v>6</v>
      </c>
      <c r="I168" s="29"/>
      <c r="J168" s="29"/>
      <c r="K168" s="29"/>
      <c r="L168" s="29"/>
      <c r="M168" s="29"/>
      <c r="N168" s="29"/>
      <c r="O168" s="29">
        <v>1</v>
      </c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  <c r="AA168" s="29"/>
      <c r="AB168" s="29"/>
      <c r="AC168" s="29"/>
      <c r="AD168" s="29"/>
      <c r="AE168" s="29"/>
      <c r="AF168" s="21"/>
      <c r="AG168" s="4">
        <f t="shared" si="28"/>
        <v>44</v>
      </c>
    </row>
    <row r="169" spans="1:34" ht="18.75" x14ac:dyDescent="0.25">
      <c r="A169" s="51" t="s">
        <v>31</v>
      </c>
      <c r="B169" s="29"/>
      <c r="C169" s="29"/>
      <c r="D169" s="29">
        <v>1</v>
      </c>
      <c r="E169" s="29"/>
      <c r="F169" s="29"/>
      <c r="G169" s="29"/>
      <c r="H169" s="29"/>
      <c r="I169" s="29">
        <v>1</v>
      </c>
      <c r="J169" s="29"/>
      <c r="K169" s="29"/>
      <c r="L169" s="29"/>
      <c r="M169" s="29"/>
      <c r="N169" s="29"/>
      <c r="O169" s="29"/>
      <c r="P169" s="29"/>
      <c r="Q169" s="29">
        <v>1</v>
      </c>
      <c r="R169" s="29"/>
      <c r="S169" s="29"/>
      <c r="T169" s="29"/>
      <c r="U169" s="29"/>
      <c r="V169" s="29"/>
      <c r="W169" s="29"/>
      <c r="X169" s="29"/>
      <c r="Y169" s="29"/>
      <c r="Z169" s="29"/>
      <c r="AA169" s="29">
        <v>1</v>
      </c>
      <c r="AB169" s="29"/>
      <c r="AC169" s="29">
        <v>1</v>
      </c>
      <c r="AD169" s="29"/>
      <c r="AE169" s="29"/>
      <c r="AF169" s="21"/>
      <c r="AG169" s="4">
        <f t="shared" si="28"/>
        <v>5</v>
      </c>
    </row>
    <row r="170" spans="1:34" ht="18.75" x14ac:dyDescent="0.25">
      <c r="A170" s="51" t="s">
        <v>32</v>
      </c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>
        <v>1</v>
      </c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1"/>
      <c r="AG170" s="4">
        <f t="shared" si="28"/>
        <v>1</v>
      </c>
    </row>
    <row r="171" spans="1:34" ht="19.5" thickBot="1" x14ac:dyDescent="0.3">
      <c r="A171" s="70" t="s">
        <v>87</v>
      </c>
      <c r="B171" s="30"/>
      <c r="C171" s="30"/>
      <c r="D171" s="30"/>
      <c r="E171" s="30">
        <v>1</v>
      </c>
      <c r="F171" s="30">
        <v>1</v>
      </c>
      <c r="G171" s="30"/>
      <c r="H171" s="30">
        <f>1+1</f>
        <v>2</v>
      </c>
      <c r="I171" s="30"/>
      <c r="J171" s="30"/>
      <c r="K171" s="30"/>
      <c r="L171" s="30"/>
      <c r="M171" s="30"/>
      <c r="N171" s="30"/>
      <c r="O171" s="30"/>
      <c r="P171" s="30"/>
      <c r="Q171" s="30"/>
      <c r="R171" s="30">
        <v>1</v>
      </c>
      <c r="S171" s="30"/>
      <c r="T171" s="30"/>
      <c r="U171" s="30">
        <v>2</v>
      </c>
      <c r="V171" s="30">
        <v>1</v>
      </c>
      <c r="W171" s="30"/>
      <c r="X171" s="30"/>
      <c r="Y171" s="30"/>
      <c r="Z171" s="30"/>
      <c r="AA171" s="30">
        <v>1</v>
      </c>
      <c r="AB171" s="30"/>
      <c r="AC171" s="30"/>
      <c r="AD171" s="30"/>
      <c r="AE171" s="30"/>
      <c r="AF171" s="22"/>
      <c r="AG171" s="28">
        <f t="shared" si="28"/>
        <v>9</v>
      </c>
    </row>
    <row r="172" spans="1:34" ht="19.5" thickBot="1" x14ac:dyDescent="0.3">
      <c r="A172" s="158" t="s">
        <v>128</v>
      </c>
      <c r="B172" s="151"/>
      <c r="C172" s="151"/>
      <c r="D172" s="151"/>
      <c r="E172" s="151"/>
      <c r="F172" s="151"/>
      <c r="G172" s="151"/>
      <c r="H172" s="151"/>
      <c r="I172" s="151"/>
      <c r="J172" s="151"/>
      <c r="K172" s="151"/>
      <c r="L172" s="151"/>
      <c r="M172" s="151"/>
      <c r="N172" s="151"/>
      <c r="O172" s="151">
        <v>1</v>
      </c>
      <c r="P172" s="151"/>
      <c r="Q172" s="151"/>
      <c r="R172" s="151"/>
      <c r="S172" s="151"/>
      <c r="T172" s="151"/>
      <c r="U172" s="151"/>
      <c r="V172" s="151"/>
      <c r="W172" s="151"/>
      <c r="X172" s="151"/>
      <c r="Y172" s="151"/>
      <c r="Z172" s="151"/>
      <c r="AA172" s="151"/>
      <c r="AB172" s="151"/>
      <c r="AC172" s="151"/>
      <c r="AD172" s="151"/>
      <c r="AE172" s="151"/>
      <c r="AF172" s="152"/>
      <c r="AG172" s="159">
        <f t="shared" si="28"/>
        <v>1</v>
      </c>
    </row>
    <row r="173" spans="1:34" ht="18.75" x14ac:dyDescent="0.25">
      <c r="A173" s="68" t="s">
        <v>2</v>
      </c>
      <c r="B173" s="15">
        <v>0</v>
      </c>
      <c r="C173" s="15">
        <v>0</v>
      </c>
      <c r="D173" s="15">
        <v>0</v>
      </c>
      <c r="E173" s="15">
        <v>0</v>
      </c>
      <c r="F173" s="15">
        <v>0</v>
      </c>
      <c r="G173" s="15">
        <v>0</v>
      </c>
      <c r="H173" s="15">
        <v>0</v>
      </c>
      <c r="I173" s="15">
        <v>0</v>
      </c>
      <c r="J173" s="15">
        <v>0</v>
      </c>
      <c r="K173" s="15">
        <v>0</v>
      </c>
      <c r="L173" s="15">
        <v>0</v>
      </c>
      <c r="M173" s="15">
        <v>0</v>
      </c>
      <c r="N173" s="15"/>
      <c r="O173" s="15"/>
      <c r="P173" s="15">
        <v>0</v>
      </c>
      <c r="Q173" s="15">
        <v>0</v>
      </c>
      <c r="R173" s="15">
        <v>0</v>
      </c>
      <c r="S173" s="15">
        <v>0</v>
      </c>
      <c r="T173" s="15">
        <v>0</v>
      </c>
      <c r="U173" s="15">
        <v>0</v>
      </c>
      <c r="V173" s="15">
        <v>0</v>
      </c>
      <c r="W173" s="15">
        <v>0</v>
      </c>
      <c r="X173" s="15">
        <v>0</v>
      </c>
      <c r="Y173" s="15">
        <v>1</v>
      </c>
      <c r="Z173" s="15">
        <v>0</v>
      </c>
      <c r="AA173" s="15">
        <v>0</v>
      </c>
      <c r="AB173" s="15">
        <v>1</v>
      </c>
      <c r="AC173" s="15">
        <v>0</v>
      </c>
      <c r="AD173" s="15">
        <v>0</v>
      </c>
      <c r="AE173" s="15">
        <v>0</v>
      </c>
      <c r="AF173" s="23">
        <v>0</v>
      </c>
      <c r="AG173" s="5">
        <f t="shared" si="28"/>
        <v>2</v>
      </c>
      <c r="AH173" s="2" t="s">
        <v>137</v>
      </c>
    </row>
    <row r="174" spans="1:34" ht="19.5" thickBot="1" x14ac:dyDescent="0.3">
      <c r="A174" s="146" t="s">
        <v>3</v>
      </c>
      <c r="B174" s="16">
        <f>SUM(B175:B176)</f>
        <v>2</v>
      </c>
      <c r="C174" s="16">
        <f t="shared" ref="C174:AF174" si="31">SUM(C175:C176)</f>
        <v>1</v>
      </c>
      <c r="D174" s="16">
        <f t="shared" si="31"/>
        <v>1</v>
      </c>
      <c r="E174" s="16">
        <f t="shared" si="31"/>
        <v>2</v>
      </c>
      <c r="F174" s="16">
        <f t="shared" si="31"/>
        <v>1</v>
      </c>
      <c r="G174" s="16">
        <f t="shared" si="31"/>
        <v>4</v>
      </c>
      <c r="H174" s="16">
        <f t="shared" si="31"/>
        <v>3</v>
      </c>
      <c r="I174" s="16">
        <f t="shared" si="31"/>
        <v>3</v>
      </c>
      <c r="J174" s="16">
        <f t="shared" si="31"/>
        <v>2</v>
      </c>
      <c r="K174" s="16">
        <f t="shared" si="31"/>
        <v>0</v>
      </c>
      <c r="L174" s="16">
        <f t="shared" si="31"/>
        <v>0</v>
      </c>
      <c r="M174" s="16">
        <f t="shared" si="31"/>
        <v>0</v>
      </c>
      <c r="N174" s="16">
        <f t="shared" si="31"/>
        <v>0</v>
      </c>
      <c r="O174" s="16">
        <f t="shared" si="31"/>
        <v>5</v>
      </c>
      <c r="P174" s="16">
        <f t="shared" si="31"/>
        <v>4</v>
      </c>
      <c r="Q174" s="16">
        <f t="shared" si="31"/>
        <v>1</v>
      </c>
      <c r="R174" s="16">
        <f t="shared" si="31"/>
        <v>2</v>
      </c>
      <c r="S174" s="16">
        <f t="shared" si="31"/>
        <v>1</v>
      </c>
      <c r="T174" s="16">
        <f t="shared" si="31"/>
        <v>2</v>
      </c>
      <c r="U174" s="16">
        <f t="shared" si="31"/>
        <v>4</v>
      </c>
      <c r="V174" s="16">
        <f t="shared" si="31"/>
        <v>2</v>
      </c>
      <c r="W174" s="16">
        <f t="shared" si="31"/>
        <v>3</v>
      </c>
      <c r="X174" s="16">
        <f t="shared" si="31"/>
        <v>2</v>
      </c>
      <c r="Y174" s="16">
        <f t="shared" si="31"/>
        <v>0</v>
      </c>
      <c r="Z174" s="16">
        <f t="shared" si="31"/>
        <v>4</v>
      </c>
      <c r="AA174" s="16">
        <f t="shared" si="31"/>
        <v>3</v>
      </c>
      <c r="AB174" s="16">
        <f t="shared" si="31"/>
        <v>1</v>
      </c>
      <c r="AC174" s="16">
        <f t="shared" si="31"/>
        <v>0</v>
      </c>
      <c r="AD174" s="16">
        <f t="shared" si="31"/>
        <v>1</v>
      </c>
      <c r="AE174" s="16">
        <f t="shared" si="31"/>
        <v>0</v>
      </c>
      <c r="AF174" s="24">
        <f t="shared" si="31"/>
        <v>3</v>
      </c>
      <c r="AG174" s="6">
        <f t="shared" si="28"/>
        <v>57</v>
      </c>
      <c r="AH174" s="2" t="s">
        <v>138</v>
      </c>
    </row>
    <row r="175" spans="1:34" ht="18.75" x14ac:dyDescent="0.25">
      <c r="A175" s="133" t="s">
        <v>120</v>
      </c>
      <c r="B175" s="15">
        <v>0</v>
      </c>
      <c r="C175" s="15">
        <v>0</v>
      </c>
      <c r="D175" s="15">
        <v>0</v>
      </c>
      <c r="E175" s="15">
        <v>0</v>
      </c>
      <c r="F175" s="15">
        <v>0</v>
      </c>
      <c r="G175" s="15">
        <v>0</v>
      </c>
      <c r="H175" s="15">
        <v>1</v>
      </c>
      <c r="I175" s="15">
        <v>0</v>
      </c>
      <c r="J175" s="15">
        <v>0</v>
      </c>
      <c r="K175" s="15">
        <v>0</v>
      </c>
      <c r="L175" s="15">
        <v>0</v>
      </c>
      <c r="M175" s="15">
        <v>0</v>
      </c>
      <c r="N175" s="15">
        <v>0</v>
      </c>
      <c r="O175" s="15">
        <v>0</v>
      </c>
      <c r="P175" s="15">
        <v>1</v>
      </c>
      <c r="Q175" s="15">
        <v>0</v>
      </c>
      <c r="R175" s="15">
        <v>0</v>
      </c>
      <c r="S175" s="15">
        <v>0</v>
      </c>
      <c r="T175" s="15">
        <v>0</v>
      </c>
      <c r="U175" s="15">
        <v>0</v>
      </c>
      <c r="V175" s="15">
        <v>0</v>
      </c>
      <c r="W175" s="15">
        <v>0</v>
      </c>
      <c r="X175" s="15">
        <v>0</v>
      </c>
      <c r="Y175" s="15">
        <v>0</v>
      </c>
      <c r="Z175" s="15">
        <v>0</v>
      </c>
      <c r="AA175" s="15">
        <v>0</v>
      </c>
      <c r="AB175" s="15">
        <v>0</v>
      </c>
      <c r="AC175" s="15">
        <v>0</v>
      </c>
      <c r="AD175" s="15">
        <v>0</v>
      </c>
      <c r="AE175" s="15">
        <v>0</v>
      </c>
      <c r="AF175" s="23">
        <v>0</v>
      </c>
      <c r="AG175" s="5">
        <f t="shared" si="28"/>
        <v>2</v>
      </c>
      <c r="AH175" s="2" t="s">
        <v>138</v>
      </c>
    </row>
    <row r="176" spans="1:34" ht="19.5" thickBot="1" x14ac:dyDescent="0.3">
      <c r="A176" s="104" t="s">
        <v>119</v>
      </c>
      <c r="B176" s="101">
        <v>2</v>
      </c>
      <c r="C176" s="101">
        <v>1</v>
      </c>
      <c r="D176" s="101">
        <v>1</v>
      </c>
      <c r="E176" s="101">
        <v>2</v>
      </c>
      <c r="F176" s="101">
        <v>1</v>
      </c>
      <c r="G176" s="101">
        <v>4</v>
      </c>
      <c r="H176" s="101">
        <v>2</v>
      </c>
      <c r="I176" s="101">
        <v>3</v>
      </c>
      <c r="J176" s="101">
        <v>2</v>
      </c>
      <c r="K176" s="101">
        <v>0</v>
      </c>
      <c r="L176" s="101">
        <v>0</v>
      </c>
      <c r="M176" s="101">
        <v>0</v>
      </c>
      <c r="N176" s="101">
        <v>0</v>
      </c>
      <c r="O176" s="101">
        <v>5</v>
      </c>
      <c r="P176" s="101">
        <v>3</v>
      </c>
      <c r="Q176" s="101">
        <v>1</v>
      </c>
      <c r="R176" s="101">
        <v>2</v>
      </c>
      <c r="S176" s="101">
        <v>1</v>
      </c>
      <c r="T176" s="101">
        <v>2</v>
      </c>
      <c r="U176" s="101">
        <v>4</v>
      </c>
      <c r="V176" s="101">
        <v>2</v>
      </c>
      <c r="W176" s="101">
        <v>3</v>
      </c>
      <c r="X176" s="101">
        <v>2</v>
      </c>
      <c r="Y176" s="101">
        <v>0</v>
      </c>
      <c r="Z176" s="101">
        <v>4</v>
      </c>
      <c r="AA176" s="101">
        <v>3</v>
      </c>
      <c r="AB176" s="101">
        <v>1</v>
      </c>
      <c r="AC176" s="101">
        <v>0</v>
      </c>
      <c r="AD176" s="101">
        <v>1</v>
      </c>
      <c r="AE176" s="101">
        <v>0</v>
      </c>
      <c r="AF176" s="102">
        <v>3</v>
      </c>
      <c r="AG176" s="103">
        <f t="shared" si="28"/>
        <v>55</v>
      </c>
      <c r="AH176" s="2" t="s">
        <v>138</v>
      </c>
    </row>
    <row r="177" spans="1:34" ht="18.75" x14ac:dyDescent="0.25">
      <c r="A177" s="64" t="s">
        <v>105</v>
      </c>
      <c r="B177" s="65"/>
      <c r="C177" s="65"/>
      <c r="D177" s="65"/>
      <c r="E177" s="65"/>
      <c r="F177" s="65"/>
      <c r="G177" s="65"/>
      <c r="H177" s="65"/>
      <c r="I177" s="65"/>
      <c r="J177" s="65"/>
      <c r="K177" s="65"/>
      <c r="L177" s="65"/>
      <c r="M177" s="65"/>
      <c r="N177" s="65"/>
      <c r="O177" s="65"/>
      <c r="P177" s="65"/>
      <c r="Q177" s="65"/>
      <c r="R177" s="65"/>
      <c r="S177" s="65"/>
      <c r="T177" s="65"/>
      <c r="U177" s="65"/>
      <c r="V177" s="65"/>
      <c r="W177" s="65"/>
      <c r="X177" s="65"/>
      <c r="Y177" s="65"/>
      <c r="Z177" s="65"/>
      <c r="AA177" s="65"/>
      <c r="AB177" s="65"/>
      <c r="AC177" s="65"/>
      <c r="AD177" s="65"/>
      <c r="AE177" s="65"/>
      <c r="AF177" s="86"/>
      <c r="AG177" s="96">
        <f t="shared" si="28"/>
        <v>0</v>
      </c>
    </row>
    <row r="178" spans="1:34" ht="19.5" thickBot="1" x14ac:dyDescent="0.3">
      <c r="A178" s="66" t="s">
        <v>104</v>
      </c>
      <c r="B178" s="67"/>
      <c r="C178" s="67"/>
      <c r="D178" s="67"/>
      <c r="E178" s="67"/>
      <c r="F178" s="67"/>
      <c r="G178" s="67"/>
      <c r="H178" s="67"/>
      <c r="I178" s="67"/>
      <c r="J178" s="67"/>
      <c r="K178" s="67"/>
      <c r="L178" s="67"/>
      <c r="M178" s="67"/>
      <c r="N178" s="67"/>
      <c r="O178" s="67"/>
      <c r="P178" s="67"/>
      <c r="Q178" s="67"/>
      <c r="R178" s="67"/>
      <c r="S178" s="67"/>
      <c r="T178" s="67"/>
      <c r="U178" s="67"/>
      <c r="V178" s="67"/>
      <c r="W178" s="67"/>
      <c r="X178" s="67"/>
      <c r="Y178" s="67"/>
      <c r="Z178" s="67"/>
      <c r="AA178" s="67"/>
      <c r="AB178" s="67"/>
      <c r="AC178" s="67"/>
      <c r="AD178" s="67"/>
      <c r="AE178" s="67"/>
      <c r="AF178" s="87"/>
      <c r="AG178" s="32">
        <f t="shared" si="28"/>
        <v>0</v>
      </c>
    </row>
    <row r="179" spans="1:34" ht="19.5" thickBot="1" x14ac:dyDescent="0.3">
      <c r="A179" s="219" t="s">
        <v>149</v>
      </c>
      <c r="B179" s="220">
        <f t="shared" ref="B179:AF179" si="32">SUM(B180:B205)</f>
        <v>33</v>
      </c>
      <c r="C179" s="220">
        <f t="shared" si="32"/>
        <v>37</v>
      </c>
      <c r="D179" s="220">
        <f t="shared" si="32"/>
        <v>45</v>
      </c>
      <c r="E179" s="220">
        <f t="shared" si="32"/>
        <v>43</v>
      </c>
      <c r="F179" s="220">
        <f t="shared" si="32"/>
        <v>39</v>
      </c>
      <c r="G179" s="220">
        <f t="shared" si="32"/>
        <v>37</v>
      </c>
      <c r="H179" s="220">
        <f t="shared" si="32"/>
        <v>35</v>
      </c>
      <c r="I179" s="220">
        <f t="shared" si="32"/>
        <v>29</v>
      </c>
      <c r="J179" s="220">
        <f t="shared" si="32"/>
        <v>30</v>
      </c>
      <c r="K179" s="220">
        <f t="shared" si="32"/>
        <v>76</v>
      </c>
      <c r="L179" s="220">
        <f t="shared" si="32"/>
        <v>41</v>
      </c>
      <c r="M179" s="220">
        <f t="shared" si="32"/>
        <v>34</v>
      </c>
      <c r="N179" s="220">
        <f t="shared" si="32"/>
        <v>45</v>
      </c>
      <c r="O179" s="220">
        <f t="shared" si="32"/>
        <v>39</v>
      </c>
      <c r="P179" s="220">
        <f t="shared" si="32"/>
        <v>46</v>
      </c>
      <c r="Q179" s="220">
        <f t="shared" si="32"/>
        <v>32</v>
      </c>
      <c r="R179" s="220">
        <f t="shared" si="32"/>
        <v>68</v>
      </c>
      <c r="S179" s="220">
        <f t="shared" si="32"/>
        <v>35</v>
      </c>
      <c r="T179" s="220">
        <f t="shared" si="32"/>
        <v>29</v>
      </c>
      <c r="U179" s="220">
        <f t="shared" si="32"/>
        <v>33</v>
      </c>
      <c r="V179" s="220">
        <f t="shared" si="32"/>
        <v>30</v>
      </c>
      <c r="W179" s="220">
        <f t="shared" si="32"/>
        <v>34</v>
      </c>
      <c r="X179" s="220">
        <f t="shared" si="32"/>
        <v>32</v>
      </c>
      <c r="Y179" s="220">
        <f t="shared" si="32"/>
        <v>23</v>
      </c>
      <c r="Z179" s="220">
        <f t="shared" si="32"/>
        <v>33</v>
      </c>
      <c r="AA179" s="220">
        <f t="shared" si="32"/>
        <v>18</v>
      </c>
      <c r="AB179" s="220">
        <f t="shared" si="32"/>
        <v>22</v>
      </c>
      <c r="AC179" s="220">
        <f t="shared" si="32"/>
        <v>35</v>
      </c>
      <c r="AD179" s="220">
        <f t="shared" si="32"/>
        <v>20</v>
      </c>
      <c r="AE179" s="220">
        <f t="shared" si="32"/>
        <v>21</v>
      </c>
      <c r="AF179" s="221">
        <f t="shared" si="32"/>
        <v>21</v>
      </c>
      <c r="AG179" s="156">
        <f t="shared" si="28"/>
        <v>1095</v>
      </c>
      <c r="AH179" s="38"/>
    </row>
    <row r="180" spans="1:34" ht="18.75" x14ac:dyDescent="0.25">
      <c r="A180" s="109" t="s">
        <v>4</v>
      </c>
      <c r="B180" s="216">
        <v>7</v>
      </c>
      <c r="C180" s="216">
        <v>3</v>
      </c>
      <c r="D180" s="216">
        <v>2</v>
      </c>
      <c r="E180" s="216">
        <v>10</v>
      </c>
      <c r="F180" s="216">
        <v>10</v>
      </c>
      <c r="G180" s="216">
        <v>3</v>
      </c>
      <c r="H180" s="216">
        <v>2</v>
      </c>
      <c r="I180" s="216">
        <v>2</v>
      </c>
      <c r="J180" s="216">
        <v>6</v>
      </c>
      <c r="K180" s="216">
        <v>8</v>
      </c>
      <c r="L180" s="216">
        <v>13</v>
      </c>
      <c r="M180" s="216">
        <v>7</v>
      </c>
      <c r="N180" s="217">
        <v>2</v>
      </c>
      <c r="O180" s="217">
        <v>3</v>
      </c>
      <c r="P180" s="217">
        <v>4</v>
      </c>
      <c r="Q180" s="217">
        <v>9</v>
      </c>
      <c r="R180" s="217">
        <v>2</v>
      </c>
      <c r="S180" s="217">
        <v>5</v>
      </c>
      <c r="T180" s="217">
        <v>6</v>
      </c>
      <c r="U180" s="217">
        <v>9</v>
      </c>
      <c r="V180" s="217">
        <v>4</v>
      </c>
      <c r="W180" s="217">
        <v>6</v>
      </c>
      <c r="X180" s="217">
        <v>6</v>
      </c>
      <c r="Y180" s="217">
        <v>8</v>
      </c>
      <c r="Z180" s="217">
        <v>11</v>
      </c>
      <c r="AA180" s="217">
        <v>2</v>
      </c>
      <c r="AB180" s="217">
        <v>2</v>
      </c>
      <c r="AC180" s="217">
        <v>4</v>
      </c>
      <c r="AD180" s="217">
        <v>7</v>
      </c>
      <c r="AE180" s="217">
        <v>4</v>
      </c>
      <c r="AF180" s="218">
        <v>7</v>
      </c>
      <c r="AG180" s="31">
        <f t="shared" si="28"/>
        <v>174</v>
      </c>
    </row>
    <row r="181" spans="1:34" ht="18.75" x14ac:dyDescent="0.25">
      <c r="A181" s="109" t="s">
        <v>122</v>
      </c>
      <c r="B181" s="147"/>
      <c r="C181" s="147"/>
      <c r="D181" s="147"/>
      <c r="E181" s="147"/>
      <c r="F181" s="147"/>
      <c r="G181" s="147"/>
      <c r="H181" s="147"/>
      <c r="I181" s="147"/>
      <c r="J181" s="147"/>
      <c r="K181" s="147"/>
      <c r="L181" s="147"/>
      <c r="M181" s="14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  <c r="AE181" s="17"/>
      <c r="AF181" s="18"/>
      <c r="AG181" s="4">
        <f t="shared" si="28"/>
        <v>0</v>
      </c>
    </row>
    <row r="182" spans="1:34" ht="18.75" x14ac:dyDescent="0.25">
      <c r="A182" s="109" t="s">
        <v>123</v>
      </c>
      <c r="B182" s="147"/>
      <c r="C182" s="147"/>
      <c r="D182" s="147"/>
      <c r="E182" s="147"/>
      <c r="F182" s="147"/>
      <c r="G182" s="147"/>
      <c r="H182" s="147">
        <v>2</v>
      </c>
      <c r="I182" s="147"/>
      <c r="J182" s="147">
        <v>1</v>
      </c>
      <c r="K182" s="147"/>
      <c r="L182" s="147">
        <v>1</v>
      </c>
      <c r="M182" s="147">
        <v>1</v>
      </c>
      <c r="N182" s="17"/>
      <c r="O182" s="17">
        <v>2</v>
      </c>
      <c r="P182" s="17"/>
      <c r="Q182" s="17"/>
      <c r="R182" s="17"/>
      <c r="S182" s="17"/>
      <c r="T182" s="17"/>
      <c r="U182" s="17"/>
      <c r="V182" s="17">
        <v>1</v>
      </c>
      <c r="W182" s="17"/>
      <c r="X182" s="17">
        <v>1</v>
      </c>
      <c r="Y182" s="17"/>
      <c r="Z182" s="17"/>
      <c r="AA182" s="17"/>
      <c r="AB182" s="17"/>
      <c r="AC182" s="17"/>
      <c r="AD182" s="17"/>
      <c r="AE182" s="17"/>
      <c r="AF182" s="18"/>
      <c r="AG182" s="4">
        <f t="shared" si="28"/>
        <v>9</v>
      </c>
    </row>
    <row r="183" spans="1:34" ht="18.75" x14ac:dyDescent="0.25">
      <c r="A183" s="109" t="s">
        <v>614</v>
      </c>
      <c r="B183" s="147"/>
      <c r="C183" s="147"/>
      <c r="D183" s="147"/>
      <c r="E183" s="147"/>
      <c r="F183" s="147"/>
      <c r="G183" s="147"/>
      <c r="H183" s="147"/>
      <c r="I183" s="147"/>
      <c r="J183" s="147"/>
      <c r="K183" s="147"/>
      <c r="L183" s="147"/>
      <c r="M183" s="14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  <c r="AE183" s="17"/>
      <c r="AF183" s="18"/>
      <c r="AG183" s="4">
        <f t="shared" si="28"/>
        <v>0</v>
      </c>
    </row>
    <row r="184" spans="1:34" s="398" customFormat="1" ht="18.75" x14ac:dyDescent="0.25">
      <c r="A184" s="393" t="s">
        <v>621</v>
      </c>
      <c r="B184" s="394">
        <v>26</v>
      </c>
      <c r="C184" s="394">
        <v>33</v>
      </c>
      <c r="D184" s="394">
        <v>42</v>
      </c>
      <c r="E184" s="394">
        <v>31</v>
      </c>
      <c r="F184" s="394">
        <v>25</v>
      </c>
      <c r="G184" s="394">
        <v>34</v>
      </c>
      <c r="H184" s="394">
        <v>31</v>
      </c>
      <c r="I184" s="394">
        <v>27</v>
      </c>
      <c r="J184" s="394">
        <v>18</v>
      </c>
      <c r="K184" s="394">
        <v>68</v>
      </c>
      <c r="L184" s="394">
        <v>22</v>
      </c>
      <c r="M184" s="394">
        <v>25</v>
      </c>
      <c r="N184" s="395">
        <v>41</v>
      </c>
      <c r="O184" s="395">
        <v>31</v>
      </c>
      <c r="P184" s="395">
        <v>41</v>
      </c>
      <c r="Q184" s="395">
        <v>22</v>
      </c>
      <c r="R184" s="395">
        <v>62</v>
      </c>
      <c r="S184" s="395">
        <v>29</v>
      </c>
      <c r="T184" s="395">
        <v>19</v>
      </c>
      <c r="U184" s="395">
        <v>22</v>
      </c>
      <c r="V184" s="395">
        <v>23</v>
      </c>
      <c r="W184" s="395">
        <v>28</v>
      </c>
      <c r="X184" s="395">
        <v>24</v>
      </c>
      <c r="Y184" s="395">
        <v>14</v>
      </c>
      <c r="Z184" s="395">
        <v>20</v>
      </c>
      <c r="AA184" s="395">
        <v>16</v>
      </c>
      <c r="AB184" s="395">
        <v>20</v>
      </c>
      <c r="AC184" s="395">
        <v>29</v>
      </c>
      <c r="AD184" s="395">
        <v>12</v>
      </c>
      <c r="AE184" s="395">
        <v>16</v>
      </c>
      <c r="AF184" s="396">
        <v>13</v>
      </c>
      <c r="AG184" s="397">
        <f t="shared" si="28"/>
        <v>864</v>
      </c>
    </row>
    <row r="185" spans="1:34" ht="18.75" x14ac:dyDescent="0.25">
      <c r="A185" s="109" t="s">
        <v>165</v>
      </c>
      <c r="B185" s="147"/>
      <c r="C185" s="147"/>
      <c r="D185" s="147"/>
      <c r="E185" s="147"/>
      <c r="F185" s="147"/>
      <c r="G185" s="147"/>
      <c r="H185" s="147"/>
      <c r="I185" s="147"/>
      <c r="J185" s="147"/>
      <c r="K185" s="147"/>
      <c r="L185" s="147"/>
      <c r="M185" s="14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  <c r="AF185" s="18"/>
      <c r="AG185" s="4">
        <f t="shared" si="28"/>
        <v>0</v>
      </c>
    </row>
    <row r="186" spans="1:34" ht="18.75" x14ac:dyDescent="0.25">
      <c r="A186" s="109" t="s">
        <v>141</v>
      </c>
      <c r="B186" s="147"/>
      <c r="C186" s="147"/>
      <c r="D186" s="147"/>
      <c r="E186" s="147"/>
      <c r="F186" s="147"/>
      <c r="G186" s="147"/>
      <c r="H186" s="147"/>
      <c r="I186" s="147"/>
      <c r="J186" s="147"/>
      <c r="K186" s="147"/>
      <c r="L186" s="147"/>
      <c r="M186" s="14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  <c r="AF186" s="18"/>
      <c r="AG186" s="4">
        <f t="shared" si="28"/>
        <v>0</v>
      </c>
    </row>
    <row r="187" spans="1:34" ht="18.75" x14ac:dyDescent="0.25">
      <c r="A187" s="109" t="s">
        <v>613</v>
      </c>
      <c r="B187" s="147"/>
      <c r="C187" s="147"/>
      <c r="D187" s="147"/>
      <c r="E187" s="147"/>
      <c r="F187" s="147"/>
      <c r="G187" s="147"/>
      <c r="H187" s="147"/>
      <c r="I187" s="147"/>
      <c r="J187" s="147"/>
      <c r="K187" s="147"/>
      <c r="L187" s="147"/>
      <c r="M187" s="14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  <c r="AF187" s="18"/>
      <c r="AG187" s="4">
        <f t="shared" si="28"/>
        <v>0</v>
      </c>
    </row>
    <row r="188" spans="1:34" ht="18.75" x14ac:dyDescent="0.25">
      <c r="A188" s="109" t="s">
        <v>139</v>
      </c>
      <c r="B188" s="147"/>
      <c r="C188" s="147"/>
      <c r="D188" s="147">
        <v>1</v>
      </c>
      <c r="E188" s="147"/>
      <c r="F188" s="147">
        <v>1</v>
      </c>
      <c r="G188" s="147"/>
      <c r="H188" s="147"/>
      <c r="I188" s="147"/>
      <c r="J188" s="147"/>
      <c r="K188" s="147"/>
      <c r="L188" s="147"/>
      <c r="M188" s="147"/>
      <c r="N188" s="17"/>
      <c r="O188" s="17"/>
      <c r="P188" s="17"/>
      <c r="Q188" s="17"/>
      <c r="R188" s="17"/>
      <c r="S188" s="17"/>
      <c r="T188" s="17">
        <v>1</v>
      </c>
      <c r="U188" s="17"/>
      <c r="V188" s="17"/>
      <c r="W188" s="17"/>
      <c r="X188" s="17"/>
      <c r="Y188" s="17"/>
      <c r="Z188" s="17"/>
      <c r="AA188" s="17"/>
      <c r="AB188" s="17"/>
      <c r="AC188" s="17">
        <v>2</v>
      </c>
      <c r="AD188" s="17">
        <v>1</v>
      </c>
      <c r="AE188" s="17"/>
      <c r="AF188" s="18"/>
      <c r="AG188" s="4">
        <f t="shared" si="28"/>
        <v>6</v>
      </c>
    </row>
    <row r="189" spans="1:34" ht="18.75" x14ac:dyDescent="0.25">
      <c r="A189" s="110" t="s">
        <v>63</v>
      </c>
      <c r="B189" s="147"/>
      <c r="C189" s="147"/>
      <c r="D189" s="147"/>
      <c r="E189" s="147"/>
      <c r="F189" s="147"/>
      <c r="G189" s="147"/>
      <c r="H189" s="147"/>
      <c r="I189" s="147"/>
      <c r="J189" s="147"/>
      <c r="K189" s="147"/>
      <c r="L189" s="147"/>
      <c r="M189" s="14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  <c r="AE189" s="17"/>
      <c r="AF189" s="18"/>
      <c r="AG189" s="4">
        <f t="shared" si="28"/>
        <v>0</v>
      </c>
    </row>
    <row r="190" spans="1:34" ht="18.75" x14ac:dyDescent="0.25">
      <c r="A190" s="110" t="s">
        <v>142</v>
      </c>
      <c r="B190" s="147"/>
      <c r="C190" s="147"/>
      <c r="D190" s="147"/>
      <c r="E190" s="147"/>
      <c r="F190" s="147"/>
      <c r="G190" s="147"/>
      <c r="H190" s="147"/>
      <c r="I190" s="147"/>
      <c r="J190" s="147"/>
      <c r="K190" s="147"/>
      <c r="L190" s="147"/>
      <c r="M190" s="14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  <c r="AE190" s="17"/>
      <c r="AF190" s="18"/>
      <c r="AG190" s="4">
        <f t="shared" si="28"/>
        <v>0</v>
      </c>
    </row>
    <row r="191" spans="1:34" ht="18.75" x14ac:dyDescent="0.25">
      <c r="A191" s="110" t="s">
        <v>168</v>
      </c>
      <c r="B191" s="147"/>
      <c r="C191" s="147"/>
      <c r="D191" s="147"/>
      <c r="E191" s="147"/>
      <c r="F191" s="147"/>
      <c r="G191" s="147"/>
      <c r="H191" s="147"/>
      <c r="I191" s="147"/>
      <c r="J191" s="147"/>
      <c r="K191" s="147"/>
      <c r="L191" s="147"/>
      <c r="M191" s="14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  <c r="AE191" s="17"/>
      <c r="AF191" s="18"/>
      <c r="AG191" s="4">
        <f t="shared" si="28"/>
        <v>0</v>
      </c>
    </row>
    <row r="192" spans="1:34" ht="18.75" x14ac:dyDescent="0.25">
      <c r="A192" s="110" t="s">
        <v>169</v>
      </c>
      <c r="B192" s="147"/>
      <c r="C192" s="147"/>
      <c r="D192" s="147"/>
      <c r="E192" s="147"/>
      <c r="F192" s="147"/>
      <c r="G192" s="147"/>
      <c r="H192" s="147"/>
      <c r="I192" s="147"/>
      <c r="J192" s="147"/>
      <c r="K192" s="147"/>
      <c r="L192" s="147"/>
      <c r="M192" s="14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  <c r="AE192" s="17"/>
      <c r="AF192" s="18"/>
      <c r="AG192" s="4">
        <f t="shared" si="28"/>
        <v>0</v>
      </c>
    </row>
    <row r="193" spans="1:34" ht="18.75" x14ac:dyDescent="0.25">
      <c r="A193" s="236" t="s">
        <v>5</v>
      </c>
      <c r="B193" s="237"/>
      <c r="C193" s="237">
        <v>1</v>
      </c>
      <c r="D193" s="237"/>
      <c r="E193" s="237">
        <v>1</v>
      </c>
      <c r="F193" s="237">
        <v>3</v>
      </c>
      <c r="G193" s="237"/>
      <c r="H193" s="237"/>
      <c r="I193" s="237"/>
      <c r="J193" s="237">
        <v>5</v>
      </c>
      <c r="K193" s="237"/>
      <c r="L193" s="237">
        <v>4</v>
      </c>
      <c r="M193" s="237">
        <v>1</v>
      </c>
      <c r="N193" s="238">
        <v>2</v>
      </c>
      <c r="O193" s="238">
        <v>2</v>
      </c>
      <c r="P193" s="238"/>
      <c r="Q193" s="238">
        <v>1</v>
      </c>
      <c r="R193" s="238">
        <v>4</v>
      </c>
      <c r="S193" s="238">
        <v>1</v>
      </c>
      <c r="T193" s="238">
        <v>3</v>
      </c>
      <c r="U193" s="238">
        <v>2</v>
      </c>
      <c r="V193" s="238">
        <v>2</v>
      </c>
      <c r="W193" s="238"/>
      <c r="X193" s="238">
        <v>1</v>
      </c>
      <c r="Y193" s="238">
        <v>1</v>
      </c>
      <c r="Z193" s="238">
        <v>2</v>
      </c>
      <c r="AA193" s="238"/>
      <c r="AB193" s="238"/>
      <c r="AC193" s="238"/>
      <c r="AD193" s="238"/>
      <c r="AE193" s="238">
        <v>1</v>
      </c>
      <c r="AF193" s="239">
        <v>1</v>
      </c>
      <c r="AG193" s="240">
        <f t="shared" si="28"/>
        <v>38</v>
      </c>
    </row>
    <row r="194" spans="1:34" ht="18.75" x14ac:dyDescent="0.25">
      <c r="A194" s="111" t="s">
        <v>174</v>
      </c>
      <c r="B194" s="147"/>
      <c r="C194" s="147"/>
      <c r="D194" s="147"/>
      <c r="E194" s="147"/>
      <c r="F194" s="147"/>
      <c r="G194" s="147"/>
      <c r="H194" s="147"/>
      <c r="I194" s="147"/>
      <c r="J194" s="147"/>
      <c r="K194" s="147"/>
      <c r="L194" s="147"/>
      <c r="M194" s="14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  <c r="AE194" s="17"/>
      <c r="AF194" s="18"/>
      <c r="AG194" s="4">
        <f t="shared" si="28"/>
        <v>0</v>
      </c>
    </row>
    <row r="195" spans="1:34" ht="18.75" x14ac:dyDescent="0.25">
      <c r="A195" s="111" t="s">
        <v>171</v>
      </c>
      <c r="B195" s="147"/>
      <c r="C195" s="147"/>
      <c r="D195" s="147"/>
      <c r="E195" s="147"/>
      <c r="F195" s="147"/>
      <c r="G195" s="147"/>
      <c r="H195" s="147"/>
      <c r="I195" s="147"/>
      <c r="J195" s="147"/>
      <c r="K195" s="147"/>
      <c r="L195" s="147">
        <v>1</v>
      </c>
      <c r="M195" s="14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  <c r="AE195" s="17"/>
      <c r="AF195" s="18"/>
      <c r="AG195" s="4">
        <f t="shared" si="28"/>
        <v>1</v>
      </c>
    </row>
    <row r="196" spans="1:34" ht="18.75" x14ac:dyDescent="0.25">
      <c r="A196" s="111" t="s">
        <v>173</v>
      </c>
      <c r="B196" s="147"/>
      <c r="C196" s="147"/>
      <c r="D196" s="147"/>
      <c r="E196" s="147"/>
      <c r="F196" s="147"/>
      <c r="G196" s="147"/>
      <c r="H196" s="147"/>
      <c r="I196" s="147"/>
      <c r="J196" s="147"/>
      <c r="K196" s="147"/>
      <c r="L196" s="147"/>
      <c r="M196" s="14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  <c r="AE196" s="17"/>
      <c r="AF196" s="18"/>
      <c r="AG196" s="4">
        <f t="shared" si="28"/>
        <v>0</v>
      </c>
    </row>
    <row r="197" spans="1:34" ht="18.75" x14ac:dyDescent="0.25">
      <c r="A197" s="111" t="s">
        <v>88</v>
      </c>
      <c r="B197" s="147"/>
      <c r="C197" s="147"/>
      <c r="D197" s="147"/>
      <c r="E197" s="147"/>
      <c r="F197" s="147"/>
      <c r="G197" s="147"/>
      <c r="H197" s="147"/>
      <c r="I197" s="147"/>
      <c r="J197" s="147"/>
      <c r="K197" s="147"/>
      <c r="L197" s="147"/>
      <c r="M197" s="14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  <c r="AE197" s="17"/>
      <c r="AF197" s="18"/>
      <c r="AG197" s="4">
        <f t="shared" si="28"/>
        <v>0</v>
      </c>
    </row>
    <row r="198" spans="1:34" ht="18.75" x14ac:dyDescent="0.25">
      <c r="A198" s="111" t="s">
        <v>617</v>
      </c>
      <c r="B198" s="147"/>
      <c r="C198" s="147"/>
      <c r="D198" s="147"/>
      <c r="E198" s="147"/>
      <c r="F198" s="147"/>
      <c r="G198" s="147"/>
      <c r="H198" s="147"/>
      <c r="I198" s="147"/>
      <c r="J198" s="147"/>
      <c r="K198" s="147"/>
      <c r="L198" s="147"/>
      <c r="M198" s="14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  <c r="AE198" s="17"/>
      <c r="AF198" s="18"/>
      <c r="AG198" s="4">
        <f t="shared" si="28"/>
        <v>0</v>
      </c>
    </row>
    <row r="199" spans="1:34" ht="18.75" x14ac:dyDescent="0.25">
      <c r="A199" s="111" t="s">
        <v>143</v>
      </c>
      <c r="B199" s="147"/>
      <c r="C199" s="147"/>
      <c r="D199" s="147"/>
      <c r="E199" s="147"/>
      <c r="F199" s="147"/>
      <c r="G199" s="147"/>
      <c r="H199" s="147"/>
      <c r="I199" s="147"/>
      <c r="J199" s="147"/>
      <c r="K199" s="147"/>
      <c r="L199" s="147"/>
      <c r="M199" s="14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  <c r="AE199" s="17"/>
      <c r="AF199" s="18"/>
      <c r="AG199" s="4">
        <f t="shared" si="28"/>
        <v>0</v>
      </c>
    </row>
    <row r="200" spans="1:34" ht="18.75" x14ac:dyDescent="0.25">
      <c r="A200" s="110" t="s">
        <v>124</v>
      </c>
      <c r="B200" s="147"/>
      <c r="C200" s="147"/>
      <c r="D200" s="147"/>
      <c r="E200" s="147"/>
      <c r="F200" s="147"/>
      <c r="G200" s="147"/>
      <c r="H200" s="147"/>
      <c r="I200" s="147"/>
      <c r="J200" s="147"/>
      <c r="K200" s="147"/>
      <c r="L200" s="147"/>
      <c r="M200" s="14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  <c r="AE200" s="17"/>
      <c r="AF200" s="18"/>
      <c r="AG200" s="4">
        <f t="shared" si="28"/>
        <v>0</v>
      </c>
    </row>
    <row r="201" spans="1:34" ht="18.75" x14ac:dyDescent="0.25">
      <c r="A201" s="110" t="s">
        <v>167</v>
      </c>
      <c r="B201" s="147"/>
      <c r="C201" s="147"/>
      <c r="D201" s="147"/>
      <c r="E201" s="147"/>
      <c r="F201" s="147"/>
      <c r="G201" s="147"/>
      <c r="H201" s="147"/>
      <c r="I201" s="147"/>
      <c r="J201" s="147"/>
      <c r="K201" s="147"/>
      <c r="L201" s="147"/>
      <c r="M201" s="14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  <c r="AD201" s="17"/>
      <c r="AE201" s="17"/>
      <c r="AF201" s="18"/>
      <c r="AG201" s="4">
        <f t="shared" si="28"/>
        <v>0</v>
      </c>
    </row>
    <row r="202" spans="1:34" ht="18.75" x14ac:dyDescent="0.25">
      <c r="A202" s="110" t="s">
        <v>125</v>
      </c>
      <c r="B202" s="147"/>
      <c r="C202" s="147"/>
      <c r="D202" s="147"/>
      <c r="E202" s="147"/>
      <c r="F202" s="147"/>
      <c r="G202" s="147"/>
      <c r="H202" s="147"/>
      <c r="I202" s="147"/>
      <c r="J202" s="147"/>
      <c r="K202" s="147"/>
      <c r="L202" s="147"/>
      <c r="M202" s="147"/>
      <c r="N202" s="17"/>
      <c r="O202" s="17"/>
      <c r="P202" s="17">
        <v>1</v>
      </c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  <c r="AC202" s="17"/>
      <c r="AD202" s="17"/>
      <c r="AE202" s="17"/>
      <c r="AF202" s="18"/>
      <c r="AG202" s="4">
        <f t="shared" si="28"/>
        <v>1</v>
      </c>
    </row>
    <row r="203" spans="1:34" ht="18.75" x14ac:dyDescent="0.25">
      <c r="A203" s="110" t="s">
        <v>126</v>
      </c>
      <c r="B203" s="202"/>
      <c r="C203" s="202"/>
      <c r="D203" s="202"/>
      <c r="E203" s="202">
        <v>1</v>
      </c>
      <c r="F203" s="202"/>
      <c r="G203" s="202"/>
      <c r="H203" s="202"/>
      <c r="I203" s="202"/>
      <c r="J203" s="202"/>
      <c r="K203" s="202"/>
      <c r="L203" s="202"/>
      <c r="M203" s="202"/>
      <c r="N203" s="203"/>
      <c r="O203" s="203">
        <v>1</v>
      </c>
      <c r="P203" s="203"/>
      <c r="Q203" s="203"/>
      <c r="R203" s="203"/>
      <c r="S203" s="203"/>
      <c r="T203" s="203"/>
      <c r="U203" s="203"/>
      <c r="V203" s="203"/>
      <c r="W203" s="203"/>
      <c r="X203" s="203"/>
      <c r="Y203" s="203"/>
      <c r="Z203" s="203"/>
      <c r="AA203" s="203"/>
      <c r="AB203" s="203"/>
      <c r="AC203" s="203"/>
      <c r="AD203" s="203"/>
      <c r="AE203" s="203"/>
      <c r="AF203" s="204"/>
      <c r="AG203" s="4">
        <f t="shared" si="28"/>
        <v>2</v>
      </c>
    </row>
    <row r="204" spans="1:34" ht="18.75" x14ac:dyDescent="0.25">
      <c r="A204" s="112" t="s">
        <v>170</v>
      </c>
      <c r="B204" s="202"/>
      <c r="C204" s="202"/>
      <c r="D204" s="202"/>
      <c r="E204" s="202"/>
      <c r="F204" s="202"/>
      <c r="G204" s="202"/>
      <c r="H204" s="202"/>
      <c r="I204" s="202"/>
      <c r="J204" s="202"/>
      <c r="K204" s="202"/>
      <c r="L204" s="202"/>
      <c r="M204" s="202"/>
      <c r="N204" s="203"/>
      <c r="O204" s="203"/>
      <c r="P204" s="203"/>
      <c r="Q204" s="203"/>
      <c r="R204" s="203"/>
      <c r="S204" s="203"/>
      <c r="T204" s="203"/>
      <c r="U204" s="203"/>
      <c r="V204" s="203"/>
      <c r="W204" s="203"/>
      <c r="X204" s="203"/>
      <c r="Y204" s="203"/>
      <c r="Z204" s="203"/>
      <c r="AA204" s="203"/>
      <c r="AB204" s="203"/>
      <c r="AC204" s="203"/>
      <c r="AD204" s="203"/>
      <c r="AE204" s="203"/>
      <c r="AF204" s="204"/>
      <c r="AG204" s="4">
        <f t="shared" si="28"/>
        <v>0</v>
      </c>
    </row>
    <row r="205" spans="1:34" ht="19.5" thickBot="1" x14ac:dyDescent="0.3">
      <c r="A205" s="231" t="s">
        <v>166</v>
      </c>
      <c r="B205" s="202"/>
      <c r="C205" s="202"/>
      <c r="D205" s="202"/>
      <c r="E205" s="202"/>
      <c r="F205" s="202"/>
      <c r="G205" s="202"/>
      <c r="H205" s="202"/>
      <c r="I205" s="202"/>
      <c r="J205" s="202"/>
      <c r="K205" s="202"/>
      <c r="L205" s="202"/>
      <c r="M205" s="202"/>
      <c r="N205" s="203"/>
      <c r="O205" s="203"/>
      <c r="P205" s="203"/>
      <c r="Q205" s="203"/>
      <c r="R205" s="203"/>
      <c r="S205" s="203"/>
      <c r="T205" s="203"/>
      <c r="U205" s="203"/>
      <c r="V205" s="203"/>
      <c r="W205" s="203"/>
      <c r="X205" s="203"/>
      <c r="Y205" s="203"/>
      <c r="Z205" s="203"/>
      <c r="AA205" s="203"/>
      <c r="AB205" s="203"/>
      <c r="AC205" s="203"/>
      <c r="AD205" s="203"/>
      <c r="AE205" s="203"/>
      <c r="AF205" s="204"/>
      <c r="AG205" s="28">
        <f t="shared" si="28"/>
        <v>0</v>
      </c>
    </row>
    <row r="206" spans="1:34" ht="19.5" thickBot="1" x14ac:dyDescent="0.3">
      <c r="A206" s="215" t="s">
        <v>83</v>
      </c>
      <c r="B206" s="209">
        <f>SUM(B207:B211)</f>
        <v>89</v>
      </c>
      <c r="C206" s="210">
        <f t="shared" ref="C206:AF206" si="33">SUM(C207:C211)</f>
        <v>93</v>
      </c>
      <c r="D206" s="210">
        <f t="shared" si="33"/>
        <v>87</v>
      </c>
      <c r="E206" s="210">
        <f t="shared" si="33"/>
        <v>100</v>
      </c>
      <c r="F206" s="210">
        <f t="shared" si="33"/>
        <v>90</v>
      </c>
      <c r="G206" s="210">
        <f t="shared" si="33"/>
        <v>127</v>
      </c>
      <c r="H206" s="210">
        <f t="shared" si="33"/>
        <v>107</v>
      </c>
      <c r="I206" s="210">
        <f t="shared" si="33"/>
        <v>110</v>
      </c>
      <c r="J206" s="210">
        <f t="shared" si="33"/>
        <v>81</v>
      </c>
      <c r="K206" s="210">
        <f t="shared" si="33"/>
        <v>132</v>
      </c>
      <c r="L206" s="210">
        <f t="shared" si="33"/>
        <v>81</v>
      </c>
      <c r="M206" s="210">
        <f t="shared" si="33"/>
        <v>81</v>
      </c>
      <c r="N206" s="211">
        <f t="shared" si="33"/>
        <v>109</v>
      </c>
      <c r="O206" s="211">
        <f t="shared" si="33"/>
        <v>111</v>
      </c>
      <c r="P206" s="211">
        <f t="shared" si="33"/>
        <v>119</v>
      </c>
      <c r="Q206" s="211">
        <f t="shared" si="33"/>
        <v>83</v>
      </c>
      <c r="R206" s="211">
        <f t="shared" si="33"/>
        <v>118</v>
      </c>
      <c r="S206" s="211">
        <f t="shared" si="33"/>
        <v>99</v>
      </c>
      <c r="T206" s="211">
        <f t="shared" si="33"/>
        <v>88</v>
      </c>
      <c r="U206" s="211">
        <f t="shared" si="33"/>
        <v>122</v>
      </c>
      <c r="V206" s="211">
        <f t="shared" si="33"/>
        <v>108</v>
      </c>
      <c r="W206" s="211">
        <f t="shared" si="33"/>
        <v>111</v>
      </c>
      <c r="X206" s="211">
        <f t="shared" si="33"/>
        <v>104</v>
      </c>
      <c r="Y206" s="211">
        <f t="shared" si="33"/>
        <v>106</v>
      </c>
      <c r="Z206" s="211">
        <f t="shared" si="33"/>
        <v>85</v>
      </c>
      <c r="AA206" s="211">
        <f t="shared" si="33"/>
        <v>69</v>
      </c>
      <c r="AB206" s="211">
        <f t="shared" si="33"/>
        <v>113</v>
      </c>
      <c r="AC206" s="211">
        <f t="shared" si="33"/>
        <v>103</v>
      </c>
      <c r="AD206" s="211">
        <f t="shared" si="33"/>
        <v>75</v>
      </c>
      <c r="AE206" s="211">
        <f t="shared" si="33"/>
        <v>85</v>
      </c>
      <c r="AF206" s="212">
        <f t="shared" si="33"/>
        <v>78</v>
      </c>
      <c r="AG206" s="213">
        <f t="shared" si="28"/>
        <v>3064</v>
      </c>
      <c r="AH206" s="180" t="str">
        <f>IF(AG206&lt;&gt;AG93,"X","")</f>
        <v/>
      </c>
    </row>
    <row r="207" spans="1:34" ht="18.75" x14ac:dyDescent="0.25">
      <c r="A207" s="214" t="s">
        <v>72</v>
      </c>
      <c r="B207" s="205"/>
      <c r="C207" s="205"/>
      <c r="D207" s="205"/>
      <c r="E207" s="205"/>
      <c r="F207" s="205"/>
      <c r="G207" s="205"/>
      <c r="H207" s="205"/>
      <c r="I207" s="205"/>
      <c r="J207" s="205"/>
      <c r="K207" s="205"/>
      <c r="L207" s="205"/>
      <c r="M207" s="205"/>
      <c r="N207" s="206"/>
      <c r="O207" s="206"/>
      <c r="P207" s="206"/>
      <c r="Q207" s="206"/>
      <c r="R207" s="206"/>
      <c r="S207" s="206"/>
      <c r="T207" s="206"/>
      <c r="U207" s="206"/>
      <c r="V207" s="206"/>
      <c r="W207" s="206"/>
      <c r="X207" s="206"/>
      <c r="Y207" s="206"/>
      <c r="Z207" s="206"/>
      <c r="AA207" s="206"/>
      <c r="AB207" s="206"/>
      <c r="AC207" s="206"/>
      <c r="AD207" s="206"/>
      <c r="AE207" s="206"/>
      <c r="AF207" s="207"/>
      <c r="AG207" s="208">
        <f t="shared" si="28"/>
        <v>0</v>
      </c>
    </row>
    <row r="208" spans="1:34" ht="18.75" x14ac:dyDescent="0.25">
      <c r="A208" s="52" t="s">
        <v>73</v>
      </c>
      <c r="B208" s="148">
        <v>2</v>
      </c>
      <c r="C208" s="148"/>
      <c r="D208" s="148"/>
      <c r="E208" s="148"/>
      <c r="F208" s="148">
        <v>2</v>
      </c>
      <c r="G208" s="148"/>
      <c r="H208" s="148"/>
      <c r="I208" s="148"/>
      <c r="J208" s="148"/>
      <c r="K208" s="148"/>
      <c r="L208" s="148"/>
      <c r="M208" s="148"/>
      <c r="N208" s="33"/>
      <c r="O208" s="33"/>
      <c r="P208" s="33"/>
      <c r="Q208" s="33"/>
      <c r="R208" s="33"/>
      <c r="S208" s="33">
        <v>1</v>
      </c>
      <c r="T208" s="33"/>
      <c r="U208" s="33"/>
      <c r="V208" s="33"/>
      <c r="W208" s="33"/>
      <c r="X208" s="33">
        <v>1</v>
      </c>
      <c r="Y208" s="33"/>
      <c r="Z208" s="33"/>
      <c r="AA208" s="33">
        <v>2</v>
      </c>
      <c r="AB208" s="33"/>
      <c r="AC208" s="33"/>
      <c r="AD208" s="33"/>
      <c r="AE208" s="33"/>
      <c r="AF208" s="88"/>
      <c r="AG208" s="97">
        <f t="shared" si="28"/>
        <v>8</v>
      </c>
    </row>
    <row r="209" spans="1:34" ht="18.75" x14ac:dyDescent="0.25">
      <c r="A209" s="52" t="s">
        <v>74</v>
      </c>
      <c r="B209" s="148">
        <v>12</v>
      </c>
      <c r="C209" s="148">
        <v>7</v>
      </c>
      <c r="D209" s="148">
        <v>5</v>
      </c>
      <c r="E209" s="148">
        <v>13</v>
      </c>
      <c r="F209" s="148">
        <v>14</v>
      </c>
      <c r="G209" s="148">
        <v>10</v>
      </c>
      <c r="H209" s="148">
        <v>3</v>
      </c>
      <c r="I209" s="148">
        <v>4</v>
      </c>
      <c r="J209" s="148">
        <v>12</v>
      </c>
      <c r="K209" s="148">
        <v>12</v>
      </c>
      <c r="L209" s="148">
        <v>17</v>
      </c>
      <c r="M209" s="148">
        <v>10</v>
      </c>
      <c r="N209" s="33">
        <v>9</v>
      </c>
      <c r="O209" s="33">
        <v>7</v>
      </c>
      <c r="P209" s="33">
        <v>11</v>
      </c>
      <c r="Q209" s="33">
        <v>15</v>
      </c>
      <c r="R209" s="33">
        <v>8</v>
      </c>
      <c r="S209" s="33">
        <v>8</v>
      </c>
      <c r="T209" s="33">
        <v>13</v>
      </c>
      <c r="U209" s="33">
        <v>15</v>
      </c>
      <c r="V209" s="33">
        <v>7</v>
      </c>
      <c r="W209" s="33">
        <v>7</v>
      </c>
      <c r="X209" s="33">
        <v>12</v>
      </c>
      <c r="Y209" s="33">
        <v>13</v>
      </c>
      <c r="Z209" s="33">
        <v>17</v>
      </c>
      <c r="AA209" s="33">
        <v>8</v>
      </c>
      <c r="AB209" s="33">
        <v>4</v>
      </c>
      <c r="AC209" s="33">
        <v>6</v>
      </c>
      <c r="AD209" s="33">
        <v>8</v>
      </c>
      <c r="AE209" s="33">
        <v>6</v>
      </c>
      <c r="AF209" s="88">
        <v>9</v>
      </c>
      <c r="AG209" s="97">
        <f t="shared" si="28"/>
        <v>302</v>
      </c>
    </row>
    <row r="210" spans="1:34" ht="18.75" x14ac:dyDescent="0.25">
      <c r="A210" s="52" t="s">
        <v>75</v>
      </c>
      <c r="B210" s="148">
        <v>21</v>
      </c>
      <c r="C210" s="148">
        <v>48</v>
      </c>
      <c r="D210" s="148">
        <v>55</v>
      </c>
      <c r="E210" s="148">
        <v>29</v>
      </c>
      <c r="F210" s="148">
        <v>32</v>
      </c>
      <c r="G210" s="148">
        <v>61</v>
      </c>
      <c r="H210" s="148">
        <v>53</v>
      </c>
      <c r="I210" s="148">
        <v>21</v>
      </c>
      <c r="J210" s="148">
        <v>18</v>
      </c>
      <c r="K210" s="148">
        <v>84</v>
      </c>
      <c r="L210" s="148">
        <v>35</v>
      </c>
      <c r="M210" s="148">
        <v>32</v>
      </c>
      <c r="N210" s="33">
        <v>31</v>
      </c>
      <c r="O210" s="33">
        <v>61</v>
      </c>
      <c r="P210" s="33">
        <v>53</v>
      </c>
      <c r="Q210" s="33">
        <v>33</v>
      </c>
      <c r="R210" s="33">
        <v>24</v>
      </c>
      <c r="S210" s="33">
        <v>62</v>
      </c>
      <c r="T210" s="33">
        <v>41</v>
      </c>
      <c r="U210" s="33">
        <v>42</v>
      </c>
      <c r="V210" s="33">
        <v>38</v>
      </c>
      <c r="W210" s="33">
        <v>63</v>
      </c>
      <c r="X210" s="33">
        <v>42</v>
      </c>
      <c r="Y210" s="33">
        <v>25</v>
      </c>
      <c r="Z210" s="33">
        <v>17</v>
      </c>
      <c r="AA210" s="33">
        <v>40</v>
      </c>
      <c r="AB210" s="33">
        <v>70</v>
      </c>
      <c r="AC210" s="33">
        <v>56</v>
      </c>
      <c r="AD210" s="33">
        <v>33</v>
      </c>
      <c r="AE210" s="33">
        <v>53</v>
      </c>
      <c r="AF210" s="88">
        <v>36</v>
      </c>
      <c r="AG210" s="97">
        <f t="shared" si="28"/>
        <v>1309</v>
      </c>
    </row>
    <row r="211" spans="1:34" ht="19.5" thickBot="1" x14ac:dyDescent="0.3">
      <c r="A211" s="63" t="s">
        <v>76</v>
      </c>
      <c r="B211" s="149">
        <v>54</v>
      </c>
      <c r="C211" s="149">
        <v>38</v>
      </c>
      <c r="D211" s="149">
        <v>27</v>
      </c>
      <c r="E211" s="149">
        <v>58</v>
      </c>
      <c r="F211" s="149">
        <v>42</v>
      </c>
      <c r="G211" s="149">
        <v>56</v>
      </c>
      <c r="H211" s="149">
        <v>51</v>
      </c>
      <c r="I211" s="149">
        <v>85</v>
      </c>
      <c r="J211" s="149">
        <v>51</v>
      </c>
      <c r="K211" s="149">
        <v>36</v>
      </c>
      <c r="L211" s="149">
        <v>29</v>
      </c>
      <c r="M211" s="149">
        <v>39</v>
      </c>
      <c r="N211" s="34">
        <v>69</v>
      </c>
      <c r="O211" s="34">
        <v>43</v>
      </c>
      <c r="P211" s="34">
        <v>55</v>
      </c>
      <c r="Q211" s="34">
        <v>35</v>
      </c>
      <c r="R211" s="34">
        <v>86</v>
      </c>
      <c r="S211" s="34">
        <v>28</v>
      </c>
      <c r="T211" s="34">
        <v>34</v>
      </c>
      <c r="U211" s="34">
        <v>65</v>
      </c>
      <c r="V211" s="34">
        <v>63</v>
      </c>
      <c r="W211" s="34">
        <v>41</v>
      </c>
      <c r="X211" s="34">
        <v>49</v>
      </c>
      <c r="Y211" s="34">
        <v>68</v>
      </c>
      <c r="Z211" s="34">
        <v>51</v>
      </c>
      <c r="AA211" s="34">
        <v>19</v>
      </c>
      <c r="AB211" s="34">
        <v>39</v>
      </c>
      <c r="AC211" s="34">
        <v>41</v>
      </c>
      <c r="AD211" s="34">
        <v>34</v>
      </c>
      <c r="AE211" s="34">
        <v>26</v>
      </c>
      <c r="AF211" s="89">
        <v>33</v>
      </c>
      <c r="AG211" s="35">
        <f t="shared" si="28"/>
        <v>1445</v>
      </c>
    </row>
    <row r="212" spans="1:34" ht="19.5" thickBot="1" x14ac:dyDescent="0.3">
      <c r="A212" s="121" t="s">
        <v>622</v>
      </c>
      <c r="B212" s="404">
        <v>21</v>
      </c>
      <c r="C212" s="404">
        <v>24</v>
      </c>
      <c r="D212" s="404">
        <v>31</v>
      </c>
      <c r="E212" s="404">
        <v>24</v>
      </c>
      <c r="F212" s="404">
        <v>22</v>
      </c>
      <c r="G212" s="404">
        <v>31</v>
      </c>
      <c r="H212" s="404">
        <v>28</v>
      </c>
      <c r="I212" s="404">
        <v>20</v>
      </c>
      <c r="J212" s="404">
        <v>12</v>
      </c>
      <c r="K212" s="404">
        <v>62</v>
      </c>
      <c r="L212" s="404">
        <v>18</v>
      </c>
      <c r="M212" s="404">
        <v>16</v>
      </c>
      <c r="N212" s="122">
        <v>30</v>
      </c>
      <c r="O212" s="122">
        <v>29</v>
      </c>
      <c r="P212" s="122">
        <v>36</v>
      </c>
      <c r="Q212" s="122">
        <v>21</v>
      </c>
      <c r="R212" s="122">
        <v>58</v>
      </c>
      <c r="S212" s="122">
        <v>29</v>
      </c>
      <c r="T212" s="122">
        <v>16</v>
      </c>
      <c r="U212" s="122">
        <v>17</v>
      </c>
      <c r="V212" s="122">
        <v>12</v>
      </c>
      <c r="W212" s="122">
        <v>16</v>
      </c>
      <c r="X212" s="122">
        <v>15</v>
      </c>
      <c r="Y212" s="122">
        <v>11</v>
      </c>
      <c r="Z212" s="122">
        <v>15</v>
      </c>
      <c r="AA212" s="122">
        <v>11</v>
      </c>
      <c r="AB212" s="122">
        <v>18</v>
      </c>
      <c r="AC212" s="122">
        <v>21</v>
      </c>
      <c r="AD212" s="122">
        <v>12</v>
      </c>
      <c r="AE212" s="122">
        <v>17</v>
      </c>
      <c r="AF212" s="123">
        <v>8</v>
      </c>
      <c r="AG212" s="124">
        <f t="shared" ref="AG212:AG215" si="34">SUM(B212:AF212)</f>
        <v>701</v>
      </c>
    </row>
    <row r="213" spans="1:34" ht="18.75" x14ac:dyDescent="0.25">
      <c r="A213" s="414" t="s">
        <v>624</v>
      </c>
      <c r="B213" s="415">
        <v>13</v>
      </c>
      <c r="C213" s="415">
        <v>19</v>
      </c>
      <c r="D213" s="415">
        <v>27</v>
      </c>
      <c r="E213" s="415">
        <v>21</v>
      </c>
      <c r="F213" s="415">
        <v>14</v>
      </c>
      <c r="G213" s="415">
        <v>24</v>
      </c>
      <c r="H213" s="415">
        <v>23</v>
      </c>
      <c r="I213" s="415">
        <v>20</v>
      </c>
      <c r="J213" s="415">
        <v>8</v>
      </c>
      <c r="K213" s="415">
        <v>52</v>
      </c>
      <c r="L213" s="415">
        <v>17</v>
      </c>
      <c r="M213" s="415">
        <v>14</v>
      </c>
      <c r="N213" s="416">
        <v>26</v>
      </c>
      <c r="O213" s="416">
        <v>25</v>
      </c>
      <c r="P213" s="416">
        <v>28</v>
      </c>
      <c r="Q213" s="416">
        <v>20</v>
      </c>
      <c r="R213" s="416">
        <v>58</v>
      </c>
      <c r="S213" s="416">
        <v>25</v>
      </c>
      <c r="T213" s="416">
        <v>16</v>
      </c>
      <c r="U213" s="416">
        <v>16</v>
      </c>
      <c r="V213" s="416">
        <v>8</v>
      </c>
      <c r="W213" s="416">
        <v>12</v>
      </c>
      <c r="X213" s="416">
        <v>15</v>
      </c>
      <c r="Y213" s="416">
        <v>10</v>
      </c>
      <c r="Z213" s="416">
        <v>13</v>
      </c>
      <c r="AA213" s="416">
        <v>10</v>
      </c>
      <c r="AB213" s="416">
        <v>12</v>
      </c>
      <c r="AC213" s="416">
        <v>21</v>
      </c>
      <c r="AD213" s="416">
        <v>12</v>
      </c>
      <c r="AE213" s="416">
        <v>14</v>
      </c>
      <c r="AF213" s="417">
        <v>8</v>
      </c>
      <c r="AG213" s="418">
        <f t="shared" si="34"/>
        <v>601</v>
      </c>
    </row>
    <row r="214" spans="1:34" ht="18.75" x14ac:dyDescent="0.25">
      <c r="A214" s="419" t="s">
        <v>626</v>
      </c>
      <c r="B214" s="420"/>
      <c r="C214" s="420">
        <v>1</v>
      </c>
      <c r="D214" s="420"/>
      <c r="E214" s="420"/>
      <c r="F214" s="420">
        <v>2</v>
      </c>
      <c r="G214" s="420"/>
      <c r="H214" s="420"/>
      <c r="I214" s="420"/>
      <c r="J214" s="420"/>
      <c r="K214" s="420"/>
      <c r="L214" s="420"/>
      <c r="M214" s="420"/>
      <c r="N214" s="421"/>
      <c r="O214" s="421"/>
      <c r="P214" s="421"/>
      <c r="Q214" s="421"/>
      <c r="R214" s="421"/>
      <c r="S214" s="421"/>
      <c r="T214" s="421"/>
      <c r="U214" s="421"/>
      <c r="V214" s="421"/>
      <c r="W214" s="421"/>
      <c r="X214" s="421"/>
      <c r="Y214" s="421"/>
      <c r="Z214" s="421"/>
      <c r="AA214" s="421"/>
      <c r="AB214" s="421"/>
      <c r="AC214" s="421"/>
      <c r="AD214" s="421"/>
      <c r="AE214" s="421"/>
      <c r="AF214" s="422"/>
      <c r="AG214" s="397">
        <f t="shared" si="34"/>
        <v>3</v>
      </c>
    </row>
    <row r="215" spans="1:34" ht="18.75" x14ac:dyDescent="0.25">
      <c r="A215" s="423" t="s">
        <v>627</v>
      </c>
      <c r="B215" s="420"/>
      <c r="C215" s="420"/>
      <c r="D215" s="420"/>
      <c r="E215" s="420"/>
      <c r="F215" s="420"/>
      <c r="G215" s="420"/>
      <c r="H215" s="420"/>
      <c r="I215" s="420"/>
      <c r="J215" s="420">
        <v>2</v>
      </c>
      <c r="K215" s="420"/>
      <c r="L215" s="420"/>
      <c r="M215" s="420"/>
      <c r="N215" s="421"/>
      <c r="O215" s="421"/>
      <c r="P215" s="421"/>
      <c r="Q215" s="421"/>
      <c r="R215" s="421"/>
      <c r="S215" s="421"/>
      <c r="T215" s="421"/>
      <c r="U215" s="421"/>
      <c r="V215" s="421"/>
      <c r="W215" s="421"/>
      <c r="X215" s="421"/>
      <c r="Y215" s="421"/>
      <c r="Z215" s="421"/>
      <c r="AA215" s="421"/>
      <c r="AB215" s="421"/>
      <c r="AC215" s="421"/>
      <c r="AD215" s="421"/>
      <c r="AE215" s="421"/>
      <c r="AF215" s="422"/>
      <c r="AG215" s="397">
        <f t="shared" si="34"/>
        <v>2</v>
      </c>
    </row>
    <row r="216" spans="1:34" ht="19.5" thickBot="1" x14ac:dyDescent="0.3">
      <c r="A216" s="423" t="s">
        <v>623</v>
      </c>
      <c r="B216" s="420">
        <v>8</v>
      </c>
      <c r="C216" s="420">
        <v>4</v>
      </c>
      <c r="D216" s="420">
        <v>4</v>
      </c>
      <c r="E216" s="420">
        <v>3</v>
      </c>
      <c r="F216" s="420">
        <v>6</v>
      </c>
      <c r="G216" s="420">
        <v>7</v>
      </c>
      <c r="H216" s="420">
        <v>5</v>
      </c>
      <c r="I216" s="420"/>
      <c r="J216" s="420">
        <v>2</v>
      </c>
      <c r="K216" s="420">
        <v>6</v>
      </c>
      <c r="L216" s="420">
        <v>1</v>
      </c>
      <c r="M216" s="420">
        <v>2</v>
      </c>
      <c r="N216" s="421">
        <v>4</v>
      </c>
      <c r="O216" s="421">
        <v>4</v>
      </c>
      <c r="P216" s="421">
        <v>8</v>
      </c>
      <c r="Q216" s="421">
        <v>1</v>
      </c>
      <c r="R216" s="421"/>
      <c r="S216" s="421">
        <v>4</v>
      </c>
      <c r="T216" s="421"/>
      <c r="U216" s="421">
        <v>1</v>
      </c>
      <c r="V216" s="421">
        <v>4</v>
      </c>
      <c r="W216" s="421">
        <v>4</v>
      </c>
      <c r="X216" s="421"/>
      <c r="Y216" s="421">
        <v>1</v>
      </c>
      <c r="Z216" s="421">
        <v>2</v>
      </c>
      <c r="AA216" s="421">
        <v>1</v>
      </c>
      <c r="AB216" s="421">
        <v>6</v>
      </c>
      <c r="AC216" s="421"/>
      <c r="AD216" s="421"/>
      <c r="AE216" s="421">
        <v>3</v>
      </c>
      <c r="AF216" s="422"/>
      <c r="AG216" s="427">
        <f>SUM(B216:AF216)</f>
        <v>91</v>
      </c>
    </row>
    <row r="217" spans="1:34" ht="18.75" x14ac:dyDescent="0.25">
      <c r="A217" s="69" t="s">
        <v>628</v>
      </c>
      <c r="B217" s="407">
        <v>18</v>
      </c>
      <c r="C217" s="407">
        <v>13</v>
      </c>
      <c r="D217" s="407">
        <v>25</v>
      </c>
      <c r="E217" s="407">
        <v>10</v>
      </c>
      <c r="F217" s="407">
        <v>9</v>
      </c>
      <c r="G217" s="407">
        <v>15</v>
      </c>
      <c r="H217" s="407">
        <v>20</v>
      </c>
      <c r="I217" s="407">
        <v>19</v>
      </c>
      <c r="J217" s="407">
        <v>12</v>
      </c>
      <c r="K217" s="407">
        <v>62</v>
      </c>
      <c r="L217" s="407">
        <v>17</v>
      </c>
      <c r="M217" s="407">
        <v>14</v>
      </c>
      <c r="N217" s="56">
        <v>30</v>
      </c>
      <c r="O217" s="56">
        <v>29</v>
      </c>
      <c r="P217" s="56">
        <v>34</v>
      </c>
      <c r="Q217" s="56">
        <v>20</v>
      </c>
      <c r="R217" s="56">
        <v>56</v>
      </c>
      <c r="S217" s="56">
        <v>28</v>
      </c>
      <c r="T217" s="56">
        <v>16</v>
      </c>
      <c r="U217" s="56">
        <v>17</v>
      </c>
      <c r="V217" s="56">
        <v>12</v>
      </c>
      <c r="W217" s="56">
        <v>15</v>
      </c>
      <c r="X217" s="56">
        <v>13</v>
      </c>
      <c r="Y217" s="56">
        <v>11</v>
      </c>
      <c r="Z217" s="56">
        <v>15</v>
      </c>
      <c r="AA217" s="56">
        <v>10</v>
      </c>
      <c r="AB217" s="56">
        <v>18</v>
      </c>
      <c r="AC217" s="56">
        <v>20</v>
      </c>
      <c r="AD217" s="56">
        <v>12</v>
      </c>
      <c r="AE217" s="56">
        <v>17</v>
      </c>
      <c r="AF217" s="85">
        <v>8</v>
      </c>
      <c r="AG217" s="95">
        <f>SUM(B217:AF217)</f>
        <v>615</v>
      </c>
    </row>
    <row r="218" spans="1:34" ht="19.5" thickBot="1" x14ac:dyDescent="0.3">
      <c r="A218" s="424" t="s">
        <v>629</v>
      </c>
      <c r="B218" s="412">
        <f>+B212-B217</f>
        <v>3</v>
      </c>
      <c r="C218" s="412">
        <f t="shared" ref="C218:AF218" si="35">+C212-C217</f>
        <v>11</v>
      </c>
      <c r="D218" s="412">
        <f t="shared" si="35"/>
        <v>6</v>
      </c>
      <c r="E218" s="412">
        <f t="shared" si="35"/>
        <v>14</v>
      </c>
      <c r="F218" s="412">
        <f t="shared" si="35"/>
        <v>13</v>
      </c>
      <c r="G218" s="412">
        <f t="shared" si="35"/>
        <v>16</v>
      </c>
      <c r="H218" s="412">
        <f t="shared" si="35"/>
        <v>8</v>
      </c>
      <c r="I218" s="412">
        <f t="shared" si="35"/>
        <v>1</v>
      </c>
      <c r="J218" s="412">
        <f t="shared" si="35"/>
        <v>0</v>
      </c>
      <c r="K218" s="412">
        <f t="shared" si="35"/>
        <v>0</v>
      </c>
      <c r="L218" s="412">
        <f t="shared" si="35"/>
        <v>1</v>
      </c>
      <c r="M218" s="412">
        <f t="shared" si="35"/>
        <v>2</v>
      </c>
      <c r="N218" s="425">
        <f t="shared" si="35"/>
        <v>0</v>
      </c>
      <c r="O218" s="425">
        <f t="shared" si="35"/>
        <v>0</v>
      </c>
      <c r="P218" s="425">
        <f t="shared" si="35"/>
        <v>2</v>
      </c>
      <c r="Q218" s="425">
        <f t="shared" si="35"/>
        <v>1</v>
      </c>
      <c r="R218" s="425">
        <f t="shared" si="35"/>
        <v>2</v>
      </c>
      <c r="S218" s="425">
        <f t="shared" si="35"/>
        <v>1</v>
      </c>
      <c r="T218" s="425">
        <f t="shared" si="35"/>
        <v>0</v>
      </c>
      <c r="U218" s="425">
        <f t="shared" si="35"/>
        <v>0</v>
      </c>
      <c r="V218" s="425">
        <f t="shared" si="35"/>
        <v>0</v>
      </c>
      <c r="W218" s="425">
        <f t="shared" si="35"/>
        <v>1</v>
      </c>
      <c r="X218" s="425">
        <f t="shared" si="35"/>
        <v>2</v>
      </c>
      <c r="Y218" s="425">
        <f t="shared" si="35"/>
        <v>0</v>
      </c>
      <c r="Z218" s="425">
        <f t="shared" si="35"/>
        <v>0</v>
      </c>
      <c r="AA218" s="425">
        <f t="shared" si="35"/>
        <v>1</v>
      </c>
      <c r="AB218" s="425">
        <f t="shared" si="35"/>
        <v>0</v>
      </c>
      <c r="AC218" s="425">
        <f t="shared" si="35"/>
        <v>1</v>
      </c>
      <c r="AD218" s="425">
        <f t="shared" si="35"/>
        <v>0</v>
      </c>
      <c r="AE218" s="425">
        <f t="shared" si="35"/>
        <v>0</v>
      </c>
      <c r="AF218" s="428">
        <f t="shared" si="35"/>
        <v>0</v>
      </c>
      <c r="AG218" s="413">
        <f>SUM(B218:AF218)</f>
        <v>86</v>
      </c>
    </row>
    <row r="219" spans="1:34" ht="19.5" thickBot="1" x14ac:dyDescent="0.3">
      <c r="A219" s="60" t="s">
        <v>64</v>
      </c>
      <c r="B219" s="61"/>
      <c r="C219" s="61"/>
      <c r="D219" s="61"/>
      <c r="E219" s="61"/>
      <c r="F219" s="61"/>
      <c r="G219" s="61"/>
      <c r="H219" s="61"/>
      <c r="I219" s="61"/>
      <c r="J219" s="61"/>
      <c r="K219" s="61"/>
      <c r="L219" s="61"/>
      <c r="M219" s="61"/>
      <c r="N219" s="61"/>
      <c r="O219" s="61"/>
      <c r="P219" s="61"/>
      <c r="Q219" s="61"/>
      <c r="R219" s="61"/>
      <c r="S219" s="61"/>
      <c r="T219" s="61"/>
      <c r="U219" s="61"/>
      <c r="V219" s="61"/>
      <c r="W219" s="61"/>
      <c r="X219" s="61"/>
      <c r="Y219" s="61"/>
      <c r="Z219" s="61"/>
      <c r="AA219" s="61"/>
      <c r="AB219" s="61"/>
      <c r="AC219" s="61"/>
      <c r="AD219" s="61"/>
      <c r="AE219" s="61"/>
      <c r="AF219" s="90"/>
      <c r="AG219" s="98"/>
    </row>
    <row r="220" spans="1:34" ht="18.75" x14ac:dyDescent="0.25">
      <c r="A220" s="43" t="s">
        <v>77</v>
      </c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  <c r="AC220" s="19"/>
      <c r="AD220" s="19"/>
      <c r="AE220" s="19"/>
      <c r="AF220" s="25"/>
      <c r="AG220" s="99">
        <f t="shared" si="28"/>
        <v>0</v>
      </c>
      <c r="AH220" s="437" t="s">
        <v>85</v>
      </c>
    </row>
    <row r="221" spans="1:34" ht="18.75" x14ac:dyDescent="0.25">
      <c r="A221" s="53" t="s">
        <v>110</v>
      </c>
      <c r="B221" s="39"/>
      <c r="C221" s="39"/>
      <c r="D221" s="39"/>
      <c r="E221" s="39"/>
      <c r="F221" s="39"/>
      <c r="G221" s="39"/>
      <c r="H221" s="39"/>
      <c r="I221" s="39"/>
      <c r="J221" s="39"/>
      <c r="K221" s="39"/>
      <c r="L221" s="39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  <c r="Y221" s="39"/>
      <c r="Z221" s="39"/>
      <c r="AA221" s="39"/>
      <c r="AB221" s="39"/>
      <c r="AC221" s="39"/>
      <c r="AD221" s="39"/>
      <c r="AE221" s="39"/>
      <c r="AF221" s="91"/>
      <c r="AG221" s="100">
        <f t="shared" si="28"/>
        <v>0</v>
      </c>
      <c r="AH221" s="438"/>
    </row>
    <row r="222" spans="1:34" ht="18.75" x14ac:dyDescent="0.25">
      <c r="A222" s="53" t="s">
        <v>111</v>
      </c>
      <c r="B222" s="39"/>
      <c r="C222" s="39"/>
      <c r="D222" s="39"/>
      <c r="E222" s="39"/>
      <c r="F222" s="39"/>
      <c r="G222" s="39"/>
      <c r="H222" s="39"/>
      <c r="I222" s="39"/>
      <c r="J222" s="39"/>
      <c r="K222" s="39"/>
      <c r="L222" s="39"/>
      <c r="M222" s="39"/>
      <c r="N222" s="39"/>
      <c r="O222" s="39"/>
      <c r="P222" s="39"/>
      <c r="Q222" s="39"/>
      <c r="R222" s="39"/>
      <c r="S222" s="39"/>
      <c r="T222" s="39"/>
      <c r="U222" s="39"/>
      <c r="V222" s="39"/>
      <c r="W222" s="39"/>
      <c r="X222" s="39"/>
      <c r="Y222" s="39"/>
      <c r="Z222" s="39"/>
      <c r="AA222" s="39"/>
      <c r="AB222" s="39"/>
      <c r="AC222" s="39"/>
      <c r="AD222" s="39"/>
      <c r="AE222" s="39"/>
      <c r="AF222" s="91"/>
      <c r="AG222" s="100">
        <f t="shared" si="28"/>
        <v>0</v>
      </c>
      <c r="AH222" s="438"/>
    </row>
    <row r="223" spans="1:34" ht="18.75" x14ac:dyDescent="0.25">
      <c r="A223" s="53" t="s">
        <v>112</v>
      </c>
      <c r="B223" s="39"/>
      <c r="C223" s="39"/>
      <c r="D223" s="39"/>
      <c r="E223" s="39"/>
      <c r="F223" s="39"/>
      <c r="G223" s="39"/>
      <c r="H223" s="39"/>
      <c r="I223" s="39"/>
      <c r="J223" s="39"/>
      <c r="K223" s="39"/>
      <c r="L223" s="39"/>
      <c r="M223" s="39"/>
      <c r="N223" s="39"/>
      <c r="O223" s="39"/>
      <c r="P223" s="39"/>
      <c r="Q223" s="39"/>
      <c r="R223" s="39"/>
      <c r="S223" s="39"/>
      <c r="T223" s="39"/>
      <c r="U223" s="39"/>
      <c r="V223" s="39"/>
      <c r="W223" s="39"/>
      <c r="X223" s="39"/>
      <c r="Y223" s="39"/>
      <c r="Z223" s="39"/>
      <c r="AA223" s="39"/>
      <c r="AB223" s="39"/>
      <c r="AC223" s="39"/>
      <c r="AD223" s="39"/>
      <c r="AE223" s="39"/>
      <c r="AF223" s="91"/>
      <c r="AG223" s="100">
        <f t="shared" si="28"/>
        <v>0</v>
      </c>
      <c r="AH223" s="438"/>
    </row>
    <row r="224" spans="1:34" ht="18.75" x14ac:dyDescent="0.25">
      <c r="A224" s="53" t="s">
        <v>113</v>
      </c>
      <c r="B224" s="39"/>
      <c r="C224" s="39"/>
      <c r="D224" s="39"/>
      <c r="E224" s="39"/>
      <c r="F224" s="39"/>
      <c r="G224" s="39"/>
      <c r="H224" s="39"/>
      <c r="I224" s="39"/>
      <c r="J224" s="39"/>
      <c r="K224" s="39"/>
      <c r="L224" s="39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  <c r="Y224" s="39"/>
      <c r="Z224" s="39"/>
      <c r="AA224" s="39"/>
      <c r="AB224" s="39"/>
      <c r="AC224" s="39"/>
      <c r="AD224" s="39"/>
      <c r="AE224" s="39"/>
      <c r="AF224" s="91"/>
      <c r="AG224" s="100">
        <f t="shared" si="28"/>
        <v>0</v>
      </c>
      <c r="AH224" s="438"/>
    </row>
    <row r="225" spans="1:34" ht="18.75" x14ac:dyDescent="0.25">
      <c r="A225" s="53" t="s">
        <v>114</v>
      </c>
      <c r="B225" s="39"/>
      <c r="C225" s="39"/>
      <c r="D225" s="39"/>
      <c r="E225" s="39"/>
      <c r="F225" s="39"/>
      <c r="G225" s="39"/>
      <c r="H225" s="39"/>
      <c r="I225" s="39"/>
      <c r="J225" s="39"/>
      <c r="K225" s="39"/>
      <c r="L225" s="39"/>
      <c r="M225" s="39"/>
      <c r="N225" s="39"/>
      <c r="O225" s="39"/>
      <c r="P225" s="39"/>
      <c r="Q225" s="39"/>
      <c r="R225" s="39"/>
      <c r="S225" s="39"/>
      <c r="T225" s="39"/>
      <c r="U225" s="39"/>
      <c r="V225" s="39"/>
      <c r="W225" s="39"/>
      <c r="X225" s="39"/>
      <c r="Y225" s="39"/>
      <c r="Z225" s="39"/>
      <c r="AA225" s="39"/>
      <c r="AB225" s="39"/>
      <c r="AC225" s="39"/>
      <c r="AD225" s="39"/>
      <c r="AE225" s="39"/>
      <c r="AF225" s="91"/>
      <c r="AG225" s="100">
        <f t="shared" ref="AG225:AG227" si="36">SUM(B225:AF225)</f>
        <v>0</v>
      </c>
      <c r="AH225" s="438"/>
    </row>
    <row r="226" spans="1:34" ht="18.75" x14ac:dyDescent="0.25">
      <c r="A226" s="53" t="s">
        <v>115</v>
      </c>
      <c r="B226" s="39"/>
      <c r="C226" s="39"/>
      <c r="D226" s="39"/>
      <c r="E226" s="39"/>
      <c r="F226" s="39"/>
      <c r="G226" s="39"/>
      <c r="H226" s="39"/>
      <c r="I226" s="39"/>
      <c r="J226" s="39"/>
      <c r="K226" s="39"/>
      <c r="L226" s="39"/>
      <c r="M226" s="39"/>
      <c r="N226" s="39"/>
      <c r="O226" s="39"/>
      <c r="P226" s="39"/>
      <c r="Q226" s="39"/>
      <c r="R226" s="39"/>
      <c r="S226" s="39"/>
      <c r="T226" s="39"/>
      <c r="U226" s="39"/>
      <c r="V226" s="39"/>
      <c r="W226" s="39"/>
      <c r="X226" s="39"/>
      <c r="Y226" s="39"/>
      <c r="Z226" s="39"/>
      <c r="AA226" s="39"/>
      <c r="AB226" s="39"/>
      <c r="AC226" s="39"/>
      <c r="AD226" s="39"/>
      <c r="AE226" s="39"/>
      <c r="AF226" s="91"/>
      <c r="AG226" s="100">
        <f t="shared" si="36"/>
        <v>0</v>
      </c>
      <c r="AH226" s="438"/>
    </row>
    <row r="227" spans="1:34" ht="18.75" x14ac:dyDescent="0.25">
      <c r="A227" s="53" t="s">
        <v>116</v>
      </c>
      <c r="B227" s="39"/>
      <c r="C227" s="39"/>
      <c r="D227" s="39"/>
      <c r="E227" s="39"/>
      <c r="F227" s="39"/>
      <c r="G227" s="39"/>
      <c r="H227" s="39"/>
      <c r="I227" s="39"/>
      <c r="J227" s="39"/>
      <c r="K227" s="39"/>
      <c r="L227" s="39"/>
      <c r="M227" s="39"/>
      <c r="N227" s="39"/>
      <c r="O227" s="39"/>
      <c r="P227" s="39"/>
      <c r="Q227" s="39"/>
      <c r="R227" s="39"/>
      <c r="S227" s="39"/>
      <c r="T227" s="39"/>
      <c r="U227" s="39"/>
      <c r="V227" s="39"/>
      <c r="W227" s="39"/>
      <c r="X227" s="39"/>
      <c r="Y227" s="39"/>
      <c r="Z227" s="39"/>
      <c r="AA227" s="39"/>
      <c r="AB227" s="39"/>
      <c r="AC227" s="39"/>
      <c r="AD227" s="39"/>
      <c r="AE227" s="39"/>
      <c r="AF227" s="91"/>
      <c r="AG227" s="100">
        <f t="shared" si="36"/>
        <v>0</v>
      </c>
      <c r="AH227" s="438"/>
    </row>
    <row r="228" spans="1:34" ht="18.75" x14ac:dyDescent="0.25">
      <c r="A228" s="53" t="s">
        <v>117</v>
      </c>
      <c r="B228" s="39"/>
      <c r="C228" s="39"/>
      <c r="D228" s="39"/>
      <c r="E228" s="39"/>
      <c r="F228" s="39"/>
      <c r="G228" s="39"/>
      <c r="H228" s="39"/>
      <c r="I228" s="39"/>
      <c r="J228" s="39"/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39"/>
      <c r="AA228" s="39"/>
      <c r="AB228" s="39"/>
      <c r="AC228" s="39"/>
      <c r="AD228" s="39"/>
      <c r="AE228" s="39"/>
      <c r="AF228" s="91"/>
      <c r="AG228" s="100">
        <f t="shared" si="28"/>
        <v>0</v>
      </c>
      <c r="AH228" s="438"/>
    </row>
    <row r="229" spans="1:34" ht="18.75" x14ac:dyDescent="0.25">
      <c r="A229" s="43" t="s">
        <v>150</v>
      </c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  <c r="AB229" s="19"/>
      <c r="AC229" s="19"/>
      <c r="AD229" s="19"/>
      <c r="AE229" s="19"/>
      <c r="AF229" s="25"/>
      <c r="AG229" s="99">
        <f t="shared" si="28"/>
        <v>0</v>
      </c>
      <c r="AH229" s="438"/>
    </row>
    <row r="230" spans="1:34" ht="18.75" x14ac:dyDescent="0.25">
      <c r="A230" s="43" t="s">
        <v>78</v>
      </c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  <c r="AC230" s="19"/>
      <c r="AD230" s="19"/>
      <c r="AE230" s="19"/>
      <c r="AF230" s="25"/>
      <c r="AG230" s="99">
        <f t="shared" si="28"/>
        <v>0</v>
      </c>
      <c r="AH230" s="438"/>
    </row>
    <row r="231" spans="1:34" ht="19.5" thickBot="1" x14ac:dyDescent="0.3">
      <c r="A231" s="43" t="s">
        <v>79</v>
      </c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19"/>
      <c r="AD231" s="19"/>
      <c r="AE231" s="19"/>
      <c r="AF231" s="25"/>
      <c r="AG231" s="99">
        <f t="shared" si="28"/>
        <v>0</v>
      </c>
      <c r="AH231" s="439"/>
    </row>
    <row r="232" spans="1:34" ht="24" thickBot="1" x14ac:dyDescent="0.3">
      <c r="A232" s="62" t="s">
        <v>118</v>
      </c>
      <c r="B232" s="20">
        <f>+B231+B230+B220+B229</f>
        <v>0</v>
      </c>
      <c r="C232" s="20">
        <f t="shared" ref="C232:AF232" si="37">+C231+C230+C220+C229</f>
        <v>0</v>
      </c>
      <c r="D232" s="20">
        <f t="shared" si="37"/>
        <v>0</v>
      </c>
      <c r="E232" s="20">
        <f t="shared" si="37"/>
        <v>0</v>
      </c>
      <c r="F232" s="20">
        <f t="shared" si="37"/>
        <v>0</v>
      </c>
      <c r="G232" s="20">
        <f t="shared" si="37"/>
        <v>0</v>
      </c>
      <c r="H232" s="20">
        <f t="shared" si="37"/>
        <v>0</v>
      </c>
      <c r="I232" s="20">
        <f t="shared" si="37"/>
        <v>0</v>
      </c>
      <c r="J232" s="20">
        <f t="shared" si="37"/>
        <v>0</v>
      </c>
      <c r="K232" s="20">
        <f t="shared" si="37"/>
        <v>0</v>
      </c>
      <c r="L232" s="20">
        <f t="shared" si="37"/>
        <v>0</v>
      </c>
      <c r="M232" s="20">
        <f t="shared" si="37"/>
        <v>0</v>
      </c>
      <c r="N232" s="20">
        <f t="shared" si="37"/>
        <v>0</v>
      </c>
      <c r="O232" s="20">
        <f t="shared" si="37"/>
        <v>0</v>
      </c>
      <c r="P232" s="20">
        <f t="shared" si="37"/>
        <v>0</v>
      </c>
      <c r="Q232" s="20">
        <f t="shared" si="37"/>
        <v>0</v>
      </c>
      <c r="R232" s="20">
        <f t="shared" si="37"/>
        <v>0</v>
      </c>
      <c r="S232" s="20">
        <f t="shared" si="37"/>
        <v>0</v>
      </c>
      <c r="T232" s="20">
        <f t="shared" si="37"/>
        <v>0</v>
      </c>
      <c r="U232" s="20">
        <f t="shared" si="37"/>
        <v>0</v>
      </c>
      <c r="V232" s="20">
        <f t="shared" si="37"/>
        <v>0</v>
      </c>
      <c r="W232" s="20">
        <f t="shared" si="37"/>
        <v>0</v>
      </c>
      <c r="X232" s="20">
        <f t="shared" si="37"/>
        <v>0</v>
      </c>
      <c r="Y232" s="20">
        <f t="shared" si="37"/>
        <v>0</v>
      </c>
      <c r="Z232" s="20">
        <f t="shared" si="37"/>
        <v>0</v>
      </c>
      <c r="AA232" s="20">
        <f t="shared" si="37"/>
        <v>0</v>
      </c>
      <c r="AB232" s="20">
        <f t="shared" si="37"/>
        <v>0</v>
      </c>
      <c r="AC232" s="20">
        <f t="shared" si="37"/>
        <v>0</v>
      </c>
      <c r="AD232" s="20">
        <f t="shared" si="37"/>
        <v>0</v>
      </c>
      <c r="AE232" s="20">
        <f t="shared" si="37"/>
        <v>0</v>
      </c>
      <c r="AF232" s="26">
        <f t="shared" si="37"/>
        <v>0</v>
      </c>
      <c r="AG232" s="99">
        <f t="shared" si="28"/>
        <v>0</v>
      </c>
      <c r="AH232" s="36"/>
    </row>
    <row r="233" spans="1:34" ht="18.75" x14ac:dyDescent="0.25">
      <c r="A233" s="57" t="s">
        <v>90</v>
      </c>
      <c r="B233" s="27"/>
      <c r="C233" s="27"/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  <c r="AA233" s="27"/>
      <c r="AB233" s="27"/>
      <c r="AC233" s="27"/>
      <c r="AD233" s="27"/>
      <c r="AE233" s="27"/>
      <c r="AF233" s="92"/>
      <c r="AG233" s="31">
        <f t="shared" ref="AG233:AG246" si="38">SUM(B233:AF233)</f>
        <v>0</v>
      </c>
      <c r="AH233" s="440" t="s">
        <v>96</v>
      </c>
    </row>
    <row r="234" spans="1:34" ht="18.75" x14ac:dyDescent="0.25">
      <c r="A234" s="54" t="s">
        <v>91</v>
      </c>
      <c r="B234" s="40"/>
      <c r="C234" s="40"/>
      <c r="D234" s="40"/>
      <c r="E234" s="40"/>
      <c r="F234" s="40"/>
      <c r="G234" s="40"/>
      <c r="H234" s="40"/>
      <c r="I234" s="40"/>
      <c r="J234" s="40"/>
      <c r="K234" s="40"/>
      <c r="L234" s="40"/>
      <c r="M234" s="40"/>
      <c r="N234" s="40"/>
      <c r="O234" s="40"/>
      <c r="P234" s="40"/>
      <c r="Q234" s="40"/>
      <c r="R234" s="40"/>
      <c r="S234" s="40"/>
      <c r="T234" s="40"/>
      <c r="U234" s="40"/>
      <c r="V234" s="40"/>
      <c r="W234" s="40"/>
      <c r="X234" s="40"/>
      <c r="Y234" s="40"/>
      <c r="Z234" s="40"/>
      <c r="AA234" s="40"/>
      <c r="AB234" s="40"/>
      <c r="AC234" s="40"/>
      <c r="AD234" s="40"/>
      <c r="AE234" s="40"/>
      <c r="AF234" s="93"/>
      <c r="AG234" s="99">
        <f t="shared" si="38"/>
        <v>0</v>
      </c>
      <c r="AH234" s="441"/>
    </row>
    <row r="235" spans="1:34" ht="19.5" thickBot="1" x14ac:dyDescent="0.3">
      <c r="A235" s="58" t="s">
        <v>97</v>
      </c>
      <c r="B235" s="59"/>
      <c r="C235" s="59"/>
      <c r="D235" s="59"/>
      <c r="E235" s="59"/>
      <c r="F235" s="59"/>
      <c r="G235" s="59"/>
      <c r="H235" s="59"/>
      <c r="I235" s="59"/>
      <c r="J235" s="59"/>
      <c r="K235" s="59"/>
      <c r="L235" s="59"/>
      <c r="M235" s="59"/>
      <c r="N235" s="59"/>
      <c r="O235" s="59"/>
      <c r="P235" s="59"/>
      <c r="Q235" s="59"/>
      <c r="R235" s="59"/>
      <c r="S235" s="59"/>
      <c r="T235" s="59"/>
      <c r="U235" s="59"/>
      <c r="V235" s="59"/>
      <c r="W235" s="59"/>
      <c r="X235" s="59"/>
      <c r="Y235" s="59"/>
      <c r="Z235" s="59"/>
      <c r="AA235" s="59"/>
      <c r="AB235" s="59"/>
      <c r="AC235" s="59"/>
      <c r="AD235" s="59"/>
      <c r="AE235" s="59"/>
      <c r="AF235" s="94"/>
      <c r="AG235" s="28">
        <f t="shared" si="38"/>
        <v>0</v>
      </c>
      <c r="AH235" s="442"/>
    </row>
    <row r="236" spans="1:34" ht="18.75" x14ac:dyDescent="0.25">
      <c r="A236" s="55" t="s">
        <v>92</v>
      </c>
      <c r="B236" s="118">
        <f>SUM(B237:B239)</f>
        <v>0</v>
      </c>
      <c r="C236" s="118">
        <f t="shared" ref="C236:AF236" si="39">SUM(C237:C239)</f>
        <v>0</v>
      </c>
      <c r="D236" s="118">
        <f t="shared" si="39"/>
        <v>0</v>
      </c>
      <c r="E236" s="118">
        <f t="shared" si="39"/>
        <v>0</v>
      </c>
      <c r="F236" s="118">
        <f t="shared" si="39"/>
        <v>0</v>
      </c>
      <c r="G236" s="118">
        <f t="shared" si="39"/>
        <v>0</v>
      </c>
      <c r="H236" s="118">
        <f t="shared" si="39"/>
        <v>0</v>
      </c>
      <c r="I236" s="118">
        <f t="shared" si="39"/>
        <v>0</v>
      </c>
      <c r="J236" s="118">
        <f t="shared" si="39"/>
        <v>0</v>
      </c>
      <c r="K236" s="118">
        <f t="shared" si="39"/>
        <v>0</v>
      </c>
      <c r="L236" s="118">
        <f t="shared" si="39"/>
        <v>0</v>
      </c>
      <c r="M236" s="118">
        <f t="shared" si="39"/>
        <v>0</v>
      </c>
      <c r="N236" s="118">
        <f t="shared" si="39"/>
        <v>0</v>
      </c>
      <c r="O236" s="118">
        <f t="shared" si="39"/>
        <v>0</v>
      </c>
      <c r="P236" s="118">
        <f t="shared" si="39"/>
        <v>0</v>
      </c>
      <c r="Q236" s="118">
        <f t="shared" si="39"/>
        <v>0</v>
      </c>
      <c r="R236" s="118">
        <f t="shared" si="39"/>
        <v>0</v>
      </c>
      <c r="S236" s="118">
        <f t="shared" si="39"/>
        <v>0</v>
      </c>
      <c r="T236" s="118">
        <f t="shared" si="39"/>
        <v>0</v>
      </c>
      <c r="U236" s="118">
        <f t="shared" si="39"/>
        <v>0</v>
      </c>
      <c r="V236" s="118">
        <f t="shared" si="39"/>
        <v>0</v>
      </c>
      <c r="W236" s="118">
        <f t="shared" si="39"/>
        <v>0</v>
      </c>
      <c r="X236" s="118">
        <f t="shared" si="39"/>
        <v>0</v>
      </c>
      <c r="Y236" s="118">
        <f t="shared" si="39"/>
        <v>0</v>
      </c>
      <c r="Z236" s="118">
        <f t="shared" si="39"/>
        <v>0</v>
      </c>
      <c r="AA236" s="118">
        <f t="shared" si="39"/>
        <v>0</v>
      </c>
      <c r="AB236" s="118">
        <f t="shared" si="39"/>
        <v>0</v>
      </c>
      <c r="AC236" s="118">
        <f t="shared" si="39"/>
        <v>0</v>
      </c>
      <c r="AD236" s="118">
        <f t="shared" si="39"/>
        <v>0</v>
      </c>
      <c r="AE236" s="118">
        <f t="shared" si="39"/>
        <v>0</v>
      </c>
      <c r="AF236" s="118">
        <f t="shared" si="39"/>
        <v>0</v>
      </c>
      <c r="AG236" s="95">
        <f t="shared" si="38"/>
        <v>0</v>
      </c>
      <c r="AH236" s="440" t="s">
        <v>93</v>
      </c>
    </row>
    <row r="237" spans="1:34" ht="18.75" x14ac:dyDescent="0.25">
      <c r="A237" s="139" t="s">
        <v>94</v>
      </c>
      <c r="B237" s="140"/>
      <c r="C237" s="140"/>
      <c r="D237" s="140"/>
      <c r="E237" s="140"/>
      <c r="F237" s="140"/>
      <c r="G237" s="140"/>
      <c r="H237" s="140"/>
      <c r="I237" s="140"/>
      <c r="J237" s="140"/>
      <c r="K237" s="140"/>
      <c r="L237" s="140"/>
      <c r="M237" s="140"/>
      <c r="N237" s="145"/>
      <c r="O237" s="140"/>
      <c r="P237" s="140"/>
      <c r="Q237" s="140"/>
      <c r="R237" s="140"/>
      <c r="S237" s="140"/>
      <c r="T237" s="140"/>
      <c r="U237" s="140"/>
      <c r="V237" s="140"/>
      <c r="W237" s="140"/>
      <c r="X237" s="140"/>
      <c r="Y237" s="140"/>
      <c r="Z237" s="142"/>
      <c r="AA237" s="140"/>
      <c r="AB237" s="140"/>
      <c r="AC237" s="140"/>
      <c r="AD237" s="140"/>
      <c r="AE237" s="140"/>
      <c r="AF237" s="144"/>
      <c r="AG237" s="143">
        <f t="shared" si="38"/>
        <v>0</v>
      </c>
      <c r="AH237" s="441"/>
    </row>
    <row r="238" spans="1:34" ht="18.75" x14ac:dyDescent="0.25">
      <c r="A238" s="139" t="s">
        <v>95</v>
      </c>
      <c r="B238" s="140"/>
      <c r="C238" s="140"/>
      <c r="D238" s="140"/>
      <c r="E238" s="140"/>
      <c r="F238" s="140"/>
      <c r="G238" s="140"/>
      <c r="H238" s="140"/>
      <c r="I238" s="140"/>
      <c r="J238" s="140"/>
      <c r="K238" s="140"/>
      <c r="L238" s="140"/>
      <c r="M238" s="140"/>
      <c r="N238" s="145"/>
      <c r="O238" s="140"/>
      <c r="P238" s="140"/>
      <c r="Q238" s="140"/>
      <c r="R238" s="140"/>
      <c r="S238" s="140"/>
      <c r="T238" s="140"/>
      <c r="U238" s="140"/>
      <c r="V238" s="140"/>
      <c r="W238" s="140"/>
      <c r="X238" s="140"/>
      <c r="Y238" s="140"/>
      <c r="Z238" s="142"/>
      <c r="AA238" s="140"/>
      <c r="AB238" s="140"/>
      <c r="AC238" s="140"/>
      <c r="AD238" s="140"/>
      <c r="AE238" s="140"/>
      <c r="AF238" s="144"/>
      <c r="AG238" s="143">
        <f t="shared" si="38"/>
        <v>0</v>
      </c>
      <c r="AH238" s="441"/>
    </row>
    <row r="239" spans="1:34" ht="19.5" thickBot="1" x14ac:dyDescent="0.3">
      <c r="A239" s="190" t="s">
        <v>106</v>
      </c>
      <c r="B239" s="191"/>
      <c r="C239" s="191"/>
      <c r="D239" s="191"/>
      <c r="E239" s="191"/>
      <c r="F239" s="191"/>
      <c r="G239" s="191"/>
      <c r="H239" s="191"/>
      <c r="I239" s="191"/>
      <c r="J239" s="191"/>
      <c r="K239" s="192"/>
      <c r="L239" s="192"/>
      <c r="M239" s="192"/>
      <c r="N239" s="193"/>
      <c r="O239" s="194"/>
      <c r="P239" s="194"/>
      <c r="Q239" s="194"/>
      <c r="R239" s="194"/>
      <c r="S239" s="194"/>
      <c r="T239" s="194"/>
      <c r="U239" s="194"/>
      <c r="V239" s="194"/>
      <c r="W239" s="194"/>
      <c r="X239" s="194"/>
      <c r="Y239" s="194"/>
      <c r="Z239" s="194"/>
      <c r="AA239" s="194"/>
      <c r="AB239" s="194"/>
      <c r="AC239" s="194"/>
      <c r="AD239" s="194"/>
      <c r="AE239" s="194"/>
      <c r="AF239" s="195"/>
      <c r="AG239" s="108">
        <f t="shared" si="38"/>
        <v>0</v>
      </c>
      <c r="AH239" s="442"/>
    </row>
    <row r="240" spans="1:34" ht="24" hidden="1" thickBot="1" x14ac:dyDescent="0.3">
      <c r="A240" s="198" t="s">
        <v>148</v>
      </c>
      <c r="B240" s="199">
        <f>SUM(B241:B246)</f>
        <v>0</v>
      </c>
      <c r="C240" s="199">
        <f t="shared" ref="C240:AF240" si="40">SUM(C241:C246)</f>
        <v>0</v>
      </c>
      <c r="D240" s="199">
        <f t="shared" si="40"/>
        <v>0</v>
      </c>
      <c r="E240" s="199">
        <f t="shared" si="40"/>
        <v>0</v>
      </c>
      <c r="F240" s="199">
        <f t="shared" si="40"/>
        <v>0</v>
      </c>
      <c r="G240" s="199">
        <f t="shared" si="40"/>
        <v>0</v>
      </c>
      <c r="H240" s="199">
        <f t="shared" si="40"/>
        <v>0</v>
      </c>
      <c r="I240" s="199">
        <f t="shared" si="40"/>
        <v>0</v>
      </c>
      <c r="J240" s="199">
        <f t="shared" si="40"/>
        <v>0</v>
      </c>
      <c r="K240" s="199">
        <f t="shared" si="40"/>
        <v>0</v>
      </c>
      <c r="L240" s="199">
        <f t="shared" si="40"/>
        <v>0</v>
      </c>
      <c r="M240" s="199">
        <f t="shared" si="40"/>
        <v>0</v>
      </c>
      <c r="N240" s="199">
        <f t="shared" si="40"/>
        <v>0</v>
      </c>
      <c r="O240" s="199">
        <f t="shared" si="40"/>
        <v>0</v>
      </c>
      <c r="P240" s="199">
        <f t="shared" si="40"/>
        <v>0</v>
      </c>
      <c r="Q240" s="199">
        <f t="shared" si="40"/>
        <v>0</v>
      </c>
      <c r="R240" s="199">
        <f t="shared" si="40"/>
        <v>0</v>
      </c>
      <c r="S240" s="199">
        <f t="shared" si="40"/>
        <v>0</v>
      </c>
      <c r="T240" s="199">
        <f t="shared" si="40"/>
        <v>0</v>
      </c>
      <c r="U240" s="199">
        <f t="shared" si="40"/>
        <v>0</v>
      </c>
      <c r="V240" s="199">
        <f t="shared" si="40"/>
        <v>0</v>
      </c>
      <c r="W240" s="199">
        <f t="shared" si="40"/>
        <v>0</v>
      </c>
      <c r="X240" s="199">
        <f t="shared" si="40"/>
        <v>0</v>
      </c>
      <c r="Y240" s="199">
        <f t="shared" si="40"/>
        <v>0</v>
      </c>
      <c r="Z240" s="199">
        <f t="shared" si="40"/>
        <v>0</v>
      </c>
      <c r="AA240" s="199">
        <f t="shared" si="40"/>
        <v>0</v>
      </c>
      <c r="AB240" s="199">
        <f t="shared" si="40"/>
        <v>0</v>
      </c>
      <c r="AC240" s="199">
        <f t="shared" si="40"/>
        <v>0</v>
      </c>
      <c r="AD240" s="199">
        <f t="shared" si="40"/>
        <v>0</v>
      </c>
      <c r="AE240" s="199">
        <f t="shared" si="40"/>
        <v>0</v>
      </c>
      <c r="AF240" s="200">
        <f t="shared" si="40"/>
        <v>0</v>
      </c>
      <c r="AG240" s="201">
        <f t="shared" si="38"/>
        <v>0</v>
      </c>
    </row>
    <row r="241" spans="1:33" ht="38.25" hidden="1" customHeight="1" x14ac:dyDescent="0.3">
      <c r="A241" s="227" t="s">
        <v>159</v>
      </c>
      <c r="B241" s="189"/>
      <c r="C241" s="189"/>
      <c r="D241" s="189"/>
      <c r="E241" s="189"/>
      <c r="F241" s="189"/>
      <c r="G241" s="189"/>
      <c r="H241" s="189"/>
      <c r="I241" s="189"/>
      <c r="J241" s="189"/>
      <c r="K241" s="189"/>
      <c r="L241" s="189"/>
      <c r="M241" s="189"/>
      <c r="N241" s="189"/>
      <c r="O241" s="189"/>
      <c r="P241" s="189"/>
      <c r="Q241" s="189"/>
      <c r="R241" s="189"/>
      <c r="S241" s="189"/>
      <c r="T241" s="189"/>
      <c r="U241" s="189"/>
      <c r="V241" s="189"/>
      <c r="W241" s="189"/>
      <c r="X241" s="189"/>
      <c r="Y241" s="189"/>
      <c r="Z241" s="189"/>
      <c r="AA241" s="189"/>
      <c r="AB241" s="189"/>
      <c r="AC241" s="189"/>
      <c r="AD241" s="189"/>
      <c r="AE241" s="189"/>
      <c r="AF241" s="196"/>
      <c r="AG241" s="197">
        <f t="shared" si="38"/>
        <v>0</v>
      </c>
    </row>
    <row r="242" spans="1:33" ht="40.5" hidden="1" customHeight="1" x14ac:dyDescent="0.3">
      <c r="A242" s="227" t="s">
        <v>160</v>
      </c>
      <c r="B242" s="189"/>
      <c r="C242" s="189"/>
      <c r="D242" s="189"/>
      <c r="E242" s="189"/>
      <c r="F242" s="189"/>
      <c r="G242" s="189"/>
      <c r="H242" s="189"/>
      <c r="I242" s="189"/>
      <c r="J242" s="189"/>
      <c r="K242" s="189"/>
      <c r="L242" s="189"/>
      <c r="M242" s="189"/>
      <c r="N242" s="189"/>
      <c r="O242" s="189"/>
      <c r="P242" s="189"/>
      <c r="Q242" s="189"/>
      <c r="R242" s="189"/>
      <c r="S242" s="189"/>
      <c r="T242" s="189"/>
      <c r="U242" s="189"/>
      <c r="V242" s="189"/>
      <c r="W242" s="189"/>
      <c r="X242" s="189"/>
      <c r="Y242" s="189"/>
      <c r="Z242" s="189"/>
      <c r="AA242" s="189"/>
      <c r="AB242" s="189"/>
      <c r="AC242" s="189"/>
      <c r="AD242" s="189"/>
      <c r="AE242" s="189"/>
      <c r="AF242" s="196"/>
      <c r="AG242" s="197"/>
    </row>
    <row r="243" spans="1:33" ht="40.5" hidden="1" customHeight="1" x14ac:dyDescent="0.3">
      <c r="A243" s="227" t="s">
        <v>161</v>
      </c>
      <c r="B243" s="189"/>
      <c r="C243" s="189"/>
      <c r="D243" s="189"/>
      <c r="E243" s="189"/>
      <c r="F243" s="189"/>
      <c r="G243" s="189"/>
      <c r="H243" s="189"/>
      <c r="I243" s="189"/>
      <c r="J243" s="189"/>
      <c r="K243" s="189"/>
      <c r="L243" s="189"/>
      <c r="M243" s="189"/>
      <c r="N243" s="189"/>
      <c r="O243" s="189"/>
      <c r="P243" s="189"/>
      <c r="Q243" s="189"/>
      <c r="R243" s="189"/>
      <c r="S243" s="189"/>
      <c r="T243" s="189"/>
      <c r="U243" s="189"/>
      <c r="V243" s="189"/>
      <c r="W243" s="189"/>
      <c r="X243" s="189"/>
      <c r="Y243" s="189"/>
      <c r="Z243" s="189"/>
      <c r="AA243" s="189"/>
      <c r="AB243" s="189"/>
      <c r="AC243" s="189"/>
      <c r="AD243" s="189"/>
      <c r="AE243" s="189"/>
      <c r="AF243" s="196"/>
      <c r="AG243" s="197"/>
    </row>
    <row r="244" spans="1:33" ht="40.5" hidden="1" customHeight="1" x14ac:dyDescent="0.3">
      <c r="A244" s="227" t="s">
        <v>162</v>
      </c>
      <c r="B244" s="189"/>
      <c r="C244" s="189"/>
      <c r="D244" s="189"/>
      <c r="E244" s="189"/>
      <c r="F244" s="189"/>
      <c r="G244" s="189"/>
      <c r="H244" s="189"/>
      <c r="I244" s="189"/>
      <c r="J244" s="189"/>
      <c r="K244" s="189"/>
      <c r="L244" s="189"/>
      <c r="M244" s="189"/>
      <c r="N244" s="189"/>
      <c r="O244" s="189"/>
      <c r="P244" s="189"/>
      <c r="Q244" s="189"/>
      <c r="R244" s="189"/>
      <c r="S244" s="189"/>
      <c r="T244" s="189"/>
      <c r="U244" s="189"/>
      <c r="V244" s="189"/>
      <c r="W244" s="189"/>
      <c r="X244" s="189"/>
      <c r="Y244" s="189"/>
      <c r="Z244" s="189"/>
      <c r="AA244" s="189"/>
      <c r="AB244" s="189"/>
      <c r="AC244" s="189"/>
      <c r="AD244" s="189"/>
      <c r="AE244" s="189"/>
      <c r="AF244" s="196"/>
      <c r="AG244" s="197"/>
    </row>
    <row r="245" spans="1:33" ht="40.5" hidden="1" customHeight="1" x14ac:dyDescent="0.3">
      <c r="A245" s="228" t="s">
        <v>163</v>
      </c>
      <c r="B245" s="137"/>
      <c r="C245" s="137"/>
      <c r="D245" s="137"/>
      <c r="E245" s="137"/>
      <c r="F245" s="137"/>
      <c r="G245" s="137"/>
      <c r="H245" s="137"/>
      <c r="I245" s="137"/>
      <c r="J245" s="137"/>
      <c r="K245" s="137"/>
      <c r="L245" s="137"/>
      <c r="M245" s="137"/>
      <c r="N245" s="137"/>
      <c r="O245" s="137"/>
      <c r="P245" s="137"/>
      <c r="Q245" s="137"/>
      <c r="R245" s="137"/>
      <c r="S245" s="137"/>
      <c r="T245" s="137"/>
      <c r="U245" s="137"/>
      <c r="V245" s="137"/>
      <c r="W245" s="137"/>
      <c r="X245" s="137"/>
      <c r="Y245" s="137"/>
      <c r="Z245" s="137"/>
      <c r="AA245" s="137"/>
      <c r="AB245" s="137"/>
      <c r="AC245" s="137"/>
      <c r="AD245" s="137"/>
      <c r="AE245" s="137"/>
      <c r="AF245" s="188"/>
      <c r="AG245" s="138">
        <f t="shared" si="38"/>
        <v>0</v>
      </c>
    </row>
    <row r="246" spans="1:33" ht="39.75" hidden="1" customHeight="1" thickBot="1" x14ac:dyDescent="0.3">
      <c r="A246" s="229" t="s">
        <v>164</v>
      </c>
      <c r="B246" s="222"/>
      <c r="C246" s="222"/>
      <c r="D246" s="222"/>
      <c r="E246" s="222"/>
      <c r="F246" s="222"/>
      <c r="G246" s="222"/>
      <c r="H246" s="222"/>
      <c r="I246" s="222"/>
      <c r="J246" s="222"/>
      <c r="K246" s="222"/>
      <c r="L246" s="222"/>
      <c r="M246" s="222"/>
      <c r="N246" s="222"/>
      <c r="O246" s="222"/>
      <c r="P246" s="222"/>
      <c r="Q246" s="222"/>
      <c r="R246" s="222"/>
      <c r="S246" s="222"/>
      <c r="T246" s="222"/>
      <c r="U246" s="222"/>
      <c r="V246" s="222"/>
      <c r="W246" s="222"/>
      <c r="X246" s="222"/>
      <c r="Y246" s="222"/>
      <c r="Z246" s="222"/>
      <c r="AA246" s="222"/>
      <c r="AB246" s="222"/>
      <c r="AC246" s="222"/>
      <c r="AD246" s="222"/>
      <c r="AE246" s="222"/>
      <c r="AF246" s="223"/>
      <c r="AG246" s="224">
        <f t="shared" si="38"/>
        <v>0</v>
      </c>
    </row>
    <row r="247" spans="1:33" ht="21.75" x14ac:dyDescent="0.25">
      <c r="A247" s="225" t="s">
        <v>151</v>
      </c>
      <c r="B247" s="363"/>
      <c r="C247" s="363"/>
      <c r="D247" s="363"/>
      <c r="E247" s="363"/>
      <c r="F247" s="363"/>
      <c r="G247" s="363"/>
      <c r="H247" s="363"/>
      <c r="I247" s="363"/>
      <c r="J247" s="363"/>
      <c r="K247" s="363"/>
      <c r="L247" s="363"/>
      <c r="M247" s="363"/>
      <c r="N247" s="363"/>
      <c r="O247" s="363"/>
      <c r="P247" s="363"/>
      <c r="Q247" s="363"/>
      <c r="R247" s="363"/>
      <c r="S247" s="363"/>
      <c r="T247" s="363"/>
      <c r="U247" s="363"/>
      <c r="V247" s="363"/>
      <c r="W247" s="363"/>
      <c r="X247" s="363"/>
      <c r="Y247" s="363"/>
      <c r="Z247" s="363"/>
      <c r="AA247" s="363"/>
      <c r="AB247" s="363"/>
      <c r="AC247" s="363"/>
      <c r="AD247" s="363"/>
      <c r="AE247" s="363"/>
      <c r="AF247" s="367"/>
      <c r="AG247" s="369">
        <f>SUM(B247:AF247)</f>
        <v>0</v>
      </c>
    </row>
    <row r="248" spans="1:33" ht="22.5" thickBot="1" x14ac:dyDescent="0.3">
      <c r="A248" s="226" t="s">
        <v>152</v>
      </c>
      <c r="B248" s="364"/>
      <c r="C248" s="364"/>
      <c r="D248" s="364"/>
      <c r="E248" s="364"/>
      <c r="F248" s="364"/>
      <c r="G248" s="364"/>
      <c r="H248" s="364"/>
      <c r="I248" s="364"/>
      <c r="J248" s="364"/>
      <c r="K248" s="364"/>
      <c r="L248" s="364"/>
      <c r="M248" s="364"/>
      <c r="N248" s="364"/>
      <c r="O248" s="364"/>
      <c r="P248" s="364"/>
      <c r="Q248" s="364"/>
      <c r="R248" s="364"/>
      <c r="S248" s="364"/>
      <c r="T248" s="364"/>
      <c r="U248" s="364"/>
      <c r="V248" s="364"/>
      <c r="W248" s="364"/>
      <c r="X248" s="364"/>
      <c r="Y248" s="364"/>
      <c r="Z248" s="364"/>
      <c r="AA248" s="364"/>
      <c r="AB248" s="364"/>
      <c r="AC248" s="364"/>
      <c r="AD248" s="364"/>
      <c r="AE248" s="364"/>
      <c r="AF248" s="368"/>
      <c r="AG248" s="370">
        <f>SUM(B248:AF248)</f>
        <v>0</v>
      </c>
    </row>
    <row r="268" ht="18.75" customHeight="1" x14ac:dyDescent="0.25"/>
    <row r="269" ht="18.75" customHeight="1" x14ac:dyDescent="0.25"/>
    <row r="270" ht="18.75" customHeight="1" x14ac:dyDescent="0.25"/>
    <row r="271" ht="18.75" customHeight="1" x14ac:dyDescent="0.25"/>
    <row r="272" ht="18.75" customHeight="1" x14ac:dyDescent="0.25"/>
    <row r="273" ht="18.75" customHeight="1" x14ac:dyDescent="0.25"/>
    <row r="274" ht="18.75" customHeight="1" x14ac:dyDescent="0.25"/>
    <row r="275" ht="18.75" customHeight="1" x14ac:dyDescent="0.25"/>
    <row r="276" ht="18.75" customHeight="1" x14ac:dyDescent="0.25"/>
    <row r="277" ht="18.75" customHeight="1" x14ac:dyDescent="0.25"/>
    <row r="278" ht="18.75" customHeight="1" x14ac:dyDescent="0.25"/>
    <row r="279" ht="19.5" customHeight="1" x14ac:dyDescent="0.25"/>
    <row r="281" ht="18.75" customHeight="1" x14ac:dyDescent="0.25"/>
    <row r="284" ht="18.75" customHeight="1" x14ac:dyDescent="0.25"/>
  </sheetData>
  <dataConsolidate/>
  <mergeCells count="5">
    <mergeCell ref="A1:AG1"/>
    <mergeCell ref="AI84:AI86"/>
    <mergeCell ref="AH220:AH231"/>
    <mergeCell ref="AH233:AH235"/>
    <mergeCell ref="AH236:AH239"/>
  </mergeCells>
  <conditionalFormatting sqref="B29:AF52">
    <cfRule type="cellIs" dxfId="61" priority="6" operator="lessThan">
      <formula>0</formula>
    </cfRule>
  </conditionalFormatting>
  <conditionalFormatting sqref="D54:D77">
    <cfRule type="cellIs" dxfId="60" priority="2" operator="lessThan">
      <formula>0</formula>
    </cfRule>
  </conditionalFormatting>
  <conditionalFormatting sqref="G54:G77">
    <cfRule type="cellIs" dxfId="59" priority="1" operator="lessThan">
      <formula>0</formula>
    </cfRule>
  </conditionalFormatting>
  <conditionalFormatting sqref="AH81">
    <cfRule type="cellIs" dxfId="58" priority="4" operator="equal">
      <formula>"*"</formula>
    </cfRule>
  </conditionalFormatting>
  <conditionalFormatting sqref="AH84 AH87">
    <cfRule type="cellIs" dxfId="57" priority="5" operator="equal">
      <formula>"*"</formula>
    </cfRule>
  </conditionalFormatting>
  <conditionalFormatting sqref="AH93">
    <cfRule type="cellIs" dxfId="56" priority="10" operator="equal">
      <formula>"*"</formula>
    </cfRule>
  </conditionalFormatting>
  <conditionalFormatting sqref="AH130">
    <cfRule type="cellIs" dxfId="55" priority="8" operator="equal">
      <formula>"*"</formula>
    </cfRule>
  </conditionalFormatting>
  <conditionalFormatting sqref="AH144:AH145">
    <cfRule type="cellIs" dxfId="54" priority="9" operator="equal">
      <formula>"*"</formula>
    </cfRule>
  </conditionalFormatting>
  <conditionalFormatting sqref="AH179">
    <cfRule type="cellIs" dxfId="53" priority="7" operator="equal">
      <formula>"*"</formula>
    </cfRule>
  </conditionalFormatting>
  <conditionalFormatting sqref="AH206">
    <cfRule type="cellIs" dxfId="52" priority="3" operator="equal">
      <formula>"X"</formula>
    </cfRule>
  </conditionalFormatting>
  <dataValidations disablePrompts="1" count="1">
    <dataValidation type="whole" allowBlank="1" showInputMessage="1" showErrorMessage="1" errorTitle="ERROR" error="Por favor ingrese solo Números" sqref="A98:A99 A101:A115" xr:uid="{00000000-0002-0000-0900-000000000000}">
      <formula1>0</formula1>
      <formula2>1000000000</formula2>
    </dataValidation>
  </dataValidations>
  <pageMargins left="0.7" right="0.7" top="0.75" bottom="0.75" header="0.3" footer="0.3"/>
  <pageSetup orientation="portrait" horizontalDpi="0" verticalDpi="0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I284"/>
  <sheetViews>
    <sheetView zoomScale="80" zoomScaleNormal="80" workbookViewId="0">
      <pane xSplit="1" ySplit="3" topLeftCell="I199" activePane="bottomRight" state="frozen"/>
      <selection activeCell="AG3" sqref="AG3"/>
      <selection pane="topRight" activeCell="AG3" sqref="AG3"/>
      <selection pane="bottomLeft" activeCell="AG3" sqref="AG3"/>
      <selection pane="bottomRight" activeCell="AF218" sqref="AF218"/>
    </sheetView>
  </sheetViews>
  <sheetFormatPr baseColWidth="10" defaultRowHeight="15" x14ac:dyDescent="0.25"/>
  <cols>
    <col min="1" max="1" width="34.7109375" customWidth="1"/>
    <col min="2" max="13" width="8.28515625" customWidth="1"/>
    <col min="14" max="14" width="10.140625" customWidth="1"/>
    <col min="15" max="27" width="8.28515625" customWidth="1"/>
    <col min="28" max="28" width="9.7109375" customWidth="1"/>
    <col min="29" max="32" width="8.28515625" customWidth="1"/>
    <col min="33" max="33" width="11.140625" customWidth="1"/>
    <col min="34" max="34" width="12.42578125" customWidth="1"/>
  </cols>
  <sheetData>
    <row r="1" spans="1:33" ht="21.75" thickBot="1" x14ac:dyDescent="0.3">
      <c r="A1" s="431"/>
      <c r="B1" s="432"/>
      <c r="C1" s="432"/>
      <c r="D1" s="432"/>
      <c r="E1" s="432"/>
      <c r="F1" s="432"/>
      <c r="G1" s="432"/>
      <c r="H1" s="432"/>
      <c r="I1" s="432"/>
      <c r="J1" s="432"/>
      <c r="K1" s="432"/>
      <c r="L1" s="432"/>
      <c r="M1" s="432"/>
      <c r="N1" s="432"/>
      <c r="O1" s="432"/>
      <c r="P1" s="432"/>
      <c r="Q1" s="432"/>
      <c r="R1" s="432"/>
      <c r="S1" s="432"/>
      <c r="T1" s="432"/>
      <c r="U1" s="432"/>
      <c r="V1" s="432"/>
      <c r="W1" s="432"/>
      <c r="X1" s="432"/>
      <c r="Y1" s="432"/>
      <c r="Z1" s="432"/>
      <c r="AA1" s="432"/>
      <c r="AB1" s="432"/>
      <c r="AC1" s="432"/>
      <c r="AD1" s="432"/>
      <c r="AE1" s="432"/>
      <c r="AF1" s="432"/>
      <c r="AG1" s="433"/>
    </row>
    <row r="2" spans="1:33" ht="21.75" thickBot="1" x14ac:dyDescent="0.3">
      <c r="A2" s="82" t="s">
        <v>129</v>
      </c>
      <c r="B2" s="106">
        <v>1</v>
      </c>
      <c r="C2" s="106">
        <f t="shared" ref="C2:AA2" si="0">+B2+1</f>
        <v>2</v>
      </c>
      <c r="D2" s="230">
        <f t="shared" si="0"/>
        <v>3</v>
      </c>
      <c r="E2" s="230">
        <f t="shared" si="0"/>
        <v>4</v>
      </c>
      <c r="F2" s="230">
        <f t="shared" si="0"/>
        <v>5</v>
      </c>
      <c r="G2" s="230">
        <f t="shared" si="0"/>
        <v>6</v>
      </c>
      <c r="H2" s="230">
        <f t="shared" si="0"/>
        <v>7</v>
      </c>
      <c r="I2" s="106">
        <f t="shared" si="0"/>
        <v>8</v>
      </c>
      <c r="J2" s="106">
        <f t="shared" si="0"/>
        <v>9</v>
      </c>
      <c r="K2" s="230">
        <f t="shared" si="0"/>
        <v>10</v>
      </c>
      <c r="L2" s="230">
        <f t="shared" si="0"/>
        <v>11</v>
      </c>
      <c r="M2" s="230">
        <f t="shared" si="0"/>
        <v>12</v>
      </c>
      <c r="N2" s="230">
        <f t="shared" si="0"/>
        <v>13</v>
      </c>
      <c r="O2" s="230">
        <f t="shared" si="0"/>
        <v>14</v>
      </c>
      <c r="P2" s="106">
        <f t="shared" si="0"/>
        <v>15</v>
      </c>
      <c r="Q2" s="106">
        <f t="shared" si="0"/>
        <v>16</v>
      </c>
      <c r="R2" s="230">
        <f t="shared" si="0"/>
        <v>17</v>
      </c>
      <c r="S2" s="230">
        <f t="shared" si="0"/>
        <v>18</v>
      </c>
      <c r="T2" s="230">
        <f t="shared" si="0"/>
        <v>19</v>
      </c>
      <c r="U2" s="106">
        <f t="shared" si="0"/>
        <v>20</v>
      </c>
      <c r="V2" s="230">
        <f t="shared" si="0"/>
        <v>21</v>
      </c>
      <c r="W2" s="106">
        <f t="shared" si="0"/>
        <v>22</v>
      </c>
      <c r="X2" s="106">
        <f t="shared" si="0"/>
        <v>23</v>
      </c>
      <c r="Y2" s="230">
        <f t="shared" si="0"/>
        <v>24</v>
      </c>
      <c r="Z2" s="230">
        <f t="shared" si="0"/>
        <v>25</v>
      </c>
      <c r="AA2" s="230">
        <f t="shared" si="0"/>
        <v>26</v>
      </c>
      <c r="AB2" s="230">
        <v>27</v>
      </c>
      <c r="AC2" s="230">
        <f>+AB2+1</f>
        <v>28</v>
      </c>
      <c r="AD2" s="106">
        <v>29</v>
      </c>
      <c r="AE2" s="106">
        <v>30</v>
      </c>
      <c r="AF2" s="230">
        <v>31</v>
      </c>
      <c r="AG2" s="3" t="s">
        <v>80</v>
      </c>
    </row>
    <row r="3" spans="1:33" ht="19.5" thickBot="1" x14ac:dyDescent="0.3">
      <c r="A3" s="136" t="s">
        <v>0</v>
      </c>
      <c r="B3" s="135">
        <f t="shared" ref="B3:AF3" si="1">SUM(B4:B27)</f>
        <v>83</v>
      </c>
      <c r="C3" s="135">
        <f t="shared" si="1"/>
        <v>79</v>
      </c>
      <c r="D3" s="135">
        <f t="shared" si="1"/>
        <v>124</v>
      </c>
      <c r="E3" s="135">
        <f t="shared" si="1"/>
        <v>142</v>
      </c>
      <c r="F3" s="135">
        <f t="shared" si="1"/>
        <v>106</v>
      </c>
      <c r="G3" s="135">
        <f t="shared" si="1"/>
        <v>111</v>
      </c>
      <c r="H3" s="135">
        <f t="shared" si="1"/>
        <v>111</v>
      </c>
      <c r="I3" s="135">
        <f t="shared" si="1"/>
        <v>78</v>
      </c>
      <c r="J3" s="135">
        <f t="shared" si="1"/>
        <v>86</v>
      </c>
      <c r="K3" s="135">
        <f t="shared" si="1"/>
        <v>112</v>
      </c>
      <c r="L3" s="135">
        <f t="shared" si="1"/>
        <v>109</v>
      </c>
      <c r="M3" s="135">
        <f t="shared" si="1"/>
        <v>124</v>
      </c>
      <c r="N3" s="135">
        <f t="shared" si="1"/>
        <v>109</v>
      </c>
      <c r="O3" s="135">
        <f t="shared" si="1"/>
        <v>102</v>
      </c>
      <c r="P3" s="135">
        <f t="shared" si="1"/>
        <v>77</v>
      </c>
      <c r="Q3" s="135">
        <f t="shared" si="1"/>
        <v>88</v>
      </c>
      <c r="R3" s="135">
        <f t="shared" si="1"/>
        <v>165</v>
      </c>
      <c r="S3" s="135">
        <f t="shared" si="1"/>
        <v>122</v>
      </c>
      <c r="T3" s="135">
        <f t="shared" si="1"/>
        <v>114</v>
      </c>
      <c r="U3" s="135">
        <f t="shared" si="1"/>
        <v>98</v>
      </c>
      <c r="V3" s="135">
        <f t="shared" si="1"/>
        <v>134</v>
      </c>
      <c r="W3" s="135">
        <f t="shared" si="1"/>
        <v>107</v>
      </c>
      <c r="X3" s="135">
        <f t="shared" si="1"/>
        <v>100</v>
      </c>
      <c r="Y3" s="135">
        <f t="shared" si="1"/>
        <v>159</v>
      </c>
      <c r="Z3" s="135">
        <f t="shared" si="1"/>
        <v>99</v>
      </c>
      <c r="AA3" s="135">
        <f t="shared" si="1"/>
        <v>90</v>
      </c>
      <c r="AB3" s="135">
        <f t="shared" si="1"/>
        <v>109</v>
      </c>
      <c r="AC3" s="135">
        <f t="shared" si="1"/>
        <v>110</v>
      </c>
      <c r="AD3" s="135">
        <f t="shared" si="1"/>
        <v>90</v>
      </c>
      <c r="AE3" s="135">
        <f t="shared" si="1"/>
        <v>99</v>
      </c>
      <c r="AF3" s="135">
        <f t="shared" si="1"/>
        <v>114</v>
      </c>
      <c r="AG3" s="187">
        <f>SUM(B3:AF3)</f>
        <v>3351</v>
      </c>
    </row>
    <row r="4" spans="1:33" ht="18.75" x14ac:dyDescent="0.25">
      <c r="A4" s="113" t="s">
        <v>54</v>
      </c>
      <c r="B4" s="114">
        <v>1</v>
      </c>
      <c r="C4" s="114">
        <v>1</v>
      </c>
      <c r="D4" s="114">
        <v>12</v>
      </c>
      <c r="E4" s="114">
        <v>10</v>
      </c>
      <c r="F4" s="114">
        <v>1</v>
      </c>
      <c r="G4" s="114">
        <v>6</v>
      </c>
      <c r="H4" s="114">
        <v>11</v>
      </c>
      <c r="I4" s="114">
        <v>3</v>
      </c>
      <c r="J4" s="114">
        <v>2</v>
      </c>
      <c r="K4" s="114">
        <v>8</v>
      </c>
      <c r="L4" s="114">
        <v>8</v>
      </c>
      <c r="M4" s="114">
        <v>4</v>
      </c>
      <c r="N4" s="114">
        <v>5</v>
      </c>
      <c r="O4" s="114">
        <v>6</v>
      </c>
      <c r="P4" s="114">
        <v>1</v>
      </c>
      <c r="Q4" s="114">
        <v>2</v>
      </c>
      <c r="R4" s="114">
        <v>14</v>
      </c>
      <c r="S4" s="114">
        <v>7</v>
      </c>
      <c r="T4" s="114">
        <v>5</v>
      </c>
      <c r="U4" s="114">
        <v>3</v>
      </c>
      <c r="V4" s="114">
        <v>8</v>
      </c>
      <c r="W4" s="114">
        <v>4</v>
      </c>
      <c r="X4" s="114">
        <v>6</v>
      </c>
      <c r="Y4" s="114">
        <v>17</v>
      </c>
      <c r="Z4" s="114">
        <v>3</v>
      </c>
      <c r="AA4" s="114">
        <v>3</v>
      </c>
      <c r="AB4" s="114">
        <v>6</v>
      </c>
      <c r="AC4" s="114">
        <v>8</v>
      </c>
      <c r="AD4" s="114">
        <v>3</v>
      </c>
      <c r="AE4" s="114">
        <v>2</v>
      </c>
      <c r="AF4" s="115">
        <v>5</v>
      </c>
      <c r="AG4" s="132">
        <f t="shared" ref="AG4:AG83" si="2">SUM(B4:AF4)</f>
        <v>175</v>
      </c>
    </row>
    <row r="5" spans="1:33" ht="18.75" x14ac:dyDescent="0.25">
      <c r="A5" s="41" t="s">
        <v>55</v>
      </c>
      <c r="B5" s="7">
        <v>1</v>
      </c>
      <c r="C5" s="7">
        <v>6</v>
      </c>
      <c r="D5" s="7">
        <v>6</v>
      </c>
      <c r="E5" s="7">
        <v>12</v>
      </c>
      <c r="F5" s="7">
        <v>4</v>
      </c>
      <c r="G5" s="7">
        <v>7</v>
      </c>
      <c r="H5" s="7">
        <v>8</v>
      </c>
      <c r="I5" s="7">
        <v>6</v>
      </c>
      <c r="J5" s="7">
        <v>6</v>
      </c>
      <c r="K5" s="7">
        <v>7</v>
      </c>
      <c r="L5" s="7">
        <v>7</v>
      </c>
      <c r="M5" s="7">
        <v>8</v>
      </c>
      <c r="N5" s="7">
        <v>10</v>
      </c>
      <c r="O5" s="7">
        <v>7</v>
      </c>
      <c r="P5" s="7">
        <v>5</v>
      </c>
      <c r="Q5" s="7">
        <v>7</v>
      </c>
      <c r="R5" s="7">
        <v>18</v>
      </c>
      <c r="S5" s="7">
        <v>6</v>
      </c>
      <c r="T5" s="7">
        <v>3</v>
      </c>
      <c r="U5" s="7">
        <v>7</v>
      </c>
      <c r="V5" s="7">
        <v>8</v>
      </c>
      <c r="W5" s="7">
        <v>1</v>
      </c>
      <c r="X5" s="7">
        <v>2</v>
      </c>
      <c r="Y5" s="7">
        <v>13</v>
      </c>
      <c r="Z5" s="7">
        <v>7</v>
      </c>
      <c r="AA5" s="7">
        <v>4</v>
      </c>
      <c r="AB5" s="7">
        <v>4</v>
      </c>
      <c r="AC5" s="7">
        <v>6</v>
      </c>
      <c r="AD5" s="7">
        <v>6</v>
      </c>
      <c r="AE5" s="7">
        <v>3</v>
      </c>
      <c r="AF5" s="8">
        <v>4</v>
      </c>
      <c r="AG5" s="4">
        <f t="shared" si="2"/>
        <v>199</v>
      </c>
    </row>
    <row r="6" spans="1:33" ht="18.75" x14ac:dyDescent="0.25">
      <c r="A6" s="41" t="s">
        <v>56</v>
      </c>
      <c r="B6" s="7">
        <v>6</v>
      </c>
      <c r="C6" s="7">
        <v>3</v>
      </c>
      <c r="D6" s="7">
        <v>12</v>
      </c>
      <c r="E6" s="7">
        <v>10</v>
      </c>
      <c r="F6" s="7">
        <v>6</v>
      </c>
      <c r="G6" s="7">
        <v>9</v>
      </c>
      <c r="H6" s="7">
        <v>9</v>
      </c>
      <c r="I6" s="7">
        <v>10</v>
      </c>
      <c r="J6" s="7">
        <v>2</v>
      </c>
      <c r="K6" s="7">
        <v>8</v>
      </c>
      <c r="L6" s="7">
        <v>8</v>
      </c>
      <c r="M6" s="7">
        <v>6</v>
      </c>
      <c r="N6" s="7">
        <v>4</v>
      </c>
      <c r="O6" s="7">
        <v>8</v>
      </c>
      <c r="P6" s="7">
        <v>13</v>
      </c>
      <c r="Q6" s="7">
        <v>7</v>
      </c>
      <c r="R6" s="7">
        <v>15</v>
      </c>
      <c r="S6" s="7">
        <v>13</v>
      </c>
      <c r="T6" s="7">
        <v>8</v>
      </c>
      <c r="U6" s="7">
        <v>4</v>
      </c>
      <c r="V6" s="7">
        <v>14</v>
      </c>
      <c r="W6" s="7">
        <v>5</v>
      </c>
      <c r="X6" s="7">
        <v>7</v>
      </c>
      <c r="Y6" s="7">
        <v>7</v>
      </c>
      <c r="Z6" s="7">
        <v>7</v>
      </c>
      <c r="AA6" s="7">
        <v>4</v>
      </c>
      <c r="AB6" s="7">
        <v>8</v>
      </c>
      <c r="AC6" s="7">
        <v>6</v>
      </c>
      <c r="AD6" s="7">
        <v>2</v>
      </c>
      <c r="AE6" s="7">
        <v>2</v>
      </c>
      <c r="AF6" s="8">
        <v>4</v>
      </c>
      <c r="AG6" s="4">
        <f t="shared" si="2"/>
        <v>227</v>
      </c>
    </row>
    <row r="7" spans="1:33" ht="18.75" x14ac:dyDescent="0.25">
      <c r="A7" s="41" t="s">
        <v>38</v>
      </c>
      <c r="B7" s="7">
        <v>7</v>
      </c>
      <c r="C7" s="7">
        <v>4</v>
      </c>
      <c r="D7" s="7">
        <v>14</v>
      </c>
      <c r="E7" s="7">
        <v>11</v>
      </c>
      <c r="F7" s="7">
        <v>5</v>
      </c>
      <c r="G7" s="7">
        <v>12</v>
      </c>
      <c r="H7" s="7">
        <v>8</v>
      </c>
      <c r="I7" s="7">
        <v>5</v>
      </c>
      <c r="J7" s="7">
        <v>7</v>
      </c>
      <c r="K7" s="7">
        <v>15</v>
      </c>
      <c r="L7" s="7">
        <v>8</v>
      </c>
      <c r="M7" s="7">
        <v>13</v>
      </c>
      <c r="N7" s="7">
        <v>8</v>
      </c>
      <c r="O7" s="7">
        <v>10</v>
      </c>
      <c r="P7" s="7">
        <v>6</v>
      </c>
      <c r="Q7" s="7">
        <v>3</v>
      </c>
      <c r="R7" s="7">
        <v>11</v>
      </c>
      <c r="S7" s="7">
        <v>14</v>
      </c>
      <c r="T7" s="7">
        <v>9</v>
      </c>
      <c r="U7" s="7">
        <v>4</v>
      </c>
      <c r="V7" s="7">
        <v>4</v>
      </c>
      <c r="W7" s="7">
        <v>7</v>
      </c>
      <c r="X7" s="7">
        <v>7</v>
      </c>
      <c r="Y7" s="7">
        <v>3</v>
      </c>
      <c r="Z7" s="7">
        <v>11</v>
      </c>
      <c r="AA7" s="7">
        <v>2</v>
      </c>
      <c r="AB7" s="7">
        <v>8</v>
      </c>
      <c r="AC7" s="7">
        <v>5</v>
      </c>
      <c r="AD7" s="7">
        <v>7</v>
      </c>
      <c r="AE7" s="7">
        <v>11</v>
      </c>
      <c r="AF7" s="8">
        <v>7</v>
      </c>
      <c r="AG7" s="4">
        <f t="shared" si="2"/>
        <v>246</v>
      </c>
    </row>
    <row r="8" spans="1:33" ht="18.75" x14ac:dyDescent="0.25">
      <c r="A8" s="41" t="s">
        <v>39</v>
      </c>
      <c r="B8" s="7">
        <v>3</v>
      </c>
      <c r="C8" s="7">
        <v>7</v>
      </c>
      <c r="D8" s="7">
        <v>9</v>
      </c>
      <c r="E8" s="7">
        <v>7</v>
      </c>
      <c r="F8" s="7">
        <v>12</v>
      </c>
      <c r="G8" s="7">
        <v>6</v>
      </c>
      <c r="H8" s="7">
        <v>8</v>
      </c>
      <c r="I8" s="7">
        <v>5</v>
      </c>
      <c r="J8" s="7">
        <v>4</v>
      </c>
      <c r="K8" s="7">
        <v>6</v>
      </c>
      <c r="L8" s="7">
        <v>7</v>
      </c>
      <c r="M8" s="7">
        <v>9</v>
      </c>
      <c r="N8" s="7">
        <v>9</v>
      </c>
      <c r="O8" s="7">
        <v>12</v>
      </c>
      <c r="P8" s="7">
        <v>8</v>
      </c>
      <c r="Q8" s="7">
        <v>2</v>
      </c>
      <c r="R8" s="7">
        <v>13</v>
      </c>
      <c r="S8" s="7">
        <v>8</v>
      </c>
      <c r="T8" s="7">
        <v>7</v>
      </c>
      <c r="U8" s="7">
        <v>4</v>
      </c>
      <c r="V8" s="7">
        <v>17</v>
      </c>
      <c r="W8" s="7">
        <v>6</v>
      </c>
      <c r="X8" s="7">
        <v>5</v>
      </c>
      <c r="Y8" s="7">
        <v>16</v>
      </c>
      <c r="Z8" s="7">
        <v>4</v>
      </c>
      <c r="AA8" s="7">
        <v>4</v>
      </c>
      <c r="AB8" s="7">
        <v>5</v>
      </c>
      <c r="AC8" s="7">
        <v>5</v>
      </c>
      <c r="AD8" s="7">
        <v>5</v>
      </c>
      <c r="AE8" s="7">
        <v>3</v>
      </c>
      <c r="AF8" s="8">
        <v>11</v>
      </c>
      <c r="AG8" s="4">
        <f t="shared" si="2"/>
        <v>227</v>
      </c>
    </row>
    <row r="9" spans="1:33" ht="18.75" x14ac:dyDescent="0.25">
      <c r="A9" s="41" t="s">
        <v>40</v>
      </c>
      <c r="B9" s="7">
        <v>6</v>
      </c>
      <c r="C9" s="7">
        <v>5</v>
      </c>
      <c r="D9" s="7">
        <v>5</v>
      </c>
      <c r="E9" s="7">
        <v>6</v>
      </c>
      <c r="F9" s="7">
        <v>8</v>
      </c>
      <c r="G9" s="7">
        <v>4</v>
      </c>
      <c r="H9" s="7">
        <v>7</v>
      </c>
      <c r="I9" s="7">
        <v>2</v>
      </c>
      <c r="J9" s="7">
        <v>4</v>
      </c>
      <c r="K9" s="7">
        <v>5</v>
      </c>
      <c r="L9" s="7">
        <v>5</v>
      </c>
      <c r="M9" s="7">
        <v>6</v>
      </c>
      <c r="N9" s="7">
        <v>5</v>
      </c>
      <c r="O9" s="7">
        <v>6</v>
      </c>
      <c r="P9" s="7">
        <v>6</v>
      </c>
      <c r="Q9" s="7">
        <v>5</v>
      </c>
      <c r="R9" s="7">
        <v>6</v>
      </c>
      <c r="S9" s="7">
        <v>10</v>
      </c>
      <c r="T9" s="7">
        <v>8</v>
      </c>
      <c r="U9" s="7">
        <v>13</v>
      </c>
      <c r="V9" s="7">
        <v>5</v>
      </c>
      <c r="W9" s="7">
        <v>10</v>
      </c>
      <c r="X9" s="7">
        <v>6</v>
      </c>
      <c r="Y9" s="7">
        <v>9</v>
      </c>
      <c r="Z9" s="7">
        <v>4</v>
      </c>
      <c r="AA9" s="7">
        <v>4</v>
      </c>
      <c r="AB9" s="7">
        <v>7</v>
      </c>
      <c r="AC9" s="7">
        <v>6</v>
      </c>
      <c r="AD9" s="7">
        <v>1</v>
      </c>
      <c r="AE9" s="7">
        <v>6</v>
      </c>
      <c r="AF9" s="8">
        <v>7</v>
      </c>
      <c r="AG9" s="4">
        <f t="shared" si="2"/>
        <v>187</v>
      </c>
    </row>
    <row r="10" spans="1:33" ht="18.75" x14ac:dyDescent="0.25">
      <c r="A10" s="41" t="s">
        <v>41</v>
      </c>
      <c r="B10" s="7">
        <v>5</v>
      </c>
      <c r="C10" s="7">
        <v>5</v>
      </c>
      <c r="D10" s="7">
        <v>8</v>
      </c>
      <c r="E10" s="7">
        <v>7</v>
      </c>
      <c r="F10" s="7">
        <v>13</v>
      </c>
      <c r="G10" s="7">
        <v>7</v>
      </c>
      <c r="H10" s="7">
        <v>6</v>
      </c>
      <c r="I10" s="7">
        <v>2</v>
      </c>
      <c r="J10" s="7">
        <v>8</v>
      </c>
      <c r="K10" s="7">
        <v>3</v>
      </c>
      <c r="L10" s="7">
        <v>12</v>
      </c>
      <c r="M10" s="7">
        <v>9</v>
      </c>
      <c r="N10" s="7">
        <v>7</v>
      </c>
      <c r="O10" s="7">
        <v>4</v>
      </c>
      <c r="P10" s="7">
        <v>6</v>
      </c>
      <c r="Q10" s="7">
        <v>8</v>
      </c>
      <c r="R10" s="7">
        <v>10</v>
      </c>
      <c r="S10" s="7">
        <v>3</v>
      </c>
      <c r="T10" s="7">
        <v>4</v>
      </c>
      <c r="U10" s="7">
        <v>8</v>
      </c>
      <c r="V10" s="7">
        <v>7</v>
      </c>
      <c r="W10" s="7">
        <v>8</v>
      </c>
      <c r="X10" s="7">
        <v>6</v>
      </c>
      <c r="Y10" s="7">
        <v>13</v>
      </c>
      <c r="Z10" s="7">
        <v>11</v>
      </c>
      <c r="AA10" s="7">
        <v>7</v>
      </c>
      <c r="AB10" s="7">
        <v>6</v>
      </c>
      <c r="AC10" s="7">
        <v>6</v>
      </c>
      <c r="AD10" s="7">
        <v>5</v>
      </c>
      <c r="AE10" s="7">
        <v>13</v>
      </c>
      <c r="AF10" s="8">
        <v>10</v>
      </c>
      <c r="AG10" s="4">
        <f t="shared" si="2"/>
        <v>227</v>
      </c>
    </row>
    <row r="11" spans="1:33" ht="18.75" x14ac:dyDescent="0.25">
      <c r="A11" s="41" t="s">
        <v>42</v>
      </c>
      <c r="B11" s="7">
        <v>5</v>
      </c>
      <c r="C11" s="7">
        <v>3</v>
      </c>
      <c r="D11" s="7">
        <v>10</v>
      </c>
      <c r="E11" s="7">
        <v>15</v>
      </c>
      <c r="F11" s="7">
        <v>2</v>
      </c>
      <c r="G11" s="7">
        <v>9</v>
      </c>
      <c r="H11" s="7">
        <v>8</v>
      </c>
      <c r="I11" s="7">
        <v>7</v>
      </c>
      <c r="J11" s="7">
        <v>4</v>
      </c>
      <c r="K11" s="7">
        <v>7</v>
      </c>
      <c r="L11" s="7">
        <v>9</v>
      </c>
      <c r="M11" s="7">
        <v>15</v>
      </c>
      <c r="N11" s="7">
        <v>10</v>
      </c>
      <c r="O11" s="7">
        <v>7</v>
      </c>
      <c r="P11" s="7">
        <v>6</v>
      </c>
      <c r="Q11" s="7">
        <v>4</v>
      </c>
      <c r="R11" s="7">
        <v>10</v>
      </c>
      <c r="S11" s="7">
        <v>10</v>
      </c>
      <c r="T11" s="7">
        <v>10</v>
      </c>
      <c r="U11" s="7">
        <v>6</v>
      </c>
      <c r="V11" s="7">
        <v>11</v>
      </c>
      <c r="W11" s="7">
        <v>9</v>
      </c>
      <c r="X11" s="7">
        <v>4</v>
      </c>
      <c r="Y11" s="7">
        <v>12</v>
      </c>
      <c r="Z11" s="7">
        <v>6</v>
      </c>
      <c r="AA11" s="7">
        <v>7</v>
      </c>
      <c r="AB11" s="7">
        <v>11</v>
      </c>
      <c r="AC11" s="7">
        <v>14</v>
      </c>
      <c r="AD11" s="7">
        <v>8</v>
      </c>
      <c r="AE11" s="7">
        <v>11</v>
      </c>
      <c r="AF11" s="8">
        <v>8</v>
      </c>
      <c r="AG11" s="4">
        <f t="shared" si="2"/>
        <v>258</v>
      </c>
    </row>
    <row r="12" spans="1:33" ht="18.75" x14ac:dyDescent="0.25">
      <c r="A12" s="41" t="s">
        <v>43</v>
      </c>
      <c r="B12" s="7">
        <v>5</v>
      </c>
      <c r="C12" s="7">
        <v>6</v>
      </c>
      <c r="D12" s="7">
        <v>11</v>
      </c>
      <c r="E12" s="7">
        <v>11</v>
      </c>
      <c r="F12" s="7">
        <v>16</v>
      </c>
      <c r="G12" s="7">
        <v>10</v>
      </c>
      <c r="H12" s="7">
        <v>3</v>
      </c>
      <c r="I12" s="7">
        <v>1</v>
      </c>
      <c r="J12" s="7">
        <v>6</v>
      </c>
      <c r="K12" s="7">
        <v>14</v>
      </c>
      <c r="L12" s="7">
        <v>10</v>
      </c>
      <c r="M12" s="7">
        <v>10</v>
      </c>
      <c r="N12" s="7">
        <v>13</v>
      </c>
      <c r="O12" s="7">
        <v>9</v>
      </c>
      <c r="P12" s="7">
        <v>1</v>
      </c>
      <c r="Q12" s="7">
        <v>3</v>
      </c>
      <c r="R12" s="7">
        <v>9</v>
      </c>
      <c r="S12" s="7">
        <v>8</v>
      </c>
      <c r="T12" s="7">
        <v>7</v>
      </c>
      <c r="U12" s="7">
        <v>11</v>
      </c>
      <c r="V12" s="7">
        <v>6</v>
      </c>
      <c r="W12" s="7">
        <v>2</v>
      </c>
      <c r="X12" s="7">
        <v>5</v>
      </c>
      <c r="Y12" s="7">
        <v>10</v>
      </c>
      <c r="Z12" s="7">
        <v>4</v>
      </c>
      <c r="AA12" s="7">
        <v>10</v>
      </c>
      <c r="AB12" s="7">
        <v>9</v>
      </c>
      <c r="AC12" s="7">
        <v>4</v>
      </c>
      <c r="AD12" s="7">
        <v>14</v>
      </c>
      <c r="AE12" s="7">
        <v>11</v>
      </c>
      <c r="AF12" s="8">
        <v>9</v>
      </c>
      <c r="AG12" s="4">
        <f t="shared" si="2"/>
        <v>248</v>
      </c>
    </row>
    <row r="13" spans="1:33" ht="18.75" x14ac:dyDescent="0.25">
      <c r="A13" s="41" t="s">
        <v>44</v>
      </c>
      <c r="B13" s="7">
        <v>10</v>
      </c>
      <c r="C13" s="7">
        <v>10</v>
      </c>
      <c r="D13" s="7">
        <v>8</v>
      </c>
      <c r="E13" s="7">
        <v>12</v>
      </c>
      <c r="F13" s="7">
        <v>6</v>
      </c>
      <c r="G13" s="7">
        <v>11</v>
      </c>
      <c r="H13" s="7">
        <v>9</v>
      </c>
      <c r="I13" s="7">
        <v>9</v>
      </c>
      <c r="J13" s="7">
        <v>6</v>
      </c>
      <c r="K13" s="7">
        <v>14</v>
      </c>
      <c r="L13" s="7">
        <v>12</v>
      </c>
      <c r="M13" s="7">
        <v>9</v>
      </c>
      <c r="N13" s="7">
        <v>9</v>
      </c>
      <c r="O13" s="7">
        <v>8</v>
      </c>
      <c r="P13" s="7">
        <v>4</v>
      </c>
      <c r="Q13" s="7">
        <v>8</v>
      </c>
      <c r="R13" s="7">
        <v>7</v>
      </c>
      <c r="S13" s="7">
        <v>13</v>
      </c>
      <c r="T13" s="7">
        <v>19</v>
      </c>
      <c r="U13" s="7">
        <v>10</v>
      </c>
      <c r="V13" s="7">
        <v>16</v>
      </c>
      <c r="W13" s="7">
        <v>12</v>
      </c>
      <c r="X13" s="7">
        <v>12</v>
      </c>
      <c r="Y13" s="7">
        <v>12</v>
      </c>
      <c r="Z13" s="7">
        <v>11</v>
      </c>
      <c r="AA13" s="7">
        <v>7</v>
      </c>
      <c r="AB13" s="7">
        <v>11</v>
      </c>
      <c r="AC13" s="7">
        <v>12</v>
      </c>
      <c r="AD13" s="7">
        <v>4</v>
      </c>
      <c r="AE13" s="7">
        <v>6</v>
      </c>
      <c r="AF13" s="8">
        <v>12</v>
      </c>
      <c r="AG13" s="4">
        <f t="shared" si="2"/>
        <v>309</v>
      </c>
    </row>
    <row r="14" spans="1:33" ht="18.75" x14ac:dyDescent="0.25">
      <c r="A14" s="41" t="s">
        <v>45</v>
      </c>
      <c r="B14" s="7">
        <v>5</v>
      </c>
      <c r="C14" s="7">
        <v>5</v>
      </c>
      <c r="D14" s="7">
        <v>3</v>
      </c>
      <c r="E14" s="7">
        <v>7</v>
      </c>
      <c r="F14" s="7">
        <v>6</v>
      </c>
      <c r="G14" s="7">
        <v>6</v>
      </c>
      <c r="H14" s="7">
        <v>10</v>
      </c>
      <c r="I14" s="7">
        <v>6</v>
      </c>
      <c r="J14" s="7">
        <v>9</v>
      </c>
      <c r="K14" s="7">
        <v>10</v>
      </c>
      <c r="L14" s="7">
        <v>4</v>
      </c>
      <c r="M14" s="7">
        <v>5</v>
      </c>
      <c r="N14" s="7">
        <v>3</v>
      </c>
      <c r="O14" s="7">
        <v>3</v>
      </c>
      <c r="P14" s="7">
        <v>5</v>
      </c>
      <c r="Q14" s="7">
        <v>5</v>
      </c>
      <c r="R14" s="7">
        <v>9</v>
      </c>
      <c r="S14" s="7">
        <v>8</v>
      </c>
      <c r="T14" s="7">
        <v>6</v>
      </c>
      <c r="U14" s="7">
        <v>7</v>
      </c>
      <c r="V14" s="7">
        <v>7</v>
      </c>
      <c r="W14" s="7">
        <v>6</v>
      </c>
      <c r="X14" s="7">
        <v>6</v>
      </c>
      <c r="Y14" s="7">
        <v>12</v>
      </c>
      <c r="Z14" s="7">
        <v>13</v>
      </c>
      <c r="AA14" s="7">
        <v>14</v>
      </c>
      <c r="AB14" s="7">
        <v>7</v>
      </c>
      <c r="AC14" s="7">
        <v>13</v>
      </c>
      <c r="AD14" s="7">
        <v>8</v>
      </c>
      <c r="AE14" s="7">
        <v>9</v>
      </c>
      <c r="AF14" s="8">
        <v>14</v>
      </c>
      <c r="AG14" s="4">
        <f t="shared" si="2"/>
        <v>231</v>
      </c>
    </row>
    <row r="15" spans="1:33" ht="18.75" x14ac:dyDescent="0.25">
      <c r="A15" s="41" t="s">
        <v>46</v>
      </c>
      <c r="B15" s="7">
        <v>8</v>
      </c>
      <c r="C15" s="7">
        <v>6</v>
      </c>
      <c r="D15" s="7">
        <v>4</v>
      </c>
      <c r="E15" s="7">
        <v>5</v>
      </c>
      <c r="F15" s="7">
        <v>3</v>
      </c>
      <c r="G15" s="7">
        <v>2</v>
      </c>
      <c r="H15" s="7">
        <v>6</v>
      </c>
      <c r="I15" s="7">
        <v>6</v>
      </c>
      <c r="J15" s="7">
        <v>6</v>
      </c>
      <c r="K15" s="7">
        <v>4</v>
      </c>
      <c r="L15" s="7">
        <v>6</v>
      </c>
      <c r="M15" s="7">
        <v>3</v>
      </c>
      <c r="N15" s="7">
        <v>7</v>
      </c>
      <c r="O15" s="7">
        <v>2</v>
      </c>
      <c r="P15" s="7">
        <v>1</v>
      </c>
      <c r="Q15" s="7">
        <v>7</v>
      </c>
      <c r="R15" s="7">
        <v>17</v>
      </c>
      <c r="S15" s="7">
        <v>4</v>
      </c>
      <c r="T15" s="7">
        <v>3</v>
      </c>
      <c r="U15" s="7">
        <v>2</v>
      </c>
      <c r="V15" s="7">
        <v>9</v>
      </c>
      <c r="W15" s="7">
        <v>3</v>
      </c>
      <c r="X15" s="7">
        <v>11</v>
      </c>
      <c r="Y15" s="7">
        <v>8</v>
      </c>
      <c r="Z15" s="7">
        <v>5</v>
      </c>
      <c r="AA15" s="7">
        <v>9</v>
      </c>
      <c r="AB15" s="7">
        <v>9</v>
      </c>
      <c r="AC15" s="7">
        <v>2</v>
      </c>
      <c r="AD15" s="7">
        <v>4</v>
      </c>
      <c r="AE15" s="7">
        <v>7</v>
      </c>
      <c r="AF15" s="8">
        <v>6</v>
      </c>
      <c r="AG15" s="4">
        <f t="shared" si="2"/>
        <v>175</v>
      </c>
    </row>
    <row r="16" spans="1:33" ht="18.75" x14ac:dyDescent="0.25">
      <c r="A16" s="41" t="s">
        <v>47</v>
      </c>
      <c r="B16" s="7">
        <v>4</v>
      </c>
      <c r="C16" s="7">
        <v>4</v>
      </c>
      <c r="D16" s="7">
        <v>8</v>
      </c>
      <c r="E16" s="7">
        <v>4</v>
      </c>
      <c r="F16" s="7">
        <v>10</v>
      </c>
      <c r="G16" s="7">
        <v>7</v>
      </c>
      <c r="H16" s="7">
        <v>7</v>
      </c>
      <c r="I16" s="7">
        <v>3</v>
      </c>
      <c r="J16" s="7">
        <v>4</v>
      </c>
      <c r="K16" s="7">
        <v>6</v>
      </c>
      <c r="L16" s="7">
        <v>5</v>
      </c>
      <c r="M16" s="7">
        <v>8</v>
      </c>
      <c r="N16" s="7">
        <v>9</v>
      </c>
      <c r="O16" s="7">
        <v>4</v>
      </c>
      <c r="P16" s="7">
        <v>3</v>
      </c>
      <c r="Q16" s="7">
        <v>7</v>
      </c>
      <c r="R16" s="7">
        <v>8</v>
      </c>
      <c r="S16" s="7">
        <v>8</v>
      </c>
      <c r="T16" s="7">
        <v>5</v>
      </c>
      <c r="U16" s="7">
        <v>1</v>
      </c>
      <c r="V16" s="7">
        <v>9</v>
      </c>
      <c r="W16" s="7">
        <v>8</v>
      </c>
      <c r="X16" s="7">
        <v>6</v>
      </c>
      <c r="Y16" s="7">
        <v>4</v>
      </c>
      <c r="Z16" s="7">
        <v>4</v>
      </c>
      <c r="AA16" s="7">
        <v>6</v>
      </c>
      <c r="AB16" s="7">
        <v>9</v>
      </c>
      <c r="AC16" s="7">
        <v>6</v>
      </c>
      <c r="AD16" s="7">
        <v>2</v>
      </c>
      <c r="AE16" s="7">
        <v>1</v>
      </c>
      <c r="AF16" s="8">
        <v>6</v>
      </c>
      <c r="AG16" s="4">
        <f t="shared" si="2"/>
        <v>176</v>
      </c>
    </row>
    <row r="17" spans="1:33" ht="18.75" x14ac:dyDescent="0.25">
      <c r="A17" s="41" t="s">
        <v>48</v>
      </c>
      <c r="B17" s="7">
        <v>3</v>
      </c>
      <c r="C17" s="7">
        <v>3</v>
      </c>
      <c r="D17" s="7">
        <v>2</v>
      </c>
      <c r="E17" s="7">
        <v>9</v>
      </c>
      <c r="F17" s="7">
        <v>7</v>
      </c>
      <c r="G17" s="7">
        <v>5</v>
      </c>
      <c r="H17" s="7">
        <v>3</v>
      </c>
      <c r="I17" s="7">
        <v>4</v>
      </c>
      <c r="J17" s="7">
        <v>7</v>
      </c>
      <c r="K17" s="7">
        <v>2</v>
      </c>
      <c r="L17" s="7">
        <v>2</v>
      </c>
      <c r="M17" s="7">
        <v>5</v>
      </c>
      <c r="N17" s="7">
        <v>3</v>
      </c>
      <c r="O17" s="7">
        <v>5</v>
      </c>
      <c r="P17" s="7">
        <v>1</v>
      </c>
      <c r="Q17" s="7">
        <v>4</v>
      </c>
      <c r="R17" s="7">
        <v>6</v>
      </c>
      <c r="S17" s="7">
        <v>3</v>
      </c>
      <c r="T17" s="7">
        <v>5</v>
      </c>
      <c r="U17" s="7">
        <v>10</v>
      </c>
      <c r="V17" s="7">
        <v>5</v>
      </c>
      <c r="W17" s="7">
        <v>7</v>
      </c>
      <c r="X17" s="7">
        <v>6</v>
      </c>
      <c r="Y17" s="7">
        <v>12</v>
      </c>
      <c r="Z17" s="7">
        <v>4</v>
      </c>
      <c r="AA17" s="7">
        <v>4</v>
      </c>
      <c r="AB17" s="7">
        <v>1</v>
      </c>
      <c r="AC17" s="7">
        <v>1</v>
      </c>
      <c r="AD17" s="7">
        <v>8</v>
      </c>
      <c r="AE17" s="7">
        <v>3</v>
      </c>
      <c r="AF17" s="8">
        <v>5</v>
      </c>
      <c r="AG17" s="4">
        <f t="shared" si="2"/>
        <v>145</v>
      </c>
    </row>
    <row r="18" spans="1:33" ht="18.75" x14ac:dyDescent="0.25">
      <c r="A18" s="41" t="s">
        <v>49</v>
      </c>
      <c r="B18" s="7">
        <v>1</v>
      </c>
      <c r="C18" s="7">
        <v>3</v>
      </c>
      <c r="D18" s="7">
        <v>2</v>
      </c>
      <c r="E18" s="7">
        <v>1</v>
      </c>
      <c r="F18" s="7">
        <v>1</v>
      </c>
      <c r="G18" s="7">
        <v>1</v>
      </c>
      <c r="H18" s="7">
        <v>3</v>
      </c>
      <c r="I18" s="7">
        <v>2</v>
      </c>
      <c r="J18" s="7">
        <v>3</v>
      </c>
      <c r="K18" s="7">
        <v>1</v>
      </c>
      <c r="L18" s="7">
        <v>3</v>
      </c>
      <c r="M18" s="7">
        <v>4</v>
      </c>
      <c r="N18" s="7">
        <v>1</v>
      </c>
      <c r="O18" s="7">
        <v>1</v>
      </c>
      <c r="P18" s="7">
        <v>5</v>
      </c>
      <c r="Q18" s="7">
        <v>8</v>
      </c>
      <c r="R18" s="7">
        <v>1</v>
      </c>
      <c r="S18" s="7">
        <v>2</v>
      </c>
      <c r="T18" s="7">
        <v>7</v>
      </c>
      <c r="U18" s="7">
        <v>2</v>
      </c>
      <c r="V18" s="7">
        <v>2</v>
      </c>
      <c r="W18" s="7">
        <v>2</v>
      </c>
      <c r="X18" s="7">
        <v>5</v>
      </c>
      <c r="Y18" s="7">
        <v>3</v>
      </c>
      <c r="Z18" s="7">
        <v>3</v>
      </c>
      <c r="AA18" s="7">
        <v>1</v>
      </c>
      <c r="AB18" s="7">
        <v>5</v>
      </c>
      <c r="AC18" s="7">
        <v>9</v>
      </c>
      <c r="AD18" s="7">
        <v>5</v>
      </c>
      <c r="AE18" s="7">
        <v>8</v>
      </c>
      <c r="AF18" s="8">
        <v>2</v>
      </c>
      <c r="AG18" s="4">
        <f t="shared" si="2"/>
        <v>97</v>
      </c>
    </row>
    <row r="19" spans="1:33" ht="18.75" x14ac:dyDescent="0.25">
      <c r="A19" s="41" t="s">
        <v>50</v>
      </c>
      <c r="B19" s="7">
        <v>2</v>
      </c>
      <c r="C19" s="7"/>
      <c r="D19" s="7">
        <v>3</v>
      </c>
      <c r="E19" s="7">
        <v>2</v>
      </c>
      <c r="F19" s="7">
        <v>1</v>
      </c>
      <c r="G19" s="7">
        <v>3</v>
      </c>
      <c r="H19" s="7">
        <v>1</v>
      </c>
      <c r="I19" s="7">
        <v>3</v>
      </c>
      <c r="J19" s="7">
        <v>1</v>
      </c>
      <c r="K19" s="7">
        <v>1</v>
      </c>
      <c r="L19" s="7">
        <v>2</v>
      </c>
      <c r="M19" s="7">
        <v>3</v>
      </c>
      <c r="N19" s="7"/>
      <c r="O19" s="7">
        <v>2</v>
      </c>
      <c r="P19" s="7">
        <v>2</v>
      </c>
      <c r="Q19" s="7">
        <v>2</v>
      </c>
      <c r="R19" s="7">
        <v>5</v>
      </c>
      <c r="S19" s="7"/>
      <c r="T19" s="7"/>
      <c r="U19" s="7">
        <v>3</v>
      </c>
      <c r="V19" s="7">
        <v>2</v>
      </c>
      <c r="W19" s="7">
        <v>2</v>
      </c>
      <c r="X19" s="7"/>
      <c r="Y19" s="7">
        <v>2</v>
      </c>
      <c r="Z19" s="7">
        <v>1</v>
      </c>
      <c r="AA19" s="7"/>
      <c r="AB19" s="7"/>
      <c r="AC19" s="7">
        <v>4</v>
      </c>
      <c r="AD19" s="7">
        <v>1</v>
      </c>
      <c r="AE19" s="7">
        <v>1</v>
      </c>
      <c r="AF19" s="8"/>
      <c r="AG19" s="4">
        <f t="shared" si="2"/>
        <v>49</v>
      </c>
    </row>
    <row r="20" spans="1:33" ht="18.75" x14ac:dyDescent="0.25">
      <c r="A20" s="41" t="s">
        <v>33</v>
      </c>
      <c r="B20" s="7">
        <v>3</v>
      </c>
      <c r="C20" s="7">
        <v>2</v>
      </c>
      <c r="D20" s="7"/>
      <c r="E20" s="7">
        <v>3</v>
      </c>
      <c r="F20" s="7">
        <v>1</v>
      </c>
      <c r="G20" s="7">
        <v>1</v>
      </c>
      <c r="H20" s="7"/>
      <c r="I20" s="7">
        <v>2</v>
      </c>
      <c r="J20" s="7">
        <v>1</v>
      </c>
      <c r="K20" s="7"/>
      <c r="L20" s="7"/>
      <c r="M20" s="7"/>
      <c r="N20" s="7">
        <v>2</v>
      </c>
      <c r="O20" s="7">
        <v>1</v>
      </c>
      <c r="P20" s="7"/>
      <c r="Q20" s="7"/>
      <c r="R20" s="7">
        <v>2</v>
      </c>
      <c r="S20" s="7">
        <v>1</v>
      </c>
      <c r="T20" s="7">
        <v>2</v>
      </c>
      <c r="U20" s="7">
        <v>1</v>
      </c>
      <c r="V20" s="7">
        <v>1</v>
      </c>
      <c r="W20" s="7">
        <v>3</v>
      </c>
      <c r="X20" s="7">
        <v>3</v>
      </c>
      <c r="Y20" s="7">
        <v>2</v>
      </c>
      <c r="Z20" s="7"/>
      <c r="AA20" s="7"/>
      <c r="AB20" s="7"/>
      <c r="AC20" s="7"/>
      <c r="AD20" s="7">
        <v>1</v>
      </c>
      <c r="AE20" s="7"/>
      <c r="AF20" s="8">
        <v>1</v>
      </c>
      <c r="AG20" s="4">
        <f t="shared" si="2"/>
        <v>33</v>
      </c>
    </row>
    <row r="21" spans="1:33" ht="18.75" x14ac:dyDescent="0.25">
      <c r="A21" s="41" t="s">
        <v>34</v>
      </c>
      <c r="B21" s="7"/>
      <c r="C21" s="7"/>
      <c r="D21" s="7">
        <v>3</v>
      </c>
      <c r="E21" s="7"/>
      <c r="F21" s="7">
        <v>1</v>
      </c>
      <c r="G21" s="7"/>
      <c r="H21" s="7"/>
      <c r="I21" s="7"/>
      <c r="J21" s="7">
        <v>1</v>
      </c>
      <c r="K21" s="7">
        <v>1</v>
      </c>
      <c r="L21" s="7"/>
      <c r="M21" s="7">
        <v>1</v>
      </c>
      <c r="N21" s="7">
        <v>1</v>
      </c>
      <c r="O21" s="7">
        <v>2</v>
      </c>
      <c r="P21" s="7"/>
      <c r="Q21" s="7">
        <v>1</v>
      </c>
      <c r="R21" s="7">
        <v>2</v>
      </c>
      <c r="S21" s="7"/>
      <c r="T21" s="7">
        <v>1</v>
      </c>
      <c r="U21" s="7"/>
      <c r="V21" s="7"/>
      <c r="W21" s="7">
        <v>4</v>
      </c>
      <c r="X21" s="7"/>
      <c r="Y21" s="7">
        <v>2</v>
      </c>
      <c r="Z21" s="7"/>
      <c r="AA21" s="7">
        <v>1</v>
      </c>
      <c r="AB21" s="7">
        <v>2</v>
      </c>
      <c r="AC21" s="7"/>
      <c r="AD21" s="7">
        <v>2</v>
      </c>
      <c r="AE21" s="7"/>
      <c r="AF21" s="8">
        <v>1</v>
      </c>
      <c r="AG21" s="4">
        <f t="shared" si="2"/>
        <v>26</v>
      </c>
    </row>
    <row r="22" spans="1:33" ht="18.75" x14ac:dyDescent="0.25">
      <c r="A22" s="41" t="s">
        <v>35</v>
      </c>
      <c r="B22" s="7">
        <v>3</v>
      </c>
      <c r="C22" s="7"/>
      <c r="D22" s="7"/>
      <c r="E22" s="7">
        <v>5</v>
      </c>
      <c r="F22" s="7">
        <v>1</v>
      </c>
      <c r="G22" s="7"/>
      <c r="H22" s="7"/>
      <c r="I22" s="7"/>
      <c r="J22" s="7">
        <v>1</v>
      </c>
      <c r="K22" s="7"/>
      <c r="L22" s="7"/>
      <c r="M22" s="7">
        <v>4</v>
      </c>
      <c r="N22" s="7">
        <v>1</v>
      </c>
      <c r="O22" s="7">
        <v>2</v>
      </c>
      <c r="P22" s="7"/>
      <c r="Q22" s="7"/>
      <c r="R22" s="7">
        <v>1</v>
      </c>
      <c r="S22" s="7"/>
      <c r="T22" s="7">
        <v>1</v>
      </c>
      <c r="U22" s="7">
        <v>1</v>
      </c>
      <c r="V22" s="7">
        <v>2</v>
      </c>
      <c r="W22" s="7">
        <v>2</v>
      </c>
      <c r="X22" s="7">
        <v>1</v>
      </c>
      <c r="Y22" s="7"/>
      <c r="Z22" s="7">
        <v>1</v>
      </c>
      <c r="AA22" s="7">
        <v>2</v>
      </c>
      <c r="AB22" s="7"/>
      <c r="AC22" s="7">
        <v>1</v>
      </c>
      <c r="AD22" s="7"/>
      <c r="AE22" s="7"/>
      <c r="AF22" s="8">
        <v>1</v>
      </c>
      <c r="AG22" s="4">
        <f t="shared" si="2"/>
        <v>30</v>
      </c>
    </row>
    <row r="23" spans="1:33" ht="18.75" x14ac:dyDescent="0.25">
      <c r="A23" s="41" t="s">
        <v>36</v>
      </c>
      <c r="B23" s="7">
        <v>1</v>
      </c>
      <c r="C23" s="7">
        <v>2</v>
      </c>
      <c r="D23" s="7">
        <v>1</v>
      </c>
      <c r="E23" s="7"/>
      <c r="F23" s="7"/>
      <c r="G23" s="7"/>
      <c r="H23" s="7">
        <v>1</v>
      </c>
      <c r="I23" s="7">
        <v>1</v>
      </c>
      <c r="J23" s="7">
        <v>2</v>
      </c>
      <c r="K23" s="7"/>
      <c r="L23" s="7"/>
      <c r="M23" s="7"/>
      <c r="N23" s="7"/>
      <c r="O23" s="7">
        <v>2</v>
      </c>
      <c r="P23" s="7">
        <v>1</v>
      </c>
      <c r="Q23" s="7"/>
      <c r="R23" s="7">
        <v>1</v>
      </c>
      <c r="S23" s="7">
        <v>3</v>
      </c>
      <c r="T23" s="7">
        <v>1</v>
      </c>
      <c r="U23" s="7"/>
      <c r="V23" s="7"/>
      <c r="W23" s="7">
        <v>3</v>
      </c>
      <c r="X23" s="7">
        <v>1</v>
      </c>
      <c r="Y23" s="7"/>
      <c r="Z23" s="7"/>
      <c r="AA23" s="7"/>
      <c r="AB23" s="7"/>
      <c r="AC23" s="7">
        <v>1</v>
      </c>
      <c r="AD23" s="7"/>
      <c r="AE23" s="7"/>
      <c r="AF23" s="8"/>
      <c r="AG23" s="4">
        <f t="shared" si="2"/>
        <v>21</v>
      </c>
    </row>
    <row r="24" spans="1:33" ht="18.75" x14ac:dyDescent="0.25">
      <c r="A24" s="41" t="s">
        <v>51</v>
      </c>
      <c r="B24" s="7">
        <v>3</v>
      </c>
      <c r="C24" s="7">
        <v>1</v>
      </c>
      <c r="D24" s="7">
        <v>1</v>
      </c>
      <c r="E24" s="7">
        <v>3</v>
      </c>
      <c r="F24" s="7">
        <v>1</v>
      </c>
      <c r="G24" s="7"/>
      <c r="H24" s="7">
        <v>1</v>
      </c>
      <c r="I24" s="7">
        <v>1</v>
      </c>
      <c r="J24" s="7"/>
      <c r="K24" s="7"/>
      <c r="L24" s="7"/>
      <c r="M24" s="7"/>
      <c r="N24" s="7"/>
      <c r="O24" s="7"/>
      <c r="P24" s="7">
        <v>1</v>
      </c>
      <c r="Q24" s="7">
        <v>1</v>
      </c>
      <c r="R24" s="7"/>
      <c r="S24" s="7">
        <v>1</v>
      </c>
      <c r="T24" s="7">
        <v>1</v>
      </c>
      <c r="U24" s="7">
        <v>1</v>
      </c>
      <c r="V24" s="7"/>
      <c r="W24" s="7"/>
      <c r="X24" s="7"/>
      <c r="Y24" s="7">
        <v>2</v>
      </c>
      <c r="Z24" s="7"/>
      <c r="AA24" s="7"/>
      <c r="AB24" s="7"/>
      <c r="AC24" s="7"/>
      <c r="AD24" s="7">
        <v>2</v>
      </c>
      <c r="AE24" s="7">
        <v>1</v>
      </c>
      <c r="AF24" s="8"/>
      <c r="AG24" s="4">
        <f t="shared" si="2"/>
        <v>21</v>
      </c>
    </row>
    <row r="25" spans="1:33" ht="18.75" x14ac:dyDescent="0.25">
      <c r="A25" s="41" t="s">
        <v>52</v>
      </c>
      <c r="B25" s="7">
        <v>1</v>
      </c>
      <c r="C25" s="7">
        <v>2</v>
      </c>
      <c r="D25" s="7"/>
      <c r="E25" s="7">
        <v>1</v>
      </c>
      <c r="F25" s="7">
        <v>1</v>
      </c>
      <c r="G25" s="7"/>
      <c r="H25" s="7">
        <v>1</v>
      </c>
      <c r="I25" s="7"/>
      <c r="J25" s="7">
        <v>1</v>
      </c>
      <c r="K25" s="7"/>
      <c r="L25" s="7"/>
      <c r="M25" s="7"/>
      <c r="N25" s="7"/>
      <c r="O25" s="7"/>
      <c r="P25" s="7"/>
      <c r="Q25" s="7"/>
      <c r="R25" s="7"/>
      <c r="S25" s="7"/>
      <c r="T25" s="7">
        <v>1</v>
      </c>
      <c r="U25" s="7"/>
      <c r="V25" s="7"/>
      <c r="W25" s="7">
        <v>1</v>
      </c>
      <c r="X25" s="7"/>
      <c r="Y25" s="7"/>
      <c r="Z25" s="7"/>
      <c r="AA25" s="7">
        <v>1</v>
      </c>
      <c r="AB25" s="7"/>
      <c r="AC25" s="7"/>
      <c r="AD25" s="7"/>
      <c r="AE25" s="7">
        <v>1</v>
      </c>
      <c r="AF25" s="8"/>
      <c r="AG25" s="4">
        <f t="shared" si="2"/>
        <v>11</v>
      </c>
    </row>
    <row r="26" spans="1:33" ht="18.75" x14ac:dyDescent="0.25">
      <c r="A26" s="41" t="s">
        <v>37</v>
      </c>
      <c r="B26" s="7"/>
      <c r="C26" s="7"/>
      <c r="D26" s="7"/>
      <c r="E26" s="7">
        <v>1</v>
      </c>
      <c r="F26" s="7"/>
      <c r="G26" s="7"/>
      <c r="H26" s="7">
        <v>1</v>
      </c>
      <c r="I26" s="7"/>
      <c r="J26" s="7"/>
      <c r="K26" s="7"/>
      <c r="L26" s="7"/>
      <c r="M26" s="7"/>
      <c r="N26" s="7">
        <v>1</v>
      </c>
      <c r="O26" s="7"/>
      <c r="P26" s="7"/>
      <c r="Q26" s="7">
        <v>1</v>
      </c>
      <c r="R26" s="7"/>
      <c r="S26" s="7"/>
      <c r="T26" s="7"/>
      <c r="U26" s="7"/>
      <c r="V26" s="7"/>
      <c r="W26" s="7">
        <v>2</v>
      </c>
      <c r="X26" s="7">
        <v>1</v>
      </c>
      <c r="Y26" s="7"/>
      <c r="Z26" s="7"/>
      <c r="AA26" s="7"/>
      <c r="AB26" s="7"/>
      <c r="AC26" s="7"/>
      <c r="AD26" s="7"/>
      <c r="AE26" s="7"/>
      <c r="AF26" s="8"/>
      <c r="AG26" s="4">
        <f t="shared" si="2"/>
        <v>7</v>
      </c>
    </row>
    <row r="27" spans="1:33" ht="19.5" thickBot="1" x14ac:dyDescent="0.3">
      <c r="A27" s="81" t="s">
        <v>53</v>
      </c>
      <c r="B27" s="78"/>
      <c r="C27" s="78">
        <v>1</v>
      </c>
      <c r="D27" s="78">
        <v>2</v>
      </c>
      <c r="E27" s="78"/>
      <c r="F27" s="78"/>
      <c r="G27" s="78">
        <v>5</v>
      </c>
      <c r="H27" s="78"/>
      <c r="I27" s="78"/>
      <c r="J27" s="78">
        <v>1</v>
      </c>
      <c r="K27" s="78"/>
      <c r="L27" s="78">
        <v>1</v>
      </c>
      <c r="M27" s="78">
        <v>2</v>
      </c>
      <c r="N27" s="78">
        <v>1</v>
      </c>
      <c r="O27" s="78">
        <v>1</v>
      </c>
      <c r="P27" s="78">
        <v>2</v>
      </c>
      <c r="Q27" s="78">
        <v>3</v>
      </c>
      <c r="R27" s="78"/>
      <c r="S27" s="78"/>
      <c r="T27" s="78">
        <v>1</v>
      </c>
      <c r="U27" s="78"/>
      <c r="V27" s="78">
        <v>1</v>
      </c>
      <c r="W27" s="78"/>
      <c r="X27" s="78"/>
      <c r="Y27" s="78"/>
      <c r="Z27" s="78"/>
      <c r="AA27" s="78"/>
      <c r="AB27" s="78">
        <v>1</v>
      </c>
      <c r="AC27" s="78">
        <v>1</v>
      </c>
      <c r="AD27" s="78">
        <v>2</v>
      </c>
      <c r="AE27" s="78"/>
      <c r="AF27" s="83">
        <v>1</v>
      </c>
      <c r="AG27" s="4">
        <f t="shared" si="2"/>
        <v>26</v>
      </c>
    </row>
    <row r="28" spans="1:33" ht="18.75" x14ac:dyDescent="0.25">
      <c r="A28" s="79" t="s">
        <v>107</v>
      </c>
      <c r="B28" s="80">
        <f>SUM(B29:B52)</f>
        <v>82</v>
      </c>
      <c r="C28" s="80">
        <f t="shared" ref="C28:AF28" si="3">SUM(C29:C52)</f>
        <v>78</v>
      </c>
      <c r="D28" s="80">
        <f t="shared" si="3"/>
        <v>112</v>
      </c>
      <c r="E28" s="80">
        <f t="shared" si="3"/>
        <v>133</v>
      </c>
      <c r="F28" s="80">
        <f t="shared" si="3"/>
        <v>98</v>
      </c>
      <c r="G28" s="80">
        <f t="shared" si="3"/>
        <v>93</v>
      </c>
      <c r="H28" s="80">
        <f t="shared" si="3"/>
        <v>103</v>
      </c>
      <c r="I28" s="80">
        <f t="shared" si="3"/>
        <v>78</v>
      </c>
      <c r="J28" s="80">
        <f t="shared" si="3"/>
        <v>84</v>
      </c>
      <c r="K28" s="80">
        <f t="shared" si="3"/>
        <v>105</v>
      </c>
      <c r="L28" s="80">
        <f t="shared" si="3"/>
        <v>103</v>
      </c>
      <c r="M28" s="80">
        <f t="shared" si="3"/>
        <v>117</v>
      </c>
      <c r="N28" s="80">
        <f t="shared" si="3"/>
        <v>103</v>
      </c>
      <c r="O28" s="80">
        <f t="shared" si="3"/>
        <v>101</v>
      </c>
      <c r="P28" s="80">
        <f t="shared" si="3"/>
        <v>76</v>
      </c>
      <c r="Q28" s="80">
        <f t="shared" si="3"/>
        <v>87</v>
      </c>
      <c r="R28" s="80">
        <f t="shared" si="3"/>
        <v>156</v>
      </c>
      <c r="S28" s="80">
        <f t="shared" si="3"/>
        <v>118</v>
      </c>
      <c r="T28" s="80">
        <f t="shared" si="3"/>
        <v>108</v>
      </c>
      <c r="U28" s="80">
        <f t="shared" si="3"/>
        <v>97</v>
      </c>
      <c r="V28" s="80">
        <f t="shared" si="3"/>
        <v>120</v>
      </c>
      <c r="W28" s="80">
        <f t="shared" si="3"/>
        <v>101</v>
      </c>
      <c r="X28" s="80">
        <f t="shared" si="3"/>
        <v>100</v>
      </c>
      <c r="Y28" s="80">
        <f t="shared" si="3"/>
        <v>143</v>
      </c>
      <c r="Z28" s="80">
        <f t="shared" si="3"/>
        <v>92</v>
      </c>
      <c r="AA28" s="80">
        <f t="shared" si="3"/>
        <v>87</v>
      </c>
      <c r="AB28" s="80">
        <f t="shared" si="3"/>
        <v>101</v>
      </c>
      <c r="AC28" s="80">
        <f t="shared" si="3"/>
        <v>103</v>
      </c>
      <c r="AD28" s="80">
        <f t="shared" si="3"/>
        <v>82</v>
      </c>
      <c r="AE28" s="80">
        <f>SUM(AE29:AE52)</f>
        <v>93</v>
      </c>
      <c r="AF28" s="80">
        <f t="shared" si="3"/>
        <v>103</v>
      </c>
      <c r="AG28" s="150">
        <f t="shared" si="2"/>
        <v>3157</v>
      </c>
    </row>
    <row r="29" spans="1:33" ht="18.75" x14ac:dyDescent="0.25">
      <c r="A29" s="41" t="s">
        <v>54</v>
      </c>
      <c r="B29" s="7"/>
      <c r="C29" s="7">
        <v>1</v>
      </c>
      <c r="D29" s="7">
        <v>4</v>
      </c>
      <c r="E29" s="7">
        <v>2</v>
      </c>
      <c r="F29" s="7">
        <v>1</v>
      </c>
      <c r="G29" s="7">
        <v>3</v>
      </c>
      <c r="H29" s="7">
        <v>5</v>
      </c>
      <c r="I29" s="7">
        <v>3</v>
      </c>
      <c r="J29" s="7">
        <v>1</v>
      </c>
      <c r="K29" s="7">
        <v>5</v>
      </c>
      <c r="L29" s="7">
        <v>2</v>
      </c>
      <c r="M29" s="7">
        <v>3</v>
      </c>
      <c r="N29" s="7">
        <v>2</v>
      </c>
      <c r="O29" s="7">
        <v>6</v>
      </c>
      <c r="P29" s="7">
        <v>2</v>
      </c>
      <c r="Q29" s="7">
        <v>2</v>
      </c>
      <c r="R29" s="7">
        <v>3</v>
      </c>
      <c r="S29" s="7">
        <v>2</v>
      </c>
      <c r="T29" s="7">
        <v>2</v>
      </c>
      <c r="U29" s="7">
        <v>2</v>
      </c>
      <c r="V29" s="7">
        <v>1</v>
      </c>
      <c r="W29" s="7">
        <v>3</v>
      </c>
      <c r="X29" s="7">
        <v>3</v>
      </c>
      <c r="Y29" s="7">
        <v>5</v>
      </c>
      <c r="Z29" s="7">
        <v>1</v>
      </c>
      <c r="AA29" s="7">
        <v>2</v>
      </c>
      <c r="AB29" s="7">
        <v>5</v>
      </c>
      <c r="AC29" s="7">
        <v>5</v>
      </c>
      <c r="AD29" s="7">
        <v>3</v>
      </c>
      <c r="AE29" s="7">
        <v>2</v>
      </c>
      <c r="AF29" s="8">
        <v>1</v>
      </c>
      <c r="AG29" s="4">
        <f t="shared" si="2"/>
        <v>82</v>
      </c>
    </row>
    <row r="30" spans="1:33" ht="18.75" x14ac:dyDescent="0.25">
      <c r="A30" s="41" t="s">
        <v>55</v>
      </c>
      <c r="B30" s="7">
        <v>1</v>
      </c>
      <c r="C30" s="7">
        <v>5</v>
      </c>
      <c r="D30" s="7">
        <v>8</v>
      </c>
      <c r="E30" s="7">
        <v>7</v>
      </c>
      <c r="F30" s="7">
        <v>3</v>
      </c>
      <c r="G30" s="7">
        <v>3</v>
      </c>
      <c r="H30" s="7">
        <v>8</v>
      </c>
      <c r="I30" s="7">
        <v>4</v>
      </c>
      <c r="J30" s="7">
        <v>3</v>
      </c>
      <c r="K30" s="7">
        <v>6</v>
      </c>
      <c r="L30" s="7">
        <v>8</v>
      </c>
      <c r="M30" s="7">
        <v>3</v>
      </c>
      <c r="N30" s="7">
        <v>10</v>
      </c>
      <c r="O30" s="7">
        <v>6</v>
      </c>
      <c r="P30" s="7">
        <v>5</v>
      </c>
      <c r="Q30" s="7">
        <v>4</v>
      </c>
      <c r="R30" s="7">
        <v>12</v>
      </c>
      <c r="S30" s="7">
        <v>7</v>
      </c>
      <c r="T30" s="7">
        <v>3</v>
      </c>
      <c r="U30" s="7">
        <v>7</v>
      </c>
      <c r="V30" s="7">
        <v>10</v>
      </c>
      <c r="W30" s="7">
        <v>2</v>
      </c>
      <c r="X30" s="7">
        <v>4</v>
      </c>
      <c r="Y30" s="7">
        <v>9</v>
      </c>
      <c r="Z30" s="7">
        <v>7</v>
      </c>
      <c r="AA30" s="7">
        <v>3</v>
      </c>
      <c r="AB30" s="7">
        <v>1</v>
      </c>
      <c r="AC30" s="7">
        <v>7</v>
      </c>
      <c r="AD30" s="7">
        <v>2</v>
      </c>
      <c r="AE30" s="7">
        <v>2</v>
      </c>
      <c r="AF30" s="8">
        <v>5</v>
      </c>
      <c r="AG30" s="4">
        <f t="shared" si="2"/>
        <v>165</v>
      </c>
    </row>
    <row r="31" spans="1:33" ht="18.75" x14ac:dyDescent="0.25">
      <c r="A31" s="41" t="s">
        <v>56</v>
      </c>
      <c r="B31" s="7">
        <v>6</v>
      </c>
      <c r="C31" s="7">
        <v>5</v>
      </c>
      <c r="D31" s="7">
        <v>5</v>
      </c>
      <c r="E31" s="7">
        <v>8</v>
      </c>
      <c r="F31" s="7">
        <v>1</v>
      </c>
      <c r="G31" s="7">
        <v>8</v>
      </c>
      <c r="H31" s="7">
        <v>9</v>
      </c>
      <c r="I31" s="7">
        <v>5</v>
      </c>
      <c r="J31" s="7">
        <v>6</v>
      </c>
      <c r="K31" s="7">
        <v>9</v>
      </c>
      <c r="L31" s="7">
        <v>6</v>
      </c>
      <c r="M31" s="7">
        <v>8</v>
      </c>
      <c r="N31" s="7">
        <v>3</v>
      </c>
      <c r="O31" s="7">
        <v>6</v>
      </c>
      <c r="P31" s="7">
        <v>4</v>
      </c>
      <c r="Q31" s="7">
        <v>7</v>
      </c>
      <c r="R31" s="7">
        <v>13</v>
      </c>
      <c r="S31" s="7">
        <v>8</v>
      </c>
      <c r="T31" s="7">
        <v>7</v>
      </c>
      <c r="U31" s="7">
        <v>4</v>
      </c>
      <c r="V31" s="7">
        <v>10</v>
      </c>
      <c r="W31" s="7">
        <v>3</v>
      </c>
      <c r="X31" s="7">
        <v>4</v>
      </c>
      <c r="Y31" s="7">
        <v>11</v>
      </c>
      <c r="Z31" s="7">
        <v>5</v>
      </c>
      <c r="AA31" s="7">
        <v>3</v>
      </c>
      <c r="AB31" s="7">
        <v>7</v>
      </c>
      <c r="AC31" s="7">
        <v>4</v>
      </c>
      <c r="AD31" s="7">
        <v>4</v>
      </c>
      <c r="AE31" s="7">
        <v>3</v>
      </c>
      <c r="AF31" s="8">
        <v>4</v>
      </c>
      <c r="AG31" s="4">
        <f t="shared" si="2"/>
        <v>186</v>
      </c>
    </row>
    <row r="32" spans="1:33" ht="18.75" x14ac:dyDescent="0.25">
      <c r="A32" s="41" t="s">
        <v>38</v>
      </c>
      <c r="B32" s="7">
        <v>5</v>
      </c>
      <c r="C32" s="7">
        <v>4</v>
      </c>
      <c r="D32" s="7">
        <v>9</v>
      </c>
      <c r="E32" s="7">
        <v>13</v>
      </c>
      <c r="F32" s="7">
        <v>7</v>
      </c>
      <c r="G32" s="7">
        <v>5</v>
      </c>
      <c r="H32" s="7">
        <v>7</v>
      </c>
      <c r="I32" s="7">
        <v>9</v>
      </c>
      <c r="J32" s="7">
        <v>4</v>
      </c>
      <c r="K32" s="7">
        <v>6</v>
      </c>
      <c r="L32" s="7">
        <v>7</v>
      </c>
      <c r="M32" s="7">
        <v>7</v>
      </c>
      <c r="N32" s="7">
        <v>9</v>
      </c>
      <c r="O32" s="7">
        <v>7</v>
      </c>
      <c r="P32" s="7">
        <v>11</v>
      </c>
      <c r="Q32" s="7">
        <v>4</v>
      </c>
      <c r="R32" s="7">
        <v>15</v>
      </c>
      <c r="S32" s="7">
        <v>10</v>
      </c>
      <c r="T32" s="7">
        <v>6</v>
      </c>
      <c r="U32" s="7">
        <v>4</v>
      </c>
      <c r="V32" s="7">
        <v>7</v>
      </c>
      <c r="W32" s="7">
        <v>4</v>
      </c>
      <c r="X32" s="7">
        <v>8</v>
      </c>
      <c r="Y32" s="7">
        <v>8</v>
      </c>
      <c r="Z32" s="7">
        <v>9</v>
      </c>
      <c r="AA32" s="7">
        <v>3</v>
      </c>
      <c r="AB32" s="7">
        <v>7</v>
      </c>
      <c r="AC32" s="7">
        <v>5</v>
      </c>
      <c r="AD32" s="7">
        <v>5</v>
      </c>
      <c r="AE32" s="7">
        <v>6</v>
      </c>
      <c r="AF32" s="8">
        <v>3</v>
      </c>
      <c r="AG32" s="4">
        <f t="shared" si="2"/>
        <v>214</v>
      </c>
    </row>
    <row r="33" spans="1:33" ht="18.75" x14ac:dyDescent="0.25">
      <c r="A33" s="41" t="s">
        <v>39</v>
      </c>
      <c r="B33" s="7">
        <v>5</v>
      </c>
      <c r="C33" s="7">
        <v>4</v>
      </c>
      <c r="D33" s="7">
        <v>9</v>
      </c>
      <c r="E33" s="7">
        <v>12</v>
      </c>
      <c r="F33" s="7">
        <v>9</v>
      </c>
      <c r="G33" s="7">
        <v>8</v>
      </c>
      <c r="H33" s="7">
        <v>8</v>
      </c>
      <c r="I33" s="7">
        <v>6</v>
      </c>
      <c r="J33" s="7">
        <v>2</v>
      </c>
      <c r="K33" s="7">
        <v>8</v>
      </c>
      <c r="L33" s="7">
        <v>12</v>
      </c>
      <c r="M33" s="7">
        <v>9</v>
      </c>
      <c r="N33" s="7">
        <v>7</v>
      </c>
      <c r="O33" s="7">
        <v>15</v>
      </c>
      <c r="P33" s="7">
        <v>6</v>
      </c>
      <c r="Q33" s="7">
        <v>4</v>
      </c>
      <c r="R33" s="7">
        <v>11</v>
      </c>
      <c r="S33" s="7">
        <v>13</v>
      </c>
      <c r="T33" s="7">
        <v>9</v>
      </c>
      <c r="U33" s="7">
        <v>3</v>
      </c>
      <c r="V33" s="7">
        <v>6</v>
      </c>
      <c r="W33" s="7">
        <v>9</v>
      </c>
      <c r="X33" s="7">
        <v>5</v>
      </c>
      <c r="Y33" s="7">
        <v>6</v>
      </c>
      <c r="Z33" s="7">
        <v>5</v>
      </c>
      <c r="AA33" s="7">
        <v>4</v>
      </c>
      <c r="AB33" s="7">
        <v>7</v>
      </c>
      <c r="AC33" s="7">
        <v>5</v>
      </c>
      <c r="AD33" s="7">
        <v>3</v>
      </c>
      <c r="AE33" s="7">
        <v>4</v>
      </c>
      <c r="AF33" s="8">
        <v>10</v>
      </c>
      <c r="AG33" s="4">
        <f t="shared" si="2"/>
        <v>224</v>
      </c>
    </row>
    <row r="34" spans="1:33" ht="18.75" x14ac:dyDescent="0.25">
      <c r="A34" s="41" t="s">
        <v>40</v>
      </c>
      <c r="B34" s="7">
        <v>3</v>
      </c>
      <c r="C34" s="7">
        <v>8</v>
      </c>
      <c r="D34" s="7">
        <v>6</v>
      </c>
      <c r="E34" s="7">
        <v>5</v>
      </c>
      <c r="F34" s="7">
        <v>7</v>
      </c>
      <c r="G34" s="7">
        <v>5</v>
      </c>
      <c r="H34" s="7">
        <v>5</v>
      </c>
      <c r="I34" s="7">
        <v>3</v>
      </c>
      <c r="J34" s="7">
        <v>3</v>
      </c>
      <c r="K34" s="7">
        <v>8</v>
      </c>
      <c r="L34" s="7">
        <v>4</v>
      </c>
      <c r="M34" s="7">
        <v>10</v>
      </c>
      <c r="N34" s="7">
        <v>9</v>
      </c>
      <c r="O34" s="7">
        <v>4</v>
      </c>
      <c r="P34" s="7">
        <v>7</v>
      </c>
      <c r="Q34" s="7">
        <v>3</v>
      </c>
      <c r="R34" s="7">
        <v>11</v>
      </c>
      <c r="S34" s="7">
        <v>8</v>
      </c>
      <c r="T34" s="7">
        <v>4</v>
      </c>
      <c r="U34" s="7">
        <v>9</v>
      </c>
      <c r="V34" s="7">
        <v>9</v>
      </c>
      <c r="W34" s="7">
        <v>4</v>
      </c>
      <c r="X34" s="7">
        <v>6</v>
      </c>
      <c r="Y34" s="7">
        <v>9</v>
      </c>
      <c r="Z34" s="7">
        <v>3</v>
      </c>
      <c r="AA34" s="7">
        <v>3</v>
      </c>
      <c r="AB34" s="7">
        <v>3</v>
      </c>
      <c r="AC34" s="7">
        <v>5</v>
      </c>
      <c r="AD34" s="7">
        <v>3</v>
      </c>
      <c r="AE34" s="7">
        <v>6</v>
      </c>
      <c r="AF34" s="8">
        <v>6</v>
      </c>
      <c r="AG34" s="4">
        <f t="shared" si="2"/>
        <v>179</v>
      </c>
    </row>
    <row r="35" spans="1:33" ht="18.75" x14ac:dyDescent="0.25">
      <c r="A35" s="41" t="s">
        <v>41</v>
      </c>
      <c r="B35" s="7">
        <v>8</v>
      </c>
      <c r="C35" s="7">
        <v>2</v>
      </c>
      <c r="D35" s="7">
        <v>11</v>
      </c>
      <c r="E35" s="7">
        <v>3</v>
      </c>
      <c r="F35" s="7">
        <v>4</v>
      </c>
      <c r="G35" s="7">
        <v>4</v>
      </c>
      <c r="H35" s="7">
        <v>5</v>
      </c>
      <c r="I35" s="7">
        <v>3</v>
      </c>
      <c r="J35" s="7">
        <v>7</v>
      </c>
      <c r="K35" s="7">
        <v>4</v>
      </c>
      <c r="L35" s="7">
        <v>6</v>
      </c>
      <c r="M35" s="7">
        <v>5</v>
      </c>
      <c r="N35" s="7">
        <v>4</v>
      </c>
      <c r="O35" s="7">
        <v>4</v>
      </c>
      <c r="P35" s="7">
        <v>3</v>
      </c>
      <c r="Q35" s="7">
        <v>2</v>
      </c>
      <c r="R35" s="7">
        <v>4</v>
      </c>
      <c r="S35" s="7">
        <v>10</v>
      </c>
      <c r="T35" s="7">
        <v>4</v>
      </c>
      <c r="U35" s="7">
        <v>9</v>
      </c>
      <c r="V35" s="7">
        <v>4</v>
      </c>
      <c r="W35" s="7">
        <v>4</v>
      </c>
      <c r="X35" s="7">
        <v>3</v>
      </c>
      <c r="Y35" s="7">
        <v>9</v>
      </c>
      <c r="Z35" s="7">
        <v>5</v>
      </c>
      <c r="AA35" s="7">
        <v>7</v>
      </c>
      <c r="AB35" s="7">
        <v>8</v>
      </c>
      <c r="AC35" s="7">
        <v>8</v>
      </c>
      <c r="AD35" s="7">
        <v>4</v>
      </c>
      <c r="AE35" s="7">
        <v>9</v>
      </c>
      <c r="AF35" s="8">
        <v>11</v>
      </c>
      <c r="AG35" s="4">
        <f t="shared" si="2"/>
        <v>174</v>
      </c>
    </row>
    <row r="36" spans="1:33" ht="18.75" x14ac:dyDescent="0.25">
      <c r="A36" s="41" t="s">
        <v>42</v>
      </c>
      <c r="B36" s="7">
        <v>4</v>
      </c>
      <c r="C36" s="7">
        <v>4</v>
      </c>
      <c r="D36" s="7">
        <v>9</v>
      </c>
      <c r="E36" s="7">
        <v>9</v>
      </c>
      <c r="F36" s="7">
        <v>6</v>
      </c>
      <c r="G36" s="7">
        <v>6</v>
      </c>
      <c r="H36" s="7">
        <v>6</v>
      </c>
      <c r="I36" s="7">
        <v>5</v>
      </c>
      <c r="J36" s="7">
        <v>8</v>
      </c>
      <c r="K36" s="7">
        <v>6</v>
      </c>
      <c r="L36" s="7">
        <v>10</v>
      </c>
      <c r="M36" s="7">
        <v>10</v>
      </c>
      <c r="N36" s="7">
        <v>12</v>
      </c>
      <c r="O36" s="7">
        <v>8</v>
      </c>
      <c r="P36" s="7">
        <v>6</v>
      </c>
      <c r="Q36" s="7">
        <v>7</v>
      </c>
      <c r="R36" s="7">
        <v>8</v>
      </c>
      <c r="S36" s="7">
        <v>5</v>
      </c>
      <c r="T36" s="7">
        <v>8</v>
      </c>
      <c r="U36" s="7">
        <v>7</v>
      </c>
      <c r="V36" s="7">
        <v>7</v>
      </c>
      <c r="W36" s="7">
        <v>8</v>
      </c>
      <c r="X36" s="7">
        <v>8</v>
      </c>
      <c r="Y36" s="7">
        <v>12</v>
      </c>
      <c r="Z36" s="7">
        <v>8</v>
      </c>
      <c r="AA36" s="7">
        <v>7</v>
      </c>
      <c r="AB36" s="7">
        <v>5</v>
      </c>
      <c r="AC36" s="7">
        <v>6</v>
      </c>
      <c r="AD36" s="7">
        <v>6</v>
      </c>
      <c r="AE36" s="7">
        <v>5</v>
      </c>
      <c r="AF36" s="8">
        <v>6</v>
      </c>
      <c r="AG36" s="4">
        <f t="shared" si="2"/>
        <v>222</v>
      </c>
    </row>
    <row r="37" spans="1:33" ht="18.75" x14ac:dyDescent="0.25">
      <c r="A37" s="41" t="s">
        <v>43</v>
      </c>
      <c r="B37" s="7">
        <v>4</v>
      </c>
      <c r="C37" s="7">
        <v>6</v>
      </c>
      <c r="D37" s="7">
        <v>5</v>
      </c>
      <c r="E37" s="7">
        <v>8</v>
      </c>
      <c r="F37" s="7">
        <v>9</v>
      </c>
      <c r="G37" s="7">
        <v>9</v>
      </c>
      <c r="H37" s="7">
        <v>6</v>
      </c>
      <c r="I37" s="7">
        <v>3</v>
      </c>
      <c r="J37" s="7">
        <v>4</v>
      </c>
      <c r="K37" s="7">
        <v>8</v>
      </c>
      <c r="L37" s="7">
        <v>9</v>
      </c>
      <c r="M37" s="7">
        <v>10</v>
      </c>
      <c r="N37" s="7">
        <v>10</v>
      </c>
      <c r="O37" s="7">
        <v>8</v>
      </c>
      <c r="P37" s="7">
        <v>7</v>
      </c>
      <c r="Q37" s="7">
        <v>7</v>
      </c>
      <c r="R37" s="7">
        <v>13</v>
      </c>
      <c r="S37" s="7">
        <v>8</v>
      </c>
      <c r="T37" s="7">
        <v>8</v>
      </c>
      <c r="U37" s="7">
        <v>9</v>
      </c>
      <c r="V37" s="7">
        <v>11</v>
      </c>
      <c r="W37" s="7">
        <v>6</v>
      </c>
      <c r="X37" s="7">
        <v>5</v>
      </c>
      <c r="Y37" s="7">
        <v>12</v>
      </c>
      <c r="Z37" s="7">
        <v>7</v>
      </c>
      <c r="AA37" s="7">
        <v>7</v>
      </c>
      <c r="AB37" s="7">
        <v>8</v>
      </c>
      <c r="AC37" s="7">
        <v>10</v>
      </c>
      <c r="AD37" s="7">
        <v>5</v>
      </c>
      <c r="AE37" s="7">
        <v>13</v>
      </c>
      <c r="AF37" s="8">
        <v>7</v>
      </c>
      <c r="AG37" s="4">
        <f t="shared" si="2"/>
        <v>242</v>
      </c>
    </row>
    <row r="38" spans="1:33" ht="18.75" x14ac:dyDescent="0.25">
      <c r="A38" s="41" t="s">
        <v>44</v>
      </c>
      <c r="B38" s="7">
        <v>8</v>
      </c>
      <c r="C38" s="7">
        <v>7</v>
      </c>
      <c r="D38" s="7">
        <v>7</v>
      </c>
      <c r="E38" s="7">
        <v>10</v>
      </c>
      <c r="F38" s="7">
        <v>9</v>
      </c>
      <c r="G38" s="7">
        <v>11</v>
      </c>
      <c r="H38" s="7">
        <v>8</v>
      </c>
      <c r="I38" s="7">
        <v>7</v>
      </c>
      <c r="J38" s="7">
        <v>4</v>
      </c>
      <c r="K38" s="7">
        <v>11</v>
      </c>
      <c r="L38" s="7">
        <v>6</v>
      </c>
      <c r="M38" s="7">
        <v>9</v>
      </c>
      <c r="N38" s="7">
        <v>4</v>
      </c>
      <c r="O38" s="7">
        <v>8</v>
      </c>
      <c r="P38" s="7">
        <v>5</v>
      </c>
      <c r="Q38" s="7">
        <v>3</v>
      </c>
      <c r="R38" s="7">
        <v>13</v>
      </c>
      <c r="S38" s="7">
        <v>9</v>
      </c>
      <c r="T38" s="7">
        <v>5</v>
      </c>
      <c r="U38" s="7">
        <v>13</v>
      </c>
      <c r="V38" s="7">
        <v>7</v>
      </c>
      <c r="W38" s="7">
        <v>10</v>
      </c>
      <c r="X38" s="7">
        <v>6</v>
      </c>
      <c r="Y38" s="7">
        <v>4</v>
      </c>
      <c r="Z38" s="7">
        <v>9</v>
      </c>
      <c r="AA38" s="7">
        <v>5</v>
      </c>
      <c r="AB38" s="7">
        <v>8</v>
      </c>
      <c r="AC38" s="7">
        <v>6</v>
      </c>
      <c r="AD38" s="7">
        <v>7</v>
      </c>
      <c r="AE38" s="7">
        <v>7</v>
      </c>
      <c r="AF38" s="8">
        <v>5</v>
      </c>
      <c r="AG38" s="4">
        <f t="shared" si="2"/>
        <v>231</v>
      </c>
    </row>
    <row r="39" spans="1:33" ht="18.75" x14ac:dyDescent="0.25">
      <c r="A39" s="41" t="s">
        <v>45</v>
      </c>
      <c r="B39" s="7">
        <v>8</v>
      </c>
      <c r="C39" s="7">
        <v>6</v>
      </c>
      <c r="D39" s="7">
        <v>11</v>
      </c>
      <c r="E39" s="7">
        <v>14</v>
      </c>
      <c r="F39" s="7">
        <v>9</v>
      </c>
      <c r="G39" s="7">
        <v>7</v>
      </c>
      <c r="H39" s="7">
        <v>10</v>
      </c>
      <c r="I39" s="7">
        <v>5</v>
      </c>
      <c r="J39" s="7">
        <v>7</v>
      </c>
      <c r="K39" s="7">
        <v>11</v>
      </c>
      <c r="L39" s="7">
        <v>10</v>
      </c>
      <c r="M39" s="7">
        <v>11</v>
      </c>
      <c r="N39" s="7">
        <v>5</v>
      </c>
      <c r="O39" s="7">
        <v>5</v>
      </c>
      <c r="P39" s="7">
        <v>5</v>
      </c>
      <c r="Q39" s="7">
        <v>10</v>
      </c>
      <c r="R39" s="7">
        <v>9</v>
      </c>
      <c r="S39" s="7">
        <v>10</v>
      </c>
      <c r="T39" s="7">
        <v>11</v>
      </c>
      <c r="U39" s="7">
        <v>7</v>
      </c>
      <c r="V39" s="7">
        <v>12</v>
      </c>
      <c r="W39" s="7">
        <v>10</v>
      </c>
      <c r="X39" s="7">
        <v>8</v>
      </c>
      <c r="Y39" s="7">
        <v>13</v>
      </c>
      <c r="Z39" s="7">
        <v>9</v>
      </c>
      <c r="AA39" s="7">
        <v>12</v>
      </c>
      <c r="AB39" s="7">
        <v>13</v>
      </c>
      <c r="AC39" s="7">
        <v>11</v>
      </c>
      <c r="AD39" s="7">
        <v>5</v>
      </c>
      <c r="AE39" s="7">
        <v>8</v>
      </c>
      <c r="AF39" s="8">
        <v>11</v>
      </c>
      <c r="AG39" s="4">
        <f t="shared" si="2"/>
        <v>283</v>
      </c>
    </row>
    <row r="40" spans="1:33" ht="18.75" x14ac:dyDescent="0.25">
      <c r="A40" s="41" t="s">
        <v>46</v>
      </c>
      <c r="B40" s="7">
        <v>6</v>
      </c>
      <c r="C40" s="7">
        <v>8</v>
      </c>
      <c r="D40" s="7">
        <v>7</v>
      </c>
      <c r="E40" s="7">
        <v>9</v>
      </c>
      <c r="F40" s="7">
        <v>8</v>
      </c>
      <c r="G40" s="7">
        <v>7</v>
      </c>
      <c r="H40" s="7">
        <v>5</v>
      </c>
      <c r="I40" s="7">
        <v>8</v>
      </c>
      <c r="J40" s="7">
        <v>7</v>
      </c>
      <c r="K40" s="7">
        <v>8</v>
      </c>
      <c r="L40" s="7">
        <v>9</v>
      </c>
      <c r="M40" s="7">
        <v>6</v>
      </c>
      <c r="N40" s="7">
        <v>8</v>
      </c>
      <c r="O40" s="7">
        <v>4</v>
      </c>
      <c r="P40" s="7">
        <v>1</v>
      </c>
      <c r="Q40" s="7">
        <v>2</v>
      </c>
      <c r="R40" s="7">
        <v>11</v>
      </c>
      <c r="S40" s="7">
        <v>7</v>
      </c>
      <c r="T40" s="7">
        <v>11</v>
      </c>
      <c r="U40" s="7">
        <v>3</v>
      </c>
      <c r="V40" s="7">
        <v>8</v>
      </c>
      <c r="W40" s="7">
        <v>5</v>
      </c>
      <c r="X40" s="7">
        <v>9</v>
      </c>
      <c r="Y40" s="7">
        <v>9</v>
      </c>
      <c r="Z40" s="7">
        <v>11</v>
      </c>
      <c r="AA40" s="7">
        <v>10</v>
      </c>
      <c r="AB40" s="7">
        <v>8</v>
      </c>
      <c r="AC40" s="7">
        <v>5</v>
      </c>
      <c r="AD40" s="7">
        <v>7</v>
      </c>
      <c r="AE40" s="7">
        <v>6</v>
      </c>
      <c r="AF40" s="8">
        <v>13</v>
      </c>
      <c r="AG40" s="4">
        <f t="shared" si="2"/>
        <v>226</v>
      </c>
    </row>
    <row r="41" spans="1:33" ht="18.75" x14ac:dyDescent="0.25">
      <c r="A41" s="41" t="s">
        <v>47</v>
      </c>
      <c r="B41" s="7">
        <v>5</v>
      </c>
      <c r="C41" s="7">
        <v>3</v>
      </c>
      <c r="D41" s="7">
        <v>3</v>
      </c>
      <c r="E41" s="7">
        <v>6</v>
      </c>
      <c r="F41" s="7">
        <v>7</v>
      </c>
      <c r="G41" s="7">
        <v>3</v>
      </c>
      <c r="H41" s="7">
        <v>8</v>
      </c>
      <c r="I41" s="7">
        <v>4</v>
      </c>
      <c r="J41" s="7">
        <v>8</v>
      </c>
      <c r="K41" s="7">
        <v>7</v>
      </c>
      <c r="L41" s="7">
        <v>4</v>
      </c>
      <c r="M41" s="7">
        <v>3</v>
      </c>
      <c r="N41" s="7">
        <v>7</v>
      </c>
      <c r="O41" s="7">
        <v>5</v>
      </c>
      <c r="P41" s="7">
        <v>4</v>
      </c>
      <c r="Q41" s="7">
        <v>11</v>
      </c>
      <c r="R41" s="7">
        <v>12</v>
      </c>
      <c r="S41" s="7">
        <v>9</v>
      </c>
      <c r="T41" s="7">
        <v>6</v>
      </c>
      <c r="U41" s="7">
        <v>2</v>
      </c>
      <c r="V41" s="7">
        <v>7</v>
      </c>
      <c r="W41" s="7">
        <v>5</v>
      </c>
      <c r="X41" s="7">
        <v>7</v>
      </c>
      <c r="Y41" s="7">
        <v>4</v>
      </c>
      <c r="Z41" s="7">
        <v>2</v>
      </c>
      <c r="AA41" s="7">
        <v>10</v>
      </c>
      <c r="AB41" s="7">
        <v>10</v>
      </c>
      <c r="AC41" s="7">
        <v>10</v>
      </c>
      <c r="AD41" s="7">
        <v>7</v>
      </c>
      <c r="AE41" s="7">
        <v>5</v>
      </c>
      <c r="AF41" s="8">
        <v>3</v>
      </c>
      <c r="AG41" s="4">
        <f t="shared" si="2"/>
        <v>187</v>
      </c>
    </row>
    <row r="42" spans="1:33" ht="18.75" x14ac:dyDescent="0.25">
      <c r="A42" s="41" t="s">
        <v>48</v>
      </c>
      <c r="B42" s="7">
        <v>4</v>
      </c>
      <c r="C42" s="7">
        <v>5</v>
      </c>
      <c r="D42" s="7">
        <v>5</v>
      </c>
      <c r="E42" s="7">
        <v>7</v>
      </c>
      <c r="F42" s="7">
        <v>7</v>
      </c>
      <c r="G42" s="7">
        <v>6</v>
      </c>
      <c r="H42" s="7">
        <v>5</v>
      </c>
      <c r="I42" s="7">
        <v>4</v>
      </c>
      <c r="J42" s="7">
        <v>6</v>
      </c>
      <c r="K42" s="7">
        <v>4</v>
      </c>
      <c r="L42" s="7">
        <v>3</v>
      </c>
      <c r="M42" s="7">
        <v>7</v>
      </c>
      <c r="N42" s="7">
        <v>7</v>
      </c>
      <c r="O42" s="7">
        <v>4</v>
      </c>
      <c r="P42" s="7"/>
      <c r="Q42" s="7">
        <v>5</v>
      </c>
      <c r="R42" s="7">
        <v>6</v>
      </c>
      <c r="S42" s="7">
        <v>3</v>
      </c>
      <c r="T42" s="7">
        <v>5</v>
      </c>
      <c r="U42" s="7">
        <v>8</v>
      </c>
      <c r="V42" s="7">
        <v>5</v>
      </c>
      <c r="W42" s="7">
        <v>5</v>
      </c>
      <c r="X42" s="7">
        <v>8</v>
      </c>
      <c r="Y42" s="7">
        <v>12</v>
      </c>
      <c r="Z42" s="7">
        <v>5</v>
      </c>
      <c r="AA42" s="7">
        <v>6</v>
      </c>
      <c r="AB42" s="7">
        <v>3</v>
      </c>
      <c r="AC42" s="7">
        <v>2</v>
      </c>
      <c r="AD42" s="7">
        <v>7</v>
      </c>
      <c r="AE42" s="7">
        <v>4</v>
      </c>
      <c r="AF42" s="8">
        <v>11</v>
      </c>
      <c r="AG42" s="4">
        <f t="shared" si="2"/>
        <v>169</v>
      </c>
    </row>
    <row r="43" spans="1:33" ht="18.75" x14ac:dyDescent="0.25">
      <c r="A43" s="41" t="s">
        <v>49</v>
      </c>
      <c r="B43" s="7">
        <v>2</v>
      </c>
      <c r="C43" s="7"/>
      <c r="D43" s="7">
        <v>3</v>
      </c>
      <c r="E43" s="7">
        <v>3</v>
      </c>
      <c r="F43" s="7">
        <v>5</v>
      </c>
      <c r="G43" s="7">
        <v>4</v>
      </c>
      <c r="H43" s="7">
        <v>3</v>
      </c>
      <c r="I43" s="7">
        <v>1</v>
      </c>
      <c r="J43" s="7">
        <v>5</v>
      </c>
      <c r="K43" s="7">
        <v>1</v>
      </c>
      <c r="L43" s="7">
        <v>4</v>
      </c>
      <c r="M43" s="7">
        <v>6</v>
      </c>
      <c r="N43" s="7"/>
      <c r="O43" s="7">
        <v>2</v>
      </c>
      <c r="P43" s="7">
        <v>2</v>
      </c>
      <c r="Q43" s="7">
        <v>5</v>
      </c>
      <c r="R43" s="7">
        <v>4</v>
      </c>
      <c r="S43" s="7">
        <v>4</v>
      </c>
      <c r="T43" s="7">
        <v>9</v>
      </c>
      <c r="U43" s="7">
        <v>4</v>
      </c>
      <c r="V43" s="7">
        <v>7</v>
      </c>
      <c r="W43" s="7">
        <v>2</v>
      </c>
      <c r="X43" s="7">
        <v>5</v>
      </c>
      <c r="Y43" s="7">
        <v>6</v>
      </c>
      <c r="Z43" s="7">
        <v>2</v>
      </c>
      <c r="AA43" s="7">
        <v>1</v>
      </c>
      <c r="AB43" s="7">
        <v>3</v>
      </c>
      <c r="AC43" s="7">
        <v>6</v>
      </c>
      <c r="AD43" s="7">
        <v>7</v>
      </c>
      <c r="AE43" s="7">
        <v>5</v>
      </c>
      <c r="AF43" s="8">
        <v>2</v>
      </c>
      <c r="AG43" s="4">
        <f t="shared" si="2"/>
        <v>113</v>
      </c>
    </row>
    <row r="44" spans="1:33" ht="18.75" x14ac:dyDescent="0.25">
      <c r="A44" s="41" t="s">
        <v>50</v>
      </c>
      <c r="B44" s="7"/>
      <c r="C44" s="7">
        <v>3</v>
      </c>
      <c r="D44" s="7">
        <v>3</v>
      </c>
      <c r="E44" s="7">
        <v>4</v>
      </c>
      <c r="F44" s="7">
        <v>1</v>
      </c>
      <c r="G44" s="7">
        <v>1</v>
      </c>
      <c r="H44" s="7"/>
      <c r="I44" s="7">
        <v>1</v>
      </c>
      <c r="J44" s="7">
        <v>2</v>
      </c>
      <c r="K44" s="7">
        <v>1</v>
      </c>
      <c r="L44" s="7">
        <v>2</v>
      </c>
      <c r="M44" s="7">
        <v>4</v>
      </c>
      <c r="N44" s="7"/>
      <c r="O44" s="7">
        <v>2</v>
      </c>
      <c r="P44" s="7">
        <v>4</v>
      </c>
      <c r="Q44" s="7">
        <v>5</v>
      </c>
      <c r="R44" s="7">
        <v>3</v>
      </c>
      <c r="S44" s="7"/>
      <c r="T44" s="7">
        <v>2</v>
      </c>
      <c r="U44" s="7">
        <v>3</v>
      </c>
      <c r="V44" s="7">
        <v>5</v>
      </c>
      <c r="W44" s="7">
        <v>4</v>
      </c>
      <c r="X44" s="7">
        <v>3</v>
      </c>
      <c r="Y44" s="7">
        <v>4</v>
      </c>
      <c r="Z44" s="7">
        <v>3</v>
      </c>
      <c r="AA44" s="7"/>
      <c r="AB44" s="7">
        <v>2</v>
      </c>
      <c r="AC44" s="7">
        <v>3</v>
      </c>
      <c r="AD44" s="7">
        <v>1</v>
      </c>
      <c r="AE44" s="7">
        <v>5</v>
      </c>
      <c r="AF44" s="8">
        <v>1</v>
      </c>
      <c r="AG44" s="4">
        <f t="shared" si="2"/>
        <v>72</v>
      </c>
    </row>
    <row r="45" spans="1:33" ht="18.75" x14ac:dyDescent="0.25">
      <c r="A45" s="41" t="s">
        <v>33</v>
      </c>
      <c r="B45" s="7">
        <v>4</v>
      </c>
      <c r="C45" s="7">
        <v>1</v>
      </c>
      <c r="D45" s="7">
        <v>1</v>
      </c>
      <c r="E45" s="7">
        <v>2</v>
      </c>
      <c r="F45" s="7">
        <v>1</v>
      </c>
      <c r="G45" s="7">
        <v>2</v>
      </c>
      <c r="H45" s="7">
        <v>1</v>
      </c>
      <c r="I45" s="7">
        <v>5</v>
      </c>
      <c r="J45" s="7">
        <v>1</v>
      </c>
      <c r="K45" s="7">
        <v>1</v>
      </c>
      <c r="L45" s="7">
        <v>1</v>
      </c>
      <c r="M45" s="7"/>
      <c r="N45" s="7">
        <v>1</v>
      </c>
      <c r="O45" s="7"/>
      <c r="P45" s="7">
        <v>2</v>
      </c>
      <c r="Q45" s="7">
        <v>1</v>
      </c>
      <c r="R45" s="7">
        <v>4</v>
      </c>
      <c r="S45" s="7">
        <v>1</v>
      </c>
      <c r="T45" s="7">
        <v>2</v>
      </c>
      <c r="U45" s="7">
        <v>1</v>
      </c>
      <c r="V45" s="7"/>
      <c r="W45" s="7">
        <v>2</v>
      </c>
      <c r="X45" s="7">
        <v>2</v>
      </c>
      <c r="Y45" s="7">
        <v>6</v>
      </c>
      <c r="Z45" s="7"/>
      <c r="AA45" s="7"/>
      <c r="AB45" s="7"/>
      <c r="AC45" s="7">
        <v>3</v>
      </c>
      <c r="AD45" s="7">
        <v>1</v>
      </c>
      <c r="AE45" s="7">
        <v>1</v>
      </c>
      <c r="AF45" s="8"/>
      <c r="AG45" s="4">
        <f t="shared" si="2"/>
        <v>47</v>
      </c>
    </row>
    <row r="46" spans="1:33" ht="18.75" x14ac:dyDescent="0.25">
      <c r="A46" s="41" t="s">
        <v>34</v>
      </c>
      <c r="B46" s="7">
        <v>2</v>
      </c>
      <c r="C46" s="7">
        <v>1</v>
      </c>
      <c r="D46" s="7">
        <v>2</v>
      </c>
      <c r="E46" s="7">
        <v>1</v>
      </c>
      <c r="F46" s="7">
        <v>1</v>
      </c>
      <c r="G46" s="7"/>
      <c r="H46" s="7"/>
      <c r="I46" s="7"/>
      <c r="J46" s="7">
        <v>1</v>
      </c>
      <c r="K46" s="7">
        <v>1</v>
      </c>
      <c r="L46" s="7"/>
      <c r="M46" s="7"/>
      <c r="N46" s="7">
        <v>1</v>
      </c>
      <c r="O46" s="7"/>
      <c r="P46" s="7"/>
      <c r="Q46" s="7"/>
      <c r="R46" s="7">
        <v>2</v>
      </c>
      <c r="S46" s="7"/>
      <c r="T46" s="7">
        <v>1</v>
      </c>
      <c r="U46" s="7"/>
      <c r="V46" s="7">
        <v>1</v>
      </c>
      <c r="W46" s="7">
        <v>8</v>
      </c>
      <c r="X46" s="7">
        <v>3</v>
      </c>
      <c r="Y46" s="7">
        <v>2</v>
      </c>
      <c r="Z46" s="7"/>
      <c r="AA46" s="7">
        <v>1</v>
      </c>
      <c r="AB46" s="7">
        <v>2</v>
      </c>
      <c r="AC46" s="7"/>
      <c r="AD46" s="7">
        <v>2</v>
      </c>
      <c r="AE46" s="7"/>
      <c r="AF46" s="8">
        <v>2</v>
      </c>
      <c r="AG46" s="4">
        <f t="shared" si="2"/>
        <v>34</v>
      </c>
    </row>
    <row r="47" spans="1:33" ht="18.75" x14ac:dyDescent="0.25">
      <c r="A47" s="41" t="s">
        <v>35</v>
      </c>
      <c r="B47" s="7"/>
      <c r="C47" s="7"/>
      <c r="D47" s="7">
        <v>1</v>
      </c>
      <c r="E47" s="7">
        <v>5</v>
      </c>
      <c r="F47" s="7">
        <v>1</v>
      </c>
      <c r="G47" s="7"/>
      <c r="H47" s="7"/>
      <c r="I47" s="7"/>
      <c r="J47" s="7">
        <v>1</v>
      </c>
      <c r="K47" s="7"/>
      <c r="L47" s="7"/>
      <c r="M47" s="7">
        <v>5</v>
      </c>
      <c r="N47" s="7">
        <v>2</v>
      </c>
      <c r="O47" s="7">
        <v>2</v>
      </c>
      <c r="P47" s="7"/>
      <c r="Q47" s="7">
        <v>1</v>
      </c>
      <c r="R47" s="7">
        <v>1</v>
      </c>
      <c r="S47" s="7"/>
      <c r="T47" s="7">
        <v>1</v>
      </c>
      <c r="U47" s="7">
        <v>1</v>
      </c>
      <c r="V47" s="7">
        <v>2</v>
      </c>
      <c r="W47" s="7">
        <v>1</v>
      </c>
      <c r="X47" s="7"/>
      <c r="Y47" s="7"/>
      <c r="Z47" s="7"/>
      <c r="AA47" s="7">
        <v>2</v>
      </c>
      <c r="AB47" s="7"/>
      <c r="AC47" s="7">
        <v>1</v>
      </c>
      <c r="AD47" s="7"/>
      <c r="AE47" s="7"/>
      <c r="AF47" s="8">
        <v>1</v>
      </c>
      <c r="AG47" s="4">
        <f t="shared" si="2"/>
        <v>28</v>
      </c>
    </row>
    <row r="48" spans="1:33" ht="18.75" x14ac:dyDescent="0.25">
      <c r="A48" s="41" t="s">
        <v>36</v>
      </c>
      <c r="B48" s="7">
        <v>2</v>
      </c>
      <c r="C48" s="7">
        <v>2</v>
      </c>
      <c r="D48" s="7">
        <v>1</v>
      </c>
      <c r="E48" s="7"/>
      <c r="F48" s="7"/>
      <c r="G48" s="7"/>
      <c r="H48" s="7"/>
      <c r="I48" s="7">
        <v>1</v>
      </c>
      <c r="J48" s="7">
        <v>1</v>
      </c>
      <c r="K48" s="7"/>
      <c r="L48" s="7"/>
      <c r="M48" s="7"/>
      <c r="N48" s="7"/>
      <c r="O48" s="7">
        <v>3</v>
      </c>
      <c r="P48" s="7">
        <v>1</v>
      </c>
      <c r="Q48" s="7"/>
      <c r="R48" s="7">
        <v>1</v>
      </c>
      <c r="S48" s="7">
        <v>3</v>
      </c>
      <c r="T48" s="7">
        <v>1</v>
      </c>
      <c r="U48" s="7"/>
      <c r="V48" s="7"/>
      <c r="W48" s="7">
        <v>2</v>
      </c>
      <c r="X48" s="7">
        <v>1</v>
      </c>
      <c r="Y48" s="7"/>
      <c r="Z48" s="7">
        <v>1</v>
      </c>
      <c r="AA48" s="7"/>
      <c r="AB48" s="7"/>
      <c r="AC48" s="7"/>
      <c r="AD48" s="7"/>
      <c r="AE48" s="7"/>
      <c r="AF48" s="8"/>
      <c r="AG48" s="4">
        <f t="shared" si="2"/>
        <v>20</v>
      </c>
    </row>
    <row r="49" spans="1:33" ht="18.75" x14ac:dyDescent="0.25">
      <c r="A49" s="41" t="s">
        <v>51</v>
      </c>
      <c r="B49" s="7">
        <v>4</v>
      </c>
      <c r="C49" s="7">
        <v>1</v>
      </c>
      <c r="D49" s="7"/>
      <c r="E49" s="7">
        <v>3</v>
      </c>
      <c r="F49" s="7">
        <v>1</v>
      </c>
      <c r="G49" s="7"/>
      <c r="H49" s="7">
        <v>1</v>
      </c>
      <c r="I49" s="7">
        <v>1</v>
      </c>
      <c r="J49" s="7">
        <v>1</v>
      </c>
      <c r="K49" s="7"/>
      <c r="L49" s="7"/>
      <c r="M49" s="7"/>
      <c r="N49" s="7"/>
      <c r="O49" s="7">
        <v>2</v>
      </c>
      <c r="P49" s="7">
        <v>1</v>
      </c>
      <c r="Q49" s="7">
        <v>1</v>
      </c>
      <c r="R49" s="7"/>
      <c r="S49" s="7">
        <v>1</v>
      </c>
      <c r="T49" s="7"/>
      <c r="U49" s="7"/>
      <c r="V49" s="7"/>
      <c r="W49" s="7">
        <v>1</v>
      </c>
      <c r="X49" s="7">
        <v>1</v>
      </c>
      <c r="Y49" s="7">
        <v>2</v>
      </c>
      <c r="Z49" s="7"/>
      <c r="AA49" s="7"/>
      <c r="AB49" s="7"/>
      <c r="AC49" s="7">
        <v>1</v>
      </c>
      <c r="AD49" s="7">
        <v>2</v>
      </c>
      <c r="AE49" s="7">
        <v>1</v>
      </c>
      <c r="AF49" s="8"/>
      <c r="AG49" s="4">
        <f t="shared" si="2"/>
        <v>25</v>
      </c>
    </row>
    <row r="50" spans="1:33" ht="18.75" x14ac:dyDescent="0.25">
      <c r="A50" s="41" t="s">
        <v>52</v>
      </c>
      <c r="B50" s="7">
        <v>1</v>
      </c>
      <c r="C50" s="7">
        <v>2</v>
      </c>
      <c r="D50" s="7">
        <v>1</v>
      </c>
      <c r="E50" s="7"/>
      <c r="F50" s="7"/>
      <c r="G50" s="7"/>
      <c r="H50" s="7">
        <v>1</v>
      </c>
      <c r="I50" s="7"/>
      <c r="J50" s="7">
        <v>1</v>
      </c>
      <c r="K50" s="7"/>
      <c r="L50" s="7"/>
      <c r="M50" s="7"/>
      <c r="N50" s="7"/>
      <c r="O50" s="7"/>
      <c r="P50" s="7"/>
      <c r="Q50" s="7"/>
      <c r="R50" s="7"/>
      <c r="S50" s="7"/>
      <c r="T50" s="7">
        <v>2</v>
      </c>
      <c r="U50" s="7">
        <v>1</v>
      </c>
      <c r="V50" s="7"/>
      <c r="W50" s="7"/>
      <c r="X50" s="7"/>
      <c r="Y50" s="7"/>
      <c r="Z50" s="7"/>
      <c r="AA50" s="7">
        <v>1</v>
      </c>
      <c r="AB50" s="7"/>
      <c r="AC50" s="7"/>
      <c r="AD50" s="7"/>
      <c r="AE50" s="7">
        <v>1</v>
      </c>
      <c r="AF50" s="8"/>
      <c r="AG50" s="4">
        <f t="shared" si="2"/>
        <v>11</v>
      </c>
    </row>
    <row r="51" spans="1:33" ht="18.75" x14ac:dyDescent="0.25">
      <c r="A51" s="41" t="s">
        <v>37</v>
      </c>
      <c r="B51" s="7"/>
      <c r="C51" s="7"/>
      <c r="D51" s="7"/>
      <c r="E51" s="7">
        <v>2</v>
      </c>
      <c r="F51" s="7">
        <v>1</v>
      </c>
      <c r="G51" s="7"/>
      <c r="H51" s="7">
        <v>2</v>
      </c>
      <c r="I51" s="7"/>
      <c r="J51" s="7"/>
      <c r="K51" s="7"/>
      <c r="L51" s="7"/>
      <c r="M51" s="7"/>
      <c r="N51" s="7">
        <v>1</v>
      </c>
      <c r="O51" s="7"/>
      <c r="P51" s="7"/>
      <c r="Q51" s="7"/>
      <c r="R51" s="7"/>
      <c r="S51" s="7"/>
      <c r="T51" s="7"/>
      <c r="U51" s="7"/>
      <c r="V51" s="7"/>
      <c r="W51" s="7">
        <v>3</v>
      </c>
      <c r="X51" s="7">
        <v>1</v>
      </c>
      <c r="Y51" s="7"/>
      <c r="Z51" s="7"/>
      <c r="AA51" s="7"/>
      <c r="AB51" s="7"/>
      <c r="AC51" s="7"/>
      <c r="AD51" s="7"/>
      <c r="AE51" s="7"/>
      <c r="AF51" s="8"/>
      <c r="AG51" s="4">
        <f t="shared" si="2"/>
        <v>10</v>
      </c>
    </row>
    <row r="52" spans="1:33" ht="19.5" thickBot="1" x14ac:dyDescent="0.3">
      <c r="A52" s="77" t="s">
        <v>53</v>
      </c>
      <c r="B52" s="9"/>
      <c r="C52" s="9"/>
      <c r="D52" s="9">
        <v>1</v>
      </c>
      <c r="E52" s="9"/>
      <c r="F52" s="9"/>
      <c r="G52" s="9">
        <v>1</v>
      </c>
      <c r="H52" s="9"/>
      <c r="I52" s="9"/>
      <c r="J52" s="9">
        <v>1</v>
      </c>
      <c r="K52" s="9"/>
      <c r="L52" s="9"/>
      <c r="M52" s="9">
        <v>1</v>
      </c>
      <c r="N52" s="9">
        <v>1</v>
      </c>
      <c r="O52" s="9"/>
      <c r="P52" s="9"/>
      <c r="Q52" s="9">
        <v>3</v>
      </c>
      <c r="R52" s="9"/>
      <c r="S52" s="9"/>
      <c r="T52" s="9">
        <v>1</v>
      </c>
      <c r="U52" s="9"/>
      <c r="V52" s="9">
        <v>1</v>
      </c>
      <c r="W52" s="9"/>
      <c r="X52" s="9"/>
      <c r="Y52" s="9"/>
      <c r="Z52" s="9"/>
      <c r="AA52" s="9"/>
      <c r="AB52" s="9">
        <v>1</v>
      </c>
      <c r="AC52" s="9"/>
      <c r="AD52" s="9">
        <v>1</v>
      </c>
      <c r="AE52" s="9"/>
      <c r="AF52" s="10">
        <v>1</v>
      </c>
      <c r="AG52" s="108">
        <f t="shared" si="2"/>
        <v>13</v>
      </c>
    </row>
    <row r="53" spans="1:33" ht="19.5" thickBot="1" x14ac:dyDescent="0.3">
      <c r="A53" s="136" t="s">
        <v>108</v>
      </c>
      <c r="B53" s="135">
        <f t="shared" ref="B53:AF53" si="4">SUM(B54:B77)</f>
        <v>1</v>
      </c>
      <c r="C53" s="135">
        <f t="shared" si="4"/>
        <v>1</v>
      </c>
      <c r="D53" s="135">
        <f t="shared" si="4"/>
        <v>12</v>
      </c>
      <c r="E53" s="135">
        <f t="shared" si="4"/>
        <v>9</v>
      </c>
      <c r="F53" s="135">
        <f t="shared" si="4"/>
        <v>8</v>
      </c>
      <c r="G53" s="135">
        <f t="shared" si="4"/>
        <v>18</v>
      </c>
      <c r="H53" s="135">
        <f t="shared" si="4"/>
        <v>8</v>
      </c>
      <c r="I53" s="135">
        <f t="shared" si="4"/>
        <v>0</v>
      </c>
      <c r="J53" s="135">
        <f t="shared" si="4"/>
        <v>2</v>
      </c>
      <c r="K53" s="135">
        <f t="shared" si="4"/>
        <v>7</v>
      </c>
      <c r="L53" s="135">
        <f t="shared" si="4"/>
        <v>6</v>
      </c>
      <c r="M53" s="135">
        <f t="shared" si="4"/>
        <v>7</v>
      </c>
      <c r="N53" s="135">
        <f t="shared" si="4"/>
        <v>6</v>
      </c>
      <c r="O53" s="135">
        <f t="shared" si="4"/>
        <v>1</v>
      </c>
      <c r="P53" s="135">
        <f t="shared" si="4"/>
        <v>1</v>
      </c>
      <c r="Q53" s="135">
        <f t="shared" si="4"/>
        <v>1</v>
      </c>
      <c r="R53" s="135">
        <f t="shared" si="4"/>
        <v>9</v>
      </c>
      <c r="S53" s="135">
        <f t="shared" si="4"/>
        <v>4</v>
      </c>
      <c r="T53" s="135">
        <f t="shared" si="4"/>
        <v>6</v>
      </c>
      <c r="U53" s="135">
        <f t="shared" si="4"/>
        <v>1</v>
      </c>
      <c r="V53" s="135">
        <f t="shared" si="4"/>
        <v>14</v>
      </c>
      <c r="W53" s="135">
        <f t="shared" si="4"/>
        <v>6</v>
      </c>
      <c r="X53" s="135">
        <f t="shared" si="4"/>
        <v>0</v>
      </c>
      <c r="Y53" s="135">
        <f t="shared" si="4"/>
        <v>16</v>
      </c>
      <c r="Z53" s="135">
        <f t="shared" si="4"/>
        <v>7</v>
      </c>
      <c r="AA53" s="135">
        <f t="shared" si="4"/>
        <v>3</v>
      </c>
      <c r="AB53" s="135">
        <f t="shared" si="4"/>
        <v>8</v>
      </c>
      <c r="AC53" s="135">
        <f t="shared" si="4"/>
        <v>7</v>
      </c>
      <c r="AD53" s="135">
        <f t="shared" si="4"/>
        <v>8</v>
      </c>
      <c r="AE53" s="135">
        <f t="shared" si="4"/>
        <v>6</v>
      </c>
      <c r="AF53" s="135">
        <f t="shared" si="4"/>
        <v>11</v>
      </c>
      <c r="AG53" s="116">
        <f t="shared" si="2"/>
        <v>194</v>
      </c>
    </row>
    <row r="54" spans="1:33" ht="18.75" x14ac:dyDescent="0.25">
      <c r="A54" s="113" t="s">
        <v>54</v>
      </c>
      <c r="B54" s="114"/>
      <c r="C54" s="114"/>
      <c r="D54" s="7"/>
      <c r="E54" s="114"/>
      <c r="F54" s="114"/>
      <c r="G54" s="7"/>
      <c r="H54" s="114"/>
      <c r="I54" s="114"/>
      <c r="J54" s="114"/>
      <c r="K54" s="114"/>
      <c r="L54" s="114"/>
      <c r="M54" s="114"/>
      <c r="N54" s="114"/>
      <c r="O54" s="114"/>
      <c r="P54" s="114"/>
      <c r="Q54" s="114"/>
      <c r="R54" s="114"/>
      <c r="S54" s="114"/>
      <c r="T54" s="114"/>
      <c r="U54" s="114"/>
      <c r="V54" s="114"/>
      <c r="W54" s="114"/>
      <c r="X54" s="114"/>
      <c r="Y54" s="114"/>
      <c r="Z54" s="114"/>
      <c r="AA54" s="114"/>
      <c r="AB54" s="114">
        <v>1</v>
      </c>
      <c r="AC54" s="114">
        <v>1</v>
      </c>
      <c r="AD54" s="114">
        <v>1</v>
      </c>
      <c r="AE54" s="114"/>
      <c r="AF54" s="115">
        <v>1</v>
      </c>
      <c r="AG54" s="132">
        <f t="shared" si="2"/>
        <v>4</v>
      </c>
    </row>
    <row r="55" spans="1:33" ht="18.75" x14ac:dyDescent="0.25">
      <c r="A55" s="41" t="s">
        <v>55</v>
      </c>
      <c r="B55" s="7"/>
      <c r="C55" s="7"/>
      <c r="D55" s="7">
        <v>5</v>
      </c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>
        <v>1</v>
      </c>
      <c r="R55" s="7"/>
      <c r="S55" s="7"/>
      <c r="T55" s="7"/>
      <c r="U55" s="7"/>
      <c r="V55" s="7"/>
      <c r="W55" s="7"/>
      <c r="X55" s="7"/>
      <c r="Y55" s="7">
        <v>1</v>
      </c>
      <c r="Z55" s="7"/>
      <c r="AA55" s="7"/>
      <c r="AB55" s="7"/>
      <c r="AC55" s="7"/>
      <c r="AD55" s="7"/>
      <c r="AE55" s="7"/>
      <c r="AF55" s="8"/>
      <c r="AG55" s="4">
        <f t="shared" si="2"/>
        <v>7</v>
      </c>
    </row>
    <row r="56" spans="1:33" ht="18.75" x14ac:dyDescent="0.25">
      <c r="A56" s="41" t="s">
        <v>56</v>
      </c>
      <c r="B56" s="7"/>
      <c r="C56" s="7"/>
      <c r="D56" s="7"/>
      <c r="E56" s="7">
        <v>1</v>
      </c>
      <c r="F56" s="7"/>
      <c r="G56" s="7"/>
      <c r="H56" s="7"/>
      <c r="I56" s="7"/>
      <c r="J56" s="7"/>
      <c r="K56" s="7"/>
      <c r="L56" s="7">
        <v>1</v>
      </c>
      <c r="M56" s="7"/>
      <c r="N56" s="7"/>
      <c r="O56" s="7">
        <v>1</v>
      </c>
      <c r="P56" s="7"/>
      <c r="Q56" s="7"/>
      <c r="R56" s="7">
        <v>2</v>
      </c>
      <c r="S56" s="7"/>
      <c r="T56" s="7"/>
      <c r="U56" s="7"/>
      <c r="V56" s="7">
        <v>1</v>
      </c>
      <c r="W56" s="7"/>
      <c r="X56" s="7"/>
      <c r="Y56" s="7">
        <v>1</v>
      </c>
      <c r="Z56" s="7"/>
      <c r="AA56" s="7"/>
      <c r="AB56" s="7">
        <v>2</v>
      </c>
      <c r="AC56" s="7">
        <v>1</v>
      </c>
      <c r="AD56" s="7"/>
      <c r="AE56" s="7"/>
      <c r="AF56" s="8">
        <v>1</v>
      </c>
      <c r="AG56" s="4">
        <f t="shared" si="2"/>
        <v>11</v>
      </c>
    </row>
    <row r="57" spans="1:33" ht="18.75" x14ac:dyDescent="0.25">
      <c r="A57" s="41" t="s">
        <v>38</v>
      </c>
      <c r="B57" s="7">
        <v>1</v>
      </c>
      <c r="C57" s="7"/>
      <c r="D57" s="7"/>
      <c r="E57" s="7">
        <v>1</v>
      </c>
      <c r="F57" s="7">
        <v>1</v>
      </c>
      <c r="G57" s="7"/>
      <c r="H57" s="7"/>
      <c r="I57" s="7"/>
      <c r="J57" s="7">
        <v>1</v>
      </c>
      <c r="K57" s="7">
        <v>1</v>
      </c>
      <c r="L57" s="7"/>
      <c r="M57" s="7"/>
      <c r="N57" s="7"/>
      <c r="O57" s="7"/>
      <c r="P57" s="7"/>
      <c r="Q57" s="7"/>
      <c r="R57" s="7">
        <v>2</v>
      </c>
      <c r="S57" s="7">
        <v>2</v>
      </c>
      <c r="T57" s="7"/>
      <c r="U57" s="7"/>
      <c r="V57" s="7">
        <v>4</v>
      </c>
      <c r="W57" s="7">
        <v>1</v>
      </c>
      <c r="X57" s="7"/>
      <c r="Y57" s="7"/>
      <c r="Z57" s="7">
        <v>1</v>
      </c>
      <c r="AA57" s="7"/>
      <c r="AB57" s="7">
        <v>1</v>
      </c>
      <c r="AC57" s="7"/>
      <c r="AD57" s="7">
        <v>2</v>
      </c>
      <c r="AE57" s="7">
        <v>1</v>
      </c>
      <c r="AF57" s="8"/>
      <c r="AG57" s="4">
        <f t="shared" si="2"/>
        <v>19</v>
      </c>
    </row>
    <row r="58" spans="1:33" ht="18.75" x14ac:dyDescent="0.25">
      <c r="A58" s="41" t="s">
        <v>39</v>
      </c>
      <c r="B58" s="7"/>
      <c r="C58" s="7"/>
      <c r="D58" s="7">
        <v>4</v>
      </c>
      <c r="E58" s="7">
        <v>1</v>
      </c>
      <c r="F58" s="7">
        <v>1</v>
      </c>
      <c r="G58" s="7">
        <v>1</v>
      </c>
      <c r="H58" s="7">
        <v>2</v>
      </c>
      <c r="I58" s="7"/>
      <c r="J58" s="7"/>
      <c r="K58" s="7">
        <v>1</v>
      </c>
      <c r="L58" s="7"/>
      <c r="M58" s="7">
        <v>1</v>
      </c>
      <c r="N58" s="7"/>
      <c r="O58" s="7"/>
      <c r="P58" s="7">
        <v>1</v>
      </c>
      <c r="Q58" s="7"/>
      <c r="R58" s="7"/>
      <c r="S58" s="7"/>
      <c r="T58" s="7">
        <v>4</v>
      </c>
      <c r="U58" s="7"/>
      <c r="V58" s="7">
        <v>3</v>
      </c>
      <c r="W58" s="7"/>
      <c r="X58" s="7"/>
      <c r="Y58" s="7">
        <v>1</v>
      </c>
      <c r="Z58" s="7"/>
      <c r="AA58" s="7"/>
      <c r="AB58" s="7"/>
      <c r="AC58" s="7"/>
      <c r="AD58" s="7"/>
      <c r="AE58" s="7"/>
      <c r="AF58" s="8">
        <v>2</v>
      </c>
      <c r="AG58" s="4">
        <f t="shared" si="2"/>
        <v>22</v>
      </c>
    </row>
    <row r="59" spans="1:33" ht="18.75" x14ac:dyDescent="0.25">
      <c r="A59" s="41" t="s">
        <v>40</v>
      </c>
      <c r="B59" s="7"/>
      <c r="C59" s="7"/>
      <c r="D59" s="7"/>
      <c r="E59" s="7">
        <v>1</v>
      </c>
      <c r="F59" s="7">
        <v>1</v>
      </c>
      <c r="G59" s="7">
        <v>3</v>
      </c>
      <c r="H59" s="7"/>
      <c r="I59" s="7"/>
      <c r="J59" s="7"/>
      <c r="K59" s="7">
        <v>1</v>
      </c>
      <c r="L59" s="7"/>
      <c r="M59" s="7"/>
      <c r="N59" s="7"/>
      <c r="O59" s="7"/>
      <c r="P59" s="7"/>
      <c r="Q59" s="7"/>
      <c r="R59" s="7">
        <v>4</v>
      </c>
      <c r="S59" s="7"/>
      <c r="T59" s="7">
        <v>1</v>
      </c>
      <c r="U59" s="7"/>
      <c r="V59" s="7">
        <v>1</v>
      </c>
      <c r="W59" s="7">
        <v>1</v>
      </c>
      <c r="X59" s="7"/>
      <c r="Y59" s="7"/>
      <c r="Z59" s="7"/>
      <c r="AA59" s="7"/>
      <c r="AB59" s="7"/>
      <c r="AC59" s="7"/>
      <c r="AD59" s="7"/>
      <c r="AE59" s="7"/>
      <c r="AF59" s="8"/>
      <c r="AG59" s="4">
        <f t="shared" si="2"/>
        <v>13</v>
      </c>
    </row>
    <row r="60" spans="1:33" ht="18.75" x14ac:dyDescent="0.25">
      <c r="A60" s="41" t="s">
        <v>41</v>
      </c>
      <c r="B60" s="7"/>
      <c r="C60" s="7"/>
      <c r="D60" s="7">
        <v>1</v>
      </c>
      <c r="E60" s="7"/>
      <c r="F60" s="7">
        <v>2</v>
      </c>
      <c r="G60" s="7">
        <v>1</v>
      </c>
      <c r="H60" s="7">
        <v>1</v>
      </c>
      <c r="I60" s="7"/>
      <c r="J60" s="7"/>
      <c r="K60" s="7">
        <v>1</v>
      </c>
      <c r="L60" s="7">
        <v>1</v>
      </c>
      <c r="M60" s="7">
        <v>1</v>
      </c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>
        <v>1</v>
      </c>
      <c r="Z60" s="7">
        <v>4</v>
      </c>
      <c r="AA60" s="7"/>
      <c r="AB60" s="7"/>
      <c r="AC60" s="7">
        <v>3</v>
      </c>
      <c r="AD60" s="7"/>
      <c r="AE60" s="7"/>
      <c r="AF60" s="8">
        <v>1</v>
      </c>
      <c r="AG60" s="4">
        <f t="shared" si="2"/>
        <v>17</v>
      </c>
    </row>
    <row r="61" spans="1:33" ht="18.75" x14ac:dyDescent="0.25">
      <c r="A61" s="41" t="s">
        <v>42</v>
      </c>
      <c r="B61" s="7"/>
      <c r="C61" s="7"/>
      <c r="D61" s="7"/>
      <c r="E61" s="7"/>
      <c r="F61" s="7"/>
      <c r="G61" s="7">
        <v>5</v>
      </c>
      <c r="H61" s="7"/>
      <c r="I61" s="7"/>
      <c r="J61" s="7"/>
      <c r="K61" s="7"/>
      <c r="L61" s="7">
        <v>1</v>
      </c>
      <c r="M61" s="7">
        <v>2</v>
      </c>
      <c r="N61" s="7"/>
      <c r="O61" s="7"/>
      <c r="P61" s="7"/>
      <c r="Q61" s="7"/>
      <c r="R61" s="7"/>
      <c r="S61" s="7"/>
      <c r="T61" s="7"/>
      <c r="U61" s="7"/>
      <c r="V61" s="7"/>
      <c r="W61" s="7">
        <v>1</v>
      </c>
      <c r="X61" s="7"/>
      <c r="Y61" s="7">
        <v>3</v>
      </c>
      <c r="Z61" s="7"/>
      <c r="AA61" s="7"/>
      <c r="AB61" s="7">
        <v>1</v>
      </c>
      <c r="AC61" s="7"/>
      <c r="AD61" s="7"/>
      <c r="AE61" s="7"/>
      <c r="AF61" s="8"/>
      <c r="AG61" s="4">
        <f t="shared" si="2"/>
        <v>13</v>
      </c>
    </row>
    <row r="62" spans="1:33" ht="18.75" x14ac:dyDescent="0.25">
      <c r="A62" s="41" t="s">
        <v>43</v>
      </c>
      <c r="B62" s="7"/>
      <c r="C62" s="7"/>
      <c r="D62" s="7"/>
      <c r="E62" s="7"/>
      <c r="F62" s="7"/>
      <c r="G62" s="7">
        <v>1</v>
      </c>
      <c r="H62" s="7">
        <v>3</v>
      </c>
      <c r="I62" s="7"/>
      <c r="J62" s="7"/>
      <c r="K62" s="7">
        <v>1</v>
      </c>
      <c r="L62" s="7"/>
      <c r="M62" s="7"/>
      <c r="N62" s="7">
        <v>1</v>
      </c>
      <c r="O62" s="7"/>
      <c r="P62" s="7"/>
      <c r="Q62" s="7"/>
      <c r="R62" s="7"/>
      <c r="S62" s="7"/>
      <c r="T62" s="7"/>
      <c r="U62" s="7"/>
      <c r="V62" s="7">
        <v>1</v>
      </c>
      <c r="W62" s="7"/>
      <c r="X62" s="7"/>
      <c r="Y62" s="7"/>
      <c r="Z62" s="7"/>
      <c r="AA62" s="7"/>
      <c r="AB62" s="7">
        <v>1</v>
      </c>
      <c r="AC62" s="7"/>
      <c r="AD62" s="7">
        <v>3</v>
      </c>
      <c r="AE62" s="7">
        <v>3</v>
      </c>
      <c r="AF62" s="8">
        <v>1</v>
      </c>
      <c r="AG62" s="4">
        <f t="shared" si="2"/>
        <v>15</v>
      </c>
    </row>
    <row r="63" spans="1:33" ht="18.75" x14ac:dyDescent="0.25">
      <c r="A63" s="41" t="s">
        <v>44</v>
      </c>
      <c r="B63" s="7"/>
      <c r="C63" s="7"/>
      <c r="D63" s="7"/>
      <c r="E63" s="7"/>
      <c r="F63" s="7"/>
      <c r="G63" s="7"/>
      <c r="H63" s="7">
        <v>1</v>
      </c>
      <c r="I63" s="7"/>
      <c r="J63" s="7"/>
      <c r="K63" s="7"/>
      <c r="L63" s="7"/>
      <c r="M63" s="7">
        <v>1</v>
      </c>
      <c r="N63" s="7">
        <v>2</v>
      </c>
      <c r="O63" s="7"/>
      <c r="P63" s="7"/>
      <c r="Q63" s="7"/>
      <c r="R63" s="7"/>
      <c r="S63" s="7">
        <v>1</v>
      </c>
      <c r="T63" s="7">
        <v>1</v>
      </c>
      <c r="U63" s="7">
        <v>1</v>
      </c>
      <c r="V63" s="7">
        <v>1</v>
      </c>
      <c r="W63" s="7"/>
      <c r="X63" s="7"/>
      <c r="Y63" s="7">
        <v>3</v>
      </c>
      <c r="Z63" s="7"/>
      <c r="AA63" s="7">
        <v>1</v>
      </c>
      <c r="AB63" s="7"/>
      <c r="AC63" s="7"/>
      <c r="AD63" s="7">
        <v>2</v>
      </c>
      <c r="AE63" s="7"/>
      <c r="AF63" s="8"/>
      <c r="AG63" s="4">
        <f t="shared" si="2"/>
        <v>14</v>
      </c>
    </row>
    <row r="64" spans="1:33" ht="18.75" x14ac:dyDescent="0.25">
      <c r="A64" s="41" t="s">
        <v>45</v>
      </c>
      <c r="B64" s="7"/>
      <c r="C64" s="7"/>
      <c r="D64" s="7">
        <v>2</v>
      </c>
      <c r="E64" s="7">
        <v>2</v>
      </c>
      <c r="F64" s="7">
        <v>2</v>
      </c>
      <c r="G64" s="7">
        <v>2</v>
      </c>
      <c r="H64" s="7"/>
      <c r="I64" s="7"/>
      <c r="J64" s="7"/>
      <c r="K64" s="7">
        <v>2</v>
      </c>
      <c r="L64" s="7"/>
      <c r="M64" s="7"/>
      <c r="N64" s="7">
        <v>1</v>
      </c>
      <c r="O64" s="7"/>
      <c r="P64" s="7"/>
      <c r="Q64" s="7"/>
      <c r="R64" s="7"/>
      <c r="S64" s="7">
        <v>1</v>
      </c>
      <c r="T64" s="7"/>
      <c r="U64" s="7"/>
      <c r="V64" s="7"/>
      <c r="W64" s="7"/>
      <c r="X64" s="7"/>
      <c r="Y64" s="7">
        <v>3</v>
      </c>
      <c r="Z64" s="7">
        <v>1</v>
      </c>
      <c r="AA64" s="7"/>
      <c r="AB64" s="7"/>
      <c r="AC64" s="7"/>
      <c r="AD64" s="7"/>
      <c r="AE64" s="7">
        <v>1</v>
      </c>
      <c r="AF64" s="8">
        <v>3</v>
      </c>
      <c r="AG64" s="4">
        <f t="shared" si="2"/>
        <v>20</v>
      </c>
    </row>
    <row r="65" spans="1:33" ht="18.75" x14ac:dyDescent="0.25">
      <c r="A65" s="41" t="s">
        <v>46</v>
      </c>
      <c r="B65" s="7"/>
      <c r="C65" s="7"/>
      <c r="D65" s="7"/>
      <c r="E65" s="7">
        <v>2</v>
      </c>
      <c r="F65" s="7"/>
      <c r="G65" s="7">
        <v>1</v>
      </c>
      <c r="H65" s="7"/>
      <c r="I65" s="7"/>
      <c r="J65" s="7"/>
      <c r="K65" s="7"/>
      <c r="L65" s="7">
        <v>1</v>
      </c>
      <c r="M65" s="7">
        <v>1</v>
      </c>
      <c r="N65" s="7"/>
      <c r="O65" s="7"/>
      <c r="P65" s="7"/>
      <c r="Q65" s="7"/>
      <c r="R65" s="7">
        <v>1</v>
      </c>
      <c r="S65" s="7"/>
      <c r="T65" s="7"/>
      <c r="U65" s="7"/>
      <c r="V65" s="7">
        <v>1</v>
      </c>
      <c r="W65" s="7"/>
      <c r="X65" s="7"/>
      <c r="Y65" s="7">
        <v>1</v>
      </c>
      <c r="Z65" s="7"/>
      <c r="AA65" s="7">
        <v>1</v>
      </c>
      <c r="AB65" s="7"/>
      <c r="AC65" s="7"/>
      <c r="AD65" s="7"/>
      <c r="AE65" s="7">
        <v>1</v>
      </c>
      <c r="AF65" s="8"/>
      <c r="AG65" s="4">
        <f t="shared" si="2"/>
        <v>10</v>
      </c>
    </row>
    <row r="66" spans="1:33" ht="18.75" x14ac:dyDescent="0.25">
      <c r="A66" s="41" t="s">
        <v>47</v>
      </c>
      <c r="B66" s="7"/>
      <c r="C66" s="7"/>
      <c r="D66" s="7"/>
      <c r="E66" s="7"/>
      <c r="F66" s="7"/>
      <c r="G66" s="7"/>
      <c r="H66" s="7"/>
      <c r="I66" s="7"/>
      <c r="J66" s="7">
        <v>1</v>
      </c>
      <c r="K66" s="7"/>
      <c r="L66" s="7"/>
      <c r="M66" s="7"/>
      <c r="N66" s="7">
        <v>1</v>
      </c>
      <c r="O66" s="7"/>
      <c r="P66" s="7"/>
      <c r="Q66" s="7"/>
      <c r="R66" s="7"/>
      <c r="S66" s="7"/>
      <c r="T66" s="7"/>
      <c r="U66" s="7"/>
      <c r="V66" s="7">
        <v>1</v>
      </c>
      <c r="W66" s="7"/>
      <c r="X66" s="7"/>
      <c r="Y66" s="7"/>
      <c r="Z66" s="7"/>
      <c r="AA66" s="7"/>
      <c r="AB66" s="7">
        <v>2</v>
      </c>
      <c r="AC66" s="7"/>
      <c r="AD66" s="7"/>
      <c r="AE66" s="7"/>
      <c r="AF66" s="8">
        <v>1</v>
      </c>
      <c r="AG66" s="4">
        <f t="shared" si="2"/>
        <v>6</v>
      </c>
    </row>
    <row r="67" spans="1:33" ht="18.75" x14ac:dyDescent="0.25">
      <c r="A67" s="41" t="s">
        <v>48</v>
      </c>
      <c r="B67" s="7"/>
      <c r="C67" s="7"/>
      <c r="D67" s="7"/>
      <c r="E67" s="7"/>
      <c r="F67" s="7">
        <v>1</v>
      </c>
      <c r="G67" s="7"/>
      <c r="H67" s="7">
        <v>1</v>
      </c>
      <c r="I67" s="7"/>
      <c r="J67" s="7"/>
      <c r="K67" s="7"/>
      <c r="L67" s="7">
        <v>1</v>
      </c>
      <c r="M67" s="7">
        <v>1</v>
      </c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>
        <v>1</v>
      </c>
      <c r="Z67" s="7">
        <v>1</v>
      </c>
      <c r="AA67" s="7"/>
      <c r="AB67" s="7"/>
      <c r="AC67" s="7"/>
      <c r="AD67" s="7"/>
      <c r="AE67" s="7"/>
      <c r="AF67" s="8"/>
      <c r="AG67" s="4">
        <f t="shared" si="2"/>
        <v>6</v>
      </c>
    </row>
    <row r="68" spans="1:33" ht="18.75" x14ac:dyDescent="0.25">
      <c r="A68" s="41" t="s">
        <v>49</v>
      </c>
      <c r="B68" s="7"/>
      <c r="C68" s="7">
        <v>1</v>
      </c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>
        <v>2</v>
      </c>
      <c r="AD68" s="7"/>
      <c r="AE68" s="7"/>
      <c r="AF68" s="8"/>
      <c r="AG68" s="4">
        <f t="shared" si="2"/>
        <v>3</v>
      </c>
    </row>
    <row r="69" spans="1:33" ht="18.75" x14ac:dyDescent="0.25">
      <c r="A69" s="41" t="s">
        <v>50</v>
      </c>
      <c r="B69" s="7"/>
      <c r="C69" s="7"/>
      <c r="D69" s="7"/>
      <c r="E69" s="7">
        <v>1</v>
      </c>
      <c r="F69" s="7"/>
      <c r="G69" s="7">
        <v>1</v>
      </c>
      <c r="H69" s="7"/>
      <c r="I69" s="7"/>
      <c r="J69" s="7"/>
      <c r="K69" s="7"/>
      <c r="L69" s="7"/>
      <c r="M69" s="7"/>
      <c r="N69" s="7">
        <v>1</v>
      </c>
      <c r="O69" s="7"/>
      <c r="P69" s="7"/>
      <c r="Q69" s="7"/>
      <c r="R69" s="7"/>
      <c r="S69" s="7"/>
      <c r="T69" s="7"/>
      <c r="U69" s="7"/>
      <c r="V69" s="7">
        <v>1</v>
      </c>
      <c r="W69" s="7"/>
      <c r="X69" s="7"/>
      <c r="Y69" s="7">
        <v>1</v>
      </c>
      <c r="Z69" s="7"/>
      <c r="AA69" s="7">
        <v>1</v>
      </c>
      <c r="AB69" s="7"/>
      <c r="AC69" s="7"/>
      <c r="AD69" s="7"/>
      <c r="AE69" s="7"/>
      <c r="AF69" s="8">
        <v>1</v>
      </c>
      <c r="AG69" s="4">
        <f t="shared" si="2"/>
        <v>7</v>
      </c>
    </row>
    <row r="70" spans="1:33" ht="18.75" x14ac:dyDescent="0.25">
      <c r="A70" s="41" t="s">
        <v>33</v>
      </c>
      <c r="B70" s="114"/>
      <c r="C70" s="114"/>
      <c r="D70" s="7"/>
      <c r="E70" s="114"/>
      <c r="F70" s="114"/>
      <c r="G70" s="7"/>
      <c r="H70" s="114"/>
      <c r="I70" s="7"/>
      <c r="J70" s="114"/>
      <c r="K70" s="114"/>
      <c r="L70" s="114"/>
      <c r="M70" s="114"/>
      <c r="N70" s="114"/>
      <c r="O70" s="114"/>
      <c r="P70" s="114"/>
      <c r="Q70" s="114"/>
      <c r="R70" s="114"/>
      <c r="S70" s="114"/>
      <c r="T70" s="114"/>
      <c r="U70" s="114"/>
      <c r="V70" s="114"/>
      <c r="W70" s="114"/>
      <c r="X70" s="114"/>
      <c r="Y70" s="114"/>
      <c r="Z70" s="114"/>
      <c r="AA70" s="114"/>
      <c r="AB70" s="114"/>
      <c r="AC70" s="114"/>
      <c r="AD70" s="114"/>
      <c r="AE70" s="114"/>
      <c r="AF70" s="115"/>
      <c r="AG70" s="4">
        <f t="shared" si="2"/>
        <v>0</v>
      </c>
    </row>
    <row r="71" spans="1:33" ht="18.75" x14ac:dyDescent="0.25">
      <c r="A71" s="41" t="s">
        <v>34</v>
      </c>
      <c r="B71" s="114"/>
      <c r="C71" s="114"/>
      <c r="D71" s="7"/>
      <c r="E71" s="114"/>
      <c r="F71" s="114"/>
      <c r="G71" s="7"/>
      <c r="H71" s="114"/>
      <c r="I71" s="7"/>
      <c r="J71" s="114"/>
      <c r="K71" s="114"/>
      <c r="L71" s="114"/>
      <c r="M71" s="114"/>
      <c r="N71" s="114"/>
      <c r="O71" s="114"/>
      <c r="P71" s="114"/>
      <c r="Q71" s="114"/>
      <c r="R71" s="114"/>
      <c r="S71" s="114"/>
      <c r="T71" s="114"/>
      <c r="U71" s="114"/>
      <c r="V71" s="114"/>
      <c r="W71" s="114">
        <v>2</v>
      </c>
      <c r="X71" s="114"/>
      <c r="Y71" s="114"/>
      <c r="Z71" s="114"/>
      <c r="AA71" s="114"/>
      <c r="AB71" s="114"/>
      <c r="AC71" s="114"/>
      <c r="AD71" s="114"/>
      <c r="AE71" s="114"/>
      <c r="AF71" s="115"/>
      <c r="AG71" s="4">
        <f t="shared" si="2"/>
        <v>2</v>
      </c>
    </row>
    <row r="72" spans="1:33" ht="18.75" x14ac:dyDescent="0.25">
      <c r="A72" s="41" t="s">
        <v>35</v>
      </c>
      <c r="B72" s="114"/>
      <c r="C72" s="114"/>
      <c r="D72" s="7"/>
      <c r="E72" s="114"/>
      <c r="F72" s="114"/>
      <c r="G72" s="7"/>
      <c r="H72" s="114"/>
      <c r="I72" s="7"/>
      <c r="J72" s="114"/>
      <c r="K72" s="114"/>
      <c r="L72" s="114"/>
      <c r="M72" s="114"/>
      <c r="N72" s="114"/>
      <c r="O72" s="114"/>
      <c r="P72" s="114"/>
      <c r="Q72" s="114"/>
      <c r="R72" s="114"/>
      <c r="S72" s="114"/>
      <c r="T72" s="114"/>
      <c r="U72" s="114"/>
      <c r="V72" s="114"/>
      <c r="W72" s="114"/>
      <c r="X72" s="114"/>
      <c r="Y72" s="114"/>
      <c r="Z72" s="114"/>
      <c r="AA72" s="114"/>
      <c r="AB72" s="114"/>
      <c r="AC72" s="114"/>
      <c r="AD72" s="114"/>
      <c r="AE72" s="114"/>
      <c r="AF72" s="115"/>
      <c r="AG72" s="4">
        <f t="shared" si="2"/>
        <v>0</v>
      </c>
    </row>
    <row r="73" spans="1:33" ht="18.75" x14ac:dyDescent="0.25">
      <c r="A73" s="41" t="s">
        <v>36</v>
      </c>
      <c r="B73" s="114"/>
      <c r="C73" s="114"/>
      <c r="D73" s="7"/>
      <c r="E73" s="114"/>
      <c r="F73" s="114"/>
      <c r="G73" s="7"/>
      <c r="H73" s="114"/>
      <c r="I73" s="7"/>
      <c r="J73" s="114"/>
      <c r="K73" s="114"/>
      <c r="L73" s="114"/>
      <c r="M73" s="114"/>
      <c r="N73" s="114"/>
      <c r="O73" s="114"/>
      <c r="P73" s="114"/>
      <c r="Q73" s="114"/>
      <c r="R73" s="114"/>
      <c r="S73" s="114"/>
      <c r="T73" s="114"/>
      <c r="U73" s="114"/>
      <c r="V73" s="114"/>
      <c r="W73" s="114"/>
      <c r="X73" s="114"/>
      <c r="Y73" s="114"/>
      <c r="Z73" s="114"/>
      <c r="AA73" s="114"/>
      <c r="AB73" s="114"/>
      <c r="AC73" s="114"/>
      <c r="AD73" s="114"/>
      <c r="AE73" s="114"/>
      <c r="AF73" s="115"/>
      <c r="AG73" s="4">
        <f t="shared" si="2"/>
        <v>0</v>
      </c>
    </row>
    <row r="74" spans="1:33" ht="18.75" x14ac:dyDescent="0.25">
      <c r="A74" s="41" t="s">
        <v>51</v>
      </c>
      <c r="B74" s="114"/>
      <c r="C74" s="114"/>
      <c r="D74" s="7"/>
      <c r="E74" s="114"/>
      <c r="F74" s="114"/>
      <c r="G74" s="7"/>
      <c r="H74" s="114"/>
      <c r="I74" s="7"/>
      <c r="J74" s="114"/>
      <c r="K74" s="114"/>
      <c r="L74" s="114"/>
      <c r="M74" s="114"/>
      <c r="N74" s="114"/>
      <c r="O74" s="114"/>
      <c r="P74" s="114"/>
      <c r="Q74" s="114"/>
      <c r="R74" s="114"/>
      <c r="S74" s="114"/>
      <c r="T74" s="114"/>
      <c r="U74" s="114"/>
      <c r="V74" s="114"/>
      <c r="W74" s="114"/>
      <c r="X74" s="114"/>
      <c r="Y74" s="114"/>
      <c r="Z74" s="114"/>
      <c r="AA74" s="114"/>
      <c r="AB74" s="114"/>
      <c r="AC74" s="114"/>
      <c r="AD74" s="114"/>
      <c r="AE74" s="114"/>
      <c r="AF74" s="115"/>
      <c r="AG74" s="4">
        <f t="shared" si="2"/>
        <v>0</v>
      </c>
    </row>
    <row r="75" spans="1:33" ht="18.75" x14ac:dyDescent="0.25">
      <c r="A75" s="41" t="s">
        <v>52</v>
      </c>
      <c r="B75" s="114"/>
      <c r="C75" s="114"/>
      <c r="D75" s="7"/>
      <c r="E75" s="114"/>
      <c r="F75" s="114"/>
      <c r="G75" s="7"/>
      <c r="H75" s="114"/>
      <c r="I75" s="7"/>
      <c r="J75" s="114"/>
      <c r="K75" s="114"/>
      <c r="L75" s="114"/>
      <c r="M75" s="114"/>
      <c r="N75" s="114"/>
      <c r="O75" s="114"/>
      <c r="P75" s="114"/>
      <c r="Q75" s="114"/>
      <c r="R75" s="114"/>
      <c r="S75" s="114"/>
      <c r="T75" s="114"/>
      <c r="U75" s="114"/>
      <c r="V75" s="114"/>
      <c r="W75" s="114">
        <v>1</v>
      </c>
      <c r="X75" s="114"/>
      <c r="Y75" s="114"/>
      <c r="Z75" s="114"/>
      <c r="AA75" s="114"/>
      <c r="AB75" s="114"/>
      <c r="AC75" s="114"/>
      <c r="AD75" s="114"/>
      <c r="AE75" s="114"/>
      <c r="AF75" s="115"/>
      <c r="AG75" s="4">
        <f t="shared" si="2"/>
        <v>1</v>
      </c>
    </row>
    <row r="76" spans="1:33" ht="18.75" x14ac:dyDescent="0.25">
      <c r="A76" s="41" t="s">
        <v>37</v>
      </c>
      <c r="B76" s="114"/>
      <c r="C76" s="114"/>
      <c r="D76" s="7"/>
      <c r="E76" s="114"/>
      <c r="F76" s="114"/>
      <c r="G76" s="7"/>
      <c r="H76" s="114"/>
      <c r="I76" s="7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X76" s="114"/>
      <c r="Y76" s="114"/>
      <c r="Z76" s="114"/>
      <c r="AA76" s="114"/>
      <c r="AB76" s="114"/>
      <c r="AC76" s="114"/>
      <c r="AD76" s="114"/>
      <c r="AE76" s="114"/>
      <c r="AF76" s="115"/>
      <c r="AG76" s="4">
        <f t="shared" si="2"/>
        <v>0</v>
      </c>
    </row>
    <row r="77" spans="1:33" ht="19.5" thickBot="1" x14ac:dyDescent="0.3">
      <c r="A77" s="134" t="s">
        <v>53</v>
      </c>
      <c r="B77" s="166"/>
      <c r="C77" s="166"/>
      <c r="D77" s="9"/>
      <c r="E77" s="166"/>
      <c r="F77" s="166"/>
      <c r="G77" s="9">
        <v>3</v>
      </c>
      <c r="H77" s="166"/>
      <c r="I77" s="9"/>
      <c r="J77" s="166"/>
      <c r="K77" s="166"/>
      <c r="L77" s="166">
        <v>1</v>
      </c>
      <c r="M77" s="166"/>
      <c r="N77" s="166"/>
      <c r="O77" s="166"/>
      <c r="P77" s="166"/>
      <c r="Q77" s="166"/>
      <c r="R77" s="166"/>
      <c r="S77" s="166"/>
      <c r="T77" s="166"/>
      <c r="U77" s="166"/>
      <c r="V77" s="166"/>
      <c r="W77" s="166"/>
      <c r="X77" s="166"/>
      <c r="Y77" s="166"/>
      <c r="Z77" s="166"/>
      <c r="AA77" s="166"/>
      <c r="AB77" s="166"/>
      <c r="AC77" s="166"/>
      <c r="AD77" s="166"/>
      <c r="AE77" s="166"/>
      <c r="AF77" s="167"/>
      <c r="AG77" s="108">
        <f t="shared" si="2"/>
        <v>4</v>
      </c>
    </row>
    <row r="78" spans="1:33" ht="19.5" hidden="1" customHeight="1" thickBot="1" x14ac:dyDescent="0.3">
      <c r="A78" s="183" t="s">
        <v>99</v>
      </c>
      <c r="B78" s="185">
        <f t="shared" ref="B78:AF78" si="5">SUM(B79:B80)</f>
        <v>83</v>
      </c>
      <c r="C78" s="185">
        <f t="shared" si="5"/>
        <v>79</v>
      </c>
      <c r="D78" s="185">
        <f t="shared" si="5"/>
        <v>124</v>
      </c>
      <c r="E78" s="184">
        <f t="shared" si="5"/>
        <v>142</v>
      </c>
      <c r="F78" s="184">
        <f t="shared" si="5"/>
        <v>106</v>
      </c>
      <c r="G78" s="184">
        <f t="shared" si="5"/>
        <v>111</v>
      </c>
      <c r="H78" s="184">
        <f t="shared" si="5"/>
        <v>111</v>
      </c>
      <c r="I78" s="184">
        <f t="shared" si="5"/>
        <v>78</v>
      </c>
      <c r="J78" s="184">
        <f t="shared" si="5"/>
        <v>86</v>
      </c>
      <c r="K78" s="184">
        <f t="shared" si="5"/>
        <v>112</v>
      </c>
      <c r="L78" s="184">
        <f t="shared" si="5"/>
        <v>109</v>
      </c>
      <c r="M78" s="184">
        <f t="shared" si="5"/>
        <v>124</v>
      </c>
      <c r="N78" s="184">
        <f t="shared" si="5"/>
        <v>109</v>
      </c>
      <c r="O78" s="184">
        <f>SUM(O79:O80)</f>
        <v>102</v>
      </c>
      <c r="P78" s="184">
        <f t="shared" si="5"/>
        <v>77</v>
      </c>
      <c r="Q78" s="184">
        <f t="shared" si="5"/>
        <v>88</v>
      </c>
      <c r="R78" s="184">
        <f t="shared" si="5"/>
        <v>165</v>
      </c>
      <c r="S78" s="184">
        <f t="shared" si="5"/>
        <v>122</v>
      </c>
      <c r="T78" s="184">
        <f t="shared" si="5"/>
        <v>114</v>
      </c>
      <c r="U78" s="184">
        <f t="shared" si="5"/>
        <v>98</v>
      </c>
      <c r="V78" s="184">
        <f t="shared" si="5"/>
        <v>134</v>
      </c>
      <c r="W78" s="184">
        <f t="shared" si="5"/>
        <v>107</v>
      </c>
      <c r="X78" s="184">
        <f t="shared" si="5"/>
        <v>100</v>
      </c>
      <c r="Y78" s="184">
        <f t="shared" si="5"/>
        <v>159</v>
      </c>
      <c r="Z78" s="184">
        <f t="shared" si="5"/>
        <v>99</v>
      </c>
      <c r="AA78" s="184">
        <f t="shared" si="5"/>
        <v>90</v>
      </c>
      <c r="AB78" s="184">
        <f t="shared" si="5"/>
        <v>109</v>
      </c>
      <c r="AC78" s="184">
        <f t="shared" si="5"/>
        <v>110</v>
      </c>
      <c r="AD78" s="184">
        <f t="shared" si="5"/>
        <v>90</v>
      </c>
      <c r="AE78" s="184">
        <f t="shared" si="5"/>
        <v>99</v>
      </c>
      <c r="AF78" s="186">
        <f t="shared" si="5"/>
        <v>114</v>
      </c>
      <c r="AG78" s="116">
        <f t="shared" si="2"/>
        <v>3351</v>
      </c>
    </row>
    <row r="79" spans="1:33" ht="19.5" hidden="1" customHeight="1" thickBot="1" x14ac:dyDescent="0.3">
      <c r="A79" s="181" t="s">
        <v>58</v>
      </c>
      <c r="B79" s="114">
        <f t="shared" ref="B79:AF79" si="6">SUM(B4:B27)-B80</f>
        <v>83</v>
      </c>
      <c r="C79" s="114">
        <f t="shared" si="6"/>
        <v>79</v>
      </c>
      <c r="D79" s="114">
        <f t="shared" si="6"/>
        <v>124</v>
      </c>
      <c r="E79" s="114">
        <f t="shared" si="6"/>
        <v>142</v>
      </c>
      <c r="F79" s="114">
        <f t="shared" si="6"/>
        <v>39</v>
      </c>
      <c r="G79" s="114">
        <f t="shared" si="6"/>
        <v>41</v>
      </c>
      <c r="H79" s="114">
        <f t="shared" si="6"/>
        <v>43</v>
      </c>
      <c r="I79" s="114">
        <f t="shared" si="6"/>
        <v>78</v>
      </c>
      <c r="J79" s="114">
        <f t="shared" si="6"/>
        <v>86</v>
      </c>
      <c r="K79" s="114">
        <f t="shared" si="6"/>
        <v>112</v>
      </c>
      <c r="L79" s="114">
        <f t="shared" si="6"/>
        <v>109</v>
      </c>
      <c r="M79" s="114">
        <f t="shared" si="6"/>
        <v>44</v>
      </c>
      <c r="N79" s="114">
        <f t="shared" si="6"/>
        <v>38</v>
      </c>
      <c r="O79" s="114">
        <f t="shared" si="6"/>
        <v>33</v>
      </c>
      <c r="P79" s="114">
        <f t="shared" si="6"/>
        <v>77</v>
      </c>
      <c r="Q79" s="114">
        <f t="shared" si="6"/>
        <v>88</v>
      </c>
      <c r="R79" s="114">
        <f t="shared" si="6"/>
        <v>59</v>
      </c>
      <c r="S79" s="114">
        <f t="shared" si="6"/>
        <v>43</v>
      </c>
      <c r="T79" s="114">
        <f t="shared" si="6"/>
        <v>53</v>
      </c>
      <c r="U79" s="114">
        <f t="shared" si="6"/>
        <v>38</v>
      </c>
      <c r="V79" s="114">
        <f t="shared" si="6"/>
        <v>54</v>
      </c>
      <c r="W79" s="114">
        <f t="shared" si="6"/>
        <v>107</v>
      </c>
      <c r="X79" s="114">
        <f t="shared" si="6"/>
        <v>100</v>
      </c>
      <c r="Y79" s="114">
        <f t="shared" si="6"/>
        <v>59</v>
      </c>
      <c r="Z79" s="114">
        <f t="shared" si="6"/>
        <v>99</v>
      </c>
      <c r="AA79" s="114">
        <f t="shared" si="6"/>
        <v>45</v>
      </c>
      <c r="AB79" s="114">
        <f t="shared" si="6"/>
        <v>45</v>
      </c>
      <c r="AC79" s="114">
        <f t="shared" si="6"/>
        <v>50</v>
      </c>
      <c r="AD79" s="114">
        <f t="shared" si="6"/>
        <v>90</v>
      </c>
      <c r="AE79" s="114">
        <f t="shared" si="6"/>
        <v>99</v>
      </c>
      <c r="AF79" s="114">
        <f t="shared" si="6"/>
        <v>49</v>
      </c>
      <c r="AG79" s="132">
        <f t="shared" si="2"/>
        <v>2206</v>
      </c>
    </row>
    <row r="80" spans="1:33" ht="19.5" hidden="1" customHeight="1" thickBot="1" x14ac:dyDescent="0.3">
      <c r="A80" s="107" t="s">
        <v>57</v>
      </c>
      <c r="B80" s="11"/>
      <c r="C80" s="11"/>
      <c r="D80" s="9">
        <v>0</v>
      </c>
      <c r="E80" s="9">
        <v>0</v>
      </c>
      <c r="F80" s="9">
        <f>SUM(F4:F12)</f>
        <v>67</v>
      </c>
      <c r="G80" s="9">
        <f>SUM(G4:G12)</f>
        <v>70</v>
      </c>
      <c r="H80" s="9">
        <f>SUM(H4:H12)</f>
        <v>68</v>
      </c>
      <c r="I80" s="11"/>
      <c r="J80" s="11"/>
      <c r="K80" s="9">
        <v>0</v>
      </c>
      <c r="L80" s="9">
        <v>0</v>
      </c>
      <c r="M80" s="9">
        <f>SUM(M4:M12)</f>
        <v>80</v>
      </c>
      <c r="N80" s="9">
        <f>SUM(N4:N12)</f>
        <v>71</v>
      </c>
      <c r="O80" s="9">
        <f>SUM(O4:O12)</f>
        <v>69</v>
      </c>
      <c r="P80" s="11"/>
      <c r="Q80" s="11"/>
      <c r="R80" s="9">
        <f>SUM(R4:R12)</f>
        <v>106</v>
      </c>
      <c r="S80" s="9">
        <f>SUM(S4:S12)</f>
        <v>79</v>
      </c>
      <c r="T80" s="9">
        <f>SUM(T4:T12)</f>
        <v>61</v>
      </c>
      <c r="U80" s="9">
        <f>SUM(U4:U12)</f>
        <v>60</v>
      </c>
      <c r="V80" s="9">
        <f>SUM(V4:V12)</f>
        <v>80</v>
      </c>
      <c r="W80" s="11"/>
      <c r="X80" s="11"/>
      <c r="Y80" s="9">
        <f>SUM(Y4:Y12)</f>
        <v>100</v>
      </c>
      <c r="Z80" s="11"/>
      <c r="AA80" s="9">
        <f>SUM(AA4:AA12)</f>
        <v>45</v>
      </c>
      <c r="AB80" s="9">
        <f>SUM(AB4:AB12)</f>
        <v>64</v>
      </c>
      <c r="AC80" s="9">
        <f>SUM(AC4:AC12)</f>
        <v>60</v>
      </c>
      <c r="AD80" s="11"/>
      <c r="AE80" s="11"/>
      <c r="AF80" s="9">
        <f>SUM(AF4:AF12)</f>
        <v>65</v>
      </c>
      <c r="AG80" s="108">
        <f t="shared" si="2"/>
        <v>1145</v>
      </c>
    </row>
    <row r="81" spans="1:35" ht="19.5" thickBot="1" x14ac:dyDescent="0.3">
      <c r="A81" s="183" t="s">
        <v>98</v>
      </c>
      <c r="B81" s="184">
        <f t="shared" ref="B81:AF81" si="7">SUM(B82:B83)</f>
        <v>1</v>
      </c>
      <c r="C81" s="184">
        <f t="shared" si="7"/>
        <v>1</v>
      </c>
      <c r="D81" s="184">
        <f t="shared" si="7"/>
        <v>12</v>
      </c>
      <c r="E81" s="184">
        <f t="shared" si="7"/>
        <v>9</v>
      </c>
      <c r="F81" s="184">
        <f t="shared" si="7"/>
        <v>8</v>
      </c>
      <c r="G81" s="184">
        <f t="shared" si="7"/>
        <v>18</v>
      </c>
      <c r="H81" s="184">
        <f t="shared" si="7"/>
        <v>8</v>
      </c>
      <c r="I81" s="184">
        <f t="shared" si="7"/>
        <v>0</v>
      </c>
      <c r="J81" s="184">
        <f t="shared" si="7"/>
        <v>2</v>
      </c>
      <c r="K81" s="184">
        <f t="shared" si="7"/>
        <v>7</v>
      </c>
      <c r="L81" s="184">
        <f t="shared" si="7"/>
        <v>6</v>
      </c>
      <c r="M81" s="184">
        <f t="shared" si="7"/>
        <v>7</v>
      </c>
      <c r="N81" s="184">
        <f t="shared" si="7"/>
        <v>6</v>
      </c>
      <c r="O81" s="184">
        <f t="shared" si="7"/>
        <v>1</v>
      </c>
      <c r="P81" s="184">
        <f t="shared" si="7"/>
        <v>1</v>
      </c>
      <c r="Q81" s="184">
        <f t="shared" si="7"/>
        <v>1</v>
      </c>
      <c r="R81" s="184">
        <f t="shared" si="7"/>
        <v>9</v>
      </c>
      <c r="S81" s="184">
        <f t="shared" si="7"/>
        <v>4</v>
      </c>
      <c r="T81" s="184">
        <f t="shared" si="7"/>
        <v>6</v>
      </c>
      <c r="U81" s="184">
        <f t="shared" si="7"/>
        <v>1</v>
      </c>
      <c r="V81" s="184">
        <f t="shared" si="7"/>
        <v>14</v>
      </c>
      <c r="W81" s="184">
        <f t="shared" si="7"/>
        <v>6</v>
      </c>
      <c r="X81" s="184">
        <f t="shared" si="7"/>
        <v>0</v>
      </c>
      <c r="Y81" s="184">
        <f t="shared" si="7"/>
        <v>16</v>
      </c>
      <c r="Z81" s="184">
        <f>SUM(Z82:Z83)</f>
        <v>7</v>
      </c>
      <c r="AA81" s="184">
        <f t="shared" si="7"/>
        <v>3</v>
      </c>
      <c r="AB81" s="184">
        <f t="shared" si="7"/>
        <v>8</v>
      </c>
      <c r="AC81" s="184">
        <f t="shared" si="7"/>
        <v>7</v>
      </c>
      <c r="AD81" s="184">
        <f t="shared" si="7"/>
        <v>8</v>
      </c>
      <c r="AE81" s="184">
        <f t="shared" si="7"/>
        <v>6</v>
      </c>
      <c r="AF81" s="184">
        <f t="shared" si="7"/>
        <v>11</v>
      </c>
      <c r="AG81" s="116">
        <f t="shared" si="2"/>
        <v>194</v>
      </c>
      <c r="AH81" s="180" t="str">
        <f>IF(AG81&lt;&gt;AG53,"*","")</f>
        <v/>
      </c>
    </row>
    <row r="82" spans="1:35" ht="18.75" x14ac:dyDescent="0.25">
      <c r="A82" s="181" t="s">
        <v>57</v>
      </c>
      <c r="B82" s="182"/>
      <c r="C82" s="182"/>
      <c r="D82" s="114">
        <f t="shared" ref="D82:AF82" si="8">SUM(D54:D62)</f>
        <v>10</v>
      </c>
      <c r="E82" s="114">
        <f t="shared" si="8"/>
        <v>4</v>
      </c>
      <c r="F82" s="114">
        <f t="shared" si="8"/>
        <v>5</v>
      </c>
      <c r="G82" s="114">
        <f t="shared" si="8"/>
        <v>11</v>
      </c>
      <c r="H82" s="114">
        <f t="shared" si="8"/>
        <v>6</v>
      </c>
      <c r="I82" s="182"/>
      <c r="J82" s="182"/>
      <c r="K82" s="114">
        <f t="shared" si="8"/>
        <v>5</v>
      </c>
      <c r="L82" s="114">
        <f t="shared" si="8"/>
        <v>3</v>
      </c>
      <c r="M82" s="114">
        <f t="shared" si="8"/>
        <v>4</v>
      </c>
      <c r="N82" s="114">
        <f t="shared" si="8"/>
        <v>1</v>
      </c>
      <c r="O82" s="114">
        <f t="shared" si="8"/>
        <v>1</v>
      </c>
      <c r="P82" s="182"/>
      <c r="Q82" s="182"/>
      <c r="R82" s="114">
        <f t="shared" si="8"/>
        <v>8</v>
      </c>
      <c r="S82" s="114">
        <f t="shared" si="8"/>
        <v>2</v>
      </c>
      <c r="T82" s="114">
        <f t="shared" si="8"/>
        <v>5</v>
      </c>
      <c r="U82" s="182"/>
      <c r="V82" s="114">
        <f t="shared" si="8"/>
        <v>10</v>
      </c>
      <c r="W82" s="182"/>
      <c r="X82" s="182"/>
      <c r="Y82" s="114">
        <f t="shared" si="8"/>
        <v>7</v>
      </c>
      <c r="Z82" s="114">
        <f t="shared" si="8"/>
        <v>5</v>
      </c>
      <c r="AA82" s="114">
        <f t="shared" si="8"/>
        <v>0</v>
      </c>
      <c r="AB82" s="114">
        <f t="shared" si="8"/>
        <v>6</v>
      </c>
      <c r="AC82" s="114">
        <f t="shared" si="8"/>
        <v>5</v>
      </c>
      <c r="AD82" s="182"/>
      <c r="AE82" s="182"/>
      <c r="AF82" s="114">
        <f t="shared" si="8"/>
        <v>6</v>
      </c>
      <c r="AG82" s="132">
        <f t="shared" si="2"/>
        <v>104</v>
      </c>
    </row>
    <row r="83" spans="1:35" ht="19.5" thickBot="1" x14ac:dyDescent="0.3">
      <c r="A83" s="107" t="s">
        <v>58</v>
      </c>
      <c r="B83" s="9">
        <f t="shared" ref="B83" si="9">SUM(B54:B77)-B82</f>
        <v>1</v>
      </c>
      <c r="C83" s="9">
        <f t="shared" ref="C83" si="10">SUM(C54:C77)-C82</f>
        <v>1</v>
      </c>
      <c r="D83" s="9">
        <f t="shared" ref="D83:AF83" si="11">SUM(D54:D77)-D82</f>
        <v>2</v>
      </c>
      <c r="E83" s="9">
        <f t="shared" si="11"/>
        <v>5</v>
      </c>
      <c r="F83" s="9">
        <f t="shared" si="11"/>
        <v>3</v>
      </c>
      <c r="G83" s="9">
        <f t="shared" si="11"/>
        <v>7</v>
      </c>
      <c r="H83" s="9">
        <f t="shared" si="11"/>
        <v>2</v>
      </c>
      <c r="I83" s="9">
        <f t="shared" si="11"/>
        <v>0</v>
      </c>
      <c r="J83" s="9">
        <f t="shared" si="11"/>
        <v>2</v>
      </c>
      <c r="K83" s="9">
        <f t="shared" si="11"/>
        <v>2</v>
      </c>
      <c r="L83" s="9">
        <f t="shared" si="11"/>
        <v>3</v>
      </c>
      <c r="M83" s="9">
        <f t="shared" si="11"/>
        <v>3</v>
      </c>
      <c r="N83" s="9">
        <f t="shared" si="11"/>
        <v>5</v>
      </c>
      <c r="O83" s="9">
        <f t="shared" si="11"/>
        <v>0</v>
      </c>
      <c r="P83" s="9">
        <f t="shared" si="11"/>
        <v>1</v>
      </c>
      <c r="Q83" s="9">
        <f t="shared" si="11"/>
        <v>1</v>
      </c>
      <c r="R83" s="9">
        <f t="shared" si="11"/>
        <v>1</v>
      </c>
      <c r="S83" s="9">
        <f t="shared" si="11"/>
        <v>2</v>
      </c>
      <c r="T83" s="9">
        <f t="shared" si="11"/>
        <v>1</v>
      </c>
      <c r="U83" s="9">
        <f t="shared" si="11"/>
        <v>1</v>
      </c>
      <c r="V83" s="9">
        <f t="shared" si="11"/>
        <v>4</v>
      </c>
      <c r="W83" s="9">
        <f t="shared" si="11"/>
        <v>6</v>
      </c>
      <c r="X83" s="9">
        <f t="shared" si="11"/>
        <v>0</v>
      </c>
      <c r="Y83" s="9">
        <f t="shared" si="11"/>
        <v>9</v>
      </c>
      <c r="Z83" s="9">
        <f t="shared" si="11"/>
        <v>2</v>
      </c>
      <c r="AA83" s="9">
        <f t="shared" si="11"/>
        <v>3</v>
      </c>
      <c r="AB83" s="9">
        <f t="shared" si="11"/>
        <v>2</v>
      </c>
      <c r="AC83" s="9">
        <f t="shared" si="11"/>
        <v>2</v>
      </c>
      <c r="AD83" s="9">
        <f t="shared" si="11"/>
        <v>8</v>
      </c>
      <c r="AE83" s="9">
        <f t="shared" si="11"/>
        <v>6</v>
      </c>
      <c r="AF83" s="9">
        <f t="shared" si="11"/>
        <v>5</v>
      </c>
      <c r="AG83" s="4">
        <f t="shared" si="2"/>
        <v>90</v>
      </c>
    </row>
    <row r="84" spans="1:35" ht="19.5" thickBot="1" x14ac:dyDescent="0.3">
      <c r="A84" s="164" t="s">
        <v>146</v>
      </c>
      <c r="B84" s="165">
        <f>SUM(B85:B86)</f>
        <v>1</v>
      </c>
      <c r="C84" s="165">
        <f t="shared" ref="C84:AF84" si="12">SUM(C85:C86)</f>
        <v>1</v>
      </c>
      <c r="D84" s="165">
        <f t="shared" si="12"/>
        <v>12</v>
      </c>
      <c r="E84" s="165">
        <f t="shared" si="12"/>
        <v>9</v>
      </c>
      <c r="F84" s="165">
        <f t="shared" si="12"/>
        <v>8</v>
      </c>
      <c r="G84" s="165">
        <f t="shared" si="12"/>
        <v>18</v>
      </c>
      <c r="H84" s="165">
        <f t="shared" si="12"/>
        <v>8</v>
      </c>
      <c r="I84" s="165">
        <f t="shared" si="12"/>
        <v>0</v>
      </c>
      <c r="J84" s="165">
        <f t="shared" si="12"/>
        <v>2</v>
      </c>
      <c r="K84" s="165">
        <f t="shared" si="12"/>
        <v>7</v>
      </c>
      <c r="L84" s="165">
        <f t="shared" si="12"/>
        <v>6</v>
      </c>
      <c r="M84" s="165">
        <f t="shared" si="12"/>
        <v>7</v>
      </c>
      <c r="N84" s="165">
        <f t="shared" si="12"/>
        <v>6</v>
      </c>
      <c r="O84" s="165">
        <f t="shared" si="12"/>
        <v>1</v>
      </c>
      <c r="P84" s="165">
        <f t="shared" si="12"/>
        <v>1</v>
      </c>
      <c r="Q84" s="165">
        <f t="shared" si="12"/>
        <v>1</v>
      </c>
      <c r="R84" s="165">
        <f t="shared" si="12"/>
        <v>9</v>
      </c>
      <c r="S84" s="165">
        <f t="shared" si="12"/>
        <v>4</v>
      </c>
      <c r="T84" s="165">
        <f t="shared" si="12"/>
        <v>6</v>
      </c>
      <c r="U84" s="165">
        <f t="shared" si="12"/>
        <v>1</v>
      </c>
      <c r="V84" s="165">
        <f t="shared" si="12"/>
        <v>14</v>
      </c>
      <c r="W84" s="165">
        <f t="shared" si="12"/>
        <v>6</v>
      </c>
      <c r="X84" s="165">
        <f t="shared" si="12"/>
        <v>0</v>
      </c>
      <c r="Y84" s="165">
        <f t="shared" si="12"/>
        <v>16</v>
      </c>
      <c r="Z84" s="165">
        <f t="shared" si="12"/>
        <v>7</v>
      </c>
      <c r="AA84" s="165">
        <f t="shared" si="12"/>
        <v>3</v>
      </c>
      <c r="AB84" s="165">
        <f t="shared" si="12"/>
        <v>8</v>
      </c>
      <c r="AC84" s="165">
        <f t="shared" si="12"/>
        <v>7</v>
      </c>
      <c r="AD84" s="165">
        <f t="shared" si="12"/>
        <v>8</v>
      </c>
      <c r="AE84" s="165">
        <f t="shared" si="12"/>
        <v>6</v>
      </c>
      <c r="AF84" s="165">
        <f t="shared" si="12"/>
        <v>11</v>
      </c>
      <c r="AG84" s="171">
        <f t="shared" ref="AG84:AG126" si="13">SUM(B84:AF84)</f>
        <v>194</v>
      </c>
      <c r="AH84" s="180" t="str">
        <f>IF(AG84&lt;&gt;AG82+AG83,"*","")</f>
        <v/>
      </c>
      <c r="AI84" s="434" t="s">
        <v>1</v>
      </c>
    </row>
    <row r="85" spans="1:35" ht="18.75" x14ac:dyDescent="0.25">
      <c r="A85" s="72" t="s">
        <v>144</v>
      </c>
      <c r="B85" s="169">
        <v>0</v>
      </c>
      <c r="C85" s="169">
        <v>0</v>
      </c>
      <c r="D85" s="169">
        <v>0</v>
      </c>
      <c r="E85" s="169">
        <v>0</v>
      </c>
      <c r="F85" s="169">
        <v>1</v>
      </c>
      <c r="G85" s="169">
        <v>0</v>
      </c>
      <c r="H85" s="169">
        <v>1</v>
      </c>
      <c r="I85" s="169">
        <v>0</v>
      </c>
      <c r="J85" s="169">
        <v>0</v>
      </c>
      <c r="K85" s="169">
        <v>2</v>
      </c>
      <c r="L85" s="169">
        <v>1</v>
      </c>
      <c r="M85" s="169">
        <v>1</v>
      </c>
      <c r="N85" s="169">
        <v>1</v>
      </c>
      <c r="O85" s="169">
        <v>0</v>
      </c>
      <c r="P85" s="169">
        <v>0</v>
      </c>
      <c r="Q85" s="169">
        <v>0</v>
      </c>
      <c r="R85" s="169">
        <v>1</v>
      </c>
      <c r="S85" s="169">
        <v>1</v>
      </c>
      <c r="T85" s="169">
        <v>1</v>
      </c>
      <c r="U85" s="169">
        <v>0</v>
      </c>
      <c r="V85" s="169">
        <v>0</v>
      </c>
      <c r="W85" s="169">
        <v>1</v>
      </c>
      <c r="X85" s="169">
        <v>0</v>
      </c>
      <c r="Y85" s="169">
        <v>2</v>
      </c>
      <c r="Z85" s="169">
        <v>0</v>
      </c>
      <c r="AA85" s="169">
        <v>1</v>
      </c>
      <c r="AB85" s="169">
        <v>1</v>
      </c>
      <c r="AC85" s="169">
        <v>0</v>
      </c>
      <c r="AD85" s="169">
        <v>0</v>
      </c>
      <c r="AE85" s="169">
        <v>1</v>
      </c>
      <c r="AF85" s="170">
        <v>0</v>
      </c>
      <c r="AG85" s="168">
        <f t="shared" si="13"/>
        <v>16</v>
      </c>
      <c r="AI85" s="435"/>
    </row>
    <row r="86" spans="1:35" ht="19.5" thickBot="1" x14ac:dyDescent="0.3">
      <c r="A86" s="172" t="s">
        <v>145</v>
      </c>
      <c r="B86" s="173">
        <v>1</v>
      </c>
      <c r="C86" s="173">
        <v>1</v>
      </c>
      <c r="D86" s="173">
        <v>12</v>
      </c>
      <c r="E86" s="173">
        <v>9</v>
      </c>
      <c r="F86" s="173">
        <v>7</v>
      </c>
      <c r="G86" s="173">
        <v>18</v>
      </c>
      <c r="H86" s="173">
        <v>7</v>
      </c>
      <c r="I86" s="173">
        <v>0</v>
      </c>
      <c r="J86" s="173">
        <v>2</v>
      </c>
      <c r="K86" s="173">
        <v>5</v>
      </c>
      <c r="L86" s="173">
        <v>5</v>
      </c>
      <c r="M86" s="173">
        <v>6</v>
      </c>
      <c r="N86" s="173">
        <v>5</v>
      </c>
      <c r="O86" s="173">
        <v>1</v>
      </c>
      <c r="P86" s="173">
        <v>1</v>
      </c>
      <c r="Q86" s="173">
        <v>1</v>
      </c>
      <c r="R86" s="173">
        <v>8</v>
      </c>
      <c r="S86" s="173">
        <v>3</v>
      </c>
      <c r="T86" s="173">
        <v>5</v>
      </c>
      <c r="U86" s="173">
        <v>1</v>
      </c>
      <c r="V86" s="173">
        <v>14</v>
      </c>
      <c r="W86" s="173">
        <v>5</v>
      </c>
      <c r="X86" s="173">
        <v>0</v>
      </c>
      <c r="Y86" s="173">
        <v>14</v>
      </c>
      <c r="Z86" s="173">
        <v>7</v>
      </c>
      <c r="AA86" s="173">
        <v>2</v>
      </c>
      <c r="AB86" s="173">
        <v>7</v>
      </c>
      <c r="AC86" s="173">
        <v>7</v>
      </c>
      <c r="AD86" s="173">
        <v>8</v>
      </c>
      <c r="AE86" s="173">
        <v>5</v>
      </c>
      <c r="AF86" s="174">
        <v>11</v>
      </c>
      <c r="AG86" s="176">
        <f t="shared" si="13"/>
        <v>178</v>
      </c>
      <c r="AI86" s="436"/>
    </row>
    <row r="87" spans="1:35" ht="19.5" thickBot="1" x14ac:dyDescent="0.3">
      <c r="A87" s="177" t="s">
        <v>147</v>
      </c>
      <c r="B87" s="178">
        <f>SUM(B88:B92)</f>
        <v>1</v>
      </c>
      <c r="C87" s="178">
        <f t="shared" ref="C87:AF87" si="14">SUM(C88:C92)</f>
        <v>1</v>
      </c>
      <c r="D87" s="178">
        <f t="shared" si="14"/>
        <v>12</v>
      </c>
      <c r="E87" s="178">
        <f t="shared" si="14"/>
        <v>9</v>
      </c>
      <c r="F87" s="178">
        <f t="shared" si="14"/>
        <v>8</v>
      </c>
      <c r="G87" s="178">
        <f t="shared" si="14"/>
        <v>18</v>
      </c>
      <c r="H87" s="178">
        <f t="shared" si="14"/>
        <v>8</v>
      </c>
      <c r="I87" s="178">
        <f t="shared" si="14"/>
        <v>0</v>
      </c>
      <c r="J87" s="178">
        <f t="shared" si="14"/>
        <v>2</v>
      </c>
      <c r="K87" s="178">
        <f t="shared" si="14"/>
        <v>7</v>
      </c>
      <c r="L87" s="178">
        <f t="shared" si="14"/>
        <v>6</v>
      </c>
      <c r="M87" s="178">
        <f t="shared" si="14"/>
        <v>7</v>
      </c>
      <c r="N87" s="178">
        <f t="shared" si="14"/>
        <v>6</v>
      </c>
      <c r="O87" s="178">
        <f t="shared" si="14"/>
        <v>1</v>
      </c>
      <c r="P87" s="178">
        <f t="shared" si="14"/>
        <v>1</v>
      </c>
      <c r="Q87" s="178">
        <f t="shared" si="14"/>
        <v>1</v>
      </c>
      <c r="R87" s="178">
        <f t="shared" si="14"/>
        <v>9</v>
      </c>
      <c r="S87" s="178">
        <f t="shared" si="14"/>
        <v>4</v>
      </c>
      <c r="T87" s="178">
        <f t="shared" si="14"/>
        <v>6</v>
      </c>
      <c r="U87" s="178">
        <f t="shared" si="14"/>
        <v>1</v>
      </c>
      <c r="V87" s="178">
        <f t="shared" si="14"/>
        <v>14</v>
      </c>
      <c r="W87" s="178">
        <f t="shared" si="14"/>
        <v>6</v>
      </c>
      <c r="X87" s="178">
        <f t="shared" si="14"/>
        <v>0</v>
      </c>
      <c r="Y87" s="178">
        <f t="shared" si="14"/>
        <v>16</v>
      </c>
      <c r="Z87" s="178">
        <f t="shared" si="14"/>
        <v>7</v>
      </c>
      <c r="AA87" s="178">
        <f t="shared" si="14"/>
        <v>3</v>
      </c>
      <c r="AB87" s="178">
        <f t="shared" si="14"/>
        <v>8</v>
      </c>
      <c r="AC87" s="178">
        <f t="shared" si="14"/>
        <v>7</v>
      </c>
      <c r="AD87" s="178">
        <f t="shared" si="14"/>
        <v>8</v>
      </c>
      <c r="AE87" s="178">
        <f t="shared" si="14"/>
        <v>6</v>
      </c>
      <c r="AF87" s="178">
        <f t="shared" si="14"/>
        <v>11</v>
      </c>
      <c r="AG87" s="179">
        <f t="shared" si="13"/>
        <v>194</v>
      </c>
      <c r="AH87" s="175" t="str">
        <f>IF(AG87&lt;&gt;AG84,"*","")</f>
        <v/>
      </c>
    </row>
    <row r="88" spans="1:35" ht="18.75" x14ac:dyDescent="0.25">
      <c r="A88" s="104" t="s">
        <v>127</v>
      </c>
      <c r="B88" s="166"/>
      <c r="C88" s="166"/>
      <c r="D88" s="166">
        <v>4</v>
      </c>
      <c r="E88" s="166">
        <v>2</v>
      </c>
      <c r="F88" s="166">
        <v>2</v>
      </c>
      <c r="G88" s="166">
        <v>7</v>
      </c>
      <c r="H88" s="166">
        <v>4</v>
      </c>
      <c r="I88" s="166"/>
      <c r="J88" s="166">
        <v>1</v>
      </c>
      <c r="K88" s="166">
        <v>4</v>
      </c>
      <c r="L88" s="166">
        <v>5</v>
      </c>
      <c r="M88" s="166">
        <v>3</v>
      </c>
      <c r="N88" s="166">
        <v>2</v>
      </c>
      <c r="O88" s="166">
        <v>1</v>
      </c>
      <c r="P88" s="166"/>
      <c r="Q88" s="166">
        <v>1</v>
      </c>
      <c r="R88" s="166">
        <v>3</v>
      </c>
      <c r="S88" s="166">
        <v>3</v>
      </c>
      <c r="T88" s="166">
        <v>4</v>
      </c>
      <c r="U88" s="166"/>
      <c r="V88" s="166">
        <v>10</v>
      </c>
      <c r="W88" s="166">
        <v>4</v>
      </c>
      <c r="X88" s="166"/>
      <c r="Y88" s="166">
        <v>10</v>
      </c>
      <c r="Z88" s="166">
        <v>5</v>
      </c>
      <c r="AA88" s="166">
        <v>2</v>
      </c>
      <c r="AB88" s="166">
        <v>5</v>
      </c>
      <c r="AC88" s="166">
        <v>7</v>
      </c>
      <c r="AD88" s="166">
        <v>7</v>
      </c>
      <c r="AE88" s="166">
        <v>4</v>
      </c>
      <c r="AF88" s="167">
        <v>5</v>
      </c>
      <c r="AG88" s="132">
        <f t="shared" si="13"/>
        <v>105</v>
      </c>
    </row>
    <row r="89" spans="1:35" ht="18.75" x14ac:dyDescent="0.25">
      <c r="A89" s="105" t="s">
        <v>73</v>
      </c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10"/>
      <c r="AG89" s="4">
        <f t="shared" si="13"/>
        <v>0</v>
      </c>
    </row>
    <row r="90" spans="1:35" ht="18.75" x14ac:dyDescent="0.25">
      <c r="A90" s="105" t="s">
        <v>74</v>
      </c>
      <c r="B90" s="9"/>
      <c r="C90" s="9"/>
      <c r="D90" s="9"/>
      <c r="E90" s="9"/>
      <c r="F90" s="9"/>
      <c r="G90" s="9"/>
      <c r="H90" s="9"/>
      <c r="I90" s="9"/>
      <c r="J90" s="9"/>
      <c r="K90" s="9">
        <v>1</v>
      </c>
      <c r="L90" s="9"/>
      <c r="M90" s="9"/>
      <c r="N90" s="9"/>
      <c r="O90" s="9"/>
      <c r="P90" s="9"/>
      <c r="Q90" s="9"/>
      <c r="R90" s="9"/>
      <c r="S90" s="9"/>
      <c r="T90" s="9"/>
      <c r="U90" s="9"/>
      <c r="V90" s="9">
        <v>1</v>
      </c>
      <c r="W90" s="9"/>
      <c r="X90" s="9"/>
      <c r="Y90" s="9"/>
      <c r="Z90" s="9"/>
      <c r="AA90" s="9"/>
      <c r="AB90" s="9"/>
      <c r="AC90" s="9"/>
      <c r="AD90" s="9"/>
      <c r="AE90" s="9"/>
      <c r="AF90" s="10">
        <v>1</v>
      </c>
      <c r="AG90" s="4">
        <f t="shared" si="13"/>
        <v>3</v>
      </c>
    </row>
    <row r="91" spans="1:35" ht="18.75" x14ac:dyDescent="0.25">
      <c r="A91" s="105" t="s">
        <v>75</v>
      </c>
      <c r="B91" s="9"/>
      <c r="C91" s="9"/>
      <c r="D91" s="9"/>
      <c r="E91" s="9">
        <v>1</v>
      </c>
      <c r="F91" s="9">
        <v>2</v>
      </c>
      <c r="G91" s="9">
        <v>3</v>
      </c>
      <c r="H91" s="9">
        <v>2</v>
      </c>
      <c r="I91" s="9"/>
      <c r="J91" s="9"/>
      <c r="K91" s="9"/>
      <c r="L91" s="9"/>
      <c r="M91" s="9">
        <v>1</v>
      </c>
      <c r="N91" s="9">
        <v>2</v>
      </c>
      <c r="O91" s="9"/>
      <c r="P91" s="9">
        <v>1</v>
      </c>
      <c r="Q91" s="9"/>
      <c r="R91" s="9">
        <v>1</v>
      </c>
      <c r="S91" s="9">
        <v>1</v>
      </c>
      <c r="T91" s="9">
        <v>1</v>
      </c>
      <c r="U91" s="9">
        <v>1</v>
      </c>
      <c r="V91" s="9"/>
      <c r="W91" s="9">
        <v>1</v>
      </c>
      <c r="X91" s="9"/>
      <c r="Y91" s="9">
        <v>2</v>
      </c>
      <c r="Z91" s="9"/>
      <c r="AA91" s="9"/>
      <c r="AB91" s="9">
        <v>1</v>
      </c>
      <c r="AC91" s="9"/>
      <c r="AD91" s="9"/>
      <c r="AE91" s="9">
        <v>1</v>
      </c>
      <c r="AF91" s="10">
        <v>3</v>
      </c>
      <c r="AG91" s="4">
        <f t="shared" si="13"/>
        <v>24</v>
      </c>
    </row>
    <row r="92" spans="1:35" ht="19.5" thickBot="1" x14ac:dyDescent="0.3">
      <c r="A92" s="105" t="s">
        <v>76</v>
      </c>
      <c r="B92" s="9">
        <v>1</v>
      </c>
      <c r="C92" s="9">
        <v>1</v>
      </c>
      <c r="D92" s="9">
        <v>8</v>
      </c>
      <c r="E92" s="9">
        <v>6</v>
      </c>
      <c r="F92" s="9">
        <v>4</v>
      </c>
      <c r="G92" s="9">
        <v>8</v>
      </c>
      <c r="H92" s="9">
        <v>2</v>
      </c>
      <c r="I92" s="9"/>
      <c r="J92" s="9">
        <v>1</v>
      </c>
      <c r="K92" s="9">
        <v>2</v>
      </c>
      <c r="L92" s="9">
        <v>1</v>
      </c>
      <c r="M92" s="9">
        <v>3</v>
      </c>
      <c r="N92" s="9">
        <v>2</v>
      </c>
      <c r="O92" s="9"/>
      <c r="P92" s="9"/>
      <c r="Q92" s="9"/>
      <c r="R92" s="9">
        <v>5</v>
      </c>
      <c r="S92" s="9"/>
      <c r="T92" s="9">
        <v>1</v>
      </c>
      <c r="U92" s="9"/>
      <c r="V92" s="9">
        <v>3</v>
      </c>
      <c r="W92" s="9">
        <v>1</v>
      </c>
      <c r="X92" s="9"/>
      <c r="Y92" s="9">
        <v>4</v>
      </c>
      <c r="Z92" s="9">
        <v>2</v>
      </c>
      <c r="AA92" s="9">
        <v>1</v>
      </c>
      <c r="AB92" s="9">
        <v>2</v>
      </c>
      <c r="AC92" s="9"/>
      <c r="AD92" s="9">
        <v>1</v>
      </c>
      <c r="AE92" s="9">
        <v>1</v>
      </c>
      <c r="AF92" s="10">
        <v>2</v>
      </c>
      <c r="AG92" s="4">
        <f t="shared" si="13"/>
        <v>62</v>
      </c>
    </row>
    <row r="93" spans="1:35" ht="18.75" x14ac:dyDescent="0.25">
      <c r="A93" s="73" t="s">
        <v>615</v>
      </c>
      <c r="B93" s="74">
        <f t="shared" ref="B93:AF93" si="15">+B94+B100</f>
        <v>82</v>
      </c>
      <c r="C93" s="74">
        <f t="shared" si="15"/>
        <v>78</v>
      </c>
      <c r="D93" s="74">
        <f t="shared" si="15"/>
        <v>112</v>
      </c>
      <c r="E93" s="74">
        <f t="shared" si="15"/>
        <v>133</v>
      </c>
      <c r="F93" s="74">
        <f t="shared" si="15"/>
        <v>98</v>
      </c>
      <c r="G93" s="74">
        <f t="shared" si="15"/>
        <v>93</v>
      </c>
      <c r="H93" s="74">
        <f t="shared" si="15"/>
        <v>103</v>
      </c>
      <c r="I93" s="74">
        <f t="shared" si="15"/>
        <v>78</v>
      </c>
      <c r="J93" s="74">
        <f t="shared" si="15"/>
        <v>84</v>
      </c>
      <c r="K93" s="74">
        <f t="shared" si="15"/>
        <v>105</v>
      </c>
      <c r="L93" s="74">
        <f t="shared" si="15"/>
        <v>103</v>
      </c>
      <c r="M93" s="74">
        <f t="shared" si="15"/>
        <v>117</v>
      </c>
      <c r="N93" s="74">
        <f t="shared" si="15"/>
        <v>103</v>
      </c>
      <c r="O93" s="74">
        <f t="shared" si="15"/>
        <v>101</v>
      </c>
      <c r="P93" s="74">
        <f t="shared" si="15"/>
        <v>76</v>
      </c>
      <c r="Q93" s="74">
        <f t="shared" si="15"/>
        <v>87</v>
      </c>
      <c r="R93" s="74">
        <f t="shared" si="15"/>
        <v>156</v>
      </c>
      <c r="S93" s="74">
        <f t="shared" si="15"/>
        <v>118</v>
      </c>
      <c r="T93" s="74">
        <f t="shared" si="15"/>
        <v>108</v>
      </c>
      <c r="U93" s="74">
        <f t="shared" si="15"/>
        <v>97</v>
      </c>
      <c r="V93" s="74">
        <f t="shared" si="15"/>
        <v>120</v>
      </c>
      <c r="W93" s="74">
        <f t="shared" si="15"/>
        <v>101</v>
      </c>
      <c r="X93" s="74">
        <f t="shared" si="15"/>
        <v>100</v>
      </c>
      <c r="Y93" s="74">
        <f t="shared" si="15"/>
        <v>143</v>
      </c>
      <c r="Z93" s="74">
        <f t="shared" si="15"/>
        <v>92</v>
      </c>
      <c r="AA93" s="74">
        <f t="shared" si="15"/>
        <v>87</v>
      </c>
      <c r="AB93" s="74">
        <f t="shared" si="15"/>
        <v>101</v>
      </c>
      <c r="AC93" s="74">
        <f t="shared" si="15"/>
        <v>103</v>
      </c>
      <c r="AD93" s="74">
        <f t="shared" si="15"/>
        <v>82</v>
      </c>
      <c r="AE93" s="74">
        <f t="shared" si="15"/>
        <v>93</v>
      </c>
      <c r="AF93" s="84">
        <f t="shared" si="15"/>
        <v>103</v>
      </c>
      <c r="AG93" s="150">
        <f t="shared" si="13"/>
        <v>3157</v>
      </c>
      <c r="AH93" s="37" t="str">
        <f>IF(AG93&lt;&gt;AG28,"*","")</f>
        <v/>
      </c>
    </row>
    <row r="94" spans="1:35" ht="18.75" x14ac:dyDescent="0.25">
      <c r="A94" s="42" t="s">
        <v>65</v>
      </c>
      <c r="B94" s="17">
        <f t="shared" ref="B94:AF94" si="16">SUM(B95:B99)</f>
        <v>7</v>
      </c>
      <c r="C94" s="17">
        <f t="shared" si="16"/>
        <v>6</v>
      </c>
      <c r="D94" s="17">
        <f t="shared" si="16"/>
        <v>7</v>
      </c>
      <c r="E94" s="17">
        <f t="shared" si="16"/>
        <v>12</v>
      </c>
      <c r="F94" s="17">
        <f t="shared" si="16"/>
        <v>5</v>
      </c>
      <c r="G94" s="17">
        <f t="shared" si="16"/>
        <v>5</v>
      </c>
      <c r="H94" s="17">
        <f t="shared" si="16"/>
        <v>8</v>
      </c>
      <c r="I94" s="17">
        <f t="shared" si="16"/>
        <v>7</v>
      </c>
      <c r="J94" s="17">
        <f t="shared" si="16"/>
        <v>7</v>
      </c>
      <c r="K94" s="17">
        <f t="shared" si="16"/>
        <v>5</v>
      </c>
      <c r="L94" s="17">
        <f t="shared" si="16"/>
        <v>6</v>
      </c>
      <c r="M94" s="17">
        <f t="shared" si="16"/>
        <v>14</v>
      </c>
      <c r="N94" s="17">
        <f t="shared" si="16"/>
        <v>8</v>
      </c>
      <c r="O94" s="17">
        <f t="shared" si="16"/>
        <v>7</v>
      </c>
      <c r="P94" s="17">
        <f t="shared" si="16"/>
        <v>7</v>
      </c>
      <c r="Q94" s="17">
        <f t="shared" si="16"/>
        <v>6</v>
      </c>
      <c r="R94" s="17">
        <f t="shared" si="16"/>
        <v>7</v>
      </c>
      <c r="S94" s="17">
        <f t="shared" si="16"/>
        <v>9</v>
      </c>
      <c r="T94" s="17">
        <f t="shared" si="16"/>
        <v>6</v>
      </c>
      <c r="U94" s="17">
        <f t="shared" si="16"/>
        <v>5</v>
      </c>
      <c r="V94" s="17">
        <f t="shared" si="16"/>
        <v>6</v>
      </c>
      <c r="W94" s="17">
        <f t="shared" si="16"/>
        <v>6</v>
      </c>
      <c r="X94" s="17">
        <f t="shared" si="16"/>
        <v>6</v>
      </c>
      <c r="Y94" s="17">
        <f t="shared" si="16"/>
        <v>5</v>
      </c>
      <c r="Z94" s="17">
        <f t="shared" si="16"/>
        <v>4</v>
      </c>
      <c r="AA94" s="17">
        <f t="shared" si="16"/>
        <v>2</v>
      </c>
      <c r="AB94" s="17">
        <f t="shared" si="16"/>
        <v>12</v>
      </c>
      <c r="AC94" s="17">
        <f t="shared" si="16"/>
        <v>6</v>
      </c>
      <c r="AD94" s="17">
        <f t="shared" si="16"/>
        <v>5</v>
      </c>
      <c r="AE94" s="17">
        <f t="shared" si="16"/>
        <v>9</v>
      </c>
      <c r="AF94" s="18">
        <f t="shared" si="16"/>
        <v>7</v>
      </c>
      <c r="AG94" s="4">
        <f t="shared" si="13"/>
        <v>212</v>
      </c>
    </row>
    <row r="95" spans="1:35" ht="18.75" x14ac:dyDescent="0.25">
      <c r="A95" s="44" t="s">
        <v>81</v>
      </c>
      <c r="B95" s="7"/>
      <c r="C95" s="7">
        <v>1</v>
      </c>
      <c r="D95" s="7"/>
      <c r="E95" s="7"/>
      <c r="F95" s="7"/>
      <c r="G95" s="7"/>
      <c r="H95" s="7">
        <v>1</v>
      </c>
      <c r="I95" s="7"/>
      <c r="J95" s="7"/>
      <c r="K95" s="7"/>
      <c r="L95" s="7"/>
      <c r="M95" s="7">
        <v>1</v>
      </c>
      <c r="N95" s="7">
        <v>1</v>
      </c>
      <c r="O95" s="7"/>
      <c r="P95" s="7"/>
      <c r="Q95" s="7"/>
      <c r="R95" s="7"/>
      <c r="S95" s="7">
        <v>1</v>
      </c>
      <c r="T95" s="7"/>
      <c r="U95" s="7"/>
      <c r="V95" s="7"/>
      <c r="W95" s="7">
        <v>1</v>
      </c>
      <c r="X95" s="7">
        <v>1</v>
      </c>
      <c r="Y95" s="7">
        <v>1</v>
      </c>
      <c r="Z95" s="7"/>
      <c r="AA95" s="7"/>
      <c r="AB95" s="7"/>
      <c r="AC95" s="7"/>
      <c r="AD95" s="7"/>
      <c r="AE95" s="7">
        <v>2</v>
      </c>
      <c r="AF95" s="8"/>
      <c r="AG95" s="4">
        <f t="shared" si="13"/>
        <v>10</v>
      </c>
    </row>
    <row r="96" spans="1:35" ht="18.75" x14ac:dyDescent="0.25">
      <c r="A96" s="45" t="s">
        <v>82</v>
      </c>
      <c r="B96" s="7"/>
      <c r="C96" s="7"/>
      <c r="D96" s="7"/>
      <c r="E96" s="7">
        <v>1</v>
      </c>
      <c r="F96" s="7">
        <v>1</v>
      </c>
      <c r="G96" s="7">
        <v>1</v>
      </c>
      <c r="H96" s="7"/>
      <c r="I96" s="7">
        <v>1</v>
      </c>
      <c r="J96" s="7">
        <v>1</v>
      </c>
      <c r="K96" s="7"/>
      <c r="L96" s="7"/>
      <c r="M96" s="7"/>
      <c r="N96" s="7"/>
      <c r="O96" s="7">
        <v>2</v>
      </c>
      <c r="P96" s="7"/>
      <c r="Q96" s="7"/>
      <c r="R96" s="7">
        <v>1</v>
      </c>
      <c r="S96" s="7">
        <v>1</v>
      </c>
      <c r="T96" s="7">
        <v>1</v>
      </c>
      <c r="U96" s="7">
        <v>1</v>
      </c>
      <c r="V96" s="7">
        <v>1</v>
      </c>
      <c r="W96" s="7"/>
      <c r="X96" s="7"/>
      <c r="Y96" s="7"/>
      <c r="Z96" s="7"/>
      <c r="AA96" s="7"/>
      <c r="AB96" s="7">
        <v>2</v>
      </c>
      <c r="AC96" s="7"/>
      <c r="AD96" s="7"/>
      <c r="AE96" s="7">
        <v>1</v>
      </c>
      <c r="AF96" s="8">
        <v>1</v>
      </c>
      <c r="AG96" s="4">
        <f t="shared" si="13"/>
        <v>16</v>
      </c>
    </row>
    <row r="97" spans="1:33" ht="18.75" x14ac:dyDescent="0.25">
      <c r="A97" s="46" t="s">
        <v>70</v>
      </c>
      <c r="B97" s="7"/>
      <c r="C97" s="7">
        <v>1</v>
      </c>
      <c r="D97" s="7">
        <v>1</v>
      </c>
      <c r="E97" s="7"/>
      <c r="F97" s="7"/>
      <c r="G97" s="7">
        <v>1</v>
      </c>
      <c r="H97" s="7"/>
      <c r="I97" s="7">
        <v>1</v>
      </c>
      <c r="J97" s="7"/>
      <c r="K97" s="7"/>
      <c r="L97" s="7">
        <v>1</v>
      </c>
      <c r="M97" s="7">
        <v>3</v>
      </c>
      <c r="N97" s="7">
        <v>2</v>
      </c>
      <c r="O97" s="7">
        <v>1</v>
      </c>
      <c r="P97" s="7"/>
      <c r="Q97" s="7">
        <v>1</v>
      </c>
      <c r="R97" s="7">
        <v>1</v>
      </c>
      <c r="S97" s="7">
        <v>3</v>
      </c>
      <c r="T97" s="7">
        <v>1</v>
      </c>
      <c r="U97" s="7">
        <v>2</v>
      </c>
      <c r="V97" s="7"/>
      <c r="W97" s="7"/>
      <c r="X97" s="7">
        <v>1</v>
      </c>
      <c r="Y97" s="7">
        <v>2</v>
      </c>
      <c r="Z97" s="7">
        <v>1</v>
      </c>
      <c r="AA97" s="7"/>
      <c r="AB97" s="7">
        <v>2</v>
      </c>
      <c r="AC97" s="7">
        <v>1</v>
      </c>
      <c r="AD97" s="7">
        <v>2</v>
      </c>
      <c r="AE97" s="7">
        <v>1</v>
      </c>
      <c r="AF97" s="8"/>
      <c r="AG97" s="4">
        <f t="shared" si="13"/>
        <v>29</v>
      </c>
    </row>
    <row r="98" spans="1:33" ht="18.75" x14ac:dyDescent="0.25">
      <c r="A98" s="47" t="s">
        <v>6</v>
      </c>
      <c r="B98" s="7">
        <v>3</v>
      </c>
      <c r="C98" s="7">
        <v>1</v>
      </c>
      <c r="D98" s="7">
        <v>4</v>
      </c>
      <c r="E98" s="7">
        <v>6</v>
      </c>
      <c r="F98" s="7">
        <v>2</v>
      </c>
      <c r="G98" s="7">
        <v>2</v>
      </c>
      <c r="H98" s="7">
        <v>5</v>
      </c>
      <c r="I98" s="7">
        <v>4</v>
      </c>
      <c r="J98" s="7">
        <v>2</v>
      </c>
      <c r="K98" s="7">
        <v>2</v>
      </c>
      <c r="L98" s="7">
        <v>3</v>
      </c>
      <c r="M98" s="7">
        <v>4</v>
      </c>
      <c r="N98" s="7">
        <v>3</v>
      </c>
      <c r="O98" s="7">
        <v>1</v>
      </c>
      <c r="P98" s="7">
        <v>4</v>
      </c>
      <c r="Q98" s="7">
        <v>3</v>
      </c>
      <c r="R98" s="7">
        <v>2</v>
      </c>
      <c r="S98" s="7">
        <v>3</v>
      </c>
      <c r="T98" s="7">
        <v>2</v>
      </c>
      <c r="U98" s="7"/>
      <c r="V98" s="7">
        <v>3</v>
      </c>
      <c r="W98" s="7">
        <v>3</v>
      </c>
      <c r="X98" s="7">
        <v>2</v>
      </c>
      <c r="Y98" s="7">
        <v>1</v>
      </c>
      <c r="Z98" s="7">
        <v>3</v>
      </c>
      <c r="AA98" s="7">
        <v>2</v>
      </c>
      <c r="AB98" s="7">
        <v>5</v>
      </c>
      <c r="AC98" s="7">
        <v>4</v>
      </c>
      <c r="AD98" s="7">
        <v>1</v>
      </c>
      <c r="AE98" s="7">
        <v>2</v>
      </c>
      <c r="AF98" s="8">
        <v>2</v>
      </c>
      <c r="AG98" s="4">
        <f t="shared" si="13"/>
        <v>84</v>
      </c>
    </row>
    <row r="99" spans="1:33" ht="18.75" x14ac:dyDescent="0.25">
      <c r="A99" s="48" t="s">
        <v>7</v>
      </c>
      <c r="B99" s="7">
        <v>4</v>
      </c>
      <c r="C99" s="7">
        <v>3</v>
      </c>
      <c r="D99" s="7">
        <v>2</v>
      </c>
      <c r="E99" s="7">
        <v>5</v>
      </c>
      <c r="F99" s="7">
        <v>2</v>
      </c>
      <c r="G99" s="7">
        <v>1</v>
      </c>
      <c r="H99" s="7">
        <v>2</v>
      </c>
      <c r="I99" s="7">
        <v>1</v>
      </c>
      <c r="J99" s="7">
        <v>4</v>
      </c>
      <c r="K99" s="7">
        <v>3</v>
      </c>
      <c r="L99" s="7">
        <v>2</v>
      </c>
      <c r="M99" s="7">
        <v>6</v>
      </c>
      <c r="N99" s="7">
        <v>2</v>
      </c>
      <c r="O99" s="7">
        <v>3</v>
      </c>
      <c r="P99" s="7">
        <v>3</v>
      </c>
      <c r="Q99" s="7">
        <v>2</v>
      </c>
      <c r="R99" s="7">
        <v>3</v>
      </c>
      <c r="S99" s="7">
        <v>1</v>
      </c>
      <c r="T99" s="7">
        <v>2</v>
      </c>
      <c r="U99" s="7">
        <v>2</v>
      </c>
      <c r="V99" s="7">
        <v>2</v>
      </c>
      <c r="W99" s="7">
        <v>2</v>
      </c>
      <c r="X99" s="7">
        <v>2</v>
      </c>
      <c r="Y99" s="7">
        <v>1</v>
      </c>
      <c r="Z99" s="7"/>
      <c r="AA99" s="7"/>
      <c r="AB99" s="7">
        <v>3</v>
      </c>
      <c r="AC99" s="7">
        <v>1</v>
      </c>
      <c r="AD99" s="7">
        <v>2</v>
      </c>
      <c r="AE99" s="7">
        <v>3</v>
      </c>
      <c r="AF99" s="8">
        <v>4</v>
      </c>
      <c r="AG99" s="4">
        <f t="shared" si="13"/>
        <v>73</v>
      </c>
    </row>
    <row r="100" spans="1:33" ht="18.75" x14ac:dyDescent="0.25">
      <c r="A100" s="42" t="s">
        <v>66</v>
      </c>
      <c r="B100" s="17">
        <f t="shared" ref="B100:AF100" si="17">SUM(B101:B115)</f>
        <v>75</v>
      </c>
      <c r="C100" s="17">
        <f t="shared" si="17"/>
        <v>72</v>
      </c>
      <c r="D100" s="17">
        <f t="shared" si="17"/>
        <v>105</v>
      </c>
      <c r="E100" s="17">
        <f t="shared" si="17"/>
        <v>121</v>
      </c>
      <c r="F100" s="17">
        <f t="shared" si="17"/>
        <v>93</v>
      </c>
      <c r="G100" s="17">
        <f t="shared" si="17"/>
        <v>88</v>
      </c>
      <c r="H100" s="17">
        <f t="shared" si="17"/>
        <v>95</v>
      </c>
      <c r="I100" s="17">
        <f t="shared" si="17"/>
        <v>71</v>
      </c>
      <c r="J100" s="17">
        <f t="shared" si="17"/>
        <v>77</v>
      </c>
      <c r="K100" s="17">
        <f t="shared" si="17"/>
        <v>100</v>
      </c>
      <c r="L100" s="17">
        <f t="shared" si="17"/>
        <v>97</v>
      </c>
      <c r="M100" s="17">
        <f t="shared" si="17"/>
        <v>103</v>
      </c>
      <c r="N100" s="17">
        <f t="shared" si="17"/>
        <v>95</v>
      </c>
      <c r="O100" s="17">
        <f t="shared" si="17"/>
        <v>94</v>
      </c>
      <c r="P100" s="17">
        <f t="shared" si="17"/>
        <v>69</v>
      </c>
      <c r="Q100" s="17">
        <f t="shared" si="17"/>
        <v>81</v>
      </c>
      <c r="R100" s="17">
        <f t="shared" si="17"/>
        <v>149</v>
      </c>
      <c r="S100" s="17">
        <f t="shared" si="17"/>
        <v>109</v>
      </c>
      <c r="T100" s="17">
        <f t="shared" si="17"/>
        <v>102</v>
      </c>
      <c r="U100" s="17">
        <f t="shared" si="17"/>
        <v>92</v>
      </c>
      <c r="V100" s="17">
        <f t="shared" si="17"/>
        <v>114</v>
      </c>
      <c r="W100" s="17">
        <f t="shared" si="17"/>
        <v>95</v>
      </c>
      <c r="X100" s="17">
        <f t="shared" si="17"/>
        <v>94</v>
      </c>
      <c r="Y100" s="17">
        <f t="shared" si="17"/>
        <v>138</v>
      </c>
      <c r="Z100" s="17">
        <f t="shared" si="17"/>
        <v>88</v>
      </c>
      <c r="AA100" s="17">
        <f t="shared" si="17"/>
        <v>85</v>
      </c>
      <c r="AB100" s="17">
        <f t="shared" si="17"/>
        <v>89</v>
      </c>
      <c r="AC100" s="17">
        <f t="shared" si="17"/>
        <v>97</v>
      </c>
      <c r="AD100" s="17">
        <f t="shared" si="17"/>
        <v>77</v>
      </c>
      <c r="AE100" s="17">
        <f t="shared" si="17"/>
        <v>84</v>
      </c>
      <c r="AF100" s="18">
        <f t="shared" si="17"/>
        <v>96</v>
      </c>
      <c r="AG100" s="4">
        <f t="shared" si="13"/>
        <v>2945</v>
      </c>
    </row>
    <row r="101" spans="1:33" ht="18.75" x14ac:dyDescent="0.25">
      <c r="A101" s="48" t="s">
        <v>8</v>
      </c>
      <c r="B101" s="7">
        <v>6</v>
      </c>
      <c r="C101" s="7">
        <v>3</v>
      </c>
      <c r="D101" s="7">
        <v>3</v>
      </c>
      <c r="E101" s="7">
        <v>3</v>
      </c>
      <c r="F101" s="7">
        <v>4</v>
      </c>
      <c r="G101" s="7">
        <v>8</v>
      </c>
      <c r="H101" s="7">
        <v>4</v>
      </c>
      <c r="I101" s="7">
        <v>7</v>
      </c>
      <c r="J101" s="7">
        <v>4</v>
      </c>
      <c r="K101" s="7">
        <v>8</v>
      </c>
      <c r="L101" s="7">
        <v>2</v>
      </c>
      <c r="M101" s="7">
        <v>5</v>
      </c>
      <c r="N101" s="7">
        <v>4</v>
      </c>
      <c r="O101" s="7">
        <v>6</v>
      </c>
      <c r="P101" s="7">
        <v>8</v>
      </c>
      <c r="Q101" s="7">
        <v>7</v>
      </c>
      <c r="R101" s="7">
        <v>4</v>
      </c>
      <c r="S101" s="7">
        <v>9</v>
      </c>
      <c r="T101" s="7">
        <v>6</v>
      </c>
      <c r="U101" s="7">
        <v>9</v>
      </c>
      <c r="V101" s="7">
        <v>4</v>
      </c>
      <c r="W101" s="7">
        <v>4</v>
      </c>
      <c r="X101" s="7">
        <v>4</v>
      </c>
      <c r="Y101" s="7">
        <v>12</v>
      </c>
      <c r="Z101" s="7">
        <v>7</v>
      </c>
      <c r="AA101" s="7">
        <v>3</v>
      </c>
      <c r="AB101" s="7">
        <v>8</v>
      </c>
      <c r="AC101" s="7">
        <v>1</v>
      </c>
      <c r="AD101" s="7">
        <v>6</v>
      </c>
      <c r="AE101" s="7">
        <v>6</v>
      </c>
      <c r="AF101" s="8">
        <v>3</v>
      </c>
      <c r="AG101" s="4">
        <f t="shared" si="13"/>
        <v>168</v>
      </c>
    </row>
    <row r="102" spans="1:33" ht="18.75" x14ac:dyDescent="0.25">
      <c r="A102" s="48" t="s">
        <v>9</v>
      </c>
      <c r="B102" s="7">
        <v>6</v>
      </c>
      <c r="C102" s="7">
        <v>4</v>
      </c>
      <c r="D102" s="7">
        <v>2</v>
      </c>
      <c r="E102" s="7">
        <v>6</v>
      </c>
      <c r="F102" s="7">
        <v>8</v>
      </c>
      <c r="G102" s="7">
        <v>5</v>
      </c>
      <c r="H102" s="7">
        <v>6</v>
      </c>
      <c r="I102" s="7">
        <v>6</v>
      </c>
      <c r="J102" s="7">
        <v>9</v>
      </c>
      <c r="K102" s="7">
        <v>5</v>
      </c>
      <c r="L102" s="7">
        <v>7</v>
      </c>
      <c r="M102" s="7">
        <v>8</v>
      </c>
      <c r="N102" s="7">
        <v>8</v>
      </c>
      <c r="O102" s="7">
        <v>8</v>
      </c>
      <c r="P102" s="7">
        <v>7</v>
      </c>
      <c r="Q102" s="7">
        <v>10</v>
      </c>
      <c r="R102" s="7">
        <v>11</v>
      </c>
      <c r="S102" s="7">
        <v>7</v>
      </c>
      <c r="T102" s="7">
        <v>13</v>
      </c>
      <c r="U102" s="7">
        <v>9</v>
      </c>
      <c r="V102" s="7">
        <v>7</v>
      </c>
      <c r="W102" s="7">
        <v>10</v>
      </c>
      <c r="X102" s="7">
        <v>12</v>
      </c>
      <c r="Y102" s="7">
        <v>13</v>
      </c>
      <c r="Z102" s="7">
        <v>5</v>
      </c>
      <c r="AA102" s="7">
        <v>10</v>
      </c>
      <c r="AB102" s="7">
        <v>7</v>
      </c>
      <c r="AC102" s="7">
        <v>10</v>
      </c>
      <c r="AD102" s="7">
        <v>8</v>
      </c>
      <c r="AE102" s="7">
        <v>7</v>
      </c>
      <c r="AF102" s="8">
        <v>7</v>
      </c>
      <c r="AG102" s="4">
        <f t="shared" si="13"/>
        <v>241</v>
      </c>
    </row>
    <row r="103" spans="1:33" ht="18.75" x14ac:dyDescent="0.25">
      <c r="A103" s="49" t="s">
        <v>10</v>
      </c>
      <c r="B103" s="7">
        <v>9</v>
      </c>
      <c r="C103" s="7">
        <v>7</v>
      </c>
      <c r="D103" s="7">
        <v>5</v>
      </c>
      <c r="E103" s="7">
        <v>16</v>
      </c>
      <c r="F103" s="7">
        <v>4</v>
      </c>
      <c r="G103" s="7">
        <v>11</v>
      </c>
      <c r="H103" s="7">
        <v>13</v>
      </c>
      <c r="I103" s="7">
        <v>5</v>
      </c>
      <c r="J103" s="7">
        <v>6</v>
      </c>
      <c r="K103" s="7">
        <v>8</v>
      </c>
      <c r="L103" s="7">
        <v>6</v>
      </c>
      <c r="M103" s="7">
        <v>6</v>
      </c>
      <c r="N103" s="7">
        <v>7</v>
      </c>
      <c r="O103" s="7">
        <v>8</v>
      </c>
      <c r="P103" s="7">
        <v>8</v>
      </c>
      <c r="Q103" s="7">
        <v>6</v>
      </c>
      <c r="R103" s="7">
        <v>15</v>
      </c>
      <c r="S103" s="7">
        <v>6</v>
      </c>
      <c r="T103" s="7">
        <v>11</v>
      </c>
      <c r="U103" s="7">
        <v>6</v>
      </c>
      <c r="V103" s="7">
        <v>8</v>
      </c>
      <c r="W103" s="7">
        <v>8</v>
      </c>
      <c r="X103" s="7">
        <v>13</v>
      </c>
      <c r="Y103" s="7">
        <v>10</v>
      </c>
      <c r="Z103" s="7">
        <v>10</v>
      </c>
      <c r="AA103" s="7">
        <v>15</v>
      </c>
      <c r="AB103" s="7">
        <v>6</v>
      </c>
      <c r="AC103" s="7">
        <v>8</v>
      </c>
      <c r="AD103" s="7">
        <v>6</v>
      </c>
      <c r="AE103" s="7">
        <v>11</v>
      </c>
      <c r="AF103" s="8">
        <v>6</v>
      </c>
      <c r="AG103" s="4">
        <f t="shared" si="13"/>
        <v>264</v>
      </c>
    </row>
    <row r="104" spans="1:33" ht="18.75" x14ac:dyDescent="0.25">
      <c r="A104" s="49" t="s">
        <v>11</v>
      </c>
      <c r="B104" s="7">
        <v>9</v>
      </c>
      <c r="C104" s="7">
        <v>4</v>
      </c>
      <c r="D104" s="7">
        <v>1</v>
      </c>
      <c r="E104" s="7">
        <v>9</v>
      </c>
      <c r="F104" s="7">
        <v>6</v>
      </c>
      <c r="G104" s="7">
        <v>4</v>
      </c>
      <c r="H104" s="7">
        <v>5</v>
      </c>
      <c r="I104" s="7">
        <v>7</v>
      </c>
      <c r="J104" s="7">
        <v>8</v>
      </c>
      <c r="K104" s="7">
        <v>6</v>
      </c>
      <c r="L104" s="7">
        <v>6</v>
      </c>
      <c r="M104" s="7">
        <v>9</v>
      </c>
      <c r="N104" s="7">
        <v>6</v>
      </c>
      <c r="O104" s="7">
        <v>4</v>
      </c>
      <c r="P104" s="7">
        <v>5</v>
      </c>
      <c r="Q104" s="7">
        <v>3</v>
      </c>
      <c r="R104" s="7">
        <v>13</v>
      </c>
      <c r="S104" s="7">
        <v>11</v>
      </c>
      <c r="T104" s="7">
        <v>7</v>
      </c>
      <c r="U104" s="7">
        <v>6</v>
      </c>
      <c r="V104" s="7">
        <v>16</v>
      </c>
      <c r="W104" s="7">
        <v>5</v>
      </c>
      <c r="X104" s="7">
        <v>12</v>
      </c>
      <c r="Y104" s="7">
        <v>10</v>
      </c>
      <c r="Z104" s="7">
        <v>8</v>
      </c>
      <c r="AA104" s="7">
        <v>6</v>
      </c>
      <c r="AB104" s="7">
        <v>9</v>
      </c>
      <c r="AC104" s="7">
        <v>12</v>
      </c>
      <c r="AD104" s="7">
        <v>7</v>
      </c>
      <c r="AE104" s="7">
        <v>3</v>
      </c>
      <c r="AF104" s="8">
        <v>10</v>
      </c>
      <c r="AG104" s="4">
        <f t="shared" si="13"/>
        <v>227</v>
      </c>
    </row>
    <row r="105" spans="1:33" ht="18.75" x14ac:dyDescent="0.25">
      <c r="A105" s="49" t="s">
        <v>12</v>
      </c>
      <c r="B105" s="7">
        <v>7</v>
      </c>
      <c r="C105" s="7">
        <v>6</v>
      </c>
      <c r="D105" s="7">
        <v>10</v>
      </c>
      <c r="E105" s="7">
        <v>9</v>
      </c>
      <c r="F105" s="7">
        <v>7</v>
      </c>
      <c r="G105" s="7">
        <v>5</v>
      </c>
      <c r="H105" s="7">
        <v>10</v>
      </c>
      <c r="I105" s="7">
        <v>7</v>
      </c>
      <c r="J105" s="7">
        <v>6</v>
      </c>
      <c r="K105" s="7">
        <v>8</v>
      </c>
      <c r="L105" s="7">
        <v>8</v>
      </c>
      <c r="M105" s="7">
        <v>6</v>
      </c>
      <c r="N105" s="7">
        <v>8</v>
      </c>
      <c r="O105" s="7">
        <v>9</v>
      </c>
      <c r="P105" s="7">
        <v>4</v>
      </c>
      <c r="Q105" s="7">
        <v>6</v>
      </c>
      <c r="R105" s="7">
        <v>13</v>
      </c>
      <c r="S105" s="7">
        <v>7</v>
      </c>
      <c r="T105" s="7">
        <v>9</v>
      </c>
      <c r="U105" s="7">
        <v>10</v>
      </c>
      <c r="V105" s="7">
        <v>5</v>
      </c>
      <c r="W105" s="7">
        <v>5</v>
      </c>
      <c r="X105" s="7">
        <v>5</v>
      </c>
      <c r="Y105" s="7">
        <v>13</v>
      </c>
      <c r="Z105" s="7">
        <v>6</v>
      </c>
      <c r="AA105" s="7">
        <v>5</v>
      </c>
      <c r="AB105" s="7">
        <v>7</v>
      </c>
      <c r="AC105" s="7">
        <v>9</v>
      </c>
      <c r="AD105" s="7">
        <v>3</v>
      </c>
      <c r="AE105" s="7">
        <v>7</v>
      </c>
      <c r="AF105" s="8">
        <v>7</v>
      </c>
      <c r="AG105" s="4">
        <f t="shared" si="13"/>
        <v>227</v>
      </c>
    </row>
    <row r="106" spans="1:33" ht="18.75" x14ac:dyDescent="0.25">
      <c r="A106" s="49" t="s">
        <v>13</v>
      </c>
      <c r="B106" s="7">
        <v>9</v>
      </c>
      <c r="C106" s="7">
        <v>5</v>
      </c>
      <c r="D106" s="7">
        <v>5</v>
      </c>
      <c r="E106" s="7">
        <v>6</v>
      </c>
      <c r="F106" s="7">
        <v>5</v>
      </c>
      <c r="G106" s="7">
        <v>4</v>
      </c>
      <c r="H106" s="7">
        <v>4</v>
      </c>
      <c r="I106" s="7">
        <v>5</v>
      </c>
      <c r="J106" s="7">
        <v>5</v>
      </c>
      <c r="K106" s="7">
        <v>5</v>
      </c>
      <c r="L106" s="7">
        <v>6</v>
      </c>
      <c r="M106" s="7">
        <v>9</v>
      </c>
      <c r="N106" s="7">
        <v>4</v>
      </c>
      <c r="O106" s="7">
        <v>7</v>
      </c>
      <c r="P106" s="7">
        <v>5</v>
      </c>
      <c r="Q106" s="7">
        <v>7</v>
      </c>
      <c r="R106" s="7">
        <v>9</v>
      </c>
      <c r="S106" s="7">
        <v>5</v>
      </c>
      <c r="T106" s="7">
        <v>4</v>
      </c>
      <c r="U106" s="7">
        <v>7</v>
      </c>
      <c r="V106" s="7">
        <v>7</v>
      </c>
      <c r="W106" s="7">
        <v>10</v>
      </c>
      <c r="X106" s="7">
        <v>5</v>
      </c>
      <c r="Y106" s="7">
        <v>10</v>
      </c>
      <c r="Z106" s="7">
        <v>8</v>
      </c>
      <c r="AA106" s="7">
        <v>10</v>
      </c>
      <c r="AB106" s="7">
        <v>7</v>
      </c>
      <c r="AC106" s="7">
        <v>6</v>
      </c>
      <c r="AD106" s="7">
        <v>8</v>
      </c>
      <c r="AE106" s="7">
        <v>4</v>
      </c>
      <c r="AF106" s="8">
        <v>7</v>
      </c>
      <c r="AG106" s="4">
        <f t="shared" si="13"/>
        <v>198</v>
      </c>
    </row>
    <row r="107" spans="1:33" ht="18.75" x14ac:dyDescent="0.25">
      <c r="A107" s="49" t="s">
        <v>14</v>
      </c>
      <c r="B107" s="7">
        <v>7</v>
      </c>
      <c r="C107" s="7">
        <v>11</v>
      </c>
      <c r="D107" s="7">
        <v>14</v>
      </c>
      <c r="E107" s="7">
        <v>8</v>
      </c>
      <c r="F107" s="7">
        <v>12</v>
      </c>
      <c r="G107" s="7">
        <v>9</v>
      </c>
      <c r="H107" s="7">
        <v>6</v>
      </c>
      <c r="I107" s="7">
        <v>2</v>
      </c>
      <c r="J107" s="7">
        <v>4</v>
      </c>
      <c r="K107" s="7">
        <v>6</v>
      </c>
      <c r="L107" s="7">
        <v>7</v>
      </c>
      <c r="M107" s="7">
        <v>9</v>
      </c>
      <c r="N107" s="7">
        <v>9</v>
      </c>
      <c r="O107" s="7">
        <v>12</v>
      </c>
      <c r="P107" s="7">
        <v>8</v>
      </c>
      <c r="Q107" s="7">
        <v>9</v>
      </c>
      <c r="R107" s="7">
        <v>12</v>
      </c>
      <c r="S107" s="7">
        <v>12</v>
      </c>
      <c r="T107" s="7">
        <v>7</v>
      </c>
      <c r="U107" s="7">
        <v>9</v>
      </c>
      <c r="V107" s="7">
        <v>9</v>
      </c>
      <c r="W107" s="7">
        <v>9</v>
      </c>
      <c r="X107" s="7">
        <v>11</v>
      </c>
      <c r="Y107" s="7">
        <v>14</v>
      </c>
      <c r="Z107" s="7">
        <v>5</v>
      </c>
      <c r="AA107" s="7">
        <v>6</v>
      </c>
      <c r="AB107" s="7">
        <v>10</v>
      </c>
      <c r="AC107" s="7">
        <v>5</v>
      </c>
      <c r="AD107" s="7">
        <v>6</v>
      </c>
      <c r="AE107" s="7">
        <v>7</v>
      </c>
      <c r="AF107" s="8">
        <v>10</v>
      </c>
      <c r="AG107" s="4">
        <f t="shared" si="13"/>
        <v>265</v>
      </c>
    </row>
    <row r="108" spans="1:33" ht="18.75" x14ac:dyDescent="0.25">
      <c r="A108" s="49" t="s">
        <v>15</v>
      </c>
      <c r="B108" s="7">
        <v>9</v>
      </c>
      <c r="C108" s="7">
        <v>8</v>
      </c>
      <c r="D108" s="7">
        <v>15</v>
      </c>
      <c r="E108" s="7">
        <v>7</v>
      </c>
      <c r="F108" s="7">
        <v>4</v>
      </c>
      <c r="G108" s="7">
        <v>4</v>
      </c>
      <c r="H108" s="7">
        <v>5</v>
      </c>
      <c r="I108" s="7">
        <v>6</v>
      </c>
      <c r="J108" s="7">
        <v>8</v>
      </c>
      <c r="K108" s="7">
        <v>14</v>
      </c>
      <c r="L108" s="7">
        <v>10</v>
      </c>
      <c r="M108" s="7">
        <v>9</v>
      </c>
      <c r="N108" s="7">
        <v>9</v>
      </c>
      <c r="O108" s="7">
        <v>10</v>
      </c>
      <c r="P108" s="7">
        <v>4</v>
      </c>
      <c r="Q108" s="7">
        <v>3</v>
      </c>
      <c r="R108" s="7">
        <v>15</v>
      </c>
      <c r="S108" s="7">
        <v>11</v>
      </c>
      <c r="T108" s="7">
        <v>6</v>
      </c>
      <c r="U108" s="7">
        <v>4</v>
      </c>
      <c r="V108" s="7">
        <v>12</v>
      </c>
      <c r="W108" s="7">
        <v>13</v>
      </c>
      <c r="X108" s="7">
        <v>8</v>
      </c>
      <c r="Y108" s="7">
        <v>12</v>
      </c>
      <c r="Z108" s="7">
        <v>10</v>
      </c>
      <c r="AA108" s="7">
        <v>7</v>
      </c>
      <c r="AB108" s="7">
        <v>12</v>
      </c>
      <c r="AC108" s="7">
        <v>10</v>
      </c>
      <c r="AD108" s="7">
        <v>5</v>
      </c>
      <c r="AE108" s="7">
        <v>11</v>
      </c>
      <c r="AF108" s="8">
        <v>9</v>
      </c>
      <c r="AG108" s="4">
        <f t="shared" si="13"/>
        <v>270</v>
      </c>
    </row>
    <row r="109" spans="1:33" ht="18.75" x14ac:dyDescent="0.25">
      <c r="A109" s="49" t="s">
        <v>16</v>
      </c>
      <c r="B109" s="7">
        <v>1</v>
      </c>
      <c r="C109" s="7">
        <v>2</v>
      </c>
      <c r="D109" s="7">
        <v>9</v>
      </c>
      <c r="E109" s="7">
        <v>10</v>
      </c>
      <c r="F109" s="7">
        <v>9</v>
      </c>
      <c r="G109" s="7">
        <v>8</v>
      </c>
      <c r="H109" s="7">
        <v>7</v>
      </c>
      <c r="I109" s="7">
        <v>3</v>
      </c>
      <c r="J109" s="7">
        <v>5</v>
      </c>
      <c r="K109" s="7">
        <v>11</v>
      </c>
      <c r="L109" s="7">
        <v>7</v>
      </c>
      <c r="M109" s="7">
        <v>10</v>
      </c>
      <c r="N109" s="7">
        <v>12</v>
      </c>
      <c r="O109" s="7">
        <v>8</v>
      </c>
      <c r="P109" s="7">
        <v>3</v>
      </c>
      <c r="Q109" s="7">
        <v>5</v>
      </c>
      <c r="R109" s="7">
        <v>16</v>
      </c>
      <c r="S109" s="7">
        <v>10</v>
      </c>
      <c r="T109" s="7">
        <v>14</v>
      </c>
      <c r="U109" s="7">
        <v>15</v>
      </c>
      <c r="V109" s="7">
        <v>9</v>
      </c>
      <c r="W109" s="7">
        <v>4</v>
      </c>
      <c r="X109" s="7">
        <v>7</v>
      </c>
      <c r="Y109" s="7">
        <v>10</v>
      </c>
      <c r="Z109" s="7">
        <v>11</v>
      </c>
      <c r="AA109" s="7">
        <v>4</v>
      </c>
      <c r="AB109" s="7">
        <v>5</v>
      </c>
      <c r="AC109" s="7">
        <v>11</v>
      </c>
      <c r="AD109" s="7">
        <v>4</v>
      </c>
      <c r="AE109" s="7">
        <v>7</v>
      </c>
      <c r="AF109" s="8">
        <v>11</v>
      </c>
      <c r="AG109" s="4">
        <f t="shared" si="13"/>
        <v>248</v>
      </c>
    </row>
    <row r="110" spans="1:33" ht="18.75" x14ac:dyDescent="0.25">
      <c r="A110" s="49" t="s">
        <v>17</v>
      </c>
      <c r="B110" s="7">
        <v>4</v>
      </c>
      <c r="C110" s="7">
        <v>8</v>
      </c>
      <c r="D110" s="7">
        <v>8</v>
      </c>
      <c r="E110" s="7">
        <v>7</v>
      </c>
      <c r="F110" s="7">
        <v>10</v>
      </c>
      <c r="G110" s="7">
        <v>11</v>
      </c>
      <c r="H110" s="7">
        <v>11</v>
      </c>
      <c r="I110" s="7">
        <v>8</v>
      </c>
      <c r="J110" s="7">
        <v>3</v>
      </c>
      <c r="K110" s="7">
        <v>9</v>
      </c>
      <c r="L110" s="7">
        <v>9</v>
      </c>
      <c r="M110" s="7">
        <v>9</v>
      </c>
      <c r="N110" s="7">
        <v>2</v>
      </c>
      <c r="O110" s="7">
        <v>8</v>
      </c>
      <c r="P110" s="7">
        <v>3</v>
      </c>
      <c r="Q110" s="7">
        <v>6</v>
      </c>
      <c r="R110" s="7">
        <v>16</v>
      </c>
      <c r="S110" s="7">
        <v>6</v>
      </c>
      <c r="T110" s="7">
        <v>5</v>
      </c>
      <c r="U110" s="7">
        <v>3</v>
      </c>
      <c r="V110" s="7">
        <v>7</v>
      </c>
      <c r="W110" s="7">
        <v>4</v>
      </c>
      <c r="X110" s="7">
        <v>1</v>
      </c>
      <c r="Y110" s="7">
        <v>13</v>
      </c>
      <c r="Z110" s="7">
        <v>6</v>
      </c>
      <c r="AA110" s="7">
        <v>6</v>
      </c>
      <c r="AB110" s="7">
        <v>5</v>
      </c>
      <c r="AC110" s="7">
        <v>10</v>
      </c>
      <c r="AD110" s="7">
        <v>8</v>
      </c>
      <c r="AE110" s="7">
        <v>8</v>
      </c>
      <c r="AF110" s="8">
        <v>6</v>
      </c>
      <c r="AG110" s="4">
        <f t="shared" si="13"/>
        <v>220</v>
      </c>
    </row>
    <row r="111" spans="1:33" ht="18.75" x14ac:dyDescent="0.25">
      <c r="A111" s="49" t="s">
        <v>18</v>
      </c>
      <c r="B111" s="7">
        <v>4</v>
      </c>
      <c r="C111" s="7">
        <v>3</v>
      </c>
      <c r="D111" s="7">
        <v>12</v>
      </c>
      <c r="E111" s="7">
        <v>9</v>
      </c>
      <c r="F111" s="7">
        <v>12</v>
      </c>
      <c r="G111" s="7">
        <v>6</v>
      </c>
      <c r="H111" s="7">
        <v>7</v>
      </c>
      <c r="I111" s="7">
        <v>5</v>
      </c>
      <c r="J111" s="7">
        <v>6</v>
      </c>
      <c r="K111" s="7">
        <v>9</v>
      </c>
      <c r="L111" s="7">
        <v>10</v>
      </c>
      <c r="M111" s="7">
        <v>13</v>
      </c>
      <c r="N111" s="7">
        <v>9</v>
      </c>
      <c r="O111" s="7">
        <v>4</v>
      </c>
      <c r="P111" s="7">
        <v>5</v>
      </c>
      <c r="Q111" s="7">
        <v>2</v>
      </c>
      <c r="R111" s="7">
        <v>9</v>
      </c>
      <c r="S111" s="7">
        <v>7</v>
      </c>
      <c r="T111" s="7">
        <v>6</v>
      </c>
      <c r="U111" s="7">
        <v>5</v>
      </c>
      <c r="V111" s="7">
        <v>10</v>
      </c>
      <c r="W111" s="7">
        <v>7</v>
      </c>
      <c r="X111" s="7">
        <v>7</v>
      </c>
      <c r="Y111" s="7">
        <v>6</v>
      </c>
      <c r="Z111" s="7">
        <v>4</v>
      </c>
      <c r="AA111" s="7">
        <v>6</v>
      </c>
      <c r="AB111" s="7">
        <v>5</v>
      </c>
      <c r="AC111" s="7">
        <v>9</v>
      </c>
      <c r="AD111" s="7">
        <v>5</v>
      </c>
      <c r="AE111" s="7">
        <v>4</v>
      </c>
      <c r="AF111" s="8">
        <v>9</v>
      </c>
      <c r="AG111" s="4">
        <f t="shared" si="13"/>
        <v>215</v>
      </c>
    </row>
    <row r="112" spans="1:33" ht="18.75" x14ac:dyDescent="0.25">
      <c r="A112" s="49" t="s">
        <v>19</v>
      </c>
      <c r="B112" s="7"/>
      <c r="C112" s="7">
        <v>1</v>
      </c>
      <c r="D112" s="7">
        <v>11</v>
      </c>
      <c r="E112" s="7">
        <v>15</v>
      </c>
      <c r="F112" s="7">
        <v>3</v>
      </c>
      <c r="G112" s="7">
        <v>5</v>
      </c>
      <c r="H112" s="7">
        <v>5</v>
      </c>
      <c r="I112" s="7">
        <v>5</v>
      </c>
      <c r="J112" s="7">
        <v>7</v>
      </c>
      <c r="K112" s="7">
        <v>2</v>
      </c>
      <c r="L112" s="7">
        <v>3</v>
      </c>
      <c r="M112" s="7">
        <v>4</v>
      </c>
      <c r="N112" s="7">
        <v>7</v>
      </c>
      <c r="O112" s="7">
        <v>5</v>
      </c>
      <c r="P112" s="7">
        <v>4</v>
      </c>
      <c r="Q112" s="7">
        <v>7</v>
      </c>
      <c r="R112" s="7">
        <v>5</v>
      </c>
      <c r="S112" s="7">
        <v>8</v>
      </c>
      <c r="T112" s="7">
        <v>4</v>
      </c>
      <c r="U112" s="7">
        <v>6</v>
      </c>
      <c r="V112" s="7">
        <v>5</v>
      </c>
      <c r="W112" s="7">
        <v>5</v>
      </c>
      <c r="X112" s="7">
        <v>5</v>
      </c>
      <c r="Y112" s="7">
        <v>7</v>
      </c>
      <c r="Z112" s="7">
        <v>1</v>
      </c>
      <c r="AA112" s="7">
        <v>3</v>
      </c>
      <c r="AB112" s="7">
        <v>3</v>
      </c>
      <c r="AC112" s="7">
        <v>2</v>
      </c>
      <c r="AD112" s="7">
        <v>2</v>
      </c>
      <c r="AE112" s="7">
        <v>1</v>
      </c>
      <c r="AF112" s="8">
        <v>4</v>
      </c>
      <c r="AG112" s="4">
        <f>SUM(B112:AF112)</f>
        <v>145</v>
      </c>
    </row>
    <row r="113" spans="1:33" ht="18.75" x14ac:dyDescent="0.25">
      <c r="A113" s="49" t="s">
        <v>20</v>
      </c>
      <c r="B113" s="7">
        <v>3</v>
      </c>
      <c r="C113" s="7">
        <v>6</v>
      </c>
      <c r="D113" s="7">
        <v>3</v>
      </c>
      <c r="E113" s="7">
        <v>3</v>
      </c>
      <c r="F113" s="7">
        <v>2</v>
      </c>
      <c r="G113" s="7">
        <v>4</v>
      </c>
      <c r="H113" s="7">
        <v>5</v>
      </c>
      <c r="I113" s="7">
        <v>1</v>
      </c>
      <c r="J113" s="7">
        <v>1</v>
      </c>
      <c r="K113" s="7">
        <v>1</v>
      </c>
      <c r="L113" s="7">
        <v>8</v>
      </c>
      <c r="M113" s="7">
        <v>2</v>
      </c>
      <c r="N113" s="7">
        <v>5</v>
      </c>
      <c r="O113" s="7">
        <v>4</v>
      </c>
      <c r="P113" s="7">
        <v>3</v>
      </c>
      <c r="Q113" s="7">
        <v>5</v>
      </c>
      <c r="R113" s="7">
        <v>5</v>
      </c>
      <c r="S113" s="7">
        <v>4</v>
      </c>
      <c r="T113" s="7">
        <v>5</v>
      </c>
      <c r="U113" s="7">
        <v>3</v>
      </c>
      <c r="V113" s="7">
        <v>7</v>
      </c>
      <c r="W113" s="7">
        <v>3</v>
      </c>
      <c r="X113" s="7">
        <v>1</v>
      </c>
      <c r="Y113" s="7">
        <v>4</v>
      </c>
      <c r="Z113" s="7">
        <v>1</v>
      </c>
      <c r="AA113" s="7">
        <v>1</v>
      </c>
      <c r="AB113" s="7">
        <v>3</v>
      </c>
      <c r="AC113" s="7">
        <v>1</v>
      </c>
      <c r="AD113" s="7">
        <v>3</v>
      </c>
      <c r="AE113" s="7">
        <v>1</v>
      </c>
      <c r="AF113" s="8">
        <v>3</v>
      </c>
      <c r="AG113" s="4">
        <f t="shared" si="13"/>
        <v>101</v>
      </c>
    </row>
    <row r="114" spans="1:33" ht="18.75" x14ac:dyDescent="0.25">
      <c r="A114" s="49" t="s">
        <v>21</v>
      </c>
      <c r="B114" s="7">
        <v>1</v>
      </c>
      <c r="C114" s="7">
        <v>4</v>
      </c>
      <c r="D114" s="7">
        <v>7</v>
      </c>
      <c r="E114" s="7">
        <v>13</v>
      </c>
      <c r="F114" s="7">
        <v>7</v>
      </c>
      <c r="G114" s="7">
        <v>4</v>
      </c>
      <c r="H114" s="7">
        <v>7</v>
      </c>
      <c r="I114" s="7">
        <v>4</v>
      </c>
      <c r="J114" s="7">
        <v>5</v>
      </c>
      <c r="K114" s="7">
        <v>8</v>
      </c>
      <c r="L114" s="7">
        <v>8</v>
      </c>
      <c r="M114" s="7">
        <v>4</v>
      </c>
      <c r="N114" s="7">
        <v>5</v>
      </c>
      <c r="O114" s="7">
        <v>1</v>
      </c>
      <c r="P114" s="7">
        <v>2</v>
      </c>
      <c r="Q114" s="7">
        <v>5</v>
      </c>
      <c r="R114" s="7">
        <v>6</v>
      </c>
      <c r="S114" s="7">
        <v>6</v>
      </c>
      <c r="T114" s="7">
        <v>5</v>
      </c>
      <c r="U114" s="7"/>
      <c r="V114" s="7">
        <v>8</v>
      </c>
      <c r="W114" s="7">
        <v>8</v>
      </c>
      <c r="X114" s="7">
        <v>3</v>
      </c>
      <c r="Y114" s="7">
        <v>4</v>
      </c>
      <c r="Z114" s="7">
        <v>6</v>
      </c>
      <c r="AA114" s="7">
        <v>3</v>
      </c>
      <c r="AB114" s="7">
        <v>2</v>
      </c>
      <c r="AC114" s="7">
        <v>3</v>
      </c>
      <c r="AD114" s="7">
        <v>6</v>
      </c>
      <c r="AE114" s="7">
        <v>7</v>
      </c>
      <c r="AF114" s="8">
        <v>4</v>
      </c>
      <c r="AG114" s="4">
        <f t="shared" si="13"/>
        <v>156</v>
      </c>
    </row>
    <row r="115" spans="1:33" ht="19.5" thickBot="1" x14ac:dyDescent="0.3">
      <c r="A115" s="76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2"/>
      <c r="AG115" s="4">
        <f t="shared" si="13"/>
        <v>0</v>
      </c>
    </row>
    <row r="116" spans="1:33" ht="18.75" x14ac:dyDescent="0.25">
      <c r="A116" s="73" t="s">
        <v>61</v>
      </c>
      <c r="B116" s="74">
        <f t="shared" ref="B116:AF116" si="18">SUM(B117:B129)</f>
        <v>36</v>
      </c>
      <c r="C116" s="74">
        <f t="shared" si="18"/>
        <v>37</v>
      </c>
      <c r="D116" s="74">
        <f t="shared" si="18"/>
        <v>75</v>
      </c>
      <c r="E116" s="74">
        <f t="shared" si="18"/>
        <v>81</v>
      </c>
      <c r="F116" s="74">
        <f t="shared" si="18"/>
        <v>58</v>
      </c>
      <c r="G116" s="74">
        <f t="shared" si="18"/>
        <v>60</v>
      </c>
      <c r="H116" s="74">
        <f t="shared" si="18"/>
        <v>66</v>
      </c>
      <c r="I116" s="74">
        <f t="shared" si="18"/>
        <v>41</v>
      </c>
      <c r="J116" s="74">
        <f t="shared" si="18"/>
        <v>33</v>
      </c>
      <c r="K116" s="74">
        <f t="shared" si="18"/>
        <v>61</v>
      </c>
      <c r="L116" s="74">
        <f t="shared" si="18"/>
        <v>73</v>
      </c>
      <c r="M116" s="74">
        <f t="shared" si="18"/>
        <v>66</v>
      </c>
      <c r="N116" s="74">
        <f t="shared" si="18"/>
        <v>65</v>
      </c>
      <c r="O116" s="74">
        <f t="shared" si="18"/>
        <v>67</v>
      </c>
      <c r="P116" s="74">
        <f t="shared" si="18"/>
        <v>37</v>
      </c>
      <c r="Q116" s="74">
        <f t="shared" si="18"/>
        <v>41</v>
      </c>
      <c r="R116" s="74">
        <f t="shared" si="18"/>
        <v>101</v>
      </c>
      <c r="S116" s="74">
        <f t="shared" si="18"/>
        <v>83</v>
      </c>
      <c r="T116" s="74">
        <f t="shared" si="18"/>
        <v>62</v>
      </c>
      <c r="U116" s="74">
        <f t="shared" si="18"/>
        <v>41</v>
      </c>
      <c r="V116" s="74">
        <f t="shared" si="18"/>
        <v>78</v>
      </c>
      <c r="W116" s="74">
        <f t="shared" si="18"/>
        <v>39</v>
      </c>
      <c r="X116" s="74">
        <f t="shared" si="18"/>
        <v>44</v>
      </c>
      <c r="Y116" s="74">
        <f t="shared" si="18"/>
        <v>95</v>
      </c>
      <c r="Z116" s="74">
        <f t="shared" si="18"/>
        <v>58</v>
      </c>
      <c r="AA116" s="74">
        <f t="shared" si="18"/>
        <v>48</v>
      </c>
      <c r="AB116" s="74">
        <f t="shared" si="18"/>
        <v>53</v>
      </c>
      <c r="AC116" s="74">
        <f t="shared" si="18"/>
        <v>47</v>
      </c>
      <c r="AD116" s="74">
        <f t="shared" si="18"/>
        <v>41</v>
      </c>
      <c r="AE116" s="74">
        <f t="shared" si="18"/>
        <v>50</v>
      </c>
      <c r="AF116" s="84">
        <f t="shared" si="18"/>
        <v>49</v>
      </c>
      <c r="AG116" s="4">
        <f t="shared" si="13"/>
        <v>1786</v>
      </c>
    </row>
    <row r="117" spans="1:33" ht="18.75" x14ac:dyDescent="0.25">
      <c r="A117" s="43" t="s">
        <v>59</v>
      </c>
      <c r="B117" s="7">
        <v>25</v>
      </c>
      <c r="C117" s="7">
        <v>29</v>
      </c>
      <c r="D117" s="7">
        <v>61</v>
      </c>
      <c r="E117" s="7">
        <v>62</v>
      </c>
      <c r="F117" s="7">
        <v>45</v>
      </c>
      <c r="G117" s="7">
        <v>52</v>
      </c>
      <c r="H117" s="7">
        <v>54</v>
      </c>
      <c r="I117" s="7">
        <v>29</v>
      </c>
      <c r="J117" s="7">
        <v>26</v>
      </c>
      <c r="K117" s="7">
        <v>50</v>
      </c>
      <c r="L117" s="7">
        <v>58</v>
      </c>
      <c r="M117" s="7">
        <v>52</v>
      </c>
      <c r="N117" s="7">
        <v>52</v>
      </c>
      <c r="O117" s="7">
        <v>53</v>
      </c>
      <c r="P117" s="7">
        <v>33</v>
      </c>
      <c r="Q117" s="7">
        <v>28</v>
      </c>
      <c r="R117" s="7">
        <v>74</v>
      </c>
      <c r="S117" s="7">
        <v>65</v>
      </c>
      <c r="T117" s="7">
        <v>45</v>
      </c>
      <c r="U117" s="7">
        <v>31</v>
      </c>
      <c r="V117" s="7">
        <v>63</v>
      </c>
      <c r="W117" s="7">
        <v>31</v>
      </c>
      <c r="X117" s="7">
        <v>32</v>
      </c>
      <c r="Y117" s="7">
        <v>75</v>
      </c>
      <c r="Z117" s="7">
        <v>46</v>
      </c>
      <c r="AA117" s="7">
        <v>33</v>
      </c>
      <c r="AB117" s="7">
        <v>35</v>
      </c>
      <c r="AC117" s="7">
        <v>33</v>
      </c>
      <c r="AD117" s="7">
        <v>31</v>
      </c>
      <c r="AE117" s="7">
        <v>35</v>
      </c>
      <c r="AF117" s="8">
        <v>42</v>
      </c>
      <c r="AG117" s="4">
        <f t="shared" si="13"/>
        <v>1380</v>
      </c>
    </row>
    <row r="118" spans="1:33" ht="19.5" hidden="1" customHeight="1" thickBot="1" x14ac:dyDescent="0.25">
      <c r="A118" s="43" t="s">
        <v>23</v>
      </c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8"/>
      <c r="AG118" s="4">
        <f t="shared" si="13"/>
        <v>0</v>
      </c>
    </row>
    <row r="119" spans="1:33" ht="19.5" hidden="1" customHeight="1" thickBot="1" x14ac:dyDescent="0.25">
      <c r="A119" s="43" t="s">
        <v>24</v>
      </c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8"/>
      <c r="AG119" s="4">
        <f t="shared" si="13"/>
        <v>0</v>
      </c>
    </row>
    <row r="120" spans="1:33" ht="19.5" hidden="1" customHeight="1" thickBot="1" x14ac:dyDescent="0.25">
      <c r="A120" s="43" t="s">
        <v>25</v>
      </c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8"/>
      <c r="AG120" s="4">
        <f t="shared" si="13"/>
        <v>0</v>
      </c>
    </row>
    <row r="121" spans="1:33" ht="19.5" hidden="1" customHeight="1" thickBot="1" x14ac:dyDescent="0.25">
      <c r="A121" s="43" t="s">
        <v>26</v>
      </c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8"/>
      <c r="AG121" s="4">
        <f t="shared" si="13"/>
        <v>0</v>
      </c>
    </row>
    <row r="122" spans="1:33" ht="19.5" hidden="1" customHeight="1" thickBot="1" x14ac:dyDescent="0.25">
      <c r="A122" s="43" t="s">
        <v>27</v>
      </c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8"/>
      <c r="AG122" s="4">
        <f t="shared" si="13"/>
        <v>0</v>
      </c>
    </row>
    <row r="123" spans="1:33" ht="19.5" hidden="1" customHeight="1" thickBot="1" x14ac:dyDescent="0.25">
      <c r="A123" s="43" t="s">
        <v>28</v>
      </c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8"/>
      <c r="AG123" s="4">
        <f t="shared" si="13"/>
        <v>0</v>
      </c>
    </row>
    <row r="124" spans="1:33" ht="19.5" hidden="1" customHeight="1" thickBot="1" x14ac:dyDescent="0.25">
      <c r="A124" s="43" t="s">
        <v>29</v>
      </c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8"/>
      <c r="AG124" s="4">
        <f t="shared" si="13"/>
        <v>0</v>
      </c>
    </row>
    <row r="125" spans="1:33" ht="19.5" hidden="1" customHeight="1" thickBot="1" x14ac:dyDescent="0.25">
      <c r="A125" s="41" t="s">
        <v>30</v>
      </c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8"/>
      <c r="AG125" s="4">
        <f t="shared" si="13"/>
        <v>0</v>
      </c>
    </row>
    <row r="126" spans="1:33" ht="19.5" hidden="1" customHeight="1" thickBot="1" x14ac:dyDescent="0.25">
      <c r="A126" s="41" t="s">
        <v>31</v>
      </c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8"/>
      <c r="AG126" s="4">
        <f t="shared" si="13"/>
        <v>0</v>
      </c>
    </row>
    <row r="127" spans="1:33" ht="19.5" hidden="1" customHeight="1" thickBot="1" x14ac:dyDescent="0.25">
      <c r="A127" s="41" t="s">
        <v>32</v>
      </c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8"/>
      <c r="AG127" s="4">
        <f t="shared" ref="AG127:AG133" si="19">SUM(B127:AF127)</f>
        <v>0</v>
      </c>
    </row>
    <row r="128" spans="1:33" ht="19.5" hidden="1" customHeight="1" thickBot="1" x14ac:dyDescent="0.25">
      <c r="A128" s="43" t="s">
        <v>60</v>
      </c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8"/>
      <c r="AG128" s="4">
        <f t="shared" si="19"/>
        <v>0</v>
      </c>
    </row>
    <row r="129" spans="1:35" ht="19.5" thickBot="1" x14ac:dyDescent="0.3">
      <c r="A129" s="75" t="s">
        <v>86</v>
      </c>
      <c r="B129" s="13">
        <f>5+6</f>
        <v>11</v>
      </c>
      <c r="C129" s="13">
        <f>3+5</f>
        <v>8</v>
      </c>
      <c r="D129" s="13">
        <f>5+9</f>
        <v>14</v>
      </c>
      <c r="E129" s="13">
        <f>12+7</f>
        <v>19</v>
      </c>
      <c r="F129" s="13">
        <f>4+9</f>
        <v>13</v>
      </c>
      <c r="G129" s="13">
        <f>2+1+5</f>
        <v>8</v>
      </c>
      <c r="H129" s="13">
        <f>8+4</f>
        <v>12</v>
      </c>
      <c r="I129" s="13">
        <f>9+3</f>
        <v>12</v>
      </c>
      <c r="J129" s="13">
        <f>4+3</f>
        <v>7</v>
      </c>
      <c r="K129" s="13">
        <f>4+7</f>
        <v>11</v>
      </c>
      <c r="L129" s="13">
        <f>9+6</f>
        <v>15</v>
      </c>
      <c r="M129" s="13">
        <f>4+10</f>
        <v>14</v>
      </c>
      <c r="N129" s="13">
        <f>3+1+9</f>
        <v>13</v>
      </c>
      <c r="O129" s="13">
        <f>8+1+5</f>
        <v>14</v>
      </c>
      <c r="P129" s="13">
        <f>2+2</f>
        <v>4</v>
      </c>
      <c r="Q129" s="13">
        <f>8+1+4</f>
        <v>13</v>
      </c>
      <c r="R129" s="13">
        <f>11+16</f>
        <v>27</v>
      </c>
      <c r="S129" s="13">
        <f>7+1+10</f>
        <v>18</v>
      </c>
      <c r="T129" s="13">
        <f>8+1+8</f>
        <v>17</v>
      </c>
      <c r="U129" s="13">
        <f>4+1+5</f>
        <v>10</v>
      </c>
      <c r="V129" s="13">
        <f>6+9</f>
        <v>15</v>
      </c>
      <c r="W129" s="13">
        <f>2+2+4</f>
        <v>8</v>
      </c>
      <c r="X129" s="13">
        <f>5+7</f>
        <v>12</v>
      </c>
      <c r="Y129" s="13">
        <f>10+10</f>
        <v>20</v>
      </c>
      <c r="Z129" s="13">
        <f>4+8</f>
        <v>12</v>
      </c>
      <c r="AA129" s="13">
        <f>7+8</f>
        <v>15</v>
      </c>
      <c r="AB129" s="13">
        <f>11+7</f>
        <v>18</v>
      </c>
      <c r="AC129" s="13">
        <f>7+7</f>
        <v>14</v>
      </c>
      <c r="AD129" s="13">
        <f>1+1+8</f>
        <v>10</v>
      </c>
      <c r="AE129" s="13">
        <f>10+1+4</f>
        <v>15</v>
      </c>
      <c r="AF129" s="14">
        <f>4+3</f>
        <v>7</v>
      </c>
      <c r="AG129" s="4">
        <f t="shared" si="19"/>
        <v>406</v>
      </c>
    </row>
    <row r="130" spans="1:35" ht="18.75" x14ac:dyDescent="0.25">
      <c r="A130" s="73" t="s">
        <v>109</v>
      </c>
      <c r="B130" s="74">
        <f t="shared" ref="B130:AF130" si="20">SUM(B131:B143)</f>
        <v>82</v>
      </c>
      <c r="C130" s="74">
        <f t="shared" si="20"/>
        <v>78</v>
      </c>
      <c r="D130" s="74">
        <f t="shared" si="20"/>
        <v>112</v>
      </c>
      <c r="E130" s="74">
        <f t="shared" si="20"/>
        <v>133</v>
      </c>
      <c r="F130" s="74">
        <f t="shared" si="20"/>
        <v>98</v>
      </c>
      <c r="G130" s="74">
        <f t="shared" si="20"/>
        <v>93</v>
      </c>
      <c r="H130" s="74">
        <f t="shared" si="20"/>
        <v>103</v>
      </c>
      <c r="I130" s="74">
        <f t="shared" si="20"/>
        <v>78</v>
      </c>
      <c r="J130" s="74">
        <f t="shared" si="20"/>
        <v>84</v>
      </c>
      <c r="K130" s="74">
        <f t="shared" si="20"/>
        <v>105</v>
      </c>
      <c r="L130" s="74">
        <f t="shared" si="20"/>
        <v>103</v>
      </c>
      <c r="M130" s="74">
        <f t="shared" si="20"/>
        <v>117</v>
      </c>
      <c r="N130" s="74">
        <f t="shared" si="20"/>
        <v>103</v>
      </c>
      <c r="O130" s="74">
        <f t="shared" si="20"/>
        <v>101</v>
      </c>
      <c r="P130" s="74">
        <f t="shared" si="20"/>
        <v>76</v>
      </c>
      <c r="Q130" s="74">
        <f t="shared" si="20"/>
        <v>87</v>
      </c>
      <c r="R130" s="74">
        <f t="shared" si="20"/>
        <v>156</v>
      </c>
      <c r="S130" s="74">
        <f t="shared" si="20"/>
        <v>118</v>
      </c>
      <c r="T130" s="74">
        <f t="shared" si="20"/>
        <v>108</v>
      </c>
      <c r="U130" s="74">
        <f t="shared" si="20"/>
        <v>97</v>
      </c>
      <c r="V130" s="74">
        <f t="shared" si="20"/>
        <v>120</v>
      </c>
      <c r="W130" s="74">
        <f t="shared" si="20"/>
        <v>101</v>
      </c>
      <c r="X130" s="74">
        <f t="shared" si="20"/>
        <v>100</v>
      </c>
      <c r="Y130" s="74">
        <f t="shared" si="20"/>
        <v>143</v>
      </c>
      <c r="Z130" s="74">
        <f t="shared" si="20"/>
        <v>92</v>
      </c>
      <c r="AA130" s="74">
        <f t="shared" si="20"/>
        <v>87</v>
      </c>
      <c r="AB130" s="74">
        <f t="shared" si="20"/>
        <v>101</v>
      </c>
      <c r="AC130" s="74">
        <f t="shared" si="20"/>
        <v>103</v>
      </c>
      <c r="AD130" s="74">
        <f t="shared" si="20"/>
        <v>82</v>
      </c>
      <c r="AE130" s="74">
        <f t="shared" si="20"/>
        <v>93</v>
      </c>
      <c r="AF130" s="84">
        <f t="shared" si="20"/>
        <v>103</v>
      </c>
      <c r="AG130" s="150">
        <f t="shared" si="19"/>
        <v>3157</v>
      </c>
      <c r="AH130" s="1" t="str">
        <f>IF(AG130&lt;&gt;AG93,"*","")</f>
        <v/>
      </c>
    </row>
    <row r="131" spans="1:35" ht="18.75" x14ac:dyDescent="0.25">
      <c r="A131" s="43" t="s">
        <v>59</v>
      </c>
      <c r="B131" s="7">
        <v>24</v>
      </c>
      <c r="C131" s="7">
        <v>28</v>
      </c>
      <c r="D131" s="7">
        <v>53</v>
      </c>
      <c r="E131" s="7">
        <v>60</v>
      </c>
      <c r="F131" s="7">
        <v>39</v>
      </c>
      <c r="G131" s="7">
        <v>39</v>
      </c>
      <c r="H131" s="7">
        <v>50</v>
      </c>
      <c r="I131" s="7">
        <v>29</v>
      </c>
      <c r="J131" s="7">
        <v>25</v>
      </c>
      <c r="K131" s="7">
        <v>47</v>
      </c>
      <c r="L131" s="7">
        <v>55</v>
      </c>
      <c r="M131" s="7">
        <v>48</v>
      </c>
      <c r="N131" s="7">
        <v>49</v>
      </c>
      <c r="O131" s="7">
        <v>53</v>
      </c>
      <c r="P131" s="7">
        <v>32</v>
      </c>
      <c r="Q131" s="7">
        <v>27</v>
      </c>
      <c r="R131" s="7">
        <v>67</v>
      </c>
      <c r="S131" s="7">
        <v>63</v>
      </c>
      <c r="T131" s="7">
        <v>42</v>
      </c>
      <c r="U131" s="7">
        <v>31</v>
      </c>
      <c r="V131" s="7">
        <v>57</v>
      </c>
      <c r="W131" s="7">
        <v>30</v>
      </c>
      <c r="X131" s="7">
        <v>32</v>
      </c>
      <c r="Y131" s="7">
        <v>67</v>
      </c>
      <c r="Z131" s="7">
        <v>40</v>
      </c>
      <c r="AA131" s="7">
        <v>33</v>
      </c>
      <c r="AB131" s="7">
        <v>31</v>
      </c>
      <c r="AC131" s="7">
        <v>30</v>
      </c>
      <c r="AD131" s="7">
        <v>29</v>
      </c>
      <c r="AE131" s="7">
        <v>33</v>
      </c>
      <c r="AF131" s="8">
        <v>37</v>
      </c>
      <c r="AG131" s="4">
        <f t="shared" si="19"/>
        <v>1280</v>
      </c>
    </row>
    <row r="132" spans="1:35" ht="18.75" x14ac:dyDescent="0.25">
      <c r="A132" s="43" t="s">
        <v>23</v>
      </c>
      <c r="B132" s="7">
        <v>4</v>
      </c>
      <c r="C132" s="7">
        <v>4</v>
      </c>
      <c r="D132" s="7">
        <v>2</v>
      </c>
      <c r="E132" s="7">
        <v>7</v>
      </c>
      <c r="F132" s="7">
        <v>6</v>
      </c>
      <c r="G132" s="7">
        <v>7</v>
      </c>
      <c r="H132" s="7">
        <v>8</v>
      </c>
      <c r="I132" s="7">
        <v>6</v>
      </c>
      <c r="J132" s="7">
        <v>2</v>
      </c>
      <c r="K132" s="7">
        <v>6</v>
      </c>
      <c r="L132" s="7">
        <v>5</v>
      </c>
      <c r="M132" s="7">
        <v>6</v>
      </c>
      <c r="N132" s="7">
        <v>6</v>
      </c>
      <c r="O132" s="7">
        <v>8</v>
      </c>
      <c r="P132" s="7">
        <v>3</v>
      </c>
      <c r="Q132" s="7">
        <v>6</v>
      </c>
      <c r="R132" s="7">
        <v>12</v>
      </c>
      <c r="S132" s="7">
        <v>3</v>
      </c>
      <c r="T132" s="7">
        <v>4</v>
      </c>
      <c r="U132" s="7">
        <v>5</v>
      </c>
      <c r="V132" s="7">
        <v>4</v>
      </c>
      <c r="W132" s="7">
        <v>6</v>
      </c>
      <c r="X132" s="7">
        <v>5</v>
      </c>
      <c r="Y132" s="7">
        <v>9</v>
      </c>
      <c r="Z132" s="7">
        <v>3</v>
      </c>
      <c r="AA132" s="7">
        <v>4</v>
      </c>
      <c r="AB132" s="7">
        <v>4</v>
      </c>
      <c r="AC132" s="7">
        <v>6</v>
      </c>
      <c r="AD132" s="7">
        <v>5</v>
      </c>
      <c r="AE132" s="7">
        <v>5</v>
      </c>
      <c r="AF132" s="8">
        <v>6</v>
      </c>
      <c r="AG132" s="4">
        <f t="shared" si="19"/>
        <v>167</v>
      </c>
    </row>
    <row r="133" spans="1:35" ht="18.75" x14ac:dyDescent="0.25">
      <c r="A133" s="43" t="s">
        <v>24</v>
      </c>
      <c r="B133" s="7">
        <v>5</v>
      </c>
      <c r="C133" s="7">
        <v>5</v>
      </c>
      <c r="D133" s="7">
        <v>6</v>
      </c>
      <c r="E133" s="7">
        <v>5</v>
      </c>
      <c r="F133" s="7">
        <v>5</v>
      </c>
      <c r="G133" s="7">
        <v>8</v>
      </c>
      <c r="H133" s="7">
        <v>7</v>
      </c>
      <c r="I133" s="7">
        <v>2</v>
      </c>
      <c r="J133" s="7">
        <v>7</v>
      </c>
      <c r="K133" s="7">
        <v>7</v>
      </c>
      <c r="L133" s="7">
        <v>8</v>
      </c>
      <c r="M133" s="7">
        <v>16</v>
      </c>
      <c r="N133" s="7">
        <v>6</v>
      </c>
      <c r="O133" s="7">
        <v>4</v>
      </c>
      <c r="P133" s="7">
        <v>5</v>
      </c>
      <c r="Q133" s="7">
        <v>5</v>
      </c>
      <c r="R133" s="7">
        <v>6</v>
      </c>
      <c r="S133" s="7">
        <v>6</v>
      </c>
      <c r="T133" s="7">
        <v>5</v>
      </c>
      <c r="U133" s="7">
        <v>12</v>
      </c>
      <c r="V133" s="7">
        <v>6</v>
      </c>
      <c r="W133" s="7">
        <v>6</v>
      </c>
      <c r="X133" s="7">
        <v>11</v>
      </c>
      <c r="Y133" s="7">
        <v>13</v>
      </c>
      <c r="Z133" s="7">
        <v>6</v>
      </c>
      <c r="AA133" s="7">
        <v>6</v>
      </c>
      <c r="AB133" s="7">
        <v>11</v>
      </c>
      <c r="AC133" s="7">
        <v>9</v>
      </c>
      <c r="AD133" s="7">
        <v>6</v>
      </c>
      <c r="AE133" s="7">
        <v>11</v>
      </c>
      <c r="AF133" s="8">
        <v>5</v>
      </c>
      <c r="AG133" s="4">
        <f t="shared" si="19"/>
        <v>220</v>
      </c>
    </row>
    <row r="134" spans="1:35" ht="18.75" x14ac:dyDescent="0.25">
      <c r="A134" s="43" t="s">
        <v>25</v>
      </c>
      <c r="B134" s="7">
        <f>2+4</f>
        <v>6</v>
      </c>
      <c r="C134" s="7">
        <v>5</v>
      </c>
      <c r="D134" s="7">
        <v>5</v>
      </c>
      <c r="E134" s="7">
        <v>2</v>
      </c>
      <c r="F134" s="7">
        <v>8</v>
      </c>
      <c r="G134" s="7">
        <f>1+4</f>
        <v>5</v>
      </c>
      <c r="H134" s="7">
        <v>2</v>
      </c>
      <c r="I134" s="7">
        <v>3</v>
      </c>
      <c r="J134" s="7">
        <v>4</v>
      </c>
      <c r="K134" s="7">
        <f>1+6</f>
        <v>7</v>
      </c>
      <c r="L134" s="7">
        <v>5</v>
      </c>
      <c r="M134" s="7">
        <v>1</v>
      </c>
      <c r="N134" s="7">
        <v>5</v>
      </c>
      <c r="O134" s="7">
        <v>3</v>
      </c>
      <c r="P134" s="7">
        <f>6+1</f>
        <v>7</v>
      </c>
      <c r="Q134" s="7">
        <v>6</v>
      </c>
      <c r="R134" s="7">
        <v>6</v>
      </c>
      <c r="S134" s="7">
        <f>1+2</f>
        <v>3</v>
      </c>
      <c r="T134" s="7">
        <v>7</v>
      </c>
      <c r="U134" s="7">
        <f>1+4</f>
        <v>5</v>
      </c>
      <c r="V134" s="7">
        <v>5</v>
      </c>
      <c r="W134" s="7">
        <v>6</v>
      </c>
      <c r="X134" s="7">
        <v>6</v>
      </c>
      <c r="Y134" s="7">
        <v>5</v>
      </c>
      <c r="Z134" s="7">
        <v>8</v>
      </c>
      <c r="AA134" s="7">
        <v>7</v>
      </c>
      <c r="AB134" s="7">
        <v>5</v>
      </c>
      <c r="AC134" s="7">
        <f>7+1</f>
        <v>8</v>
      </c>
      <c r="AD134" s="7">
        <v>7</v>
      </c>
      <c r="AE134" s="7">
        <f>1+3</f>
        <v>4</v>
      </c>
      <c r="AF134" s="8">
        <f>1+6</f>
        <v>7</v>
      </c>
      <c r="AG134" s="4">
        <f t="shared" ref="AG134:AG147" si="21">SUM(B134:AF134)</f>
        <v>163</v>
      </c>
    </row>
    <row r="135" spans="1:35" ht="18.75" x14ac:dyDescent="0.25">
      <c r="A135" s="43" t="s">
        <v>26</v>
      </c>
      <c r="B135" s="7">
        <v>3</v>
      </c>
      <c r="C135" s="7">
        <v>8</v>
      </c>
      <c r="D135" s="7">
        <v>2</v>
      </c>
      <c r="E135" s="7">
        <v>9</v>
      </c>
      <c r="F135" s="7">
        <v>8</v>
      </c>
      <c r="G135" s="7">
        <v>4</v>
      </c>
      <c r="H135" s="7">
        <v>2</v>
      </c>
      <c r="I135" s="7">
        <v>3</v>
      </c>
      <c r="J135" s="7">
        <v>6</v>
      </c>
      <c r="K135" s="7">
        <v>3</v>
      </c>
      <c r="L135" s="7">
        <v>3</v>
      </c>
      <c r="M135" s="7">
        <v>10</v>
      </c>
      <c r="N135" s="7">
        <v>5</v>
      </c>
      <c r="O135" s="7">
        <v>5</v>
      </c>
      <c r="P135" s="7">
        <v>7</v>
      </c>
      <c r="Q135" s="7">
        <v>4</v>
      </c>
      <c r="R135" s="7">
        <v>9</v>
      </c>
      <c r="S135" s="7">
        <v>4</v>
      </c>
      <c r="T135" s="7">
        <v>6</v>
      </c>
      <c r="U135" s="7">
        <v>9</v>
      </c>
      <c r="V135" s="7">
        <v>10</v>
      </c>
      <c r="W135" s="7">
        <v>10</v>
      </c>
      <c r="X135" s="7">
        <v>12</v>
      </c>
      <c r="Y135" s="7">
        <v>9</v>
      </c>
      <c r="Z135" s="7">
        <v>4</v>
      </c>
      <c r="AA135" s="7">
        <v>9</v>
      </c>
      <c r="AB135" s="7">
        <v>3</v>
      </c>
      <c r="AC135" s="7">
        <v>8</v>
      </c>
      <c r="AD135" s="7">
        <v>8</v>
      </c>
      <c r="AE135" s="7">
        <v>5</v>
      </c>
      <c r="AF135" s="8">
        <v>6</v>
      </c>
      <c r="AG135" s="4">
        <f t="shared" si="21"/>
        <v>194</v>
      </c>
    </row>
    <row r="136" spans="1:35" ht="18.75" x14ac:dyDescent="0.25">
      <c r="A136" s="43" t="s">
        <v>27</v>
      </c>
      <c r="B136" s="7">
        <v>19</v>
      </c>
      <c r="C136" s="7">
        <v>10</v>
      </c>
      <c r="D136" s="7">
        <v>17</v>
      </c>
      <c r="E136" s="7">
        <v>15</v>
      </c>
      <c r="F136" s="7">
        <v>15</v>
      </c>
      <c r="G136" s="7">
        <v>17</v>
      </c>
      <c r="H136" s="7">
        <v>12</v>
      </c>
      <c r="I136" s="7">
        <v>15</v>
      </c>
      <c r="J136" s="7">
        <v>20</v>
      </c>
      <c r="K136" s="7">
        <v>13</v>
      </c>
      <c r="L136" s="7">
        <v>6</v>
      </c>
      <c r="M136" s="7">
        <v>16</v>
      </c>
      <c r="N136" s="7">
        <v>12</v>
      </c>
      <c r="O136" s="7">
        <v>11</v>
      </c>
      <c r="P136" s="7">
        <v>10</v>
      </c>
      <c r="Q136" s="7">
        <v>13</v>
      </c>
      <c r="R136" s="7">
        <v>19</v>
      </c>
      <c r="S136" s="7">
        <v>16</v>
      </c>
      <c r="T136" s="7">
        <v>14</v>
      </c>
      <c r="U136" s="7">
        <v>15</v>
      </c>
      <c r="V136" s="7">
        <v>14</v>
      </c>
      <c r="W136" s="7">
        <v>20</v>
      </c>
      <c r="X136" s="7">
        <v>14</v>
      </c>
      <c r="Y136" s="7">
        <v>12</v>
      </c>
      <c r="Z136" s="7">
        <v>12</v>
      </c>
      <c r="AA136" s="7">
        <v>6</v>
      </c>
      <c r="AB136" s="7">
        <v>20</v>
      </c>
      <c r="AC136" s="7">
        <v>11</v>
      </c>
      <c r="AD136" s="7">
        <v>10</v>
      </c>
      <c r="AE136" s="7">
        <v>13</v>
      </c>
      <c r="AF136" s="8">
        <v>23</v>
      </c>
      <c r="AG136" s="4">
        <f t="shared" si="21"/>
        <v>440</v>
      </c>
    </row>
    <row r="137" spans="1:35" ht="18.75" x14ac:dyDescent="0.25">
      <c r="A137" s="43" t="s">
        <v>28</v>
      </c>
      <c r="B137" s="7">
        <f>1+2</f>
        <v>3</v>
      </c>
      <c r="C137" s="7">
        <f>3+1</f>
        <v>4</v>
      </c>
      <c r="D137" s="7">
        <f>3+1</f>
        <v>4</v>
      </c>
      <c r="E137" s="7">
        <f>4+1</f>
        <v>5</v>
      </c>
      <c r="F137" s="7">
        <v>1</v>
      </c>
      <c r="G137" s="7">
        <v>2</v>
      </c>
      <c r="H137" s="7">
        <v>5</v>
      </c>
      <c r="I137" s="7">
        <v>1</v>
      </c>
      <c r="J137" s="7">
        <f>6+1</f>
        <v>7</v>
      </c>
      <c r="K137" s="7">
        <v>5</v>
      </c>
      <c r="L137" s="7">
        <v>2</v>
      </c>
      <c r="M137" s="7">
        <v>2</v>
      </c>
      <c r="N137" s="7">
        <v>3</v>
      </c>
      <c r="O137" s="7">
        <v>3</v>
      </c>
      <c r="P137" s="7">
        <v>3</v>
      </c>
      <c r="Q137" s="7">
        <f>3+1</f>
        <v>4</v>
      </c>
      <c r="R137" s="7">
        <v>6</v>
      </c>
      <c r="S137" s="7">
        <v>2</v>
      </c>
      <c r="T137" s="7">
        <f>6+4</f>
        <v>10</v>
      </c>
      <c r="U137" s="7">
        <f>4+2</f>
        <v>6</v>
      </c>
      <c r="V137" s="7">
        <v>3</v>
      </c>
      <c r="W137" s="7">
        <v>5</v>
      </c>
      <c r="X137" s="7">
        <v>2</v>
      </c>
      <c r="Y137" s="7">
        <v>6</v>
      </c>
      <c r="Z137" s="7">
        <v>5</v>
      </c>
      <c r="AA137" s="7">
        <f>1+2</f>
        <v>3</v>
      </c>
      <c r="AB137" s="7">
        <v>5</v>
      </c>
      <c r="AC137" s="7">
        <f>5+2</f>
        <v>7</v>
      </c>
      <c r="AD137" s="7">
        <v>4</v>
      </c>
      <c r="AE137" s="7">
        <v>3</v>
      </c>
      <c r="AF137" s="8">
        <v>2</v>
      </c>
      <c r="AG137" s="4">
        <f t="shared" si="21"/>
        <v>123</v>
      </c>
    </row>
    <row r="138" spans="1:35" ht="18.75" x14ac:dyDescent="0.25">
      <c r="A138" s="43" t="s">
        <v>29</v>
      </c>
      <c r="B138" s="7">
        <v>1</v>
      </c>
      <c r="C138" s="7">
        <v>1</v>
      </c>
      <c r="D138" s="7">
        <v>2</v>
      </c>
      <c r="E138" s="7">
        <v>4</v>
      </c>
      <c r="F138" s="7"/>
      <c r="G138" s="7">
        <v>1</v>
      </c>
      <c r="H138" s="7">
        <v>2</v>
      </c>
      <c r="I138" s="7">
        <v>3</v>
      </c>
      <c r="J138" s="7">
        <v>1</v>
      </c>
      <c r="K138" s="7">
        <v>3</v>
      </c>
      <c r="L138" s="7">
        <v>2</v>
      </c>
      <c r="M138" s="7">
        <v>1</v>
      </c>
      <c r="N138" s="7"/>
      <c r="O138" s="7"/>
      <c r="P138" s="7"/>
      <c r="Q138" s="7">
        <v>1</v>
      </c>
      <c r="R138" s="7">
        <v>1</v>
      </c>
      <c r="S138" s="7">
        <v>1</v>
      </c>
      <c r="T138" s="7"/>
      <c r="U138" s="7">
        <v>1</v>
      </c>
      <c r="V138" s="7">
        <v>2</v>
      </c>
      <c r="W138" s="7">
        <v>5</v>
      </c>
      <c r="X138" s="7"/>
      <c r="Y138" s="7">
        <v>2</v>
      </c>
      <c r="Z138" s="7"/>
      <c r="AA138" s="7">
        <v>1</v>
      </c>
      <c r="AB138" s="7">
        <v>1</v>
      </c>
      <c r="AC138" s="7">
        <v>5</v>
      </c>
      <c r="AD138" s="7"/>
      <c r="AE138" s="7">
        <v>1</v>
      </c>
      <c r="AF138" s="8">
        <v>3</v>
      </c>
      <c r="AG138" s="4">
        <f t="shared" si="21"/>
        <v>45</v>
      </c>
    </row>
    <row r="139" spans="1:35" ht="18.75" x14ac:dyDescent="0.25">
      <c r="A139" s="41" t="s">
        <v>30</v>
      </c>
      <c r="B139" s="7">
        <v>1</v>
      </c>
      <c r="C139" s="7">
        <f>3+1</f>
        <v>4</v>
      </c>
      <c r="D139" s="7">
        <v>4</v>
      </c>
      <c r="E139" s="7"/>
      <c r="F139" s="7">
        <v>1</v>
      </c>
      <c r="G139" s="7">
        <v>2</v>
      </c>
      <c r="H139" s="7"/>
      <c r="I139" s="7">
        <v>1</v>
      </c>
      <c r="J139" s="7">
        <v>1</v>
      </c>
      <c r="K139" s="7"/>
      <c r="L139" s="7"/>
      <c r="M139" s="7"/>
      <c r="N139" s="7">
        <v>1</v>
      </c>
      <c r="O139" s="7">
        <v>1</v>
      </c>
      <c r="P139" s="7"/>
      <c r="Q139" s="7"/>
      <c r="R139" s="7">
        <v>1</v>
      </c>
      <c r="S139" s="7">
        <v>1</v>
      </c>
      <c r="T139" s="7"/>
      <c r="U139" s="7"/>
      <c r="V139" s="7">
        <v>1</v>
      </c>
      <c r="W139" s="7">
        <f>3+1</f>
        <v>4</v>
      </c>
      <c r="X139" s="7">
        <f>2+1</f>
        <v>3</v>
      </c>
      <c r="Y139" s="7">
        <v>1</v>
      </c>
      <c r="Z139" s="7">
        <v>2</v>
      </c>
      <c r="AA139" s="7">
        <v>1</v>
      </c>
      <c r="AB139" s="7">
        <v>2</v>
      </c>
      <c r="AC139" s="7">
        <f>1+2</f>
        <v>3</v>
      </c>
      <c r="AD139" s="7"/>
      <c r="AE139" s="7">
        <v>1</v>
      </c>
      <c r="AF139" s="8">
        <v>2</v>
      </c>
      <c r="AG139" s="4">
        <f t="shared" si="21"/>
        <v>38</v>
      </c>
    </row>
    <row r="140" spans="1:35" ht="18.75" x14ac:dyDescent="0.25">
      <c r="A140" s="41" t="s">
        <v>31</v>
      </c>
      <c r="B140" s="7">
        <v>1</v>
      </c>
      <c r="C140" s="7"/>
      <c r="D140" s="7">
        <v>1</v>
      </c>
      <c r="E140" s="7">
        <v>5</v>
      </c>
      <c r="F140" s="7">
        <v>1</v>
      </c>
      <c r="G140" s="7"/>
      <c r="H140" s="7">
        <v>1</v>
      </c>
      <c r="I140" s="7"/>
      <c r="J140" s="7"/>
      <c r="K140" s="7"/>
      <c r="L140" s="7"/>
      <c r="M140" s="7"/>
      <c r="N140" s="7">
        <v>1</v>
      </c>
      <c r="O140" s="7"/>
      <c r="P140" s="7">
        <v>1</v>
      </c>
      <c r="Q140" s="7">
        <v>1</v>
      </c>
      <c r="R140" s="7">
        <v>1</v>
      </c>
      <c r="S140" s="7">
        <v>1</v>
      </c>
      <c r="T140" s="7"/>
      <c r="U140" s="7"/>
      <c r="V140" s="7"/>
      <c r="W140" s="7"/>
      <c r="X140" s="7"/>
      <c r="Y140" s="7"/>
      <c r="Z140" s="7"/>
      <c r="AA140" s="7"/>
      <c r="AB140" s="7">
        <v>1</v>
      </c>
      <c r="AC140" s="7">
        <v>1</v>
      </c>
      <c r="AD140" s="7">
        <v>1</v>
      </c>
      <c r="AE140" s="7">
        <v>2</v>
      </c>
      <c r="AF140" s="8">
        <v>2</v>
      </c>
      <c r="AG140" s="4">
        <f t="shared" si="21"/>
        <v>21</v>
      </c>
    </row>
    <row r="141" spans="1:35" ht="18.75" x14ac:dyDescent="0.25">
      <c r="A141" s="41" t="s">
        <v>32</v>
      </c>
      <c r="B141" s="7">
        <v>3</v>
      </c>
      <c r="C141" s="7">
        <v>1</v>
      </c>
      <c r="D141" s="7"/>
      <c r="E141" s="7"/>
      <c r="F141" s="7"/>
      <c r="G141" s="7">
        <v>1</v>
      </c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>
        <v>1</v>
      </c>
      <c r="W141" s="7"/>
      <c r="X141" s="7"/>
      <c r="Y141" s="7"/>
      <c r="Z141" s="7">
        <v>1</v>
      </c>
      <c r="AA141" s="7"/>
      <c r="AB141" s="7">
        <v>1</v>
      </c>
      <c r="AC141" s="7"/>
      <c r="AD141" s="7"/>
      <c r="AE141" s="7">
        <v>1</v>
      </c>
      <c r="AF141" s="8"/>
      <c r="AG141" s="4">
        <f t="shared" si="21"/>
        <v>9</v>
      </c>
    </row>
    <row r="142" spans="1:35" ht="18.75" x14ac:dyDescent="0.25">
      <c r="A142" s="43" t="s">
        <v>60</v>
      </c>
      <c r="B142" s="7">
        <v>1</v>
      </c>
      <c r="C142" s="7"/>
      <c r="D142" s="7">
        <f>1+1</f>
        <v>2</v>
      </c>
      <c r="E142" s="7">
        <f>1+1</f>
        <v>2</v>
      </c>
      <c r="F142" s="7">
        <f>2+1</f>
        <v>3</v>
      </c>
      <c r="G142" s="7"/>
      <c r="H142" s="7">
        <f>1+1</f>
        <v>2</v>
      </c>
      <c r="I142" s="7">
        <f>1+1+1</f>
        <v>3</v>
      </c>
      <c r="J142" s="7">
        <f>2+1+1</f>
        <v>4</v>
      </c>
      <c r="K142" s="7">
        <f>1+1+1</f>
        <v>3</v>
      </c>
      <c r="L142" s="7">
        <f>2+1</f>
        <v>3</v>
      </c>
      <c r="M142" s="7">
        <f>1+2+1</f>
        <v>4</v>
      </c>
      <c r="N142" s="7">
        <f>1+1</f>
        <v>2</v>
      </c>
      <c r="O142" s="7"/>
      <c r="P142" s="7">
        <f>1+1+1+1</f>
        <v>4</v>
      </c>
      <c r="Q142" s="7">
        <f>4+1+1+1</f>
        <v>7</v>
      </c>
      <c r="R142" s="7">
        <f>1+1</f>
        <v>2</v>
      </c>
      <c r="S142" s="7">
        <f>1+1</f>
        <v>2</v>
      </c>
      <c r="T142" s="7">
        <f>1+1+1+1</f>
        <v>4</v>
      </c>
      <c r="U142" s="7">
        <f>2+1</f>
        <v>3</v>
      </c>
      <c r="V142" s="7">
        <f>1+1+1+1</f>
        <v>4</v>
      </c>
      <c r="W142" s="7">
        <f>1</f>
        <v>1</v>
      </c>
      <c r="X142" s="7">
        <f>1+1+1</f>
        <v>3</v>
      </c>
      <c r="Y142" s="7">
        <f>1+1</f>
        <v>2</v>
      </c>
      <c r="Z142" s="7"/>
      <c r="AA142" s="7">
        <f>1+1+1</f>
        <v>3</v>
      </c>
      <c r="AB142" s="7">
        <f>1+1</f>
        <v>2</v>
      </c>
      <c r="AC142" s="7">
        <v>1</v>
      </c>
      <c r="AD142" s="7">
        <f>1+1+1</f>
        <v>3</v>
      </c>
      <c r="AE142" s="7">
        <f>1+1</f>
        <v>2</v>
      </c>
      <c r="AF142" s="8">
        <f>1+1+1+1</f>
        <v>4</v>
      </c>
      <c r="AG142" s="4">
        <f t="shared" si="21"/>
        <v>76</v>
      </c>
    </row>
    <row r="143" spans="1:35" ht="19.5" thickBot="1" x14ac:dyDescent="0.3">
      <c r="A143" s="75" t="s">
        <v>86</v>
      </c>
      <c r="B143" s="13">
        <f>5+6</f>
        <v>11</v>
      </c>
      <c r="C143" s="13">
        <f>3+5</f>
        <v>8</v>
      </c>
      <c r="D143" s="13">
        <f>5+9</f>
        <v>14</v>
      </c>
      <c r="E143" s="13">
        <f>12+7</f>
        <v>19</v>
      </c>
      <c r="F143" s="13">
        <f>4+7</f>
        <v>11</v>
      </c>
      <c r="G143" s="13">
        <f>2+1+4</f>
        <v>7</v>
      </c>
      <c r="H143" s="13">
        <f>8+4</f>
        <v>12</v>
      </c>
      <c r="I143" s="13">
        <f>9+3</f>
        <v>12</v>
      </c>
      <c r="J143" s="13">
        <f>4+3</f>
        <v>7</v>
      </c>
      <c r="K143" s="13">
        <f>4+7</f>
        <v>11</v>
      </c>
      <c r="L143" s="13">
        <f>8+6</f>
        <v>14</v>
      </c>
      <c r="M143" s="13">
        <f>3+10</f>
        <v>13</v>
      </c>
      <c r="N143" s="13">
        <f>3+1+9</f>
        <v>13</v>
      </c>
      <c r="O143" s="13">
        <f>8+1+4</f>
        <v>13</v>
      </c>
      <c r="P143" s="13">
        <f>2+2</f>
        <v>4</v>
      </c>
      <c r="Q143" s="13">
        <f>8+1+4</f>
        <v>13</v>
      </c>
      <c r="R143" s="13">
        <f>11+15</f>
        <v>26</v>
      </c>
      <c r="S143" s="13">
        <f>6+1+9</f>
        <v>16</v>
      </c>
      <c r="T143" s="13">
        <f>8+1+7</f>
        <v>16</v>
      </c>
      <c r="U143" s="13">
        <f>4+1+5</f>
        <v>10</v>
      </c>
      <c r="V143" s="13">
        <f>6+7</f>
        <v>13</v>
      </c>
      <c r="W143" s="13">
        <f>2+2+4</f>
        <v>8</v>
      </c>
      <c r="X143" s="13">
        <f>5+7</f>
        <v>12</v>
      </c>
      <c r="Y143" s="13">
        <f>7+10</f>
        <v>17</v>
      </c>
      <c r="Z143" s="13">
        <f>4+7</f>
        <v>11</v>
      </c>
      <c r="AA143" s="13">
        <f>6+8</f>
        <v>14</v>
      </c>
      <c r="AB143" s="13">
        <f>9+6</f>
        <v>15</v>
      </c>
      <c r="AC143" s="13">
        <f>7+7</f>
        <v>14</v>
      </c>
      <c r="AD143" s="13">
        <f>1+1+7</f>
        <v>9</v>
      </c>
      <c r="AE143" s="13">
        <f>7+1+4</f>
        <v>12</v>
      </c>
      <c r="AF143" s="14">
        <f>3+3</f>
        <v>6</v>
      </c>
      <c r="AG143" s="108">
        <f t="shared" si="21"/>
        <v>381</v>
      </c>
    </row>
    <row r="144" spans="1:35" ht="19.5" thickBot="1" x14ac:dyDescent="0.3">
      <c r="A144" s="164" t="s">
        <v>89</v>
      </c>
      <c r="B144" s="165">
        <f t="shared" ref="B144:AD144" si="22">+B146+B156+B158+B167</f>
        <v>82</v>
      </c>
      <c r="C144" s="165">
        <f t="shared" si="22"/>
        <v>78</v>
      </c>
      <c r="D144" s="165">
        <f t="shared" si="22"/>
        <v>112</v>
      </c>
      <c r="E144" s="165">
        <f t="shared" si="22"/>
        <v>133</v>
      </c>
      <c r="F144" s="165">
        <f t="shared" si="22"/>
        <v>98</v>
      </c>
      <c r="G144" s="165">
        <f t="shared" si="22"/>
        <v>93</v>
      </c>
      <c r="H144" s="165">
        <f t="shared" si="22"/>
        <v>103</v>
      </c>
      <c r="I144" s="165">
        <f t="shared" si="22"/>
        <v>78</v>
      </c>
      <c r="J144" s="165">
        <f t="shared" si="22"/>
        <v>84</v>
      </c>
      <c r="K144" s="165">
        <f t="shared" si="22"/>
        <v>105</v>
      </c>
      <c r="L144" s="165">
        <f t="shared" si="22"/>
        <v>103</v>
      </c>
      <c r="M144" s="165">
        <f t="shared" si="22"/>
        <v>117</v>
      </c>
      <c r="N144" s="165">
        <f t="shared" si="22"/>
        <v>103</v>
      </c>
      <c r="O144" s="165">
        <f t="shared" si="22"/>
        <v>101</v>
      </c>
      <c r="P144" s="165">
        <f t="shared" si="22"/>
        <v>76</v>
      </c>
      <c r="Q144" s="165">
        <f t="shared" si="22"/>
        <v>87</v>
      </c>
      <c r="R144" s="165">
        <f t="shared" si="22"/>
        <v>156</v>
      </c>
      <c r="S144" s="165">
        <f t="shared" si="22"/>
        <v>118</v>
      </c>
      <c r="T144" s="165">
        <f t="shared" si="22"/>
        <v>108</v>
      </c>
      <c r="U144" s="165">
        <f t="shared" si="22"/>
        <v>97</v>
      </c>
      <c r="V144" s="165">
        <f t="shared" si="22"/>
        <v>120</v>
      </c>
      <c r="W144" s="165">
        <f t="shared" si="22"/>
        <v>101</v>
      </c>
      <c r="X144" s="165">
        <f t="shared" si="22"/>
        <v>100</v>
      </c>
      <c r="Y144" s="165">
        <f t="shared" si="22"/>
        <v>143</v>
      </c>
      <c r="Z144" s="165">
        <f t="shared" si="22"/>
        <v>92</v>
      </c>
      <c r="AA144" s="165">
        <f t="shared" si="22"/>
        <v>87</v>
      </c>
      <c r="AB144" s="165">
        <f t="shared" si="22"/>
        <v>101</v>
      </c>
      <c r="AC144" s="165">
        <f t="shared" si="22"/>
        <v>103</v>
      </c>
      <c r="AD144" s="165">
        <f t="shared" si="22"/>
        <v>82</v>
      </c>
      <c r="AE144" s="165">
        <f>+AE146+AE156+AE158+AE167</f>
        <v>93</v>
      </c>
      <c r="AF144" s="165">
        <f t="shared" ref="AF144" si="23">+AF146+AF156+AF158+AF167</f>
        <v>103</v>
      </c>
      <c r="AG144" s="116">
        <f t="shared" si="21"/>
        <v>3157</v>
      </c>
      <c r="AH144" s="38" t="str">
        <f>IF(AG144&lt;&gt;AG93,"*","")</f>
        <v/>
      </c>
      <c r="AI144" t="s">
        <v>140</v>
      </c>
    </row>
    <row r="145" spans="1:34" ht="19.5" thickBot="1" x14ac:dyDescent="0.3">
      <c r="A145" s="160" t="s">
        <v>98</v>
      </c>
      <c r="B145" s="161">
        <f t="shared" ref="B145:AD145" si="24">+B149+B155+B157+B172</f>
        <v>1</v>
      </c>
      <c r="C145" s="161">
        <f t="shared" si="24"/>
        <v>1</v>
      </c>
      <c r="D145" s="161">
        <f t="shared" si="24"/>
        <v>12</v>
      </c>
      <c r="E145" s="161">
        <f t="shared" si="24"/>
        <v>9</v>
      </c>
      <c r="F145" s="161">
        <f t="shared" si="24"/>
        <v>8</v>
      </c>
      <c r="G145" s="161">
        <f t="shared" si="24"/>
        <v>18</v>
      </c>
      <c r="H145" s="161">
        <f t="shared" si="24"/>
        <v>8</v>
      </c>
      <c r="I145" s="161">
        <f t="shared" si="24"/>
        <v>0</v>
      </c>
      <c r="J145" s="161">
        <f t="shared" si="24"/>
        <v>2</v>
      </c>
      <c r="K145" s="161">
        <f t="shared" si="24"/>
        <v>7</v>
      </c>
      <c r="L145" s="161">
        <f t="shared" si="24"/>
        <v>6</v>
      </c>
      <c r="M145" s="161">
        <f t="shared" si="24"/>
        <v>7</v>
      </c>
      <c r="N145" s="161">
        <f t="shared" si="24"/>
        <v>6</v>
      </c>
      <c r="O145" s="161">
        <f t="shared" si="24"/>
        <v>1</v>
      </c>
      <c r="P145" s="161">
        <f t="shared" si="24"/>
        <v>1</v>
      </c>
      <c r="Q145" s="161">
        <f t="shared" si="24"/>
        <v>1</v>
      </c>
      <c r="R145" s="161">
        <f t="shared" si="24"/>
        <v>9</v>
      </c>
      <c r="S145" s="161">
        <f t="shared" si="24"/>
        <v>4</v>
      </c>
      <c r="T145" s="161">
        <f t="shared" si="24"/>
        <v>6</v>
      </c>
      <c r="U145" s="161">
        <f t="shared" si="24"/>
        <v>1</v>
      </c>
      <c r="V145" s="161">
        <f t="shared" si="24"/>
        <v>14</v>
      </c>
      <c r="W145" s="161">
        <f t="shared" si="24"/>
        <v>6</v>
      </c>
      <c r="X145" s="161">
        <f t="shared" si="24"/>
        <v>0</v>
      </c>
      <c r="Y145" s="161">
        <f t="shared" si="24"/>
        <v>16</v>
      </c>
      <c r="Z145" s="161">
        <f t="shared" si="24"/>
        <v>7</v>
      </c>
      <c r="AA145" s="161">
        <f t="shared" si="24"/>
        <v>3</v>
      </c>
      <c r="AB145" s="161">
        <f t="shared" si="24"/>
        <v>8</v>
      </c>
      <c r="AC145" s="161">
        <f t="shared" si="24"/>
        <v>7</v>
      </c>
      <c r="AD145" s="161">
        <f t="shared" si="24"/>
        <v>8</v>
      </c>
      <c r="AE145" s="161">
        <f>+AE149+AE155+AE157+AE172</f>
        <v>6</v>
      </c>
      <c r="AF145" s="162">
        <f t="shared" ref="AF145" si="25">+AF149+AF155+AF157+AF172</f>
        <v>11</v>
      </c>
      <c r="AG145" s="163">
        <f t="shared" si="21"/>
        <v>194</v>
      </c>
      <c r="AH145" s="1"/>
    </row>
    <row r="146" spans="1:34" ht="19.5" thickBot="1" x14ac:dyDescent="0.3">
      <c r="A146" s="117" t="s">
        <v>69</v>
      </c>
      <c r="B146" s="118">
        <f t="shared" ref="B146:AG147" si="26">+B148+B154</f>
        <v>0</v>
      </c>
      <c r="C146" s="118">
        <f t="shared" si="26"/>
        <v>0</v>
      </c>
      <c r="D146" s="118">
        <f t="shared" si="26"/>
        <v>0</v>
      </c>
      <c r="E146" s="118">
        <f t="shared" si="26"/>
        <v>0</v>
      </c>
      <c r="F146" s="118">
        <f t="shared" si="26"/>
        <v>0</v>
      </c>
      <c r="G146" s="118">
        <f t="shared" si="26"/>
        <v>0</v>
      </c>
      <c r="H146" s="118">
        <f t="shared" si="26"/>
        <v>0</v>
      </c>
      <c r="I146" s="118">
        <f t="shared" si="26"/>
        <v>0</v>
      </c>
      <c r="J146" s="118">
        <f t="shared" si="26"/>
        <v>0</v>
      </c>
      <c r="K146" s="118">
        <f t="shared" si="26"/>
        <v>0</v>
      </c>
      <c r="L146" s="118">
        <f t="shared" si="26"/>
        <v>0</v>
      </c>
      <c r="M146" s="118">
        <f t="shared" si="26"/>
        <v>0</v>
      </c>
      <c r="N146" s="118">
        <f t="shared" si="26"/>
        <v>0</v>
      </c>
      <c r="O146" s="118">
        <f t="shared" si="26"/>
        <v>0</v>
      </c>
      <c r="P146" s="118">
        <f t="shared" si="26"/>
        <v>0</v>
      </c>
      <c r="Q146" s="118">
        <f t="shared" si="26"/>
        <v>0</v>
      </c>
      <c r="R146" s="118">
        <f t="shared" si="26"/>
        <v>0</v>
      </c>
      <c r="S146" s="118">
        <f t="shared" si="26"/>
        <v>1</v>
      </c>
      <c r="T146" s="118">
        <f t="shared" si="26"/>
        <v>0</v>
      </c>
      <c r="U146" s="118">
        <f t="shared" si="26"/>
        <v>0</v>
      </c>
      <c r="V146" s="118">
        <f t="shared" si="26"/>
        <v>0</v>
      </c>
      <c r="W146" s="118">
        <f t="shared" si="26"/>
        <v>0</v>
      </c>
      <c r="X146" s="118">
        <f t="shared" si="26"/>
        <v>0</v>
      </c>
      <c r="Y146" s="118">
        <f t="shared" si="26"/>
        <v>0</v>
      </c>
      <c r="Z146" s="118">
        <f t="shared" si="26"/>
        <v>0</v>
      </c>
      <c r="AA146" s="118">
        <f t="shared" si="26"/>
        <v>0</v>
      </c>
      <c r="AB146" s="118">
        <f t="shared" si="26"/>
        <v>0</v>
      </c>
      <c r="AC146" s="118">
        <f t="shared" si="26"/>
        <v>1</v>
      </c>
      <c r="AD146" s="118">
        <f t="shared" si="26"/>
        <v>0</v>
      </c>
      <c r="AE146" s="118">
        <f t="shared" si="26"/>
        <v>0</v>
      </c>
      <c r="AF146" s="119">
        <f t="shared" si="26"/>
        <v>0</v>
      </c>
      <c r="AG146" s="120">
        <f t="shared" si="26"/>
        <v>2</v>
      </c>
    </row>
    <row r="147" spans="1:34" ht="19.5" thickBot="1" x14ac:dyDescent="0.3">
      <c r="A147" s="153" t="s">
        <v>130</v>
      </c>
      <c r="B147" s="154">
        <f t="shared" si="26"/>
        <v>0</v>
      </c>
      <c r="C147" s="154">
        <f t="shared" si="26"/>
        <v>0</v>
      </c>
      <c r="D147" s="154">
        <f t="shared" si="26"/>
        <v>0</v>
      </c>
      <c r="E147" s="154">
        <f t="shared" si="26"/>
        <v>0</v>
      </c>
      <c r="F147" s="154">
        <f t="shared" si="26"/>
        <v>0</v>
      </c>
      <c r="G147" s="154">
        <f t="shared" si="26"/>
        <v>0</v>
      </c>
      <c r="H147" s="154">
        <f t="shared" si="26"/>
        <v>0</v>
      </c>
      <c r="I147" s="154">
        <f t="shared" si="26"/>
        <v>0</v>
      </c>
      <c r="J147" s="154">
        <f t="shared" si="26"/>
        <v>0</v>
      </c>
      <c r="K147" s="154">
        <f t="shared" si="26"/>
        <v>0</v>
      </c>
      <c r="L147" s="154">
        <f t="shared" si="26"/>
        <v>0</v>
      </c>
      <c r="M147" s="154">
        <f t="shared" si="26"/>
        <v>0</v>
      </c>
      <c r="N147" s="154">
        <f t="shared" si="26"/>
        <v>0</v>
      </c>
      <c r="O147" s="154">
        <f t="shared" si="26"/>
        <v>0</v>
      </c>
      <c r="P147" s="154">
        <f t="shared" si="26"/>
        <v>0</v>
      </c>
      <c r="Q147" s="154">
        <f t="shared" si="26"/>
        <v>0</v>
      </c>
      <c r="R147" s="154">
        <f t="shared" si="26"/>
        <v>0</v>
      </c>
      <c r="S147" s="154">
        <f t="shared" si="26"/>
        <v>0</v>
      </c>
      <c r="T147" s="154">
        <f t="shared" si="26"/>
        <v>0</v>
      </c>
      <c r="U147" s="154">
        <f t="shared" si="26"/>
        <v>0</v>
      </c>
      <c r="V147" s="154">
        <f t="shared" si="26"/>
        <v>0</v>
      </c>
      <c r="W147" s="154">
        <f t="shared" si="26"/>
        <v>0</v>
      </c>
      <c r="X147" s="154">
        <f t="shared" si="26"/>
        <v>0</v>
      </c>
      <c r="Y147" s="154">
        <f t="shared" si="26"/>
        <v>0</v>
      </c>
      <c r="Z147" s="154">
        <f t="shared" si="26"/>
        <v>0</v>
      </c>
      <c r="AA147" s="154">
        <f t="shared" si="26"/>
        <v>0</v>
      </c>
      <c r="AB147" s="154">
        <f>+AB149+AB155</f>
        <v>0</v>
      </c>
      <c r="AC147" s="154">
        <f t="shared" si="26"/>
        <v>0</v>
      </c>
      <c r="AD147" s="154">
        <f t="shared" si="26"/>
        <v>0</v>
      </c>
      <c r="AE147" s="154">
        <f t="shared" si="26"/>
        <v>0</v>
      </c>
      <c r="AF147" s="155"/>
      <c r="AG147" s="156">
        <f t="shared" si="21"/>
        <v>0</v>
      </c>
    </row>
    <row r="148" spans="1:34" ht="19.5" thickBot="1" x14ac:dyDescent="0.3">
      <c r="A148" s="125" t="s">
        <v>68</v>
      </c>
      <c r="B148" s="126">
        <f>SUM(B150:B153)</f>
        <v>0</v>
      </c>
      <c r="C148" s="126">
        <f t="shared" ref="C148:AF148" si="27">SUM(C150:C153)</f>
        <v>0</v>
      </c>
      <c r="D148" s="126">
        <f t="shared" si="27"/>
        <v>0</v>
      </c>
      <c r="E148" s="126">
        <f t="shared" si="27"/>
        <v>0</v>
      </c>
      <c r="F148" s="126">
        <f t="shared" si="27"/>
        <v>0</v>
      </c>
      <c r="G148" s="126">
        <f t="shared" si="27"/>
        <v>0</v>
      </c>
      <c r="H148" s="126">
        <f t="shared" si="27"/>
        <v>0</v>
      </c>
      <c r="I148" s="126">
        <f t="shared" si="27"/>
        <v>0</v>
      </c>
      <c r="J148" s="126">
        <f t="shared" si="27"/>
        <v>0</v>
      </c>
      <c r="K148" s="126">
        <f t="shared" si="27"/>
        <v>0</v>
      </c>
      <c r="L148" s="126">
        <f t="shared" si="27"/>
        <v>0</v>
      </c>
      <c r="M148" s="126">
        <f t="shared" si="27"/>
        <v>0</v>
      </c>
      <c r="N148" s="126">
        <f t="shared" si="27"/>
        <v>0</v>
      </c>
      <c r="O148" s="126">
        <f t="shared" si="27"/>
        <v>0</v>
      </c>
      <c r="P148" s="126">
        <f t="shared" si="27"/>
        <v>0</v>
      </c>
      <c r="Q148" s="126">
        <f t="shared" si="27"/>
        <v>0</v>
      </c>
      <c r="R148" s="126">
        <f t="shared" si="27"/>
        <v>0</v>
      </c>
      <c r="S148" s="126">
        <f t="shared" si="27"/>
        <v>0</v>
      </c>
      <c r="T148" s="126">
        <f t="shared" si="27"/>
        <v>0</v>
      </c>
      <c r="U148" s="126">
        <f t="shared" si="27"/>
        <v>0</v>
      </c>
      <c r="V148" s="126">
        <f t="shared" si="27"/>
        <v>0</v>
      </c>
      <c r="W148" s="126">
        <f t="shared" si="27"/>
        <v>0</v>
      </c>
      <c r="X148" s="126">
        <f t="shared" si="27"/>
        <v>0</v>
      </c>
      <c r="Y148" s="126">
        <f t="shared" si="27"/>
        <v>0</v>
      </c>
      <c r="Z148" s="126">
        <f t="shared" si="27"/>
        <v>0</v>
      </c>
      <c r="AA148" s="126">
        <f t="shared" si="27"/>
        <v>0</v>
      </c>
      <c r="AB148" s="126">
        <f t="shared" si="27"/>
        <v>0</v>
      </c>
      <c r="AC148" s="126">
        <f t="shared" si="27"/>
        <v>0</v>
      </c>
      <c r="AD148" s="126">
        <f t="shared" si="27"/>
        <v>0</v>
      </c>
      <c r="AE148" s="126">
        <f t="shared" si="27"/>
        <v>0</v>
      </c>
      <c r="AF148" s="127">
        <f t="shared" si="27"/>
        <v>0</v>
      </c>
      <c r="AG148" s="128">
        <f t="shared" ref="AG148:AG232" si="28">SUM(B148:AF148)</f>
        <v>0</v>
      </c>
    </row>
    <row r="149" spans="1:34" ht="19.5" thickBot="1" x14ac:dyDescent="0.3">
      <c r="A149" s="153" t="s">
        <v>131</v>
      </c>
      <c r="B149" s="154"/>
      <c r="C149" s="154"/>
      <c r="D149" s="154"/>
      <c r="E149" s="154"/>
      <c r="F149" s="154"/>
      <c r="G149" s="154"/>
      <c r="H149" s="154"/>
      <c r="I149" s="154"/>
      <c r="J149" s="154"/>
      <c r="K149" s="154"/>
      <c r="L149" s="154"/>
      <c r="M149" s="154"/>
      <c r="N149" s="154"/>
      <c r="O149" s="154"/>
      <c r="P149" s="154"/>
      <c r="Q149" s="154"/>
      <c r="R149" s="154"/>
      <c r="S149" s="154"/>
      <c r="T149" s="154"/>
      <c r="U149" s="154"/>
      <c r="V149" s="154"/>
      <c r="W149" s="154"/>
      <c r="X149" s="154"/>
      <c r="Y149" s="154"/>
      <c r="Z149" s="154"/>
      <c r="AA149" s="154"/>
      <c r="AB149" s="154"/>
      <c r="AC149" s="154"/>
      <c r="AD149" s="154"/>
      <c r="AE149" s="154"/>
      <c r="AF149" s="155"/>
      <c r="AG149" s="156">
        <f t="shared" si="28"/>
        <v>0</v>
      </c>
    </row>
    <row r="150" spans="1:34" ht="18.75" x14ac:dyDescent="0.25">
      <c r="A150" s="129" t="s">
        <v>100</v>
      </c>
      <c r="B150" s="130"/>
      <c r="C150" s="130"/>
      <c r="D150" s="130"/>
      <c r="E150" s="130"/>
      <c r="F150" s="130"/>
      <c r="G150" s="130"/>
      <c r="H150" s="130"/>
      <c r="I150" s="130"/>
      <c r="J150" s="130"/>
      <c r="K150" s="130"/>
      <c r="L150" s="130"/>
      <c r="M150" s="130"/>
      <c r="N150" s="130"/>
      <c r="O150" s="130"/>
      <c r="P150" s="130"/>
      <c r="Q150" s="130"/>
      <c r="R150" s="130"/>
      <c r="S150" s="130"/>
      <c r="T150" s="130"/>
      <c r="U150" s="130"/>
      <c r="V150" s="130"/>
      <c r="W150" s="130"/>
      <c r="X150" s="130"/>
      <c r="Y150" s="130"/>
      <c r="Z150" s="130"/>
      <c r="AA150" s="130"/>
      <c r="AB150" s="130"/>
      <c r="AC150" s="130"/>
      <c r="AD150" s="130"/>
      <c r="AE150" s="130"/>
      <c r="AF150" s="131"/>
      <c r="AG150" s="132">
        <f t="shared" si="28"/>
        <v>0</v>
      </c>
    </row>
    <row r="151" spans="1:34" ht="18.75" x14ac:dyDescent="0.25">
      <c r="A151" s="50" t="s">
        <v>101</v>
      </c>
      <c r="B151" s="29"/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  <c r="AA151" s="29"/>
      <c r="AB151" s="29"/>
      <c r="AC151" s="29"/>
      <c r="AD151" s="29"/>
      <c r="AE151" s="29"/>
      <c r="AF151" s="21"/>
      <c r="AG151" s="4">
        <f t="shared" si="28"/>
        <v>0</v>
      </c>
    </row>
    <row r="152" spans="1:34" ht="18.75" x14ac:dyDescent="0.25">
      <c r="A152" s="50" t="s">
        <v>102</v>
      </c>
      <c r="B152" s="29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  <c r="AA152" s="29"/>
      <c r="AB152" s="29"/>
      <c r="AC152" s="29"/>
      <c r="AD152" s="29"/>
      <c r="AE152" s="29"/>
      <c r="AF152" s="21"/>
      <c r="AG152" s="4">
        <f t="shared" si="28"/>
        <v>0</v>
      </c>
    </row>
    <row r="153" spans="1:34" ht="19.5" thickBot="1" x14ac:dyDescent="0.3">
      <c r="A153" s="71" t="s">
        <v>103</v>
      </c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  <c r="AA153" s="30"/>
      <c r="AB153" s="30"/>
      <c r="AC153" s="30"/>
      <c r="AD153" s="30"/>
      <c r="AE153" s="30"/>
      <c r="AF153" s="22"/>
      <c r="AG153" s="28">
        <f t="shared" si="28"/>
        <v>0</v>
      </c>
    </row>
    <row r="154" spans="1:34" ht="19.5" thickBot="1" x14ac:dyDescent="0.3">
      <c r="A154" s="125" t="s">
        <v>67</v>
      </c>
      <c r="B154" s="126"/>
      <c r="C154" s="126"/>
      <c r="D154" s="126"/>
      <c r="E154" s="126"/>
      <c r="F154" s="126"/>
      <c r="G154" s="126"/>
      <c r="H154" s="126"/>
      <c r="I154" s="126"/>
      <c r="J154" s="126"/>
      <c r="K154" s="126"/>
      <c r="L154" s="126"/>
      <c r="M154" s="126"/>
      <c r="N154" s="126"/>
      <c r="O154" s="126"/>
      <c r="P154" s="126"/>
      <c r="Q154" s="126"/>
      <c r="R154" s="126"/>
      <c r="S154" s="126">
        <v>1</v>
      </c>
      <c r="T154" s="126"/>
      <c r="U154" s="126"/>
      <c r="V154" s="126"/>
      <c r="W154" s="126"/>
      <c r="X154" s="126"/>
      <c r="Y154" s="126"/>
      <c r="Z154" s="126"/>
      <c r="AA154" s="126"/>
      <c r="AB154" s="126"/>
      <c r="AC154" s="126">
        <v>1</v>
      </c>
      <c r="AD154" s="126"/>
      <c r="AE154" s="126"/>
      <c r="AF154" s="127"/>
      <c r="AG154" s="128">
        <f t="shared" si="28"/>
        <v>2</v>
      </c>
    </row>
    <row r="155" spans="1:34" ht="19.5" thickBot="1" x14ac:dyDescent="0.3">
      <c r="A155" s="153" t="s">
        <v>132</v>
      </c>
      <c r="B155" s="154"/>
      <c r="C155" s="154"/>
      <c r="D155" s="154"/>
      <c r="E155" s="154"/>
      <c r="F155" s="154"/>
      <c r="G155" s="154"/>
      <c r="H155" s="154"/>
      <c r="I155" s="154"/>
      <c r="J155" s="154"/>
      <c r="K155" s="154"/>
      <c r="L155" s="154"/>
      <c r="M155" s="154"/>
      <c r="N155" s="154"/>
      <c r="O155" s="154"/>
      <c r="P155" s="154"/>
      <c r="Q155" s="154"/>
      <c r="R155" s="154"/>
      <c r="S155" s="154"/>
      <c r="T155" s="154"/>
      <c r="U155" s="154"/>
      <c r="V155" s="154"/>
      <c r="W155" s="154"/>
      <c r="X155" s="154"/>
      <c r="Y155" s="154"/>
      <c r="Z155" s="154"/>
      <c r="AA155" s="154"/>
      <c r="AB155" s="154"/>
      <c r="AC155" s="154"/>
      <c r="AD155" s="154"/>
      <c r="AE155" s="154"/>
      <c r="AF155" s="155"/>
      <c r="AG155" s="156">
        <f t="shared" si="28"/>
        <v>0</v>
      </c>
    </row>
    <row r="156" spans="1:34" ht="18.75" x14ac:dyDescent="0.25">
      <c r="A156" s="69" t="s">
        <v>62</v>
      </c>
      <c r="B156" s="56">
        <v>78</v>
      </c>
      <c r="C156" s="56">
        <v>78</v>
      </c>
      <c r="D156" s="56">
        <v>111</v>
      </c>
      <c r="E156" s="56">
        <v>132</v>
      </c>
      <c r="F156" s="56">
        <v>98</v>
      </c>
      <c r="G156" s="56">
        <v>92</v>
      </c>
      <c r="H156" s="56">
        <v>102</v>
      </c>
      <c r="I156" s="56">
        <v>75</v>
      </c>
      <c r="J156" s="56">
        <v>84</v>
      </c>
      <c r="K156" s="56">
        <v>103</v>
      </c>
      <c r="L156" s="56">
        <v>103</v>
      </c>
      <c r="M156" s="56">
        <v>117</v>
      </c>
      <c r="N156" s="56">
        <v>102</v>
      </c>
      <c r="O156" s="56">
        <v>100</v>
      </c>
      <c r="P156" s="56">
        <v>76</v>
      </c>
      <c r="Q156" s="56">
        <v>87</v>
      </c>
      <c r="R156" s="56">
        <v>153</v>
      </c>
      <c r="S156" s="56">
        <v>116</v>
      </c>
      <c r="T156" s="56">
        <v>107</v>
      </c>
      <c r="U156" s="56">
        <v>97</v>
      </c>
      <c r="V156" s="56">
        <v>120</v>
      </c>
      <c r="W156" s="56">
        <v>101</v>
      </c>
      <c r="X156" s="56">
        <v>99</v>
      </c>
      <c r="Y156" s="56">
        <v>143</v>
      </c>
      <c r="Z156" s="56">
        <v>91</v>
      </c>
      <c r="AA156" s="56">
        <v>85</v>
      </c>
      <c r="AB156" s="56">
        <v>100</v>
      </c>
      <c r="AC156" s="56">
        <v>102</v>
      </c>
      <c r="AD156" s="56">
        <v>82</v>
      </c>
      <c r="AE156" s="56">
        <v>93</v>
      </c>
      <c r="AF156" s="85">
        <v>103</v>
      </c>
      <c r="AG156" s="95">
        <f t="shared" si="28"/>
        <v>3130</v>
      </c>
      <c r="AH156" s="2" t="s">
        <v>84</v>
      </c>
    </row>
    <row r="157" spans="1:34" ht="19.5" thickBot="1" x14ac:dyDescent="0.3">
      <c r="A157" s="75" t="s">
        <v>1</v>
      </c>
      <c r="B157" s="13">
        <v>1</v>
      </c>
      <c r="C157" s="13">
        <v>1</v>
      </c>
      <c r="D157" s="13">
        <v>12</v>
      </c>
      <c r="E157" s="13">
        <v>9</v>
      </c>
      <c r="F157" s="13">
        <v>8</v>
      </c>
      <c r="G157" s="13">
        <v>18</v>
      </c>
      <c r="H157" s="13">
        <v>8</v>
      </c>
      <c r="I157" s="13">
        <v>0</v>
      </c>
      <c r="J157" s="13">
        <v>2</v>
      </c>
      <c r="K157" s="13">
        <v>7</v>
      </c>
      <c r="L157" s="13">
        <v>6</v>
      </c>
      <c r="M157" s="13">
        <v>7</v>
      </c>
      <c r="N157" s="13">
        <v>6</v>
      </c>
      <c r="O157" s="13">
        <v>1</v>
      </c>
      <c r="P157" s="13">
        <v>1</v>
      </c>
      <c r="Q157" s="13">
        <v>1</v>
      </c>
      <c r="R157" s="13">
        <v>9</v>
      </c>
      <c r="S157" s="13">
        <v>4</v>
      </c>
      <c r="T157" s="13">
        <v>6</v>
      </c>
      <c r="U157" s="13">
        <v>1</v>
      </c>
      <c r="V157" s="13">
        <v>14</v>
      </c>
      <c r="W157" s="13">
        <v>6</v>
      </c>
      <c r="X157" s="13">
        <v>0</v>
      </c>
      <c r="Y157" s="13">
        <v>16</v>
      </c>
      <c r="Z157" s="13">
        <v>7</v>
      </c>
      <c r="AA157" s="13">
        <v>3</v>
      </c>
      <c r="AB157" s="13">
        <v>8</v>
      </c>
      <c r="AC157" s="13">
        <v>7</v>
      </c>
      <c r="AD157" s="13">
        <v>8</v>
      </c>
      <c r="AE157" s="13">
        <v>6</v>
      </c>
      <c r="AF157" s="14">
        <v>10</v>
      </c>
      <c r="AG157" s="157">
        <f t="shared" si="28"/>
        <v>193</v>
      </c>
      <c r="AH157" s="2"/>
    </row>
    <row r="158" spans="1:34" ht="19.5" thickBot="1" x14ac:dyDescent="0.3">
      <c r="A158" s="121" t="s">
        <v>22</v>
      </c>
      <c r="B158" s="122">
        <f t="shared" ref="B158:AF158" si="29">SUM(B159:B166)</f>
        <v>0</v>
      </c>
      <c r="C158" s="122">
        <f t="shared" si="29"/>
        <v>0</v>
      </c>
      <c r="D158" s="122">
        <f t="shared" si="29"/>
        <v>1</v>
      </c>
      <c r="E158" s="122">
        <f t="shared" si="29"/>
        <v>1</v>
      </c>
      <c r="F158" s="122">
        <f t="shared" si="29"/>
        <v>0</v>
      </c>
      <c r="G158" s="122">
        <f t="shared" si="29"/>
        <v>0</v>
      </c>
      <c r="H158" s="122">
        <f t="shared" si="29"/>
        <v>0</v>
      </c>
      <c r="I158" s="122">
        <f t="shared" si="29"/>
        <v>0</v>
      </c>
      <c r="J158" s="122">
        <f t="shared" si="29"/>
        <v>0</v>
      </c>
      <c r="K158" s="122">
        <f t="shared" si="29"/>
        <v>1</v>
      </c>
      <c r="L158" s="122">
        <f t="shared" si="29"/>
        <v>0</v>
      </c>
      <c r="M158" s="122">
        <f t="shared" si="29"/>
        <v>0</v>
      </c>
      <c r="N158" s="122">
        <f t="shared" si="29"/>
        <v>0</v>
      </c>
      <c r="O158" s="122">
        <f t="shared" si="29"/>
        <v>0</v>
      </c>
      <c r="P158" s="122">
        <f t="shared" si="29"/>
        <v>0</v>
      </c>
      <c r="Q158" s="122">
        <f t="shared" si="29"/>
        <v>0</v>
      </c>
      <c r="R158" s="122">
        <f t="shared" si="29"/>
        <v>1</v>
      </c>
      <c r="S158" s="122">
        <f t="shared" si="29"/>
        <v>0</v>
      </c>
      <c r="T158" s="122">
        <f t="shared" si="29"/>
        <v>1</v>
      </c>
      <c r="U158" s="122">
        <f t="shared" si="29"/>
        <v>0</v>
      </c>
      <c r="V158" s="122">
        <f t="shared" si="29"/>
        <v>0</v>
      </c>
      <c r="W158" s="122">
        <f t="shared" si="29"/>
        <v>0</v>
      </c>
      <c r="X158" s="122">
        <f t="shared" si="29"/>
        <v>0</v>
      </c>
      <c r="Y158" s="122">
        <f t="shared" si="29"/>
        <v>0</v>
      </c>
      <c r="Z158" s="122">
        <f t="shared" si="29"/>
        <v>0</v>
      </c>
      <c r="AA158" s="122">
        <f t="shared" si="29"/>
        <v>0</v>
      </c>
      <c r="AB158" s="122">
        <f t="shared" si="29"/>
        <v>0</v>
      </c>
      <c r="AC158" s="122">
        <f t="shared" si="29"/>
        <v>0</v>
      </c>
      <c r="AD158" s="122">
        <f t="shared" si="29"/>
        <v>0</v>
      </c>
      <c r="AE158" s="122">
        <f t="shared" si="29"/>
        <v>0</v>
      </c>
      <c r="AF158" s="123">
        <f t="shared" si="29"/>
        <v>0</v>
      </c>
      <c r="AG158" s="124">
        <f t="shared" si="28"/>
        <v>5</v>
      </c>
    </row>
    <row r="159" spans="1:34" ht="18.75" x14ac:dyDescent="0.25">
      <c r="A159" s="129" t="s">
        <v>23</v>
      </c>
      <c r="B159" s="130"/>
      <c r="C159" s="130"/>
      <c r="D159" s="130"/>
      <c r="E159" s="130"/>
      <c r="F159" s="130"/>
      <c r="G159" s="130"/>
      <c r="H159" s="130"/>
      <c r="I159" s="130"/>
      <c r="J159" s="130"/>
      <c r="K159" s="130"/>
      <c r="L159" s="130"/>
      <c r="M159" s="130"/>
      <c r="N159" s="130"/>
      <c r="O159" s="130"/>
      <c r="P159" s="130"/>
      <c r="Q159" s="130"/>
      <c r="R159" s="130"/>
      <c r="S159" s="130"/>
      <c r="T159" s="130"/>
      <c r="U159" s="130"/>
      <c r="V159" s="130"/>
      <c r="W159" s="130"/>
      <c r="X159" s="130"/>
      <c r="Y159" s="130"/>
      <c r="Z159" s="130"/>
      <c r="AA159" s="130"/>
      <c r="AB159" s="130"/>
      <c r="AC159" s="130"/>
      <c r="AD159" s="130"/>
      <c r="AE159" s="130"/>
      <c r="AF159" s="131"/>
      <c r="AG159" s="132">
        <f t="shared" si="28"/>
        <v>0</v>
      </c>
    </row>
    <row r="160" spans="1:34" ht="18.75" x14ac:dyDescent="0.25">
      <c r="A160" s="50" t="s">
        <v>24</v>
      </c>
      <c r="B160" s="29"/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  <c r="AA160" s="29"/>
      <c r="AB160" s="29"/>
      <c r="AC160" s="29"/>
      <c r="AD160" s="29"/>
      <c r="AE160" s="29"/>
      <c r="AF160" s="21"/>
      <c r="AG160" s="4">
        <f t="shared" si="28"/>
        <v>0</v>
      </c>
    </row>
    <row r="161" spans="1:34" ht="18.75" x14ac:dyDescent="0.25">
      <c r="A161" s="50" t="s">
        <v>59</v>
      </c>
      <c r="B161" s="29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  <c r="AA161" s="29"/>
      <c r="AB161" s="29"/>
      <c r="AC161" s="29"/>
      <c r="AD161" s="29"/>
      <c r="AE161" s="29"/>
      <c r="AF161" s="21"/>
      <c r="AG161" s="4">
        <f t="shared" si="28"/>
        <v>0</v>
      </c>
    </row>
    <row r="162" spans="1:34" ht="18.75" x14ac:dyDescent="0.25">
      <c r="A162" s="50" t="s">
        <v>25</v>
      </c>
      <c r="B162" s="29"/>
      <c r="C162" s="29"/>
      <c r="D162" s="29">
        <v>1</v>
      </c>
      <c r="E162" s="29"/>
      <c r="F162" s="29"/>
      <c r="G162" s="29"/>
      <c r="H162" s="29"/>
      <c r="I162" s="29"/>
      <c r="J162" s="29"/>
      <c r="K162" s="29">
        <v>1</v>
      </c>
      <c r="L162" s="29"/>
      <c r="M162" s="29"/>
      <c r="N162" s="29"/>
      <c r="O162" s="29"/>
      <c r="P162" s="29"/>
      <c r="Q162" s="29"/>
      <c r="R162" s="29">
        <v>1</v>
      </c>
      <c r="S162" s="29"/>
      <c r="T162" s="29">
        <v>1</v>
      </c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  <c r="AF162" s="21"/>
      <c r="AG162" s="4">
        <f t="shared" si="28"/>
        <v>4</v>
      </c>
    </row>
    <row r="163" spans="1:34" ht="18.75" x14ac:dyDescent="0.25">
      <c r="A163" s="50" t="s">
        <v>26</v>
      </c>
      <c r="B163" s="29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  <c r="AA163" s="29"/>
      <c r="AB163" s="29"/>
      <c r="AC163" s="29"/>
      <c r="AD163" s="29"/>
      <c r="AE163" s="29"/>
      <c r="AF163" s="21"/>
      <c r="AG163" s="4">
        <f t="shared" si="28"/>
        <v>0</v>
      </c>
    </row>
    <row r="164" spans="1:34" ht="18.75" x14ac:dyDescent="0.25">
      <c r="A164" s="50" t="s">
        <v>27</v>
      </c>
      <c r="B164" s="29"/>
      <c r="C164" s="29"/>
      <c r="D164" s="29"/>
      <c r="E164" s="29">
        <v>1</v>
      </c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  <c r="AA164" s="29"/>
      <c r="AB164" s="29"/>
      <c r="AC164" s="29"/>
      <c r="AD164" s="29"/>
      <c r="AE164" s="29"/>
      <c r="AF164" s="21"/>
      <c r="AG164" s="4">
        <f t="shared" si="28"/>
        <v>1</v>
      </c>
    </row>
    <row r="165" spans="1:34" ht="18.75" x14ac:dyDescent="0.25">
      <c r="A165" s="50" t="s">
        <v>28</v>
      </c>
      <c r="B165" s="29"/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1"/>
      <c r="AG165" s="4">
        <f t="shared" si="28"/>
        <v>0</v>
      </c>
    </row>
    <row r="166" spans="1:34" ht="19.5" thickBot="1" x14ac:dyDescent="0.3">
      <c r="A166" s="71" t="s">
        <v>29</v>
      </c>
      <c r="B166" s="30"/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  <c r="AA166" s="30"/>
      <c r="AB166" s="30"/>
      <c r="AC166" s="30"/>
      <c r="AD166" s="30"/>
      <c r="AE166" s="30"/>
      <c r="AF166" s="22"/>
      <c r="AG166" s="28">
        <f t="shared" si="28"/>
        <v>0</v>
      </c>
    </row>
    <row r="167" spans="1:34" ht="18.75" x14ac:dyDescent="0.25">
      <c r="A167" s="69" t="s">
        <v>71</v>
      </c>
      <c r="B167" s="56">
        <f t="shared" ref="B167:AF167" si="30">SUM(B168:B171)</f>
        <v>4</v>
      </c>
      <c r="C167" s="56">
        <f t="shared" si="30"/>
        <v>0</v>
      </c>
      <c r="D167" s="56">
        <f t="shared" si="30"/>
        <v>0</v>
      </c>
      <c r="E167" s="56">
        <f t="shared" si="30"/>
        <v>0</v>
      </c>
      <c r="F167" s="56">
        <f t="shared" si="30"/>
        <v>0</v>
      </c>
      <c r="G167" s="56">
        <f t="shared" si="30"/>
        <v>1</v>
      </c>
      <c r="H167" s="56">
        <f t="shared" si="30"/>
        <v>1</v>
      </c>
      <c r="I167" s="56">
        <f t="shared" si="30"/>
        <v>3</v>
      </c>
      <c r="J167" s="56">
        <f t="shared" si="30"/>
        <v>0</v>
      </c>
      <c r="K167" s="56">
        <f t="shared" si="30"/>
        <v>1</v>
      </c>
      <c r="L167" s="56">
        <f t="shared" si="30"/>
        <v>0</v>
      </c>
      <c r="M167" s="56">
        <f t="shared" si="30"/>
        <v>0</v>
      </c>
      <c r="N167" s="56">
        <f t="shared" si="30"/>
        <v>1</v>
      </c>
      <c r="O167" s="56">
        <f t="shared" si="30"/>
        <v>1</v>
      </c>
      <c r="P167" s="56">
        <f t="shared" si="30"/>
        <v>0</v>
      </c>
      <c r="Q167" s="56">
        <f t="shared" si="30"/>
        <v>0</v>
      </c>
      <c r="R167" s="56">
        <f t="shared" si="30"/>
        <v>2</v>
      </c>
      <c r="S167" s="56">
        <f t="shared" si="30"/>
        <v>1</v>
      </c>
      <c r="T167" s="56">
        <f t="shared" si="30"/>
        <v>0</v>
      </c>
      <c r="U167" s="56">
        <f t="shared" si="30"/>
        <v>0</v>
      </c>
      <c r="V167" s="56">
        <f t="shared" si="30"/>
        <v>0</v>
      </c>
      <c r="W167" s="56">
        <f t="shared" si="30"/>
        <v>0</v>
      </c>
      <c r="X167" s="56">
        <f t="shared" si="30"/>
        <v>1</v>
      </c>
      <c r="Y167" s="56">
        <f t="shared" si="30"/>
        <v>0</v>
      </c>
      <c r="Z167" s="56">
        <f t="shared" si="30"/>
        <v>1</v>
      </c>
      <c r="AA167" s="56">
        <f t="shared" si="30"/>
        <v>2</v>
      </c>
      <c r="AB167" s="56">
        <f t="shared" si="30"/>
        <v>1</v>
      </c>
      <c r="AC167" s="56">
        <f t="shared" si="30"/>
        <v>0</v>
      </c>
      <c r="AD167" s="56">
        <f t="shared" si="30"/>
        <v>0</v>
      </c>
      <c r="AE167" s="56">
        <f t="shared" si="30"/>
        <v>0</v>
      </c>
      <c r="AF167" s="85">
        <f t="shared" si="30"/>
        <v>0</v>
      </c>
      <c r="AG167" s="95">
        <f t="shared" si="28"/>
        <v>20</v>
      </c>
    </row>
    <row r="168" spans="1:34" ht="18.75" x14ac:dyDescent="0.25">
      <c r="A168" s="51" t="s">
        <v>30</v>
      </c>
      <c r="B168" s="29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  <c r="AA168" s="29"/>
      <c r="AB168" s="29"/>
      <c r="AC168" s="29"/>
      <c r="AD168" s="29"/>
      <c r="AE168" s="29"/>
      <c r="AF168" s="21"/>
      <c r="AG168" s="4">
        <f t="shared" si="28"/>
        <v>0</v>
      </c>
    </row>
    <row r="169" spans="1:34" ht="18.75" x14ac:dyDescent="0.25">
      <c r="A169" s="51" t="s">
        <v>31</v>
      </c>
      <c r="B169" s="29"/>
      <c r="C169" s="29"/>
      <c r="D169" s="29"/>
      <c r="E169" s="29"/>
      <c r="F169" s="29"/>
      <c r="G169" s="29"/>
      <c r="H169" s="29">
        <v>1</v>
      </c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  <c r="AF169" s="21"/>
      <c r="AG169" s="4">
        <f t="shared" si="28"/>
        <v>1</v>
      </c>
    </row>
    <row r="170" spans="1:34" ht="18.75" x14ac:dyDescent="0.25">
      <c r="A170" s="51" t="s">
        <v>32</v>
      </c>
      <c r="B170" s="29">
        <v>3</v>
      </c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1"/>
      <c r="AG170" s="4">
        <f t="shared" si="28"/>
        <v>3</v>
      </c>
    </row>
    <row r="171" spans="1:34" ht="19.5" thickBot="1" x14ac:dyDescent="0.3">
      <c r="A171" s="70" t="s">
        <v>87</v>
      </c>
      <c r="B171" s="30">
        <v>1</v>
      </c>
      <c r="C171" s="30"/>
      <c r="D171" s="30"/>
      <c r="E171" s="30"/>
      <c r="F171" s="30"/>
      <c r="G171" s="30">
        <v>1</v>
      </c>
      <c r="H171" s="30"/>
      <c r="I171" s="30">
        <v>3</v>
      </c>
      <c r="J171" s="30"/>
      <c r="K171" s="30">
        <v>1</v>
      </c>
      <c r="L171" s="30"/>
      <c r="M171" s="30"/>
      <c r="N171" s="30">
        <v>1</v>
      </c>
      <c r="O171" s="30">
        <v>1</v>
      </c>
      <c r="P171" s="30"/>
      <c r="Q171" s="30"/>
      <c r="R171" s="30">
        <v>2</v>
      </c>
      <c r="S171" s="30">
        <v>1</v>
      </c>
      <c r="T171" s="30"/>
      <c r="U171" s="30"/>
      <c r="V171" s="30"/>
      <c r="W171" s="30"/>
      <c r="X171" s="30">
        <v>1</v>
      </c>
      <c r="Y171" s="30"/>
      <c r="Z171" s="30">
        <v>1</v>
      </c>
      <c r="AA171" s="30">
        <v>2</v>
      </c>
      <c r="AB171" s="30">
        <v>1</v>
      </c>
      <c r="AC171" s="30"/>
      <c r="AD171" s="30"/>
      <c r="AE171" s="30"/>
      <c r="AF171" s="22"/>
      <c r="AG171" s="28">
        <f t="shared" si="28"/>
        <v>16</v>
      </c>
    </row>
    <row r="172" spans="1:34" ht="19.5" thickBot="1" x14ac:dyDescent="0.3">
      <c r="A172" s="158" t="s">
        <v>128</v>
      </c>
      <c r="B172" s="151"/>
      <c r="C172" s="151"/>
      <c r="D172" s="151"/>
      <c r="E172" s="151"/>
      <c r="F172" s="151"/>
      <c r="G172" s="151"/>
      <c r="H172" s="151"/>
      <c r="I172" s="151"/>
      <c r="J172" s="151"/>
      <c r="K172" s="151"/>
      <c r="L172" s="151"/>
      <c r="M172" s="151"/>
      <c r="N172" s="151"/>
      <c r="O172" s="151"/>
      <c r="P172" s="151"/>
      <c r="Q172" s="151"/>
      <c r="R172" s="151"/>
      <c r="S172" s="151"/>
      <c r="T172" s="151"/>
      <c r="U172" s="151"/>
      <c r="V172" s="151"/>
      <c r="W172" s="151"/>
      <c r="X172" s="151"/>
      <c r="Y172" s="151"/>
      <c r="Z172" s="151"/>
      <c r="AA172" s="151"/>
      <c r="AB172" s="151"/>
      <c r="AC172" s="151"/>
      <c r="AD172" s="151"/>
      <c r="AE172" s="151"/>
      <c r="AF172" s="152">
        <v>1</v>
      </c>
      <c r="AG172" s="159">
        <f t="shared" si="28"/>
        <v>1</v>
      </c>
    </row>
    <row r="173" spans="1:34" ht="18.75" x14ac:dyDescent="0.25">
      <c r="A173" s="68" t="s">
        <v>2</v>
      </c>
      <c r="B173" s="15">
        <v>0</v>
      </c>
      <c r="C173" s="15">
        <v>0</v>
      </c>
      <c r="D173" s="15">
        <v>0</v>
      </c>
      <c r="E173" s="15">
        <v>0</v>
      </c>
      <c r="F173" s="15">
        <v>1</v>
      </c>
      <c r="G173" s="15">
        <v>1</v>
      </c>
      <c r="H173" s="15">
        <v>0</v>
      </c>
      <c r="I173" s="15">
        <v>0</v>
      </c>
      <c r="J173" s="15">
        <v>0</v>
      </c>
      <c r="K173" s="15">
        <v>0</v>
      </c>
      <c r="L173" s="15">
        <v>0</v>
      </c>
      <c r="M173" s="15">
        <v>0</v>
      </c>
      <c r="N173" s="15">
        <v>0</v>
      </c>
      <c r="O173" s="15">
        <v>0</v>
      </c>
      <c r="P173" s="15">
        <v>0</v>
      </c>
      <c r="Q173" s="15">
        <v>1</v>
      </c>
      <c r="R173" s="15">
        <v>0</v>
      </c>
      <c r="S173" s="15">
        <v>0</v>
      </c>
      <c r="T173" s="15">
        <v>0</v>
      </c>
      <c r="U173" s="15">
        <v>0</v>
      </c>
      <c r="V173" s="15">
        <v>0</v>
      </c>
      <c r="W173" s="15">
        <v>0</v>
      </c>
      <c r="X173" s="15">
        <v>0</v>
      </c>
      <c r="Y173" s="15">
        <v>0</v>
      </c>
      <c r="Z173" s="15">
        <v>0</v>
      </c>
      <c r="AA173" s="15">
        <v>1</v>
      </c>
      <c r="AB173" s="15">
        <v>0</v>
      </c>
      <c r="AC173" s="15">
        <v>0</v>
      </c>
      <c r="AD173" s="15">
        <v>0</v>
      </c>
      <c r="AE173" s="15">
        <v>1</v>
      </c>
      <c r="AF173" s="23">
        <v>0</v>
      </c>
      <c r="AG173" s="5">
        <f t="shared" si="28"/>
        <v>5</v>
      </c>
      <c r="AH173" s="2" t="s">
        <v>137</v>
      </c>
    </row>
    <row r="174" spans="1:34" ht="19.5" thickBot="1" x14ac:dyDescent="0.3">
      <c r="A174" s="146" t="s">
        <v>3</v>
      </c>
      <c r="B174" s="16">
        <f>SUM(B175:B176)</f>
        <v>1</v>
      </c>
      <c r="C174" s="16">
        <f t="shared" ref="C174:AF174" si="31">SUM(C175:C176)</f>
        <v>4</v>
      </c>
      <c r="D174" s="16">
        <f t="shared" si="31"/>
        <v>7</v>
      </c>
      <c r="E174" s="16">
        <f t="shared" si="31"/>
        <v>3</v>
      </c>
      <c r="F174" s="16">
        <f t="shared" si="31"/>
        <v>2</v>
      </c>
      <c r="G174" s="16">
        <f t="shared" si="31"/>
        <v>1</v>
      </c>
      <c r="H174" s="16">
        <f t="shared" si="31"/>
        <v>4</v>
      </c>
      <c r="I174" s="16">
        <f t="shared" si="31"/>
        <v>4</v>
      </c>
      <c r="J174" s="16">
        <f t="shared" si="31"/>
        <v>3</v>
      </c>
      <c r="K174" s="16">
        <f t="shared" si="31"/>
        <v>4</v>
      </c>
      <c r="L174" s="16">
        <f t="shared" si="31"/>
        <v>1</v>
      </c>
      <c r="M174" s="16">
        <f t="shared" si="31"/>
        <v>0</v>
      </c>
      <c r="N174" s="16">
        <f t="shared" si="31"/>
        <v>3</v>
      </c>
      <c r="O174" s="16">
        <f t="shared" si="31"/>
        <v>2</v>
      </c>
      <c r="P174" s="16">
        <f t="shared" si="31"/>
        <v>1</v>
      </c>
      <c r="Q174" s="16">
        <f t="shared" si="31"/>
        <v>2</v>
      </c>
      <c r="R174" s="16">
        <f t="shared" si="31"/>
        <v>4</v>
      </c>
      <c r="S174" s="16">
        <f t="shared" si="31"/>
        <v>6</v>
      </c>
      <c r="T174" s="16">
        <f t="shared" si="31"/>
        <v>3</v>
      </c>
      <c r="U174" s="16">
        <f t="shared" si="31"/>
        <v>1</v>
      </c>
      <c r="V174" s="16">
        <f t="shared" si="31"/>
        <v>4</v>
      </c>
      <c r="W174" s="16">
        <f t="shared" si="31"/>
        <v>3</v>
      </c>
      <c r="X174" s="16">
        <f t="shared" si="31"/>
        <v>5</v>
      </c>
      <c r="Y174" s="16">
        <f t="shared" si="31"/>
        <v>0</v>
      </c>
      <c r="Z174" s="16">
        <f t="shared" si="31"/>
        <v>1</v>
      </c>
      <c r="AA174" s="16">
        <f t="shared" si="31"/>
        <v>1</v>
      </c>
      <c r="AB174" s="16">
        <f t="shared" si="31"/>
        <v>1</v>
      </c>
      <c r="AC174" s="16">
        <f t="shared" si="31"/>
        <v>3</v>
      </c>
      <c r="AD174" s="16">
        <f t="shared" si="31"/>
        <v>2</v>
      </c>
      <c r="AE174" s="16">
        <f t="shared" si="31"/>
        <v>3</v>
      </c>
      <c r="AF174" s="24">
        <f t="shared" si="31"/>
        <v>2</v>
      </c>
      <c r="AG174" s="6">
        <f t="shared" si="28"/>
        <v>81</v>
      </c>
      <c r="AH174" s="2" t="s">
        <v>138</v>
      </c>
    </row>
    <row r="175" spans="1:34" ht="18.75" x14ac:dyDescent="0.25">
      <c r="A175" s="133" t="s">
        <v>120</v>
      </c>
      <c r="B175" s="15">
        <v>1</v>
      </c>
      <c r="C175" s="15">
        <v>1</v>
      </c>
      <c r="D175" s="15">
        <v>0</v>
      </c>
      <c r="E175" s="15">
        <v>1</v>
      </c>
      <c r="F175" s="15">
        <v>0</v>
      </c>
      <c r="G175" s="15">
        <v>0</v>
      </c>
      <c r="H175" s="15">
        <v>0</v>
      </c>
      <c r="I175" s="15">
        <v>0</v>
      </c>
      <c r="J175" s="15">
        <v>0</v>
      </c>
      <c r="K175" s="15">
        <v>0</v>
      </c>
      <c r="L175" s="15">
        <v>0</v>
      </c>
      <c r="M175" s="15">
        <v>0</v>
      </c>
      <c r="N175" s="15">
        <v>0</v>
      </c>
      <c r="O175" s="15">
        <v>0</v>
      </c>
      <c r="P175" s="15">
        <v>0</v>
      </c>
      <c r="Q175" s="15">
        <v>0</v>
      </c>
      <c r="R175" s="15">
        <v>0</v>
      </c>
      <c r="S175" s="15">
        <v>1</v>
      </c>
      <c r="T175" s="15">
        <v>0</v>
      </c>
      <c r="U175" s="15">
        <v>0</v>
      </c>
      <c r="V175" s="15">
        <v>0</v>
      </c>
      <c r="W175" s="15">
        <v>1</v>
      </c>
      <c r="X175" s="15">
        <v>2</v>
      </c>
      <c r="Y175" s="15">
        <v>0</v>
      </c>
      <c r="Z175" s="15">
        <v>0</v>
      </c>
      <c r="AA175" s="15">
        <v>0</v>
      </c>
      <c r="AB175" s="15">
        <v>0</v>
      </c>
      <c r="AC175" s="15">
        <v>1</v>
      </c>
      <c r="AD175" s="15">
        <v>1</v>
      </c>
      <c r="AE175" s="15">
        <v>0</v>
      </c>
      <c r="AF175" s="23">
        <v>0</v>
      </c>
      <c r="AG175" s="5">
        <f t="shared" si="28"/>
        <v>9</v>
      </c>
      <c r="AH175" s="2" t="s">
        <v>138</v>
      </c>
    </row>
    <row r="176" spans="1:34" ht="19.5" thickBot="1" x14ac:dyDescent="0.3">
      <c r="A176" s="104" t="s">
        <v>119</v>
      </c>
      <c r="B176" s="101">
        <v>0</v>
      </c>
      <c r="C176" s="101">
        <v>3</v>
      </c>
      <c r="D176" s="101">
        <v>7</v>
      </c>
      <c r="E176" s="101">
        <v>2</v>
      </c>
      <c r="F176" s="101">
        <v>2</v>
      </c>
      <c r="G176" s="101">
        <v>1</v>
      </c>
      <c r="H176" s="101">
        <v>4</v>
      </c>
      <c r="I176" s="101">
        <v>4</v>
      </c>
      <c r="J176" s="101">
        <v>3</v>
      </c>
      <c r="K176" s="101">
        <v>4</v>
      </c>
      <c r="L176" s="101">
        <v>1</v>
      </c>
      <c r="M176" s="101">
        <v>0</v>
      </c>
      <c r="N176" s="101">
        <v>3</v>
      </c>
      <c r="O176" s="101">
        <v>2</v>
      </c>
      <c r="P176" s="101">
        <v>1</v>
      </c>
      <c r="Q176" s="101">
        <v>2</v>
      </c>
      <c r="R176" s="101">
        <v>4</v>
      </c>
      <c r="S176" s="101">
        <v>5</v>
      </c>
      <c r="T176" s="101">
        <v>3</v>
      </c>
      <c r="U176" s="101">
        <v>1</v>
      </c>
      <c r="V176" s="101">
        <v>4</v>
      </c>
      <c r="W176" s="101">
        <v>2</v>
      </c>
      <c r="X176" s="101">
        <v>3</v>
      </c>
      <c r="Y176" s="101">
        <v>0</v>
      </c>
      <c r="Z176" s="101">
        <v>1</v>
      </c>
      <c r="AA176" s="101">
        <v>1</v>
      </c>
      <c r="AB176" s="101">
        <v>1</v>
      </c>
      <c r="AC176" s="101">
        <v>2</v>
      </c>
      <c r="AD176" s="101">
        <v>1</v>
      </c>
      <c r="AE176" s="101">
        <v>3</v>
      </c>
      <c r="AF176" s="102">
        <v>2</v>
      </c>
      <c r="AG176" s="103">
        <f t="shared" si="28"/>
        <v>72</v>
      </c>
      <c r="AH176" s="2" t="s">
        <v>138</v>
      </c>
    </row>
    <row r="177" spans="1:34" ht="18.75" x14ac:dyDescent="0.25">
      <c r="A177" s="64" t="s">
        <v>105</v>
      </c>
      <c r="B177" s="65"/>
      <c r="C177" s="65"/>
      <c r="D177" s="65"/>
      <c r="E177" s="65"/>
      <c r="F177" s="65"/>
      <c r="G177" s="65"/>
      <c r="H177" s="65"/>
      <c r="I177" s="65"/>
      <c r="J177" s="65"/>
      <c r="K177" s="65"/>
      <c r="L177" s="65"/>
      <c r="M177" s="65"/>
      <c r="N177" s="65"/>
      <c r="O177" s="65"/>
      <c r="P177" s="65"/>
      <c r="Q177" s="65"/>
      <c r="R177" s="65"/>
      <c r="S177" s="65"/>
      <c r="T177" s="65"/>
      <c r="U177" s="65"/>
      <c r="V177" s="65"/>
      <c r="W177" s="65"/>
      <c r="X177" s="65"/>
      <c r="Y177" s="65"/>
      <c r="Z177" s="65"/>
      <c r="AA177" s="65"/>
      <c r="AB177" s="65"/>
      <c r="AC177" s="65"/>
      <c r="AD177" s="65"/>
      <c r="AE177" s="65"/>
      <c r="AF177" s="86"/>
      <c r="AG177" s="96">
        <f t="shared" si="28"/>
        <v>0</v>
      </c>
    </row>
    <row r="178" spans="1:34" ht="19.5" thickBot="1" x14ac:dyDescent="0.3">
      <c r="A178" s="66" t="s">
        <v>104</v>
      </c>
      <c r="B178" s="67"/>
      <c r="C178" s="67"/>
      <c r="D178" s="67"/>
      <c r="E178" s="67"/>
      <c r="F178" s="67"/>
      <c r="G178" s="67"/>
      <c r="H178" s="67"/>
      <c r="I178" s="67"/>
      <c r="J178" s="67"/>
      <c r="K178" s="67"/>
      <c r="L178" s="67"/>
      <c r="M178" s="67"/>
      <c r="N178" s="67"/>
      <c r="O178" s="67"/>
      <c r="P178" s="67"/>
      <c r="Q178" s="67"/>
      <c r="R178" s="67"/>
      <c r="S178" s="67"/>
      <c r="T178" s="67"/>
      <c r="U178" s="67"/>
      <c r="V178" s="67"/>
      <c r="W178" s="67"/>
      <c r="X178" s="67"/>
      <c r="Y178" s="67"/>
      <c r="Z178" s="67"/>
      <c r="AA178" s="67"/>
      <c r="AB178" s="67"/>
      <c r="AC178" s="67"/>
      <c r="AD178" s="67"/>
      <c r="AE178" s="67"/>
      <c r="AF178" s="87"/>
      <c r="AG178" s="32">
        <f t="shared" si="28"/>
        <v>0</v>
      </c>
    </row>
    <row r="179" spans="1:34" ht="19.5" thickBot="1" x14ac:dyDescent="0.3">
      <c r="A179" s="219" t="s">
        <v>149</v>
      </c>
      <c r="B179" s="220">
        <f t="shared" ref="B179:AF179" si="32">SUM(B180:B205)</f>
        <v>38</v>
      </c>
      <c r="C179" s="220">
        <f t="shared" si="32"/>
        <v>21</v>
      </c>
      <c r="D179" s="220">
        <f t="shared" si="32"/>
        <v>22</v>
      </c>
      <c r="E179" s="220">
        <f t="shared" si="32"/>
        <v>32</v>
      </c>
      <c r="F179" s="220">
        <f t="shared" si="32"/>
        <v>17</v>
      </c>
      <c r="G179" s="220">
        <f t="shared" si="32"/>
        <v>24</v>
      </c>
      <c r="H179" s="220">
        <f t="shared" si="32"/>
        <v>28</v>
      </c>
      <c r="I179" s="220">
        <f t="shared" si="32"/>
        <v>16</v>
      </c>
      <c r="J179" s="220">
        <f t="shared" si="32"/>
        <v>25</v>
      </c>
      <c r="K179" s="220">
        <f t="shared" si="32"/>
        <v>20</v>
      </c>
      <c r="L179" s="220">
        <f t="shared" si="32"/>
        <v>24</v>
      </c>
      <c r="M179" s="220">
        <f t="shared" si="32"/>
        <v>33</v>
      </c>
      <c r="N179" s="220">
        <f t="shared" si="32"/>
        <v>28</v>
      </c>
      <c r="O179" s="220">
        <f t="shared" si="32"/>
        <v>28</v>
      </c>
      <c r="P179" s="220">
        <f t="shared" si="32"/>
        <v>13</v>
      </c>
      <c r="Q179" s="220">
        <f t="shared" si="32"/>
        <v>25</v>
      </c>
      <c r="R179" s="220">
        <f t="shared" si="32"/>
        <v>43</v>
      </c>
      <c r="S179" s="220">
        <f t="shared" si="32"/>
        <v>27</v>
      </c>
      <c r="T179" s="220">
        <f t="shared" si="32"/>
        <v>39</v>
      </c>
      <c r="U179" s="220">
        <f t="shared" si="32"/>
        <v>35</v>
      </c>
      <c r="V179" s="220">
        <f t="shared" si="32"/>
        <v>26</v>
      </c>
      <c r="W179" s="220">
        <f t="shared" si="32"/>
        <v>32</v>
      </c>
      <c r="X179" s="220">
        <f t="shared" si="32"/>
        <v>41</v>
      </c>
      <c r="Y179" s="220">
        <f t="shared" si="32"/>
        <v>54</v>
      </c>
      <c r="Z179" s="220">
        <f t="shared" si="32"/>
        <v>33</v>
      </c>
      <c r="AA179" s="220">
        <f t="shared" si="32"/>
        <v>27</v>
      </c>
      <c r="AB179" s="220">
        <f t="shared" si="32"/>
        <v>36</v>
      </c>
      <c r="AC179" s="220">
        <f t="shared" si="32"/>
        <v>46</v>
      </c>
      <c r="AD179" s="220">
        <f t="shared" si="32"/>
        <v>26</v>
      </c>
      <c r="AE179" s="220">
        <f t="shared" si="32"/>
        <v>29</v>
      </c>
      <c r="AF179" s="221">
        <f t="shared" si="32"/>
        <v>30</v>
      </c>
      <c r="AG179" s="156">
        <f t="shared" si="28"/>
        <v>918</v>
      </c>
      <c r="AH179" s="38"/>
    </row>
    <row r="180" spans="1:34" ht="18.75" x14ac:dyDescent="0.25">
      <c r="A180" s="109" t="s">
        <v>4</v>
      </c>
      <c r="B180" s="216">
        <v>10</v>
      </c>
      <c r="C180" s="216">
        <v>5</v>
      </c>
      <c r="D180" s="216">
        <v>6</v>
      </c>
      <c r="E180" s="216">
        <v>5</v>
      </c>
      <c r="F180" s="216">
        <v>3</v>
      </c>
      <c r="G180" s="216">
        <v>3</v>
      </c>
      <c r="H180" s="216">
        <v>4</v>
      </c>
      <c r="I180" s="216">
        <v>4</v>
      </c>
      <c r="J180" s="216">
        <v>8</v>
      </c>
      <c r="K180" s="216"/>
      <c r="L180" s="216">
        <v>3</v>
      </c>
      <c r="M180" s="216">
        <v>2</v>
      </c>
      <c r="N180" s="217">
        <v>3</v>
      </c>
      <c r="O180" s="217">
        <v>7</v>
      </c>
      <c r="P180" s="217">
        <v>3</v>
      </c>
      <c r="Q180" s="217">
        <v>8</v>
      </c>
      <c r="R180" s="217">
        <v>11</v>
      </c>
      <c r="S180" s="217">
        <v>4</v>
      </c>
      <c r="T180" s="217">
        <v>5</v>
      </c>
      <c r="U180" s="217">
        <v>3</v>
      </c>
      <c r="V180" s="217">
        <v>3</v>
      </c>
      <c r="W180" s="217">
        <v>4</v>
      </c>
      <c r="X180" s="217">
        <v>3</v>
      </c>
      <c r="Y180" s="217">
        <v>7</v>
      </c>
      <c r="Z180" s="217">
        <v>1</v>
      </c>
      <c r="AA180" s="217">
        <v>2</v>
      </c>
      <c r="AB180" s="217">
        <v>2</v>
      </c>
      <c r="AC180" s="217">
        <v>2</v>
      </c>
      <c r="AD180" s="217">
        <v>5</v>
      </c>
      <c r="AE180" s="217">
        <v>2</v>
      </c>
      <c r="AF180" s="218">
        <v>2</v>
      </c>
      <c r="AG180" s="31">
        <f t="shared" si="28"/>
        <v>130</v>
      </c>
    </row>
    <row r="181" spans="1:34" ht="18.75" x14ac:dyDescent="0.25">
      <c r="A181" s="109" t="s">
        <v>122</v>
      </c>
      <c r="B181" s="147"/>
      <c r="C181" s="147"/>
      <c r="D181" s="147"/>
      <c r="E181" s="147"/>
      <c r="F181" s="147"/>
      <c r="G181" s="147"/>
      <c r="H181" s="147"/>
      <c r="I181" s="147"/>
      <c r="J181" s="147"/>
      <c r="K181" s="147"/>
      <c r="L181" s="147"/>
      <c r="M181" s="14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  <c r="AE181" s="17"/>
      <c r="AF181" s="18"/>
      <c r="AG181" s="4">
        <f t="shared" si="28"/>
        <v>0</v>
      </c>
    </row>
    <row r="182" spans="1:34" ht="18.75" x14ac:dyDescent="0.25">
      <c r="A182" s="109" t="s">
        <v>123</v>
      </c>
      <c r="B182" s="147">
        <v>1</v>
      </c>
      <c r="C182" s="147"/>
      <c r="D182" s="147">
        <v>2</v>
      </c>
      <c r="E182" s="147">
        <v>1</v>
      </c>
      <c r="F182" s="147"/>
      <c r="G182" s="147"/>
      <c r="H182" s="147">
        <v>1</v>
      </c>
      <c r="I182" s="147"/>
      <c r="J182" s="147"/>
      <c r="K182" s="147"/>
      <c r="L182" s="147"/>
      <c r="M182" s="147"/>
      <c r="N182" s="17"/>
      <c r="O182" s="17"/>
      <c r="P182" s="17"/>
      <c r="Q182" s="17"/>
      <c r="R182" s="17">
        <v>3</v>
      </c>
      <c r="S182" s="17">
        <v>1</v>
      </c>
      <c r="T182" s="17"/>
      <c r="U182" s="17"/>
      <c r="V182" s="17">
        <v>1</v>
      </c>
      <c r="W182" s="17"/>
      <c r="X182" s="17"/>
      <c r="Y182" s="17"/>
      <c r="Z182" s="17"/>
      <c r="AA182" s="17"/>
      <c r="AB182" s="17"/>
      <c r="AC182" s="17"/>
      <c r="AD182" s="17"/>
      <c r="AE182" s="17"/>
      <c r="AF182" s="18"/>
      <c r="AG182" s="4">
        <f t="shared" si="28"/>
        <v>10</v>
      </c>
    </row>
    <row r="183" spans="1:34" ht="18.75" x14ac:dyDescent="0.25">
      <c r="A183" s="109" t="s">
        <v>614</v>
      </c>
      <c r="B183" s="147"/>
      <c r="C183" s="147"/>
      <c r="D183" s="147"/>
      <c r="E183" s="147"/>
      <c r="F183" s="147"/>
      <c r="G183" s="147"/>
      <c r="H183" s="147"/>
      <c r="I183" s="147"/>
      <c r="J183" s="147"/>
      <c r="K183" s="147"/>
      <c r="L183" s="147"/>
      <c r="M183" s="14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  <c r="AE183" s="17">
        <v>1</v>
      </c>
      <c r="AF183" s="18"/>
      <c r="AG183" s="4">
        <f t="shared" si="28"/>
        <v>1</v>
      </c>
    </row>
    <row r="184" spans="1:34" s="398" customFormat="1" ht="18.75" x14ac:dyDescent="0.25">
      <c r="A184" s="393" t="s">
        <v>621</v>
      </c>
      <c r="B184" s="394">
        <v>23</v>
      </c>
      <c r="C184" s="394">
        <v>11</v>
      </c>
      <c r="D184" s="394">
        <v>13</v>
      </c>
      <c r="E184" s="394">
        <v>20</v>
      </c>
      <c r="F184" s="394">
        <v>14</v>
      </c>
      <c r="G184" s="394">
        <v>19</v>
      </c>
      <c r="H184" s="394">
        <v>23</v>
      </c>
      <c r="I184" s="394">
        <v>11</v>
      </c>
      <c r="J184" s="394">
        <v>12</v>
      </c>
      <c r="K184" s="394">
        <v>20</v>
      </c>
      <c r="L184" s="394">
        <v>21</v>
      </c>
      <c r="M184" s="394">
        <v>31</v>
      </c>
      <c r="N184" s="395">
        <v>25</v>
      </c>
      <c r="O184" s="395">
        <v>21</v>
      </c>
      <c r="P184" s="395">
        <v>9</v>
      </c>
      <c r="Q184" s="395">
        <v>14</v>
      </c>
      <c r="R184" s="395">
        <v>27</v>
      </c>
      <c r="S184" s="395">
        <v>20</v>
      </c>
      <c r="T184" s="395">
        <v>27</v>
      </c>
      <c r="U184" s="395">
        <v>31</v>
      </c>
      <c r="V184" s="395">
        <v>22</v>
      </c>
      <c r="W184" s="395">
        <v>23</v>
      </c>
      <c r="X184" s="395">
        <v>35</v>
      </c>
      <c r="Y184" s="395">
        <v>47</v>
      </c>
      <c r="Z184" s="395">
        <v>32</v>
      </c>
      <c r="AA184" s="395">
        <v>25</v>
      </c>
      <c r="AB184" s="395">
        <v>32</v>
      </c>
      <c r="AC184" s="395">
        <v>40</v>
      </c>
      <c r="AD184" s="395">
        <v>19</v>
      </c>
      <c r="AE184" s="395">
        <v>22</v>
      </c>
      <c r="AF184" s="396">
        <v>28</v>
      </c>
      <c r="AG184" s="397">
        <f t="shared" si="28"/>
        <v>717</v>
      </c>
    </row>
    <row r="185" spans="1:34" ht="18.75" x14ac:dyDescent="0.25">
      <c r="A185" s="109" t="s">
        <v>165</v>
      </c>
      <c r="B185" s="147"/>
      <c r="C185" s="147"/>
      <c r="D185" s="147"/>
      <c r="E185" s="147"/>
      <c r="F185" s="147"/>
      <c r="G185" s="147"/>
      <c r="H185" s="147"/>
      <c r="I185" s="147"/>
      <c r="J185" s="147">
        <v>1</v>
      </c>
      <c r="K185" s="147"/>
      <c r="L185" s="147"/>
      <c r="M185" s="14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  <c r="AF185" s="18"/>
      <c r="AG185" s="4">
        <f t="shared" si="28"/>
        <v>1</v>
      </c>
    </row>
    <row r="186" spans="1:34" ht="18.75" x14ac:dyDescent="0.25">
      <c r="A186" s="109" t="s">
        <v>141</v>
      </c>
      <c r="B186" s="147"/>
      <c r="C186" s="147"/>
      <c r="D186" s="147"/>
      <c r="E186" s="147"/>
      <c r="F186" s="147"/>
      <c r="G186" s="147"/>
      <c r="H186" s="147"/>
      <c r="I186" s="147"/>
      <c r="J186" s="147"/>
      <c r="K186" s="147"/>
      <c r="L186" s="147"/>
      <c r="M186" s="14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  <c r="AF186" s="18"/>
      <c r="AG186" s="4">
        <f t="shared" si="28"/>
        <v>0</v>
      </c>
    </row>
    <row r="187" spans="1:34" ht="18.75" x14ac:dyDescent="0.25">
      <c r="A187" s="109" t="s">
        <v>613</v>
      </c>
      <c r="B187" s="147"/>
      <c r="C187" s="147"/>
      <c r="D187" s="147"/>
      <c r="E187" s="147"/>
      <c r="F187" s="147"/>
      <c r="G187" s="147"/>
      <c r="H187" s="147"/>
      <c r="I187" s="147"/>
      <c r="J187" s="147"/>
      <c r="K187" s="147"/>
      <c r="L187" s="147"/>
      <c r="M187" s="14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  <c r="AF187" s="18"/>
      <c r="AG187" s="4">
        <f t="shared" si="28"/>
        <v>0</v>
      </c>
    </row>
    <row r="188" spans="1:34" ht="18.75" x14ac:dyDescent="0.25">
      <c r="A188" s="109" t="s">
        <v>139</v>
      </c>
      <c r="B188" s="147"/>
      <c r="C188" s="147">
        <v>1</v>
      </c>
      <c r="D188" s="147"/>
      <c r="E188" s="147">
        <v>1</v>
      </c>
      <c r="F188" s="147"/>
      <c r="G188" s="147"/>
      <c r="H188" s="147"/>
      <c r="I188" s="147"/>
      <c r="J188" s="147">
        <v>2</v>
      </c>
      <c r="K188" s="147"/>
      <c r="L188" s="147"/>
      <c r="M188" s="147"/>
      <c r="N188" s="17"/>
      <c r="O188" s="17"/>
      <c r="P188" s="17"/>
      <c r="Q188" s="17">
        <v>1</v>
      </c>
      <c r="R188" s="17">
        <v>1</v>
      </c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>
        <v>1</v>
      </c>
      <c r="AD188" s="17"/>
      <c r="AE188" s="17">
        <v>3</v>
      </c>
      <c r="AF188" s="18"/>
      <c r="AG188" s="4">
        <f t="shared" si="28"/>
        <v>10</v>
      </c>
    </row>
    <row r="189" spans="1:34" ht="18.75" x14ac:dyDescent="0.25">
      <c r="A189" s="110" t="s">
        <v>63</v>
      </c>
      <c r="B189" s="147"/>
      <c r="C189" s="147"/>
      <c r="D189" s="147"/>
      <c r="E189" s="147"/>
      <c r="F189" s="147"/>
      <c r="G189" s="147"/>
      <c r="H189" s="147"/>
      <c r="I189" s="147"/>
      <c r="J189" s="147"/>
      <c r="K189" s="147"/>
      <c r="L189" s="147"/>
      <c r="M189" s="14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  <c r="AE189" s="17"/>
      <c r="AF189" s="18"/>
      <c r="AG189" s="4">
        <f t="shared" si="28"/>
        <v>0</v>
      </c>
    </row>
    <row r="190" spans="1:34" ht="18.75" x14ac:dyDescent="0.25">
      <c r="A190" s="110" t="s">
        <v>142</v>
      </c>
      <c r="B190" s="147"/>
      <c r="C190" s="147"/>
      <c r="D190" s="147"/>
      <c r="E190" s="147"/>
      <c r="F190" s="147"/>
      <c r="G190" s="147"/>
      <c r="H190" s="147"/>
      <c r="I190" s="147"/>
      <c r="J190" s="147"/>
      <c r="K190" s="147"/>
      <c r="L190" s="147"/>
      <c r="M190" s="14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  <c r="AE190" s="17"/>
      <c r="AF190" s="18"/>
      <c r="AG190" s="4">
        <f t="shared" si="28"/>
        <v>0</v>
      </c>
    </row>
    <row r="191" spans="1:34" ht="18.75" x14ac:dyDescent="0.25">
      <c r="A191" s="110" t="s">
        <v>168</v>
      </c>
      <c r="B191" s="147"/>
      <c r="C191" s="147"/>
      <c r="D191" s="147"/>
      <c r="E191" s="147"/>
      <c r="F191" s="147"/>
      <c r="G191" s="147"/>
      <c r="H191" s="147"/>
      <c r="I191" s="147"/>
      <c r="J191" s="147"/>
      <c r="K191" s="147"/>
      <c r="L191" s="147"/>
      <c r="M191" s="14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  <c r="AE191" s="17"/>
      <c r="AF191" s="18"/>
      <c r="AG191" s="4">
        <f t="shared" si="28"/>
        <v>0</v>
      </c>
    </row>
    <row r="192" spans="1:34" ht="18.75" x14ac:dyDescent="0.25">
      <c r="A192" s="110" t="s">
        <v>169</v>
      </c>
      <c r="B192" s="147"/>
      <c r="C192" s="147"/>
      <c r="D192" s="147"/>
      <c r="E192" s="147"/>
      <c r="F192" s="147"/>
      <c r="G192" s="147"/>
      <c r="H192" s="147"/>
      <c r="I192" s="147"/>
      <c r="J192" s="147"/>
      <c r="K192" s="147"/>
      <c r="L192" s="147"/>
      <c r="M192" s="14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  <c r="AE192" s="17"/>
      <c r="AF192" s="18"/>
      <c r="AG192" s="4">
        <f t="shared" si="28"/>
        <v>0</v>
      </c>
    </row>
    <row r="193" spans="1:34" ht="18.75" x14ac:dyDescent="0.25">
      <c r="A193" s="236" t="s">
        <v>5</v>
      </c>
      <c r="B193" s="237">
        <v>3</v>
      </c>
      <c r="C193" s="237">
        <v>4</v>
      </c>
      <c r="D193" s="237">
        <v>1</v>
      </c>
      <c r="E193" s="237">
        <v>4</v>
      </c>
      <c r="F193" s="237"/>
      <c r="G193" s="237">
        <v>1</v>
      </c>
      <c r="H193" s="237"/>
      <c r="I193" s="237">
        <v>1</v>
      </c>
      <c r="J193" s="237">
        <v>1</v>
      </c>
      <c r="K193" s="237"/>
      <c r="L193" s="237"/>
      <c r="M193" s="237"/>
      <c r="N193" s="238"/>
      <c r="O193" s="238"/>
      <c r="P193" s="238">
        <v>1</v>
      </c>
      <c r="Q193" s="238">
        <v>2</v>
      </c>
      <c r="R193" s="238"/>
      <c r="S193" s="238">
        <v>1</v>
      </c>
      <c r="T193" s="238">
        <v>5</v>
      </c>
      <c r="U193" s="238"/>
      <c r="V193" s="238"/>
      <c r="W193" s="238">
        <v>5</v>
      </c>
      <c r="X193" s="238">
        <v>2</v>
      </c>
      <c r="Y193" s="238"/>
      <c r="Z193" s="238"/>
      <c r="AA193" s="238"/>
      <c r="AB193" s="238">
        <v>2</v>
      </c>
      <c r="AC193" s="238">
        <v>3</v>
      </c>
      <c r="AD193" s="238">
        <v>2</v>
      </c>
      <c r="AE193" s="238">
        <v>1</v>
      </c>
      <c r="AF193" s="239"/>
      <c r="AG193" s="240">
        <f t="shared" si="28"/>
        <v>39</v>
      </c>
    </row>
    <row r="194" spans="1:34" ht="18.75" x14ac:dyDescent="0.25">
      <c r="A194" s="111" t="s">
        <v>174</v>
      </c>
      <c r="B194" s="147"/>
      <c r="C194" s="147"/>
      <c r="D194" s="147"/>
      <c r="E194" s="147"/>
      <c r="F194" s="147"/>
      <c r="G194" s="147"/>
      <c r="H194" s="147"/>
      <c r="I194" s="147"/>
      <c r="J194" s="147"/>
      <c r="K194" s="147"/>
      <c r="L194" s="147"/>
      <c r="M194" s="14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  <c r="AE194" s="17"/>
      <c r="AF194" s="18"/>
      <c r="AG194" s="4">
        <f t="shared" si="28"/>
        <v>0</v>
      </c>
    </row>
    <row r="195" spans="1:34" ht="18.75" x14ac:dyDescent="0.25">
      <c r="A195" s="111" t="s">
        <v>171</v>
      </c>
      <c r="B195" s="147"/>
      <c r="C195" s="147"/>
      <c r="D195" s="147"/>
      <c r="E195" s="147"/>
      <c r="F195" s="147"/>
      <c r="G195" s="147"/>
      <c r="H195" s="147"/>
      <c r="I195" s="147"/>
      <c r="J195" s="147"/>
      <c r="K195" s="147"/>
      <c r="L195" s="147"/>
      <c r="M195" s="14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  <c r="AE195" s="17"/>
      <c r="AF195" s="18"/>
      <c r="AG195" s="4">
        <f t="shared" si="28"/>
        <v>0</v>
      </c>
    </row>
    <row r="196" spans="1:34" ht="18.75" x14ac:dyDescent="0.25">
      <c r="A196" s="111" t="s">
        <v>173</v>
      </c>
      <c r="B196" s="147"/>
      <c r="C196" s="147"/>
      <c r="D196" s="147"/>
      <c r="E196" s="147"/>
      <c r="F196" s="147"/>
      <c r="G196" s="147"/>
      <c r="H196" s="147"/>
      <c r="I196" s="147"/>
      <c r="J196" s="147"/>
      <c r="K196" s="147"/>
      <c r="L196" s="147"/>
      <c r="M196" s="14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  <c r="AE196" s="17"/>
      <c r="AF196" s="18"/>
      <c r="AG196" s="4">
        <f t="shared" si="28"/>
        <v>0</v>
      </c>
    </row>
    <row r="197" spans="1:34" ht="18.75" x14ac:dyDescent="0.25">
      <c r="A197" s="111" t="s">
        <v>88</v>
      </c>
      <c r="B197" s="147"/>
      <c r="C197" s="147"/>
      <c r="D197" s="147"/>
      <c r="E197" s="147"/>
      <c r="F197" s="147"/>
      <c r="G197" s="147"/>
      <c r="H197" s="147"/>
      <c r="I197" s="147"/>
      <c r="J197" s="147"/>
      <c r="K197" s="147"/>
      <c r="L197" s="147"/>
      <c r="M197" s="14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  <c r="AE197" s="17"/>
      <c r="AF197" s="18"/>
      <c r="AG197" s="4">
        <f t="shared" si="28"/>
        <v>0</v>
      </c>
    </row>
    <row r="198" spans="1:34" ht="18.75" x14ac:dyDescent="0.25">
      <c r="A198" s="111" t="s">
        <v>617</v>
      </c>
      <c r="B198" s="147"/>
      <c r="C198" s="147"/>
      <c r="D198" s="147"/>
      <c r="E198" s="147"/>
      <c r="F198" s="147"/>
      <c r="G198" s="147"/>
      <c r="H198" s="147"/>
      <c r="I198" s="147"/>
      <c r="J198" s="147"/>
      <c r="K198" s="147"/>
      <c r="L198" s="147"/>
      <c r="M198" s="14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  <c r="AE198" s="17"/>
      <c r="AF198" s="18"/>
      <c r="AG198" s="4">
        <f t="shared" si="28"/>
        <v>0</v>
      </c>
    </row>
    <row r="199" spans="1:34" ht="18.75" x14ac:dyDescent="0.25">
      <c r="A199" s="111" t="s">
        <v>143</v>
      </c>
      <c r="B199" s="147"/>
      <c r="C199" s="147"/>
      <c r="D199" s="147"/>
      <c r="E199" s="147"/>
      <c r="F199" s="147"/>
      <c r="G199" s="147"/>
      <c r="H199" s="147"/>
      <c r="I199" s="147"/>
      <c r="J199" s="147"/>
      <c r="K199" s="147"/>
      <c r="L199" s="147"/>
      <c r="M199" s="147"/>
      <c r="N199" s="17"/>
      <c r="O199" s="17"/>
      <c r="P199" s="17"/>
      <c r="Q199" s="17"/>
      <c r="R199" s="17">
        <v>1</v>
      </c>
      <c r="S199" s="17"/>
      <c r="T199" s="17">
        <v>1</v>
      </c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  <c r="AE199" s="17"/>
      <c r="AF199" s="18"/>
      <c r="AG199" s="4">
        <f t="shared" si="28"/>
        <v>2</v>
      </c>
    </row>
    <row r="200" spans="1:34" ht="18.75" x14ac:dyDescent="0.25">
      <c r="A200" s="110" t="s">
        <v>124</v>
      </c>
      <c r="B200" s="147"/>
      <c r="C200" s="147"/>
      <c r="D200" s="147"/>
      <c r="E200" s="147"/>
      <c r="F200" s="147"/>
      <c r="G200" s="147"/>
      <c r="H200" s="147"/>
      <c r="I200" s="147"/>
      <c r="J200" s="147"/>
      <c r="K200" s="147"/>
      <c r="L200" s="147"/>
      <c r="M200" s="147"/>
      <c r="N200" s="17"/>
      <c r="O200" s="17"/>
      <c r="P200" s="17"/>
      <c r="Q200" s="17"/>
      <c r="R200" s="17"/>
      <c r="S200" s="17"/>
      <c r="T200" s="17">
        <v>1</v>
      </c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  <c r="AE200" s="17"/>
      <c r="AF200" s="18"/>
      <c r="AG200" s="4">
        <f t="shared" si="28"/>
        <v>1</v>
      </c>
    </row>
    <row r="201" spans="1:34" ht="18.75" x14ac:dyDescent="0.25">
      <c r="A201" s="110" t="s">
        <v>167</v>
      </c>
      <c r="B201" s="147"/>
      <c r="C201" s="147"/>
      <c r="D201" s="147"/>
      <c r="E201" s="147"/>
      <c r="F201" s="147"/>
      <c r="G201" s="147"/>
      <c r="H201" s="147"/>
      <c r="I201" s="147"/>
      <c r="J201" s="147"/>
      <c r="K201" s="147"/>
      <c r="L201" s="147"/>
      <c r="M201" s="14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  <c r="AD201" s="17"/>
      <c r="AE201" s="17"/>
      <c r="AF201" s="18"/>
      <c r="AG201" s="4">
        <f t="shared" si="28"/>
        <v>0</v>
      </c>
    </row>
    <row r="202" spans="1:34" ht="18.75" x14ac:dyDescent="0.25">
      <c r="A202" s="110" t="s">
        <v>125</v>
      </c>
      <c r="B202" s="147">
        <v>1</v>
      </c>
      <c r="C202" s="147"/>
      <c r="D202" s="147"/>
      <c r="E202" s="147"/>
      <c r="F202" s="147"/>
      <c r="G202" s="147"/>
      <c r="H202" s="147"/>
      <c r="I202" s="147"/>
      <c r="J202" s="147">
        <v>1</v>
      </c>
      <c r="K202" s="147"/>
      <c r="L202" s="147"/>
      <c r="M202" s="14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  <c r="AC202" s="17"/>
      <c r="AD202" s="17"/>
      <c r="AE202" s="17"/>
      <c r="AF202" s="18"/>
      <c r="AG202" s="4">
        <f t="shared" si="28"/>
        <v>2</v>
      </c>
    </row>
    <row r="203" spans="1:34" ht="18.75" x14ac:dyDescent="0.25">
      <c r="A203" s="110" t="s">
        <v>126</v>
      </c>
      <c r="B203" s="202"/>
      <c r="C203" s="202"/>
      <c r="D203" s="202"/>
      <c r="E203" s="202">
        <v>1</v>
      </c>
      <c r="F203" s="202"/>
      <c r="G203" s="202">
        <v>1</v>
      </c>
      <c r="H203" s="202"/>
      <c r="I203" s="202"/>
      <c r="J203" s="202"/>
      <c r="K203" s="202"/>
      <c r="L203" s="202"/>
      <c r="M203" s="202"/>
      <c r="N203" s="203"/>
      <c r="O203" s="203"/>
      <c r="P203" s="203"/>
      <c r="Q203" s="203"/>
      <c r="R203" s="203"/>
      <c r="S203" s="203">
        <v>1</v>
      </c>
      <c r="T203" s="203"/>
      <c r="U203" s="203">
        <v>1</v>
      </c>
      <c r="V203" s="203"/>
      <c r="W203" s="203"/>
      <c r="X203" s="203">
        <v>1</v>
      </c>
      <c r="Y203" s="203"/>
      <c r="Z203" s="203"/>
      <c r="AA203" s="203"/>
      <c r="AB203" s="203"/>
      <c r="AC203" s="203"/>
      <c r="AD203" s="203"/>
      <c r="AE203" s="203"/>
      <c r="AF203" s="204"/>
      <c r="AG203" s="4">
        <f t="shared" si="28"/>
        <v>5</v>
      </c>
    </row>
    <row r="204" spans="1:34" ht="18.75" x14ac:dyDescent="0.25">
      <c r="A204" s="112" t="s">
        <v>170</v>
      </c>
      <c r="B204" s="202"/>
      <c r="C204" s="202"/>
      <c r="D204" s="202"/>
      <c r="E204" s="202"/>
      <c r="F204" s="202"/>
      <c r="G204" s="202"/>
      <c r="H204" s="202"/>
      <c r="I204" s="202"/>
      <c r="J204" s="202"/>
      <c r="K204" s="202"/>
      <c r="L204" s="202"/>
      <c r="M204" s="202"/>
      <c r="N204" s="203"/>
      <c r="O204" s="203"/>
      <c r="P204" s="203"/>
      <c r="Q204" s="203"/>
      <c r="R204" s="203"/>
      <c r="S204" s="203"/>
      <c r="T204" s="203"/>
      <c r="U204" s="203"/>
      <c r="V204" s="203"/>
      <c r="W204" s="203"/>
      <c r="X204" s="203"/>
      <c r="Y204" s="203"/>
      <c r="Z204" s="203"/>
      <c r="AA204" s="203"/>
      <c r="AB204" s="203"/>
      <c r="AC204" s="203"/>
      <c r="AD204" s="203"/>
      <c r="AE204" s="203"/>
      <c r="AF204" s="204"/>
      <c r="AG204" s="4">
        <f t="shared" si="28"/>
        <v>0</v>
      </c>
    </row>
    <row r="205" spans="1:34" ht="19.5" thickBot="1" x14ac:dyDescent="0.3">
      <c r="A205" s="231" t="s">
        <v>166</v>
      </c>
      <c r="B205" s="202"/>
      <c r="C205" s="202"/>
      <c r="D205" s="202"/>
      <c r="E205" s="202"/>
      <c r="F205" s="202"/>
      <c r="G205" s="202"/>
      <c r="H205" s="202"/>
      <c r="I205" s="202"/>
      <c r="J205" s="202"/>
      <c r="K205" s="202"/>
      <c r="L205" s="202"/>
      <c r="M205" s="202"/>
      <c r="N205" s="203"/>
      <c r="O205" s="203"/>
      <c r="P205" s="203"/>
      <c r="Q205" s="203"/>
      <c r="R205" s="203"/>
      <c r="S205" s="203"/>
      <c r="T205" s="203"/>
      <c r="U205" s="203"/>
      <c r="V205" s="203"/>
      <c r="W205" s="203"/>
      <c r="X205" s="203"/>
      <c r="Y205" s="203"/>
      <c r="Z205" s="203"/>
      <c r="AA205" s="203"/>
      <c r="AB205" s="203"/>
      <c r="AC205" s="203"/>
      <c r="AD205" s="203"/>
      <c r="AE205" s="203"/>
      <c r="AF205" s="204"/>
      <c r="AG205" s="28">
        <f t="shared" si="28"/>
        <v>0</v>
      </c>
    </row>
    <row r="206" spans="1:34" ht="19.5" thickBot="1" x14ac:dyDescent="0.3">
      <c r="A206" s="215" t="s">
        <v>83</v>
      </c>
      <c r="B206" s="209">
        <f>SUM(B207:B211)</f>
        <v>82</v>
      </c>
      <c r="C206" s="210">
        <f t="shared" ref="C206:AF206" si="33">SUM(C207:C211)</f>
        <v>78</v>
      </c>
      <c r="D206" s="210">
        <f t="shared" si="33"/>
        <v>112</v>
      </c>
      <c r="E206" s="210">
        <f t="shared" si="33"/>
        <v>133</v>
      </c>
      <c r="F206" s="210">
        <f t="shared" si="33"/>
        <v>98</v>
      </c>
      <c r="G206" s="210">
        <f t="shared" si="33"/>
        <v>93</v>
      </c>
      <c r="H206" s="210">
        <f t="shared" si="33"/>
        <v>103</v>
      </c>
      <c r="I206" s="210">
        <f t="shared" si="33"/>
        <v>78</v>
      </c>
      <c r="J206" s="210">
        <f t="shared" si="33"/>
        <v>84</v>
      </c>
      <c r="K206" s="210">
        <f t="shared" si="33"/>
        <v>105</v>
      </c>
      <c r="L206" s="210">
        <f t="shared" si="33"/>
        <v>103</v>
      </c>
      <c r="M206" s="210">
        <f t="shared" si="33"/>
        <v>117</v>
      </c>
      <c r="N206" s="211">
        <f t="shared" si="33"/>
        <v>103</v>
      </c>
      <c r="O206" s="211">
        <f t="shared" si="33"/>
        <v>101</v>
      </c>
      <c r="P206" s="211">
        <f t="shared" si="33"/>
        <v>76</v>
      </c>
      <c r="Q206" s="211">
        <f t="shared" si="33"/>
        <v>87</v>
      </c>
      <c r="R206" s="211">
        <f t="shared" si="33"/>
        <v>156</v>
      </c>
      <c r="S206" s="211">
        <f t="shared" si="33"/>
        <v>118</v>
      </c>
      <c r="T206" s="211">
        <f t="shared" si="33"/>
        <v>108</v>
      </c>
      <c r="U206" s="211">
        <f t="shared" si="33"/>
        <v>97</v>
      </c>
      <c r="V206" s="211">
        <f t="shared" si="33"/>
        <v>120</v>
      </c>
      <c r="W206" s="211">
        <f t="shared" si="33"/>
        <v>101</v>
      </c>
      <c r="X206" s="211">
        <f t="shared" si="33"/>
        <v>100</v>
      </c>
      <c r="Y206" s="211">
        <f t="shared" si="33"/>
        <v>143</v>
      </c>
      <c r="Z206" s="211">
        <f t="shared" si="33"/>
        <v>92</v>
      </c>
      <c r="AA206" s="211">
        <f t="shared" si="33"/>
        <v>87</v>
      </c>
      <c r="AB206" s="211">
        <f t="shared" si="33"/>
        <v>101</v>
      </c>
      <c r="AC206" s="211">
        <f t="shared" si="33"/>
        <v>103</v>
      </c>
      <c r="AD206" s="211">
        <f t="shared" si="33"/>
        <v>82</v>
      </c>
      <c r="AE206" s="211">
        <f t="shared" si="33"/>
        <v>93</v>
      </c>
      <c r="AF206" s="212">
        <f t="shared" si="33"/>
        <v>103</v>
      </c>
      <c r="AG206" s="213">
        <f t="shared" si="28"/>
        <v>3157</v>
      </c>
      <c r="AH206" s="180" t="str">
        <f>IF(AG206&lt;&gt;AG93,"X","")</f>
        <v/>
      </c>
    </row>
    <row r="207" spans="1:34" ht="18.75" x14ac:dyDescent="0.25">
      <c r="A207" s="214" t="s">
        <v>72</v>
      </c>
      <c r="B207" s="205"/>
      <c r="C207" s="205"/>
      <c r="D207" s="205"/>
      <c r="E207" s="205"/>
      <c r="F207" s="205"/>
      <c r="G207" s="205"/>
      <c r="H207" s="205"/>
      <c r="I207" s="205"/>
      <c r="J207" s="205"/>
      <c r="K207" s="205"/>
      <c r="L207" s="205"/>
      <c r="M207" s="205"/>
      <c r="N207" s="206"/>
      <c r="O207" s="206"/>
      <c r="P207" s="206"/>
      <c r="Q207" s="206"/>
      <c r="R207" s="206"/>
      <c r="S207" s="206"/>
      <c r="T207" s="206"/>
      <c r="U207" s="206"/>
      <c r="V207" s="206"/>
      <c r="W207" s="206"/>
      <c r="X207" s="206"/>
      <c r="Y207" s="206"/>
      <c r="Z207" s="206"/>
      <c r="AA207" s="206"/>
      <c r="AB207" s="206"/>
      <c r="AC207" s="206"/>
      <c r="AD207" s="206"/>
      <c r="AE207" s="206"/>
      <c r="AF207" s="207"/>
      <c r="AG207" s="208">
        <f t="shared" si="28"/>
        <v>0</v>
      </c>
    </row>
    <row r="208" spans="1:34" ht="18.75" x14ac:dyDescent="0.25">
      <c r="A208" s="52" t="s">
        <v>73</v>
      </c>
      <c r="B208" s="148">
        <v>1</v>
      </c>
      <c r="C208" s="148">
        <v>1</v>
      </c>
      <c r="D208" s="148"/>
      <c r="E208" s="148">
        <v>2</v>
      </c>
      <c r="F208" s="148"/>
      <c r="G208" s="148"/>
      <c r="H208" s="148"/>
      <c r="I208" s="148">
        <v>1</v>
      </c>
      <c r="J208" s="148"/>
      <c r="K208" s="148"/>
      <c r="L208" s="148"/>
      <c r="M208" s="148"/>
      <c r="N208" s="33">
        <v>2</v>
      </c>
      <c r="O208" s="33"/>
      <c r="P208" s="33"/>
      <c r="Q208" s="33">
        <v>1</v>
      </c>
      <c r="R208" s="33"/>
      <c r="S208" s="33">
        <v>1</v>
      </c>
      <c r="T208" s="33"/>
      <c r="U208" s="33"/>
      <c r="V208" s="33"/>
      <c r="W208" s="33">
        <v>1</v>
      </c>
      <c r="X208" s="33">
        <v>1</v>
      </c>
      <c r="Y208" s="33"/>
      <c r="Z208" s="33"/>
      <c r="AA208" s="33"/>
      <c r="AB208" s="33"/>
      <c r="AC208" s="33">
        <v>2</v>
      </c>
      <c r="AD208" s="33"/>
      <c r="AE208" s="33"/>
      <c r="AF208" s="88"/>
      <c r="AG208" s="97">
        <f t="shared" si="28"/>
        <v>13</v>
      </c>
    </row>
    <row r="209" spans="1:34" ht="18.75" x14ac:dyDescent="0.25">
      <c r="A209" s="52" t="s">
        <v>74</v>
      </c>
      <c r="B209" s="148">
        <v>13</v>
      </c>
      <c r="C209" s="148">
        <v>14</v>
      </c>
      <c r="D209" s="148">
        <v>9</v>
      </c>
      <c r="E209" s="148">
        <v>14</v>
      </c>
      <c r="F209" s="148">
        <v>6</v>
      </c>
      <c r="G209" s="148">
        <v>5</v>
      </c>
      <c r="H209" s="148">
        <v>6</v>
      </c>
      <c r="I209" s="148">
        <v>16</v>
      </c>
      <c r="J209" s="148">
        <v>15</v>
      </c>
      <c r="K209" s="148">
        <v>1</v>
      </c>
      <c r="L209" s="148">
        <v>4</v>
      </c>
      <c r="M209" s="148">
        <v>4</v>
      </c>
      <c r="N209" s="33">
        <v>4</v>
      </c>
      <c r="O209" s="33">
        <v>10</v>
      </c>
      <c r="P209" s="33">
        <v>4</v>
      </c>
      <c r="Q209" s="33">
        <v>12</v>
      </c>
      <c r="R209" s="33">
        <v>20</v>
      </c>
      <c r="S209" s="33">
        <v>7</v>
      </c>
      <c r="T209" s="33">
        <v>16</v>
      </c>
      <c r="U209" s="33">
        <v>8</v>
      </c>
      <c r="V209" s="33">
        <v>8</v>
      </c>
      <c r="W209" s="33">
        <v>19</v>
      </c>
      <c r="X209" s="33">
        <v>10</v>
      </c>
      <c r="Y209" s="33">
        <v>11</v>
      </c>
      <c r="Z209" s="33">
        <v>2</v>
      </c>
      <c r="AA209" s="33">
        <v>2</v>
      </c>
      <c r="AB209" s="33">
        <v>5</v>
      </c>
      <c r="AC209" s="33">
        <v>5</v>
      </c>
      <c r="AD209" s="33">
        <v>14</v>
      </c>
      <c r="AE209" s="33">
        <v>11</v>
      </c>
      <c r="AF209" s="88">
        <v>5</v>
      </c>
      <c r="AG209" s="97">
        <f t="shared" si="28"/>
        <v>280</v>
      </c>
    </row>
    <row r="210" spans="1:34" ht="18.75" x14ac:dyDescent="0.25">
      <c r="A210" s="52" t="s">
        <v>75</v>
      </c>
      <c r="B210" s="148">
        <v>39</v>
      </c>
      <c r="C210" s="148">
        <v>42</v>
      </c>
      <c r="D210" s="148">
        <v>61</v>
      </c>
      <c r="E210" s="148">
        <v>59</v>
      </c>
      <c r="F210" s="148">
        <v>42</v>
      </c>
      <c r="G210" s="148">
        <v>42</v>
      </c>
      <c r="H210" s="148">
        <v>52</v>
      </c>
      <c r="I210" s="148">
        <v>50</v>
      </c>
      <c r="J210" s="148">
        <v>47</v>
      </c>
      <c r="K210" s="148">
        <v>44</v>
      </c>
      <c r="L210" s="148">
        <v>55</v>
      </c>
      <c r="M210" s="148">
        <v>48</v>
      </c>
      <c r="N210" s="33">
        <v>45</v>
      </c>
      <c r="O210" s="33">
        <v>31</v>
      </c>
      <c r="P210" s="33">
        <v>57</v>
      </c>
      <c r="Q210" s="33">
        <v>56</v>
      </c>
      <c r="R210" s="33">
        <v>58</v>
      </c>
      <c r="S210" s="33">
        <v>35</v>
      </c>
      <c r="T210" s="33">
        <v>58</v>
      </c>
      <c r="U210" s="33">
        <v>60</v>
      </c>
      <c r="V210" s="33">
        <v>50</v>
      </c>
      <c r="W210" s="33">
        <v>40</v>
      </c>
      <c r="X210" s="33">
        <v>71</v>
      </c>
      <c r="Y210" s="33">
        <v>81</v>
      </c>
      <c r="Z210" s="33">
        <v>40</v>
      </c>
      <c r="AA210" s="33">
        <v>36</v>
      </c>
      <c r="AB210" s="33">
        <v>76</v>
      </c>
      <c r="AC210" s="33">
        <v>64</v>
      </c>
      <c r="AD210" s="33">
        <v>38</v>
      </c>
      <c r="AE210" s="33">
        <v>41</v>
      </c>
      <c r="AF210" s="88">
        <v>63</v>
      </c>
      <c r="AG210" s="97">
        <f t="shared" si="28"/>
        <v>1581</v>
      </c>
    </row>
    <row r="211" spans="1:34" ht="19.5" thickBot="1" x14ac:dyDescent="0.3">
      <c r="A211" s="63" t="s">
        <v>76</v>
      </c>
      <c r="B211" s="149">
        <v>29</v>
      </c>
      <c r="C211" s="149">
        <v>21</v>
      </c>
      <c r="D211" s="149">
        <v>42</v>
      </c>
      <c r="E211" s="149">
        <v>58</v>
      </c>
      <c r="F211" s="149">
        <v>50</v>
      </c>
      <c r="G211" s="149">
        <v>46</v>
      </c>
      <c r="H211" s="149">
        <v>45</v>
      </c>
      <c r="I211" s="149">
        <v>11</v>
      </c>
      <c r="J211" s="149">
        <v>22</v>
      </c>
      <c r="K211" s="149">
        <v>60</v>
      </c>
      <c r="L211" s="149">
        <v>44</v>
      </c>
      <c r="M211" s="149">
        <v>65</v>
      </c>
      <c r="N211" s="34">
        <v>52</v>
      </c>
      <c r="O211" s="34">
        <v>60</v>
      </c>
      <c r="P211" s="34">
        <v>15</v>
      </c>
      <c r="Q211" s="34">
        <v>18</v>
      </c>
      <c r="R211" s="34">
        <v>78</v>
      </c>
      <c r="S211" s="34">
        <v>75</v>
      </c>
      <c r="T211" s="34">
        <v>34</v>
      </c>
      <c r="U211" s="34">
        <v>29</v>
      </c>
      <c r="V211" s="34">
        <v>62</v>
      </c>
      <c r="W211" s="34">
        <v>41</v>
      </c>
      <c r="X211" s="34">
        <v>18</v>
      </c>
      <c r="Y211" s="34">
        <v>51</v>
      </c>
      <c r="Z211" s="34">
        <v>50</v>
      </c>
      <c r="AA211" s="34">
        <v>49</v>
      </c>
      <c r="AB211" s="34">
        <v>20</v>
      </c>
      <c r="AC211" s="34">
        <v>32</v>
      </c>
      <c r="AD211" s="34">
        <v>30</v>
      </c>
      <c r="AE211" s="34">
        <v>41</v>
      </c>
      <c r="AF211" s="89">
        <v>35</v>
      </c>
      <c r="AG211" s="35">
        <f t="shared" si="28"/>
        <v>1283</v>
      </c>
    </row>
    <row r="212" spans="1:34" ht="19.5" thickBot="1" x14ac:dyDescent="0.3">
      <c r="A212" s="121" t="s">
        <v>622</v>
      </c>
      <c r="B212" s="404">
        <v>17</v>
      </c>
      <c r="C212" s="404">
        <v>7</v>
      </c>
      <c r="D212" s="404">
        <v>9</v>
      </c>
      <c r="E212" s="404">
        <v>15</v>
      </c>
      <c r="F212" s="404">
        <v>8</v>
      </c>
      <c r="G212" s="404">
        <v>9</v>
      </c>
      <c r="H212" s="404">
        <v>14</v>
      </c>
      <c r="I212" s="404">
        <v>9</v>
      </c>
      <c r="J212" s="404">
        <v>6</v>
      </c>
      <c r="K212" s="404">
        <v>10</v>
      </c>
      <c r="L212" s="404">
        <v>16</v>
      </c>
      <c r="M212" s="404">
        <v>25</v>
      </c>
      <c r="N212" s="122">
        <v>20</v>
      </c>
      <c r="O212" s="122">
        <v>17</v>
      </c>
      <c r="P212" s="122">
        <v>7</v>
      </c>
      <c r="Q212" s="122">
        <v>14</v>
      </c>
      <c r="R212" s="122">
        <v>16</v>
      </c>
      <c r="S212" s="122">
        <v>14</v>
      </c>
      <c r="T212" s="122">
        <v>18</v>
      </c>
      <c r="U212" s="122">
        <v>25</v>
      </c>
      <c r="V212" s="122">
        <v>16</v>
      </c>
      <c r="W212" s="122">
        <v>15</v>
      </c>
      <c r="X212" s="122">
        <v>21</v>
      </c>
      <c r="Y212" s="122">
        <v>34</v>
      </c>
      <c r="Z212" s="122">
        <v>28</v>
      </c>
      <c r="AA212" s="122">
        <v>21</v>
      </c>
      <c r="AB212" s="122">
        <v>20</v>
      </c>
      <c r="AC212" s="122">
        <v>34</v>
      </c>
      <c r="AD212" s="122">
        <v>13</v>
      </c>
      <c r="AE212" s="122">
        <v>21</v>
      </c>
      <c r="AF212" s="123">
        <v>21</v>
      </c>
      <c r="AG212" s="124">
        <f t="shared" ref="AG212:AG215" si="34">SUM(B212:AF212)</f>
        <v>520</v>
      </c>
    </row>
    <row r="213" spans="1:34" ht="18.75" x14ac:dyDescent="0.25">
      <c r="A213" s="414" t="s">
        <v>624</v>
      </c>
      <c r="B213" s="415">
        <v>17</v>
      </c>
      <c r="C213" s="415">
        <v>6</v>
      </c>
      <c r="D213" s="415">
        <v>8</v>
      </c>
      <c r="E213" s="415">
        <v>11</v>
      </c>
      <c r="F213" s="415">
        <v>5</v>
      </c>
      <c r="G213" s="415">
        <v>8</v>
      </c>
      <c r="H213" s="415">
        <v>14</v>
      </c>
      <c r="I213" s="415">
        <v>7</v>
      </c>
      <c r="J213" s="415">
        <v>5</v>
      </c>
      <c r="K213" s="415">
        <v>8</v>
      </c>
      <c r="L213" s="415">
        <v>15</v>
      </c>
      <c r="M213" s="415">
        <v>22</v>
      </c>
      <c r="N213" s="416">
        <v>19</v>
      </c>
      <c r="O213" s="416">
        <v>11</v>
      </c>
      <c r="P213" s="416">
        <v>5</v>
      </c>
      <c r="Q213" s="416">
        <v>10</v>
      </c>
      <c r="R213" s="416">
        <v>12</v>
      </c>
      <c r="S213" s="416">
        <v>12</v>
      </c>
      <c r="T213" s="416">
        <v>13</v>
      </c>
      <c r="U213" s="416">
        <v>16</v>
      </c>
      <c r="V213" s="416">
        <v>13</v>
      </c>
      <c r="W213" s="416">
        <v>13</v>
      </c>
      <c r="X213" s="416">
        <v>12</v>
      </c>
      <c r="Y213" s="416">
        <v>23</v>
      </c>
      <c r="Z213" s="416">
        <v>20</v>
      </c>
      <c r="AA213" s="416">
        <v>13</v>
      </c>
      <c r="AB213" s="416">
        <v>15</v>
      </c>
      <c r="AC213" s="416">
        <v>23</v>
      </c>
      <c r="AD213" s="416">
        <v>8</v>
      </c>
      <c r="AE213" s="416">
        <v>16</v>
      </c>
      <c r="AF213" s="417">
        <v>20</v>
      </c>
      <c r="AG213" s="418">
        <f t="shared" si="34"/>
        <v>400</v>
      </c>
    </row>
    <row r="214" spans="1:34" ht="18.75" x14ac:dyDescent="0.25">
      <c r="A214" s="419" t="s">
        <v>626</v>
      </c>
      <c r="B214" s="420"/>
      <c r="C214" s="420"/>
      <c r="D214" s="420"/>
      <c r="E214" s="420"/>
      <c r="F214" s="420"/>
      <c r="G214" s="420"/>
      <c r="H214" s="420"/>
      <c r="I214" s="420">
        <v>1</v>
      </c>
      <c r="J214" s="420"/>
      <c r="K214" s="420"/>
      <c r="L214" s="420"/>
      <c r="M214" s="420"/>
      <c r="N214" s="421"/>
      <c r="O214" s="421"/>
      <c r="P214" s="421"/>
      <c r="Q214" s="421"/>
      <c r="R214" s="421"/>
      <c r="S214" s="421"/>
      <c r="T214" s="421"/>
      <c r="U214" s="421"/>
      <c r="V214" s="421"/>
      <c r="W214" s="421"/>
      <c r="X214" s="421"/>
      <c r="Y214" s="421"/>
      <c r="Z214" s="421"/>
      <c r="AA214" s="421"/>
      <c r="AB214" s="421"/>
      <c r="AC214" s="421"/>
      <c r="AD214" s="421">
        <v>5</v>
      </c>
      <c r="AE214" s="421"/>
      <c r="AF214" s="422"/>
      <c r="AG214" s="397">
        <f t="shared" si="34"/>
        <v>6</v>
      </c>
    </row>
    <row r="215" spans="1:34" ht="18.75" x14ac:dyDescent="0.25">
      <c r="A215" s="423" t="s">
        <v>627</v>
      </c>
      <c r="B215" s="420"/>
      <c r="C215" s="420"/>
      <c r="D215" s="420"/>
      <c r="E215" s="420"/>
      <c r="F215" s="420"/>
      <c r="G215" s="420"/>
      <c r="H215" s="420"/>
      <c r="I215" s="420"/>
      <c r="J215" s="420"/>
      <c r="K215" s="420"/>
      <c r="L215" s="420"/>
      <c r="M215" s="420"/>
      <c r="N215" s="421"/>
      <c r="O215" s="421"/>
      <c r="P215" s="421"/>
      <c r="Q215" s="421"/>
      <c r="R215" s="421"/>
      <c r="S215" s="421"/>
      <c r="T215" s="421"/>
      <c r="U215" s="421"/>
      <c r="V215" s="421"/>
      <c r="W215" s="421"/>
      <c r="X215" s="421"/>
      <c r="Y215" s="421"/>
      <c r="Z215" s="421"/>
      <c r="AA215" s="421"/>
      <c r="AB215" s="421"/>
      <c r="AC215" s="421"/>
      <c r="AD215" s="421"/>
      <c r="AE215" s="421"/>
      <c r="AF215" s="422"/>
      <c r="AG215" s="397">
        <f t="shared" si="34"/>
        <v>0</v>
      </c>
    </row>
    <row r="216" spans="1:34" ht="19.5" thickBot="1" x14ac:dyDescent="0.3">
      <c r="A216" s="424" t="s">
        <v>623</v>
      </c>
      <c r="B216" s="412"/>
      <c r="C216" s="412">
        <v>1</v>
      </c>
      <c r="D216" s="412">
        <v>1</v>
      </c>
      <c r="E216" s="412">
        <v>4</v>
      </c>
      <c r="F216" s="412">
        <v>3</v>
      </c>
      <c r="G216" s="412">
        <v>1</v>
      </c>
      <c r="H216" s="412"/>
      <c r="I216" s="412">
        <v>1</v>
      </c>
      <c r="J216" s="412">
        <v>1</v>
      </c>
      <c r="K216" s="412">
        <v>2</v>
      </c>
      <c r="L216" s="412">
        <v>1</v>
      </c>
      <c r="M216" s="412">
        <v>3</v>
      </c>
      <c r="N216" s="425">
        <v>1</v>
      </c>
      <c r="O216" s="425">
        <v>6</v>
      </c>
      <c r="P216" s="425">
        <v>2</v>
      </c>
      <c r="Q216" s="425">
        <v>4</v>
      </c>
      <c r="R216" s="425">
        <v>4</v>
      </c>
      <c r="S216" s="425">
        <v>2</v>
      </c>
      <c r="T216" s="425">
        <v>5</v>
      </c>
      <c r="U216" s="425">
        <v>9</v>
      </c>
      <c r="V216" s="425">
        <v>3</v>
      </c>
      <c r="W216" s="425">
        <v>2</v>
      </c>
      <c r="X216" s="425">
        <v>9</v>
      </c>
      <c r="Y216" s="425">
        <v>11</v>
      </c>
      <c r="Z216" s="425">
        <v>8</v>
      </c>
      <c r="AA216" s="425">
        <v>8</v>
      </c>
      <c r="AB216" s="425">
        <v>5</v>
      </c>
      <c r="AC216" s="425">
        <v>11</v>
      </c>
      <c r="AD216" s="425"/>
      <c r="AE216" s="425">
        <v>5</v>
      </c>
      <c r="AF216" s="426">
        <v>1</v>
      </c>
      <c r="AG216" s="397">
        <f>SUM(B216:AF216)</f>
        <v>114</v>
      </c>
    </row>
    <row r="217" spans="1:34" ht="18.75" x14ac:dyDescent="0.25">
      <c r="A217" s="69" t="s">
        <v>628</v>
      </c>
      <c r="B217" s="407">
        <v>14</v>
      </c>
      <c r="C217" s="407">
        <v>7</v>
      </c>
      <c r="D217" s="407">
        <v>9</v>
      </c>
      <c r="E217" s="407">
        <v>15</v>
      </c>
      <c r="F217" s="407">
        <v>8</v>
      </c>
      <c r="G217" s="407">
        <v>9</v>
      </c>
      <c r="H217" s="407">
        <v>13</v>
      </c>
      <c r="I217" s="407">
        <v>8</v>
      </c>
      <c r="J217" s="407">
        <v>6</v>
      </c>
      <c r="K217" s="407">
        <v>10</v>
      </c>
      <c r="L217" s="407">
        <v>16</v>
      </c>
      <c r="M217" s="407">
        <v>25</v>
      </c>
      <c r="N217" s="56">
        <v>20</v>
      </c>
      <c r="O217" s="56">
        <v>17</v>
      </c>
      <c r="P217" s="56">
        <v>7</v>
      </c>
      <c r="Q217" s="56">
        <v>14</v>
      </c>
      <c r="R217" s="56">
        <v>15</v>
      </c>
      <c r="S217" s="56">
        <v>14</v>
      </c>
      <c r="T217" s="56">
        <v>17</v>
      </c>
      <c r="U217" s="56">
        <v>25</v>
      </c>
      <c r="V217" s="56">
        <v>16</v>
      </c>
      <c r="W217" s="56">
        <v>14</v>
      </c>
      <c r="X217" s="56">
        <v>21</v>
      </c>
      <c r="Y217" s="56">
        <v>34</v>
      </c>
      <c r="Z217" s="56">
        <v>28</v>
      </c>
      <c r="AA217" s="56">
        <v>21</v>
      </c>
      <c r="AB217" s="56">
        <v>20</v>
      </c>
      <c r="AC217" s="56">
        <v>34</v>
      </c>
      <c r="AD217" s="56">
        <v>13</v>
      </c>
      <c r="AE217" s="56">
        <v>21</v>
      </c>
      <c r="AF217" s="85">
        <v>21</v>
      </c>
      <c r="AG217" s="95">
        <f>SUM(B217:AF217)</f>
        <v>512</v>
      </c>
    </row>
    <row r="218" spans="1:34" ht="19.5" thickBot="1" x14ac:dyDescent="0.3">
      <c r="A218" s="424" t="s">
        <v>629</v>
      </c>
      <c r="B218" s="412">
        <f>+B212-B217</f>
        <v>3</v>
      </c>
      <c r="C218" s="412">
        <f t="shared" ref="C218:AF218" si="35">+C212-C217</f>
        <v>0</v>
      </c>
      <c r="D218" s="412">
        <f t="shared" si="35"/>
        <v>0</v>
      </c>
      <c r="E218" s="412">
        <f t="shared" si="35"/>
        <v>0</v>
      </c>
      <c r="F218" s="412">
        <f t="shared" si="35"/>
        <v>0</v>
      </c>
      <c r="G218" s="412">
        <f t="shared" si="35"/>
        <v>0</v>
      </c>
      <c r="H218" s="412">
        <f t="shared" si="35"/>
        <v>1</v>
      </c>
      <c r="I218" s="412">
        <f t="shared" si="35"/>
        <v>1</v>
      </c>
      <c r="J218" s="412">
        <f t="shared" si="35"/>
        <v>0</v>
      </c>
      <c r="K218" s="412">
        <f t="shared" si="35"/>
        <v>0</v>
      </c>
      <c r="L218" s="412">
        <f t="shared" si="35"/>
        <v>0</v>
      </c>
      <c r="M218" s="412">
        <f t="shared" si="35"/>
        <v>0</v>
      </c>
      <c r="N218" s="425">
        <f t="shared" si="35"/>
        <v>0</v>
      </c>
      <c r="O218" s="425">
        <f t="shared" si="35"/>
        <v>0</v>
      </c>
      <c r="P218" s="425">
        <f t="shared" si="35"/>
        <v>0</v>
      </c>
      <c r="Q218" s="425">
        <f t="shared" si="35"/>
        <v>0</v>
      </c>
      <c r="R218" s="425">
        <f t="shared" si="35"/>
        <v>1</v>
      </c>
      <c r="S218" s="425">
        <f t="shared" si="35"/>
        <v>0</v>
      </c>
      <c r="T218" s="425">
        <f t="shared" si="35"/>
        <v>1</v>
      </c>
      <c r="U218" s="425">
        <f t="shared" si="35"/>
        <v>0</v>
      </c>
      <c r="V218" s="425">
        <f t="shared" si="35"/>
        <v>0</v>
      </c>
      <c r="W218" s="425">
        <f t="shared" si="35"/>
        <v>1</v>
      </c>
      <c r="X218" s="425">
        <f t="shared" si="35"/>
        <v>0</v>
      </c>
      <c r="Y218" s="425">
        <f t="shared" si="35"/>
        <v>0</v>
      </c>
      <c r="Z218" s="425">
        <f t="shared" si="35"/>
        <v>0</v>
      </c>
      <c r="AA218" s="425">
        <f t="shared" si="35"/>
        <v>0</v>
      </c>
      <c r="AB218" s="425">
        <f t="shared" si="35"/>
        <v>0</v>
      </c>
      <c r="AC218" s="425">
        <f t="shared" si="35"/>
        <v>0</v>
      </c>
      <c r="AD218" s="425">
        <f t="shared" si="35"/>
        <v>0</v>
      </c>
      <c r="AE218" s="425">
        <f t="shared" si="35"/>
        <v>0</v>
      </c>
      <c r="AF218" s="428">
        <f t="shared" si="35"/>
        <v>0</v>
      </c>
      <c r="AG218" s="413">
        <f>SUM(B218:AF218)</f>
        <v>8</v>
      </c>
    </row>
    <row r="219" spans="1:34" ht="19.5" thickBot="1" x14ac:dyDescent="0.3">
      <c r="A219" s="60" t="s">
        <v>64</v>
      </c>
      <c r="B219" s="61"/>
      <c r="C219" s="61"/>
      <c r="D219" s="61"/>
      <c r="E219" s="61"/>
      <c r="F219" s="61"/>
      <c r="G219" s="61"/>
      <c r="H219" s="61"/>
      <c r="I219" s="61"/>
      <c r="J219" s="61"/>
      <c r="K219" s="61"/>
      <c r="L219" s="61"/>
      <c r="M219" s="61"/>
      <c r="N219" s="61"/>
      <c r="O219" s="61"/>
      <c r="P219" s="61"/>
      <c r="Q219" s="61"/>
      <c r="R219" s="61"/>
      <c r="S219" s="61"/>
      <c r="T219" s="61"/>
      <c r="U219" s="61"/>
      <c r="V219" s="61"/>
      <c r="W219" s="61"/>
      <c r="X219" s="61"/>
      <c r="Y219" s="61"/>
      <c r="Z219" s="61"/>
      <c r="AA219" s="61"/>
      <c r="AB219" s="61"/>
      <c r="AC219" s="61"/>
      <c r="AD219" s="61"/>
      <c r="AE219" s="61"/>
      <c r="AF219" s="90"/>
      <c r="AG219" s="98"/>
    </row>
    <row r="220" spans="1:34" ht="18.75" x14ac:dyDescent="0.25">
      <c r="A220" s="43" t="s">
        <v>77</v>
      </c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  <c r="AC220" s="19"/>
      <c r="AD220" s="19"/>
      <c r="AE220" s="19"/>
      <c r="AF220" s="25"/>
      <c r="AG220" s="99">
        <f t="shared" si="28"/>
        <v>0</v>
      </c>
      <c r="AH220" s="437" t="s">
        <v>85</v>
      </c>
    </row>
    <row r="221" spans="1:34" ht="18.75" x14ac:dyDescent="0.25">
      <c r="A221" s="53" t="s">
        <v>110</v>
      </c>
      <c r="B221" s="39"/>
      <c r="C221" s="39"/>
      <c r="D221" s="39"/>
      <c r="E221" s="39"/>
      <c r="F221" s="39"/>
      <c r="G221" s="39"/>
      <c r="H221" s="39"/>
      <c r="I221" s="39"/>
      <c r="J221" s="39"/>
      <c r="K221" s="39"/>
      <c r="L221" s="39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  <c r="Y221" s="39"/>
      <c r="Z221" s="39"/>
      <c r="AA221" s="39"/>
      <c r="AB221" s="39"/>
      <c r="AC221" s="39"/>
      <c r="AD221" s="39"/>
      <c r="AE221" s="39"/>
      <c r="AF221" s="91"/>
      <c r="AG221" s="100">
        <f t="shared" si="28"/>
        <v>0</v>
      </c>
      <c r="AH221" s="438"/>
    </row>
    <row r="222" spans="1:34" ht="18.75" x14ac:dyDescent="0.25">
      <c r="A222" s="53" t="s">
        <v>111</v>
      </c>
      <c r="B222" s="39"/>
      <c r="C222" s="39"/>
      <c r="D222" s="39"/>
      <c r="E222" s="39"/>
      <c r="F222" s="39"/>
      <c r="G222" s="39"/>
      <c r="H222" s="39"/>
      <c r="I222" s="39"/>
      <c r="J222" s="39"/>
      <c r="K222" s="39"/>
      <c r="L222" s="39"/>
      <c r="M222" s="39"/>
      <c r="N222" s="39"/>
      <c r="O222" s="39"/>
      <c r="P222" s="39"/>
      <c r="Q222" s="39"/>
      <c r="R222" s="39"/>
      <c r="S222" s="39"/>
      <c r="T222" s="39"/>
      <c r="U222" s="39"/>
      <c r="V222" s="39"/>
      <c r="W222" s="39"/>
      <c r="X222" s="39"/>
      <c r="Y222" s="39"/>
      <c r="Z222" s="39"/>
      <c r="AA222" s="39"/>
      <c r="AB222" s="39"/>
      <c r="AC222" s="39"/>
      <c r="AD222" s="39"/>
      <c r="AE222" s="39"/>
      <c r="AF222" s="91"/>
      <c r="AG222" s="100">
        <f t="shared" si="28"/>
        <v>0</v>
      </c>
      <c r="AH222" s="438"/>
    </row>
    <row r="223" spans="1:34" ht="18.75" x14ac:dyDescent="0.25">
      <c r="A223" s="53" t="s">
        <v>112</v>
      </c>
      <c r="B223" s="39"/>
      <c r="C223" s="39"/>
      <c r="D223" s="39"/>
      <c r="E223" s="39"/>
      <c r="F223" s="39"/>
      <c r="G223" s="39"/>
      <c r="H223" s="39"/>
      <c r="I223" s="39"/>
      <c r="J223" s="39"/>
      <c r="K223" s="39"/>
      <c r="L223" s="39"/>
      <c r="M223" s="39"/>
      <c r="N223" s="39"/>
      <c r="O223" s="39"/>
      <c r="P223" s="39"/>
      <c r="Q223" s="39"/>
      <c r="R223" s="39"/>
      <c r="S223" s="39"/>
      <c r="T223" s="39"/>
      <c r="U223" s="39"/>
      <c r="V223" s="39"/>
      <c r="W223" s="39"/>
      <c r="X223" s="39"/>
      <c r="Y223" s="39"/>
      <c r="Z223" s="39"/>
      <c r="AA223" s="39"/>
      <c r="AB223" s="39"/>
      <c r="AC223" s="39"/>
      <c r="AD223" s="39"/>
      <c r="AE223" s="39"/>
      <c r="AF223" s="91"/>
      <c r="AG223" s="100">
        <f t="shared" si="28"/>
        <v>0</v>
      </c>
      <c r="AH223" s="438"/>
    </row>
    <row r="224" spans="1:34" ht="18.75" x14ac:dyDescent="0.25">
      <c r="A224" s="53" t="s">
        <v>113</v>
      </c>
      <c r="B224" s="39"/>
      <c r="C224" s="39"/>
      <c r="D224" s="39"/>
      <c r="E224" s="39"/>
      <c r="F224" s="39"/>
      <c r="G224" s="39"/>
      <c r="H224" s="39"/>
      <c r="I224" s="39"/>
      <c r="J224" s="39"/>
      <c r="K224" s="39"/>
      <c r="L224" s="39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  <c r="Y224" s="39"/>
      <c r="Z224" s="39"/>
      <c r="AA224" s="39"/>
      <c r="AB224" s="39"/>
      <c r="AC224" s="39"/>
      <c r="AD224" s="39"/>
      <c r="AE224" s="39"/>
      <c r="AF224" s="91"/>
      <c r="AG224" s="100">
        <f t="shared" si="28"/>
        <v>0</v>
      </c>
      <c r="AH224" s="438"/>
    </row>
    <row r="225" spans="1:34" ht="18.75" x14ac:dyDescent="0.25">
      <c r="A225" s="53" t="s">
        <v>114</v>
      </c>
      <c r="B225" s="39"/>
      <c r="C225" s="39"/>
      <c r="D225" s="39"/>
      <c r="E225" s="39"/>
      <c r="F225" s="39"/>
      <c r="G225" s="39"/>
      <c r="H225" s="39"/>
      <c r="I225" s="39"/>
      <c r="J225" s="39"/>
      <c r="K225" s="39"/>
      <c r="L225" s="39"/>
      <c r="M225" s="39"/>
      <c r="N225" s="39"/>
      <c r="O225" s="39"/>
      <c r="P225" s="39"/>
      <c r="Q225" s="39"/>
      <c r="R225" s="39"/>
      <c r="S225" s="39"/>
      <c r="T225" s="39"/>
      <c r="U225" s="39"/>
      <c r="V225" s="39"/>
      <c r="W225" s="39"/>
      <c r="X225" s="39"/>
      <c r="Y225" s="39"/>
      <c r="Z225" s="39"/>
      <c r="AA225" s="39"/>
      <c r="AB225" s="39"/>
      <c r="AC225" s="39"/>
      <c r="AD225" s="39"/>
      <c r="AE225" s="39"/>
      <c r="AF225" s="91"/>
      <c r="AG225" s="100">
        <f t="shared" ref="AG225:AG227" si="36">SUM(B225:AF225)</f>
        <v>0</v>
      </c>
      <c r="AH225" s="438"/>
    </row>
    <row r="226" spans="1:34" ht="18.75" x14ac:dyDescent="0.25">
      <c r="A226" s="53" t="s">
        <v>115</v>
      </c>
      <c r="B226" s="39"/>
      <c r="C226" s="39"/>
      <c r="D226" s="39"/>
      <c r="E226" s="39"/>
      <c r="F226" s="39"/>
      <c r="G226" s="39"/>
      <c r="H226" s="39"/>
      <c r="I226" s="39"/>
      <c r="J226" s="39"/>
      <c r="K226" s="39"/>
      <c r="L226" s="39"/>
      <c r="M226" s="39"/>
      <c r="N226" s="39"/>
      <c r="O226" s="39"/>
      <c r="P226" s="39"/>
      <c r="Q226" s="39"/>
      <c r="R226" s="39"/>
      <c r="S226" s="39"/>
      <c r="T226" s="39"/>
      <c r="U226" s="39"/>
      <c r="V226" s="39"/>
      <c r="W226" s="39"/>
      <c r="X226" s="39"/>
      <c r="Y226" s="39"/>
      <c r="Z226" s="39"/>
      <c r="AA226" s="39"/>
      <c r="AB226" s="39"/>
      <c r="AC226" s="39"/>
      <c r="AD226" s="39"/>
      <c r="AE226" s="39"/>
      <c r="AF226" s="91"/>
      <c r="AG226" s="100">
        <f t="shared" si="36"/>
        <v>0</v>
      </c>
      <c r="AH226" s="438"/>
    </row>
    <row r="227" spans="1:34" ht="18.75" x14ac:dyDescent="0.25">
      <c r="A227" s="53" t="s">
        <v>116</v>
      </c>
      <c r="B227" s="39"/>
      <c r="C227" s="39"/>
      <c r="D227" s="39"/>
      <c r="E227" s="39"/>
      <c r="F227" s="39"/>
      <c r="G227" s="39"/>
      <c r="H227" s="39"/>
      <c r="I227" s="39"/>
      <c r="J227" s="39"/>
      <c r="K227" s="39"/>
      <c r="L227" s="39"/>
      <c r="M227" s="39"/>
      <c r="N227" s="39"/>
      <c r="O227" s="39"/>
      <c r="P227" s="39"/>
      <c r="Q227" s="39"/>
      <c r="R227" s="39"/>
      <c r="S227" s="39"/>
      <c r="T227" s="39"/>
      <c r="U227" s="39"/>
      <c r="V227" s="39"/>
      <c r="W227" s="39"/>
      <c r="X227" s="39"/>
      <c r="Y227" s="39"/>
      <c r="Z227" s="39"/>
      <c r="AA227" s="39"/>
      <c r="AB227" s="39"/>
      <c r="AC227" s="39"/>
      <c r="AD227" s="39"/>
      <c r="AE227" s="39"/>
      <c r="AF227" s="91"/>
      <c r="AG227" s="100">
        <f t="shared" si="36"/>
        <v>0</v>
      </c>
      <c r="AH227" s="438"/>
    </row>
    <row r="228" spans="1:34" ht="18.75" x14ac:dyDescent="0.25">
      <c r="A228" s="53" t="s">
        <v>117</v>
      </c>
      <c r="B228" s="39"/>
      <c r="C228" s="39"/>
      <c r="D228" s="39"/>
      <c r="E228" s="39"/>
      <c r="F228" s="39"/>
      <c r="G228" s="39"/>
      <c r="H228" s="39"/>
      <c r="I228" s="39"/>
      <c r="J228" s="39"/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39"/>
      <c r="AA228" s="39"/>
      <c r="AB228" s="39"/>
      <c r="AC228" s="39"/>
      <c r="AD228" s="39"/>
      <c r="AE228" s="39"/>
      <c r="AF228" s="91"/>
      <c r="AG228" s="100">
        <f t="shared" si="28"/>
        <v>0</v>
      </c>
      <c r="AH228" s="438"/>
    </row>
    <row r="229" spans="1:34" ht="18.75" x14ac:dyDescent="0.25">
      <c r="A229" s="43" t="s">
        <v>150</v>
      </c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  <c r="AB229" s="19"/>
      <c r="AC229" s="19"/>
      <c r="AD229" s="19"/>
      <c r="AE229" s="19"/>
      <c r="AF229" s="25"/>
      <c r="AG229" s="99">
        <f t="shared" si="28"/>
        <v>0</v>
      </c>
      <c r="AH229" s="438"/>
    </row>
    <row r="230" spans="1:34" ht="18.75" x14ac:dyDescent="0.25">
      <c r="A230" s="43" t="s">
        <v>78</v>
      </c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  <c r="AC230" s="19"/>
      <c r="AD230" s="19"/>
      <c r="AE230" s="19"/>
      <c r="AF230" s="25"/>
      <c r="AG230" s="99">
        <f t="shared" si="28"/>
        <v>0</v>
      </c>
      <c r="AH230" s="438"/>
    </row>
    <row r="231" spans="1:34" ht="19.5" thickBot="1" x14ac:dyDescent="0.3">
      <c r="A231" s="43" t="s">
        <v>79</v>
      </c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19"/>
      <c r="AD231" s="19"/>
      <c r="AE231" s="19"/>
      <c r="AF231" s="25"/>
      <c r="AG231" s="99">
        <f t="shared" si="28"/>
        <v>0</v>
      </c>
      <c r="AH231" s="439"/>
    </row>
    <row r="232" spans="1:34" ht="24" thickBot="1" x14ac:dyDescent="0.3">
      <c r="A232" s="62" t="s">
        <v>118</v>
      </c>
      <c r="B232" s="20">
        <f>+B231+B230+B220+B229</f>
        <v>0</v>
      </c>
      <c r="C232" s="20">
        <f t="shared" ref="C232:AF232" si="37">+C231+C230+C220+C229</f>
        <v>0</v>
      </c>
      <c r="D232" s="20">
        <f t="shared" si="37"/>
        <v>0</v>
      </c>
      <c r="E232" s="20">
        <f t="shared" si="37"/>
        <v>0</v>
      </c>
      <c r="F232" s="20">
        <f t="shared" si="37"/>
        <v>0</v>
      </c>
      <c r="G232" s="20">
        <f t="shared" si="37"/>
        <v>0</v>
      </c>
      <c r="H232" s="20">
        <f t="shared" si="37"/>
        <v>0</v>
      </c>
      <c r="I232" s="20">
        <f t="shared" si="37"/>
        <v>0</v>
      </c>
      <c r="J232" s="20">
        <f t="shared" si="37"/>
        <v>0</v>
      </c>
      <c r="K232" s="20">
        <f t="shared" si="37"/>
        <v>0</v>
      </c>
      <c r="L232" s="20">
        <f t="shared" si="37"/>
        <v>0</v>
      </c>
      <c r="M232" s="20">
        <f t="shared" si="37"/>
        <v>0</v>
      </c>
      <c r="N232" s="20">
        <f t="shared" si="37"/>
        <v>0</v>
      </c>
      <c r="O232" s="20">
        <f t="shared" si="37"/>
        <v>0</v>
      </c>
      <c r="P232" s="20">
        <f t="shared" si="37"/>
        <v>0</v>
      </c>
      <c r="Q232" s="20">
        <f t="shared" si="37"/>
        <v>0</v>
      </c>
      <c r="R232" s="20">
        <f t="shared" si="37"/>
        <v>0</v>
      </c>
      <c r="S232" s="20">
        <f t="shared" si="37"/>
        <v>0</v>
      </c>
      <c r="T232" s="20">
        <f t="shared" si="37"/>
        <v>0</v>
      </c>
      <c r="U232" s="20">
        <f t="shared" si="37"/>
        <v>0</v>
      </c>
      <c r="V232" s="20">
        <f t="shared" si="37"/>
        <v>0</v>
      </c>
      <c r="W232" s="20">
        <f t="shared" si="37"/>
        <v>0</v>
      </c>
      <c r="X232" s="20">
        <f t="shared" si="37"/>
        <v>0</v>
      </c>
      <c r="Y232" s="20">
        <f t="shared" si="37"/>
        <v>0</v>
      </c>
      <c r="Z232" s="20">
        <f t="shared" si="37"/>
        <v>0</v>
      </c>
      <c r="AA232" s="20">
        <f t="shared" si="37"/>
        <v>0</v>
      </c>
      <c r="AB232" s="20">
        <f t="shared" si="37"/>
        <v>0</v>
      </c>
      <c r="AC232" s="20">
        <f t="shared" si="37"/>
        <v>0</v>
      </c>
      <c r="AD232" s="20">
        <f t="shared" si="37"/>
        <v>0</v>
      </c>
      <c r="AE232" s="20">
        <f t="shared" si="37"/>
        <v>0</v>
      </c>
      <c r="AF232" s="26">
        <f t="shared" si="37"/>
        <v>0</v>
      </c>
      <c r="AG232" s="99">
        <f t="shared" si="28"/>
        <v>0</v>
      </c>
      <c r="AH232" s="36"/>
    </row>
    <row r="233" spans="1:34" ht="18.75" x14ac:dyDescent="0.25">
      <c r="A233" s="57" t="s">
        <v>90</v>
      </c>
      <c r="B233" s="27"/>
      <c r="C233" s="27"/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  <c r="AA233" s="27"/>
      <c r="AB233" s="27"/>
      <c r="AC233" s="27"/>
      <c r="AD233" s="27"/>
      <c r="AE233" s="27"/>
      <c r="AF233" s="92"/>
      <c r="AG233" s="31">
        <f t="shared" ref="AG233:AG246" si="38">SUM(B233:AF233)</f>
        <v>0</v>
      </c>
      <c r="AH233" s="440" t="s">
        <v>96</v>
      </c>
    </row>
    <row r="234" spans="1:34" ht="18.75" x14ac:dyDescent="0.25">
      <c r="A234" s="54" t="s">
        <v>91</v>
      </c>
      <c r="B234" s="40"/>
      <c r="C234" s="40"/>
      <c r="D234" s="40"/>
      <c r="E234" s="40"/>
      <c r="F234" s="40"/>
      <c r="G234" s="40"/>
      <c r="H234" s="40"/>
      <c r="I234" s="40"/>
      <c r="J234" s="40"/>
      <c r="K234" s="40"/>
      <c r="L234" s="40"/>
      <c r="M234" s="40"/>
      <c r="N234" s="40"/>
      <c r="O234" s="40"/>
      <c r="P234" s="40"/>
      <c r="Q234" s="40"/>
      <c r="R234" s="40"/>
      <c r="S234" s="40"/>
      <c r="T234" s="40"/>
      <c r="U234" s="40"/>
      <c r="V234" s="40"/>
      <c r="W234" s="40"/>
      <c r="X234" s="40"/>
      <c r="Y234" s="40"/>
      <c r="Z234" s="40"/>
      <c r="AA234" s="40"/>
      <c r="AB234" s="40"/>
      <c r="AC234" s="40"/>
      <c r="AD234" s="40"/>
      <c r="AE234" s="40"/>
      <c r="AF234" s="93"/>
      <c r="AG234" s="99">
        <f t="shared" si="38"/>
        <v>0</v>
      </c>
      <c r="AH234" s="441"/>
    </row>
    <row r="235" spans="1:34" ht="19.5" thickBot="1" x14ac:dyDescent="0.3">
      <c r="A235" s="58" t="s">
        <v>97</v>
      </c>
      <c r="B235" s="59"/>
      <c r="C235" s="59"/>
      <c r="D235" s="59"/>
      <c r="E235" s="59"/>
      <c r="F235" s="59"/>
      <c r="G235" s="59"/>
      <c r="H235" s="59"/>
      <c r="I235" s="59"/>
      <c r="J235" s="59"/>
      <c r="K235" s="59"/>
      <c r="L235" s="59"/>
      <c r="M235" s="59"/>
      <c r="N235" s="59"/>
      <c r="O235" s="59"/>
      <c r="P235" s="59"/>
      <c r="Q235" s="59"/>
      <c r="R235" s="59"/>
      <c r="S235" s="59"/>
      <c r="T235" s="59"/>
      <c r="U235" s="59"/>
      <c r="V235" s="59"/>
      <c r="W235" s="59"/>
      <c r="X235" s="59"/>
      <c r="Y235" s="59"/>
      <c r="Z235" s="59"/>
      <c r="AA235" s="59"/>
      <c r="AB235" s="59"/>
      <c r="AC235" s="59"/>
      <c r="AD235" s="59"/>
      <c r="AE235" s="59"/>
      <c r="AF235" s="94"/>
      <c r="AG235" s="28">
        <f t="shared" si="38"/>
        <v>0</v>
      </c>
      <c r="AH235" s="442"/>
    </row>
    <row r="236" spans="1:34" ht="18.75" x14ac:dyDescent="0.25">
      <c r="A236" s="55" t="s">
        <v>92</v>
      </c>
      <c r="B236" s="118">
        <f>SUM(B237:B239)</f>
        <v>0</v>
      </c>
      <c r="C236" s="118">
        <f t="shared" ref="C236:AF236" si="39">SUM(C237:C239)</f>
        <v>0</v>
      </c>
      <c r="D236" s="118">
        <f t="shared" si="39"/>
        <v>0</v>
      </c>
      <c r="E236" s="118">
        <f t="shared" si="39"/>
        <v>0</v>
      </c>
      <c r="F236" s="118">
        <f t="shared" si="39"/>
        <v>0</v>
      </c>
      <c r="G236" s="118">
        <f t="shared" si="39"/>
        <v>0</v>
      </c>
      <c r="H236" s="118">
        <f t="shared" si="39"/>
        <v>0</v>
      </c>
      <c r="I236" s="118">
        <f t="shared" si="39"/>
        <v>0</v>
      </c>
      <c r="J236" s="118">
        <f t="shared" si="39"/>
        <v>0</v>
      </c>
      <c r="K236" s="118">
        <f t="shared" si="39"/>
        <v>0</v>
      </c>
      <c r="L236" s="118">
        <f t="shared" si="39"/>
        <v>0</v>
      </c>
      <c r="M236" s="118">
        <f t="shared" si="39"/>
        <v>0</v>
      </c>
      <c r="N236" s="118">
        <f t="shared" si="39"/>
        <v>0</v>
      </c>
      <c r="O236" s="118">
        <f t="shared" si="39"/>
        <v>0</v>
      </c>
      <c r="P236" s="118">
        <f t="shared" si="39"/>
        <v>0</v>
      </c>
      <c r="Q236" s="118">
        <f t="shared" si="39"/>
        <v>0</v>
      </c>
      <c r="R236" s="118">
        <f t="shared" si="39"/>
        <v>0</v>
      </c>
      <c r="S236" s="118">
        <f t="shared" si="39"/>
        <v>0</v>
      </c>
      <c r="T236" s="118">
        <f t="shared" si="39"/>
        <v>0</v>
      </c>
      <c r="U236" s="118">
        <f t="shared" si="39"/>
        <v>0</v>
      </c>
      <c r="V236" s="118">
        <f t="shared" si="39"/>
        <v>0</v>
      </c>
      <c r="W236" s="118">
        <f t="shared" si="39"/>
        <v>0</v>
      </c>
      <c r="X236" s="118">
        <f t="shared" si="39"/>
        <v>0</v>
      </c>
      <c r="Y236" s="118">
        <f t="shared" si="39"/>
        <v>0</v>
      </c>
      <c r="Z236" s="118">
        <f t="shared" si="39"/>
        <v>0</v>
      </c>
      <c r="AA236" s="118">
        <f t="shared" si="39"/>
        <v>0</v>
      </c>
      <c r="AB236" s="118">
        <f t="shared" si="39"/>
        <v>0</v>
      </c>
      <c r="AC236" s="118">
        <f t="shared" si="39"/>
        <v>0</v>
      </c>
      <c r="AD236" s="118">
        <f t="shared" si="39"/>
        <v>0</v>
      </c>
      <c r="AE236" s="118">
        <f t="shared" si="39"/>
        <v>0</v>
      </c>
      <c r="AF236" s="118">
        <f t="shared" si="39"/>
        <v>0</v>
      </c>
      <c r="AG236" s="95">
        <f t="shared" si="38"/>
        <v>0</v>
      </c>
      <c r="AH236" s="440" t="s">
        <v>93</v>
      </c>
    </row>
    <row r="237" spans="1:34" ht="18.75" x14ac:dyDescent="0.25">
      <c r="A237" s="139" t="s">
        <v>94</v>
      </c>
      <c r="B237" s="140"/>
      <c r="C237" s="140"/>
      <c r="D237" s="140"/>
      <c r="E237" s="140"/>
      <c r="F237" s="140"/>
      <c r="G237" s="140"/>
      <c r="H237" s="140"/>
      <c r="I237" s="140"/>
      <c r="J237" s="140"/>
      <c r="K237" s="140"/>
      <c r="L237" s="140"/>
      <c r="M237" s="140"/>
      <c r="N237" s="145"/>
      <c r="O237" s="140"/>
      <c r="P237" s="140"/>
      <c r="Q237" s="140"/>
      <c r="R237" s="140"/>
      <c r="S237" s="140"/>
      <c r="T237" s="140"/>
      <c r="U237" s="140"/>
      <c r="V237" s="140"/>
      <c r="W237" s="140"/>
      <c r="X237" s="140"/>
      <c r="Y237" s="140"/>
      <c r="Z237" s="142"/>
      <c r="AA237" s="140"/>
      <c r="AB237" s="140"/>
      <c r="AC237" s="140"/>
      <c r="AD237" s="140"/>
      <c r="AE237" s="140"/>
      <c r="AF237" s="144"/>
      <c r="AG237" s="143">
        <f t="shared" si="38"/>
        <v>0</v>
      </c>
      <c r="AH237" s="441"/>
    </row>
    <row r="238" spans="1:34" ht="18.75" x14ac:dyDescent="0.25">
      <c r="A238" s="139" t="s">
        <v>95</v>
      </c>
      <c r="B238" s="140"/>
      <c r="C238" s="140"/>
      <c r="D238" s="140"/>
      <c r="E238" s="140"/>
      <c r="F238" s="140"/>
      <c r="G238" s="140"/>
      <c r="H238" s="140"/>
      <c r="I238" s="140"/>
      <c r="J238" s="140"/>
      <c r="K238" s="140"/>
      <c r="L238" s="140"/>
      <c r="M238" s="140"/>
      <c r="N238" s="145"/>
      <c r="O238" s="140"/>
      <c r="P238" s="140"/>
      <c r="Q238" s="140"/>
      <c r="R238" s="140"/>
      <c r="S238" s="140"/>
      <c r="T238" s="140"/>
      <c r="U238" s="140"/>
      <c r="V238" s="140"/>
      <c r="W238" s="140"/>
      <c r="X238" s="140"/>
      <c r="Y238" s="140"/>
      <c r="Z238" s="142"/>
      <c r="AA238" s="140"/>
      <c r="AB238" s="140"/>
      <c r="AC238" s="140"/>
      <c r="AD238" s="140"/>
      <c r="AE238" s="140"/>
      <c r="AF238" s="144"/>
      <c r="AG238" s="143">
        <f t="shared" si="38"/>
        <v>0</v>
      </c>
      <c r="AH238" s="441"/>
    </row>
    <row r="239" spans="1:34" ht="19.5" thickBot="1" x14ac:dyDescent="0.3">
      <c r="A239" s="190" t="s">
        <v>106</v>
      </c>
      <c r="B239" s="191"/>
      <c r="C239" s="191"/>
      <c r="D239" s="191"/>
      <c r="E239" s="191"/>
      <c r="F239" s="191"/>
      <c r="G239" s="191"/>
      <c r="H239" s="191"/>
      <c r="I239" s="191"/>
      <c r="J239" s="191"/>
      <c r="K239" s="192"/>
      <c r="L239" s="192"/>
      <c r="M239" s="192"/>
      <c r="N239" s="193"/>
      <c r="O239" s="194"/>
      <c r="P239" s="194"/>
      <c r="Q239" s="194"/>
      <c r="R239" s="194"/>
      <c r="S239" s="194"/>
      <c r="T239" s="194"/>
      <c r="U239" s="194"/>
      <c r="V239" s="194"/>
      <c r="W239" s="194"/>
      <c r="X239" s="194"/>
      <c r="Y239" s="194"/>
      <c r="Z239" s="194"/>
      <c r="AA239" s="194"/>
      <c r="AB239" s="194"/>
      <c r="AC239" s="194"/>
      <c r="AD239" s="194"/>
      <c r="AE239" s="194"/>
      <c r="AF239" s="195"/>
      <c r="AG239" s="108">
        <f t="shared" si="38"/>
        <v>0</v>
      </c>
      <c r="AH239" s="442"/>
    </row>
    <row r="240" spans="1:34" ht="24" hidden="1" thickBot="1" x14ac:dyDescent="0.3">
      <c r="A240" s="198" t="s">
        <v>148</v>
      </c>
      <c r="B240" s="199">
        <f>SUM(B241:B246)</f>
        <v>0</v>
      </c>
      <c r="C240" s="199">
        <f t="shared" ref="C240:AF240" si="40">SUM(C241:C246)</f>
        <v>0</v>
      </c>
      <c r="D240" s="199">
        <f t="shared" si="40"/>
        <v>0</v>
      </c>
      <c r="E240" s="199">
        <f t="shared" si="40"/>
        <v>0</v>
      </c>
      <c r="F240" s="199">
        <f t="shared" si="40"/>
        <v>0</v>
      </c>
      <c r="G240" s="199">
        <f t="shared" si="40"/>
        <v>0</v>
      </c>
      <c r="H240" s="199">
        <f t="shared" si="40"/>
        <v>0</v>
      </c>
      <c r="I240" s="199">
        <f t="shared" si="40"/>
        <v>0</v>
      </c>
      <c r="J240" s="199">
        <f t="shared" si="40"/>
        <v>0</v>
      </c>
      <c r="K240" s="199">
        <f t="shared" si="40"/>
        <v>0</v>
      </c>
      <c r="L240" s="199">
        <f t="shared" si="40"/>
        <v>0</v>
      </c>
      <c r="M240" s="199">
        <f t="shared" si="40"/>
        <v>0</v>
      </c>
      <c r="N240" s="199">
        <f t="shared" si="40"/>
        <v>0</v>
      </c>
      <c r="O240" s="199">
        <f t="shared" si="40"/>
        <v>0</v>
      </c>
      <c r="P240" s="199">
        <f t="shared" si="40"/>
        <v>0</v>
      </c>
      <c r="Q240" s="199">
        <f t="shared" si="40"/>
        <v>0</v>
      </c>
      <c r="R240" s="199">
        <f t="shared" si="40"/>
        <v>0</v>
      </c>
      <c r="S240" s="199">
        <f t="shared" si="40"/>
        <v>0</v>
      </c>
      <c r="T240" s="199">
        <f t="shared" si="40"/>
        <v>0</v>
      </c>
      <c r="U240" s="199">
        <f t="shared" si="40"/>
        <v>0</v>
      </c>
      <c r="V240" s="199">
        <f t="shared" si="40"/>
        <v>0</v>
      </c>
      <c r="W240" s="199">
        <f t="shared" si="40"/>
        <v>0</v>
      </c>
      <c r="X240" s="199">
        <f t="shared" si="40"/>
        <v>0</v>
      </c>
      <c r="Y240" s="199">
        <f t="shared" si="40"/>
        <v>0</v>
      </c>
      <c r="Z240" s="199">
        <f t="shared" si="40"/>
        <v>0</v>
      </c>
      <c r="AA240" s="199">
        <f t="shared" si="40"/>
        <v>0</v>
      </c>
      <c r="AB240" s="199">
        <f t="shared" si="40"/>
        <v>0</v>
      </c>
      <c r="AC240" s="199">
        <f t="shared" si="40"/>
        <v>0</v>
      </c>
      <c r="AD240" s="199">
        <f t="shared" si="40"/>
        <v>0</v>
      </c>
      <c r="AE240" s="199">
        <f t="shared" si="40"/>
        <v>0</v>
      </c>
      <c r="AF240" s="200">
        <f t="shared" si="40"/>
        <v>0</v>
      </c>
      <c r="AG240" s="201">
        <f t="shared" si="38"/>
        <v>0</v>
      </c>
    </row>
    <row r="241" spans="1:33" ht="38.25" hidden="1" customHeight="1" x14ac:dyDescent="0.3">
      <c r="A241" s="227" t="s">
        <v>159</v>
      </c>
      <c r="B241" s="189"/>
      <c r="C241" s="189"/>
      <c r="D241" s="189"/>
      <c r="E241" s="189"/>
      <c r="F241" s="189"/>
      <c r="G241" s="189"/>
      <c r="H241" s="189"/>
      <c r="I241" s="189"/>
      <c r="J241" s="189"/>
      <c r="K241" s="189"/>
      <c r="L241" s="189"/>
      <c r="M241" s="189"/>
      <c r="N241" s="189"/>
      <c r="O241" s="189"/>
      <c r="P241" s="189"/>
      <c r="Q241" s="189"/>
      <c r="R241" s="189"/>
      <c r="S241" s="189"/>
      <c r="T241" s="189"/>
      <c r="U241" s="189"/>
      <c r="V241" s="189"/>
      <c r="W241" s="189"/>
      <c r="X241" s="189"/>
      <c r="Y241" s="189"/>
      <c r="Z241" s="189"/>
      <c r="AA241" s="189"/>
      <c r="AB241" s="189"/>
      <c r="AC241" s="189"/>
      <c r="AD241" s="189"/>
      <c r="AE241" s="189"/>
      <c r="AF241" s="196"/>
      <c r="AG241" s="197">
        <f t="shared" si="38"/>
        <v>0</v>
      </c>
    </row>
    <row r="242" spans="1:33" ht="40.5" hidden="1" customHeight="1" x14ac:dyDescent="0.3">
      <c r="A242" s="227" t="s">
        <v>160</v>
      </c>
      <c r="B242" s="189"/>
      <c r="C242" s="189"/>
      <c r="D242" s="189"/>
      <c r="E242" s="189"/>
      <c r="F242" s="189"/>
      <c r="G242" s="189"/>
      <c r="H242" s="189"/>
      <c r="I242" s="189"/>
      <c r="J242" s="189"/>
      <c r="K242" s="189"/>
      <c r="L242" s="189"/>
      <c r="M242" s="189"/>
      <c r="N242" s="189"/>
      <c r="O242" s="189"/>
      <c r="P242" s="189"/>
      <c r="Q242" s="189"/>
      <c r="R242" s="189"/>
      <c r="S242" s="189"/>
      <c r="T242" s="189"/>
      <c r="U242" s="189"/>
      <c r="V242" s="189"/>
      <c r="W242" s="189"/>
      <c r="X242" s="189"/>
      <c r="Y242" s="189"/>
      <c r="Z242" s="189"/>
      <c r="AA242" s="189"/>
      <c r="AB242" s="189"/>
      <c r="AC242" s="189"/>
      <c r="AD242" s="189"/>
      <c r="AE242" s="189"/>
      <c r="AF242" s="196"/>
      <c r="AG242" s="197"/>
    </row>
    <row r="243" spans="1:33" ht="40.5" hidden="1" customHeight="1" x14ac:dyDescent="0.3">
      <c r="A243" s="227" t="s">
        <v>161</v>
      </c>
      <c r="B243" s="189"/>
      <c r="C243" s="189"/>
      <c r="D243" s="189"/>
      <c r="E243" s="189"/>
      <c r="F243" s="189"/>
      <c r="G243" s="189"/>
      <c r="H243" s="189"/>
      <c r="I243" s="189"/>
      <c r="J243" s="189"/>
      <c r="K243" s="189"/>
      <c r="L243" s="189"/>
      <c r="M243" s="189"/>
      <c r="N243" s="189"/>
      <c r="O243" s="189"/>
      <c r="P243" s="189"/>
      <c r="Q243" s="189"/>
      <c r="R243" s="189"/>
      <c r="S243" s="189"/>
      <c r="T243" s="189"/>
      <c r="U243" s="189"/>
      <c r="V243" s="189"/>
      <c r="W243" s="189"/>
      <c r="X243" s="189"/>
      <c r="Y243" s="189"/>
      <c r="Z243" s="189"/>
      <c r="AA243" s="189"/>
      <c r="AB243" s="189"/>
      <c r="AC243" s="189"/>
      <c r="AD243" s="189"/>
      <c r="AE243" s="189"/>
      <c r="AF243" s="196"/>
      <c r="AG243" s="197"/>
    </row>
    <row r="244" spans="1:33" ht="40.5" hidden="1" customHeight="1" x14ac:dyDescent="0.3">
      <c r="A244" s="227" t="s">
        <v>162</v>
      </c>
      <c r="B244" s="189"/>
      <c r="C244" s="189"/>
      <c r="D244" s="189"/>
      <c r="E244" s="189"/>
      <c r="F244" s="189"/>
      <c r="G244" s="189"/>
      <c r="H244" s="189"/>
      <c r="I244" s="189"/>
      <c r="J244" s="189"/>
      <c r="K244" s="189"/>
      <c r="L244" s="189"/>
      <c r="M244" s="189"/>
      <c r="N244" s="189"/>
      <c r="O244" s="189"/>
      <c r="P244" s="189"/>
      <c r="Q244" s="189"/>
      <c r="R244" s="189"/>
      <c r="S244" s="189"/>
      <c r="T244" s="189"/>
      <c r="U244" s="189"/>
      <c r="V244" s="189"/>
      <c r="W244" s="189"/>
      <c r="X244" s="189"/>
      <c r="Y244" s="189"/>
      <c r="Z244" s="189"/>
      <c r="AA244" s="189"/>
      <c r="AB244" s="189"/>
      <c r="AC244" s="189"/>
      <c r="AD244" s="189"/>
      <c r="AE244" s="189"/>
      <c r="AF244" s="196"/>
      <c r="AG244" s="197"/>
    </row>
    <row r="245" spans="1:33" ht="40.5" hidden="1" customHeight="1" x14ac:dyDescent="0.3">
      <c r="A245" s="228" t="s">
        <v>163</v>
      </c>
      <c r="B245" s="137"/>
      <c r="C245" s="137"/>
      <c r="D245" s="137"/>
      <c r="E245" s="137"/>
      <c r="F245" s="137"/>
      <c r="G245" s="137"/>
      <c r="H245" s="137"/>
      <c r="I245" s="137"/>
      <c r="J245" s="137"/>
      <c r="K245" s="137"/>
      <c r="L245" s="137"/>
      <c r="M245" s="137"/>
      <c r="N245" s="137"/>
      <c r="O245" s="137"/>
      <c r="P245" s="137"/>
      <c r="Q245" s="137"/>
      <c r="R245" s="137"/>
      <c r="S245" s="137"/>
      <c r="T245" s="137"/>
      <c r="U245" s="137"/>
      <c r="V245" s="137"/>
      <c r="W245" s="137"/>
      <c r="X245" s="137"/>
      <c r="Y245" s="137"/>
      <c r="Z245" s="137"/>
      <c r="AA245" s="137"/>
      <c r="AB245" s="137"/>
      <c r="AC245" s="137"/>
      <c r="AD245" s="137"/>
      <c r="AE245" s="137"/>
      <c r="AF245" s="188"/>
      <c r="AG245" s="138">
        <f t="shared" si="38"/>
        <v>0</v>
      </c>
    </row>
    <row r="246" spans="1:33" ht="39.75" hidden="1" customHeight="1" thickBot="1" x14ac:dyDescent="0.3">
      <c r="A246" s="229" t="s">
        <v>164</v>
      </c>
      <c r="B246" s="222"/>
      <c r="C246" s="222"/>
      <c r="D246" s="222"/>
      <c r="E246" s="222"/>
      <c r="F246" s="222"/>
      <c r="G246" s="222"/>
      <c r="H246" s="222"/>
      <c r="I246" s="222"/>
      <c r="J246" s="222"/>
      <c r="K246" s="222"/>
      <c r="L246" s="222"/>
      <c r="M246" s="222"/>
      <c r="N246" s="222"/>
      <c r="O246" s="222"/>
      <c r="P246" s="222"/>
      <c r="Q246" s="222"/>
      <c r="R246" s="222"/>
      <c r="S246" s="222"/>
      <c r="T246" s="222"/>
      <c r="U246" s="222"/>
      <c r="V246" s="222"/>
      <c r="W246" s="222"/>
      <c r="X246" s="222"/>
      <c r="Y246" s="222"/>
      <c r="Z246" s="222"/>
      <c r="AA246" s="222"/>
      <c r="AB246" s="222"/>
      <c r="AC246" s="222"/>
      <c r="AD246" s="222"/>
      <c r="AE246" s="222"/>
      <c r="AF246" s="223"/>
      <c r="AG246" s="224">
        <f t="shared" si="38"/>
        <v>0</v>
      </c>
    </row>
    <row r="247" spans="1:33" ht="21.75" x14ac:dyDescent="0.25">
      <c r="A247" s="225" t="s">
        <v>151</v>
      </c>
      <c r="B247" s="363"/>
      <c r="C247" s="363"/>
      <c r="D247" s="363"/>
      <c r="E247" s="363"/>
      <c r="F247" s="363"/>
      <c r="G247" s="363"/>
      <c r="H247" s="363"/>
      <c r="I247" s="363"/>
      <c r="J247" s="363"/>
      <c r="K247" s="363"/>
      <c r="L247" s="363"/>
      <c r="M247" s="363"/>
      <c r="N247" s="363"/>
      <c r="O247" s="363"/>
      <c r="P247" s="363"/>
      <c r="Q247" s="363"/>
      <c r="R247" s="363"/>
      <c r="S247" s="363"/>
      <c r="T247" s="363"/>
      <c r="U247" s="363"/>
      <c r="V247" s="363"/>
      <c r="W247" s="363"/>
      <c r="X247" s="363"/>
      <c r="Y247" s="363"/>
      <c r="Z247" s="363"/>
      <c r="AA247" s="363"/>
      <c r="AB247" s="363"/>
      <c r="AC247" s="363"/>
      <c r="AD247" s="363"/>
      <c r="AE247" s="363"/>
      <c r="AF247" s="367"/>
      <c r="AG247" s="369">
        <f>SUM(B247:AF247)</f>
        <v>0</v>
      </c>
    </row>
    <row r="248" spans="1:33" ht="22.5" thickBot="1" x14ac:dyDescent="0.3">
      <c r="A248" s="226" t="s">
        <v>152</v>
      </c>
      <c r="B248" s="364"/>
      <c r="C248" s="364"/>
      <c r="D248" s="364"/>
      <c r="E248" s="364"/>
      <c r="F248" s="364"/>
      <c r="G248" s="364"/>
      <c r="H248" s="364"/>
      <c r="I248" s="364"/>
      <c r="J248" s="364"/>
      <c r="K248" s="364"/>
      <c r="L248" s="364"/>
      <c r="M248" s="364"/>
      <c r="N248" s="364"/>
      <c r="O248" s="364"/>
      <c r="P248" s="364"/>
      <c r="Q248" s="364"/>
      <c r="R248" s="364"/>
      <c r="S248" s="364"/>
      <c r="T248" s="364"/>
      <c r="U248" s="364"/>
      <c r="V248" s="364"/>
      <c r="W248" s="364"/>
      <c r="X248" s="364"/>
      <c r="Y248" s="364"/>
      <c r="Z248" s="364"/>
      <c r="AA248" s="364"/>
      <c r="AB248" s="364"/>
      <c r="AC248" s="364"/>
      <c r="AD248" s="364"/>
      <c r="AE248" s="364"/>
      <c r="AF248" s="368"/>
      <c r="AG248" s="370">
        <f>SUM(B248:AF248)</f>
        <v>0</v>
      </c>
    </row>
    <row r="268" ht="18.75" customHeight="1" x14ac:dyDescent="0.25"/>
    <row r="269" ht="18.75" customHeight="1" x14ac:dyDescent="0.25"/>
    <row r="270" ht="18.75" customHeight="1" x14ac:dyDescent="0.25"/>
    <row r="271" ht="18.75" customHeight="1" x14ac:dyDescent="0.25"/>
    <row r="272" ht="18.75" customHeight="1" x14ac:dyDescent="0.25"/>
    <row r="273" ht="18.75" customHeight="1" x14ac:dyDescent="0.25"/>
    <row r="274" ht="18.75" customHeight="1" x14ac:dyDescent="0.25"/>
    <row r="275" ht="18.75" customHeight="1" x14ac:dyDescent="0.25"/>
    <row r="276" ht="18.75" customHeight="1" x14ac:dyDescent="0.25"/>
    <row r="277" ht="18.75" customHeight="1" x14ac:dyDescent="0.25"/>
    <row r="278" ht="18.75" customHeight="1" x14ac:dyDescent="0.25"/>
    <row r="279" ht="19.5" customHeight="1" x14ac:dyDescent="0.25"/>
    <row r="281" ht="18.75" customHeight="1" x14ac:dyDescent="0.25"/>
    <row r="284" ht="18.75" customHeight="1" x14ac:dyDescent="0.25"/>
  </sheetData>
  <dataConsolidate/>
  <mergeCells count="5">
    <mergeCell ref="A1:AG1"/>
    <mergeCell ref="AI84:AI86"/>
    <mergeCell ref="AH220:AH231"/>
    <mergeCell ref="AH233:AH235"/>
    <mergeCell ref="AH236:AH239"/>
  </mergeCells>
  <conditionalFormatting sqref="B29:AF52">
    <cfRule type="cellIs" dxfId="51" priority="6" operator="lessThan">
      <formula>0</formula>
    </cfRule>
  </conditionalFormatting>
  <conditionalFormatting sqref="D54:D77">
    <cfRule type="cellIs" dxfId="50" priority="2" operator="lessThan">
      <formula>0</formula>
    </cfRule>
  </conditionalFormatting>
  <conditionalFormatting sqref="G54:G77">
    <cfRule type="cellIs" dxfId="49" priority="1" operator="lessThan">
      <formula>0</formula>
    </cfRule>
  </conditionalFormatting>
  <conditionalFormatting sqref="AH81">
    <cfRule type="cellIs" dxfId="48" priority="4" operator="equal">
      <formula>"*"</formula>
    </cfRule>
  </conditionalFormatting>
  <conditionalFormatting sqref="AH84 AH87">
    <cfRule type="cellIs" dxfId="47" priority="5" operator="equal">
      <formula>"*"</formula>
    </cfRule>
  </conditionalFormatting>
  <conditionalFormatting sqref="AH93">
    <cfRule type="cellIs" dxfId="46" priority="10" operator="equal">
      <formula>"*"</formula>
    </cfRule>
  </conditionalFormatting>
  <conditionalFormatting sqref="AH130">
    <cfRule type="cellIs" dxfId="45" priority="8" operator="equal">
      <formula>"*"</formula>
    </cfRule>
  </conditionalFormatting>
  <conditionalFormatting sqref="AH144:AH145">
    <cfRule type="cellIs" dxfId="44" priority="9" operator="equal">
      <formula>"*"</formula>
    </cfRule>
  </conditionalFormatting>
  <conditionalFormatting sqref="AH179">
    <cfRule type="cellIs" dxfId="43" priority="7" operator="equal">
      <formula>"*"</formula>
    </cfRule>
  </conditionalFormatting>
  <conditionalFormatting sqref="AH206">
    <cfRule type="cellIs" dxfId="42" priority="3" operator="equal">
      <formula>"X"</formula>
    </cfRule>
  </conditionalFormatting>
  <dataValidations disablePrompts="1" count="1">
    <dataValidation type="whole" allowBlank="1" showInputMessage="1" showErrorMessage="1" errorTitle="ERROR" error="Por favor ingrese solo Números" sqref="A98:A99 A101:A115" xr:uid="{00000000-0002-0000-0A00-000000000000}">
      <formula1>0</formula1>
      <formula2>1000000000</formula2>
    </dataValidation>
  </dataValidations>
  <pageMargins left="0.7" right="0.7" top="0.75" bottom="0.75" header="0.3" footer="0.3"/>
  <pageSetup orientation="portrait" horizontalDpi="0" verticalDpi="0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I284"/>
  <sheetViews>
    <sheetView zoomScale="80" zoomScaleNormal="80" workbookViewId="0">
      <pane xSplit="1" ySplit="3" topLeftCell="I181" activePane="bottomRight" state="frozen"/>
      <selection activeCell="AG3" sqref="AG3"/>
      <selection pane="topRight" activeCell="AG3" sqref="AG3"/>
      <selection pane="bottomLeft" activeCell="AG3" sqref="AG3"/>
      <selection pane="bottomRight" activeCell="AE185" sqref="AE185"/>
    </sheetView>
  </sheetViews>
  <sheetFormatPr baseColWidth="10" defaultRowHeight="15" x14ac:dyDescent="0.25"/>
  <cols>
    <col min="1" max="1" width="34.7109375" customWidth="1"/>
    <col min="2" max="13" width="8.28515625" customWidth="1"/>
    <col min="14" max="14" width="10.140625" customWidth="1"/>
    <col min="15" max="27" width="8.28515625" customWidth="1"/>
    <col min="28" max="28" width="9.7109375" customWidth="1"/>
    <col min="29" max="32" width="8.28515625" customWidth="1"/>
    <col min="33" max="33" width="11.140625" customWidth="1"/>
    <col min="34" max="34" width="12.42578125" customWidth="1"/>
  </cols>
  <sheetData>
    <row r="1" spans="1:33" ht="21.75" thickBot="1" x14ac:dyDescent="0.3">
      <c r="A1" s="431"/>
      <c r="B1" s="432"/>
      <c r="C1" s="432"/>
      <c r="D1" s="432"/>
      <c r="E1" s="432"/>
      <c r="F1" s="432"/>
      <c r="G1" s="432"/>
      <c r="H1" s="432"/>
      <c r="I1" s="432"/>
      <c r="J1" s="432"/>
      <c r="K1" s="432"/>
      <c r="L1" s="432"/>
      <c r="M1" s="432"/>
      <c r="N1" s="432"/>
      <c r="O1" s="432"/>
      <c r="P1" s="432"/>
      <c r="Q1" s="432"/>
      <c r="R1" s="432"/>
      <c r="S1" s="432"/>
      <c r="T1" s="432"/>
      <c r="U1" s="432"/>
      <c r="V1" s="432"/>
      <c r="W1" s="432"/>
      <c r="X1" s="432"/>
      <c r="Y1" s="432"/>
      <c r="Z1" s="432"/>
      <c r="AA1" s="432"/>
      <c r="AB1" s="432"/>
      <c r="AC1" s="432"/>
      <c r="AD1" s="432"/>
      <c r="AE1" s="432"/>
      <c r="AF1" s="432"/>
      <c r="AG1" s="433"/>
    </row>
    <row r="2" spans="1:33" ht="21.75" thickBot="1" x14ac:dyDescent="0.3">
      <c r="A2" s="82" t="s">
        <v>133</v>
      </c>
      <c r="B2" s="230">
        <v>1</v>
      </c>
      <c r="C2" s="230">
        <f t="shared" ref="C2:AA2" si="0">+B2+1</f>
        <v>2</v>
      </c>
      <c r="D2" s="230">
        <f t="shared" si="0"/>
        <v>3</v>
      </c>
      <c r="E2" s="230">
        <f t="shared" si="0"/>
        <v>4</v>
      </c>
      <c r="F2" s="230">
        <f t="shared" si="0"/>
        <v>5</v>
      </c>
      <c r="G2" s="230">
        <f t="shared" si="0"/>
        <v>6</v>
      </c>
      <c r="H2" s="230">
        <f t="shared" si="0"/>
        <v>7</v>
      </c>
      <c r="I2" s="230">
        <f t="shared" si="0"/>
        <v>8</v>
      </c>
      <c r="J2" s="230">
        <f t="shared" si="0"/>
        <v>9</v>
      </c>
      <c r="K2" s="230">
        <f t="shared" si="0"/>
        <v>10</v>
      </c>
      <c r="L2" s="230">
        <f t="shared" si="0"/>
        <v>11</v>
      </c>
      <c r="M2" s="230">
        <f t="shared" si="0"/>
        <v>12</v>
      </c>
      <c r="N2" s="230">
        <f t="shared" si="0"/>
        <v>13</v>
      </c>
      <c r="O2" s="230">
        <f t="shared" si="0"/>
        <v>14</v>
      </c>
      <c r="P2" s="230">
        <f t="shared" si="0"/>
        <v>15</v>
      </c>
      <c r="Q2" s="230">
        <f t="shared" si="0"/>
        <v>16</v>
      </c>
      <c r="R2" s="230">
        <f t="shared" si="0"/>
        <v>17</v>
      </c>
      <c r="S2" s="106">
        <f t="shared" si="0"/>
        <v>18</v>
      </c>
      <c r="T2" s="106">
        <f t="shared" si="0"/>
        <v>19</v>
      </c>
      <c r="U2" s="106">
        <f t="shared" si="0"/>
        <v>20</v>
      </c>
      <c r="V2" s="230">
        <f t="shared" si="0"/>
        <v>21</v>
      </c>
      <c r="W2" s="230">
        <f t="shared" si="0"/>
        <v>22</v>
      </c>
      <c r="X2" s="230">
        <f t="shared" si="0"/>
        <v>23</v>
      </c>
      <c r="Y2" s="230">
        <f t="shared" si="0"/>
        <v>24</v>
      </c>
      <c r="Z2" s="230">
        <f t="shared" si="0"/>
        <v>25</v>
      </c>
      <c r="AA2" s="106">
        <f t="shared" si="0"/>
        <v>26</v>
      </c>
      <c r="AB2" s="106">
        <v>27</v>
      </c>
      <c r="AC2" s="230">
        <f>+AB2+1</f>
        <v>28</v>
      </c>
      <c r="AD2" s="230">
        <v>29</v>
      </c>
      <c r="AE2" s="230">
        <v>30</v>
      </c>
      <c r="AF2" s="230">
        <v>31</v>
      </c>
      <c r="AG2" s="3" t="s">
        <v>80</v>
      </c>
    </row>
    <row r="3" spans="1:33" ht="19.5" thickBot="1" x14ac:dyDescent="0.3">
      <c r="A3" s="136" t="s">
        <v>0</v>
      </c>
      <c r="B3" s="135">
        <f t="shared" ref="B3:AF3" si="1">SUM(B4:B27)</f>
        <v>111</v>
      </c>
      <c r="C3" s="135">
        <f t="shared" si="1"/>
        <v>80</v>
      </c>
      <c r="D3" s="135">
        <f t="shared" si="1"/>
        <v>97</v>
      </c>
      <c r="E3" s="135">
        <f t="shared" si="1"/>
        <v>116</v>
      </c>
      <c r="F3" s="154">
        <f t="shared" si="1"/>
        <v>109</v>
      </c>
      <c r="G3" s="154">
        <f t="shared" si="1"/>
        <v>88</v>
      </c>
      <c r="H3" s="135">
        <f t="shared" si="1"/>
        <v>116</v>
      </c>
      <c r="I3" s="135">
        <f t="shared" si="1"/>
        <v>104</v>
      </c>
      <c r="J3" s="135">
        <f t="shared" si="1"/>
        <v>118</v>
      </c>
      <c r="K3" s="135">
        <f t="shared" si="1"/>
        <v>110</v>
      </c>
      <c r="L3" s="135">
        <f t="shared" si="1"/>
        <v>144</v>
      </c>
      <c r="M3" s="154">
        <f t="shared" si="1"/>
        <v>111</v>
      </c>
      <c r="N3" s="154">
        <f t="shared" si="1"/>
        <v>83</v>
      </c>
      <c r="O3" s="135">
        <f t="shared" si="1"/>
        <v>118</v>
      </c>
      <c r="P3" s="135">
        <f t="shared" si="1"/>
        <v>122</v>
      </c>
      <c r="Q3" s="135">
        <f t="shared" si="1"/>
        <v>91</v>
      </c>
      <c r="R3" s="135">
        <f t="shared" si="1"/>
        <v>81</v>
      </c>
      <c r="S3" s="135">
        <f t="shared" si="1"/>
        <v>72</v>
      </c>
      <c r="T3" s="135">
        <f t="shared" si="1"/>
        <v>92</v>
      </c>
      <c r="U3" s="135">
        <f t="shared" si="1"/>
        <v>99</v>
      </c>
      <c r="V3" s="135">
        <f t="shared" si="1"/>
        <v>151</v>
      </c>
      <c r="W3" s="135">
        <f t="shared" si="1"/>
        <v>120</v>
      </c>
      <c r="X3" s="135">
        <f t="shared" si="1"/>
        <v>152</v>
      </c>
      <c r="Y3" s="135">
        <f t="shared" si="1"/>
        <v>154</v>
      </c>
      <c r="Z3" s="135">
        <f t="shared" si="1"/>
        <v>69</v>
      </c>
      <c r="AA3" s="135">
        <f t="shared" si="1"/>
        <v>104</v>
      </c>
      <c r="AB3" s="135">
        <f t="shared" si="1"/>
        <v>98</v>
      </c>
      <c r="AC3" s="135">
        <f t="shared" si="1"/>
        <v>126</v>
      </c>
      <c r="AD3" s="135">
        <f t="shared" si="1"/>
        <v>108</v>
      </c>
      <c r="AE3" s="135">
        <f t="shared" si="1"/>
        <v>91</v>
      </c>
      <c r="AF3" s="135">
        <f t="shared" si="1"/>
        <v>0</v>
      </c>
      <c r="AG3" s="187">
        <f>SUM(B3:AF3)</f>
        <v>3235</v>
      </c>
    </row>
    <row r="4" spans="1:33" ht="18.75" x14ac:dyDescent="0.25">
      <c r="A4" s="113" t="s">
        <v>54</v>
      </c>
      <c r="B4" s="114">
        <v>6</v>
      </c>
      <c r="C4" s="114"/>
      <c r="D4" s="114">
        <v>2</v>
      </c>
      <c r="E4" s="114">
        <v>7</v>
      </c>
      <c r="F4" s="114">
        <v>6</v>
      </c>
      <c r="G4" s="114">
        <v>2</v>
      </c>
      <c r="H4" s="114">
        <v>4</v>
      </c>
      <c r="I4" s="114">
        <v>5</v>
      </c>
      <c r="J4" s="114"/>
      <c r="K4" s="114">
        <v>4</v>
      </c>
      <c r="L4" s="114">
        <v>2</v>
      </c>
      <c r="M4" s="114">
        <v>1</v>
      </c>
      <c r="N4" s="114"/>
      <c r="O4" s="114">
        <v>12</v>
      </c>
      <c r="P4" s="114">
        <v>7</v>
      </c>
      <c r="Q4" s="114">
        <v>5</v>
      </c>
      <c r="R4" s="114">
        <v>1</v>
      </c>
      <c r="S4" s="114">
        <v>1</v>
      </c>
      <c r="T4" s="114">
        <v>1</v>
      </c>
      <c r="U4" s="114">
        <v>1</v>
      </c>
      <c r="V4" s="114">
        <v>6</v>
      </c>
      <c r="W4" s="114">
        <v>7</v>
      </c>
      <c r="X4" s="114">
        <v>9</v>
      </c>
      <c r="Y4" s="114">
        <v>2</v>
      </c>
      <c r="Z4" s="114">
        <v>8</v>
      </c>
      <c r="AA4" s="114">
        <v>5</v>
      </c>
      <c r="AB4" s="114">
        <v>2</v>
      </c>
      <c r="AC4" s="114">
        <v>8</v>
      </c>
      <c r="AD4" s="114">
        <v>10</v>
      </c>
      <c r="AE4" s="114">
        <v>5</v>
      </c>
      <c r="AF4" s="115"/>
      <c r="AG4" s="132">
        <f t="shared" ref="AG4:AG83" si="2">SUM(B4:AF4)</f>
        <v>129</v>
      </c>
    </row>
    <row r="5" spans="1:33" ht="18.75" x14ac:dyDescent="0.25">
      <c r="A5" s="41" t="s">
        <v>55</v>
      </c>
      <c r="B5" s="7">
        <v>7</v>
      </c>
      <c r="C5" s="7">
        <v>3</v>
      </c>
      <c r="D5" s="7">
        <v>2</v>
      </c>
      <c r="E5" s="7">
        <v>5</v>
      </c>
      <c r="F5" s="7">
        <v>7</v>
      </c>
      <c r="G5" s="7">
        <v>3</v>
      </c>
      <c r="H5" s="7">
        <v>6</v>
      </c>
      <c r="I5" s="7">
        <v>4</v>
      </c>
      <c r="J5" s="7">
        <v>5</v>
      </c>
      <c r="K5" s="7">
        <v>5</v>
      </c>
      <c r="L5" s="7">
        <v>10</v>
      </c>
      <c r="M5" s="7">
        <v>4</v>
      </c>
      <c r="N5" s="7">
        <v>2</v>
      </c>
      <c r="O5" s="7">
        <v>5</v>
      </c>
      <c r="P5" s="7">
        <v>3</v>
      </c>
      <c r="Q5" s="7">
        <v>5</v>
      </c>
      <c r="R5" s="7">
        <v>4</v>
      </c>
      <c r="S5" s="7">
        <v>1</v>
      </c>
      <c r="T5" s="7">
        <v>3</v>
      </c>
      <c r="U5" s="7">
        <v>5</v>
      </c>
      <c r="V5" s="7">
        <v>14</v>
      </c>
      <c r="W5" s="7">
        <v>9</v>
      </c>
      <c r="X5" s="7">
        <v>5</v>
      </c>
      <c r="Y5" s="7">
        <v>9</v>
      </c>
      <c r="Z5" s="7">
        <v>8</v>
      </c>
      <c r="AA5" s="7">
        <v>4</v>
      </c>
      <c r="AB5" s="7">
        <v>3</v>
      </c>
      <c r="AC5" s="7">
        <v>5</v>
      </c>
      <c r="AD5" s="7">
        <v>9</v>
      </c>
      <c r="AE5" s="7">
        <v>4</v>
      </c>
      <c r="AF5" s="8"/>
      <c r="AG5" s="4">
        <f t="shared" si="2"/>
        <v>159</v>
      </c>
    </row>
    <row r="6" spans="1:33" ht="18.75" x14ac:dyDescent="0.25">
      <c r="A6" s="41" t="s">
        <v>56</v>
      </c>
      <c r="B6" s="7">
        <v>6</v>
      </c>
      <c r="C6" s="7">
        <v>5</v>
      </c>
      <c r="D6" s="7">
        <v>5</v>
      </c>
      <c r="E6" s="7">
        <v>5</v>
      </c>
      <c r="F6" s="7">
        <v>5</v>
      </c>
      <c r="G6" s="7">
        <v>3</v>
      </c>
      <c r="H6" s="7">
        <v>7</v>
      </c>
      <c r="I6" s="7">
        <v>3</v>
      </c>
      <c r="J6" s="7">
        <v>6</v>
      </c>
      <c r="K6" s="7">
        <v>5</v>
      </c>
      <c r="L6" s="7">
        <v>11</v>
      </c>
      <c r="M6" s="7">
        <v>6</v>
      </c>
      <c r="N6" s="7">
        <v>1</v>
      </c>
      <c r="O6" s="7">
        <v>8</v>
      </c>
      <c r="P6" s="7">
        <v>8</v>
      </c>
      <c r="Q6" s="7">
        <v>7</v>
      </c>
      <c r="R6" s="7">
        <v>7</v>
      </c>
      <c r="S6" s="7">
        <v>3</v>
      </c>
      <c r="T6" s="7">
        <v>7</v>
      </c>
      <c r="U6" s="7">
        <v>2</v>
      </c>
      <c r="V6" s="7">
        <v>4</v>
      </c>
      <c r="W6" s="7">
        <v>12</v>
      </c>
      <c r="X6" s="7">
        <v>4</v>
      </c>
      <c r="Y6" s="7">
        <v>9</v>
      </c>
      <c r="Z6" s="7">
        <v>9</v>
      </c>
      <c r="AA6" s="7">
        <v>3</v>
      </c>
      <c r="AB6" s="7">
        <v>3</v>
      </c>
      <c r="AC6" s="7">
        <v>11</v>
      </c>
      <c r="AD6" s="7">
        <v>5</v>
      </c>
      <c r="AE6" s="7">
        <v>5</v>
      </c>
      <c r="AF6" s="8"/>
      <c r="AG6" s="4">
        <f t="shared" si="2"/>
        <v>175</v>
      </c>
    </row>
    <row r="7" spans="1:33" ht="18.75" x14ac:dyDescent="0.25">
      <c r="A7" s="41" t="s">
        <v>38</v>
      </c>
      <c r="B7" s="7">
        <v>5</v>
      </c>
      <c r="C7" s="7">
        <v>3</v>
      </c>
      <c r="D7" s="7">
        <v>8</v>
      </c>
      <c r="E7" s="7">
        <v>8</v>
      </c>
      <c r="F7" s="7">
        <v>4</v>
      </c>
      <c r="G7" s="7">
        <v>6</v>
      </c>
      <c r="H7" s="7">
        <v>6</v>
      </c>
      <c r="I7" s="7">
        <v>4</v>
      </c>
      <c r="J7" s="7">
        <v>8</v>
      </c>
      <c r="K7" s="7">
        <v>14</v>
      </c>
      <c r="L7" s="7">
        <v>10</v>
      </c>
      <c r="M7" s="7">
        <v>3</v>
      </c>
      <c r="N7" s="7">
        <v>7</v>
      </c>
      <c r="O7" s="7">
        <v>8</v>
      </c>
      <c r="P7" s="7">
        <v>13</v>
      </c>
      <c r="Q7" s="7">
        <v>9</v>
      </c>
      <c r="R7" s="7">
        <v>8</v>
      </c>
      <c r="S7" s="7">
        <v>4</v>
      </c>
      <c r="T7" s="7">
        <v>6</v>
      </c>
      <c r="U7" s="7">
        <v>6</v>
      </c>
      <c r="V7" s="7">
        <v>8</v>
      </c>
      <c r="W7" s="7">
        <v>8</v>
      </c>
      <c r="X7" s="7">
        <v>17</v>
      </c>
      <c r="Y7" s="7">
        <v>12</v>
      </c>
      <c r="Z7" s="7">
        <v>1</v>
      </c>
      <c r="AA7" s="7">
        <v>10</v>
      </c>
      <c r="AB7" s="7">
        <v>5</v>
      </c>
      <c r="AC7" s="7">
        <v>12</v>
      </c>
      <c r="AD7" s="7">
        <v>7</v>
      </c>
      <c r="AE7" s="7">
        <v>7</v>
      </c>
      <c r="AF7" s="8"/>
      <c r="AG7" s="4">
        <f t="shared" si="2"/>
        <v>227</v>
      </c>
    </row>
    <row r="8" spans="1:33" ht="18.75" x14ac:dyDescent="0.25">
      <c r="A8" s="41" t="s">
        <v>39</v>
      </c>
      <c r="B8" s="7">
        <v>10</v>
      </c>
      <c r="C8" s="7">
        <v>8</v>
      </c>
      <c r="D8" s="7">
        <v>4</v>
      </c>
      <c r="E8" s="7">
        <v>9</v>
      </c>
      <c r="F8" s="7">
        <v>11</v>
      </c>
      <c r="G8" s="7">
        <v>4</v>
      </c>
      <c r="H8" s="7">
        <v>10</v>
      </c>
      <c r="I8" s="7">
        <v>3</v>
      </c>
      <c r="J8" s="7">
        <v>8</v>
      </c>
      <c r="K8" s="7">
        <v>8</v>
      </c>
      <c r="L8" s="7">
        <v>10</v>
      </c>
      <c r="M8" s="7">
        <v>15</v>
      </c>
      <c r="N8" s="7">
        <v>8</v>
      </c>
      <c r="O8" s="7">
        <v>9</v>
      </c>
      <c r="P8" s="7">
        <v>6</v>
      </c>
      <c r="Q8" s="7">
        <v>8</v>
      </c>
      <c r="R8" s="7">
        <v>4</v>
      </c>
      <c r="S8" s="7">
        <v>8</v>
      </c>
      <c r="T8" s="7">
        <v>7</v>
      </c>
      <c r="U8" s="7">
        <v>12</v>
      </c>
      <c r="V8" s="7">
        <v>13</v>
      </c>
      <c r="W8" s="7">
        <v>8</v>
      </c>
      <c r="X8" s="7">
        <v>11</v>
      </c>
      <c r="Y8" s="7">
        <v>13</v>
      </c>
      <c r="Z8" s="7">
        <v>2</v>
      </c>
      <c r="AA8" s="7">
        <v>6</v>
      </c>
      <c r="AB8" s="7">
        <v>6</v>
      </c>
      <c r="AC8" s="7">
        <v>13</v>
      </c>
      <c r="AD8" s="7">
        <v>13</v>
      </c>
      <c r="AE8" s="7">
        <v>12</v>
      </c>
      <c r="AF8" s="8"/>
      <c r="AG8" s="4">
        <f t="shared" si="2"/>
        <v>259</v>
      </c>
    </row>
    <row r="9" spans="1:33" ht="18.75" x14ac:dyDescent="0.25">
      <c r="A9" s="41" t="s">
        <v>40</v>
      </c>
      <c r="B9" s="7">
        <v>8</v>
      </c>
      <c r="C9" s="7">
        <v>8</v>
      </c>
      <c r="D9" s="7">
        <v>5</v>
      </c>
      <c r="E9" s="7">
        <v>7</v>
      </c>
      <c r="F9" s="7">
        <v>5</v>
      </c>
      <c r="G9" s="7">
        <v>4</v>
      </c>
      <c r="H9" s="7">
        <v>9</v>
      </c>
      <c r="I9" s="7">
        <v>9</v>
      </c>
      <c r="J9" s="7">
        <v>12</v>
      </c>
      <c r="K9" s="7">
        <v>4</v>
      </c>
      <c r="L9" s="7">
        <v>14</v>
      </c>
      <c r="M9" s="7">
        <v>6</v>
      </c>
      <c r="N9" s="7">
        <v>7</v>
      </c>
      <c r="O9" s="7">
        <v>4</v>
      </c>
      <c r="P9" s="7">
        <v>6</v>
      </c>
      <c r="Q9" s="7">
        <v>6</v>
      </c>
      <c r="R9" s="7">
        <v>6</v>
      </c>
      <c r="S9" s="7">
        <v>4</v>
      </c>
      <c r="T9" s="7">
        <v>11</v>
      </c>
      <c r="U9" s="7">
        <v>9</v>
      </c>
      <c r="V9" s="7">
        <v>7</v>
      </c>
      <c r="W9" s="7">
        <v>5</v>
      </c>
      <c r="X9" s="7">
        <v>12</v>
      </c>
      <c r="Y9" s="7">
        <v>12</v>
      </c>
      <c r="Z9" s="7"/>
      <c r="AA9" s="7"/>
      <c r="AB9" s="7">
        <v>4</v>
      </c>
      <c r="AC9" s="7">
        <v>5</v>
      </c>
      <c r="AD9" s="7">
        <v>3</v>
      </c>
      <c r="AE9" s="7">
        <v>5</v>
      </c>
      <c r="AF9" s="8"/>
      <c r="AG9" s="4">
        <f t="shared" si="2"/>
        <v>197</v>
      </c>
    </row>
    <row r="10" spans="1:33" ht="18.75" x14ac:dyDescent="0.25">
      <c r="A10" s="41" t="s">
        <v>41</v>
      </c>
      <c r="B10" s="7">
        <v>6</v>
      </c>
      <c r="C10" s="7">
        <v>4</v>
      </c>
      <c r="D10" s="7">
        <v>7</v>
      </c>
      <c r="E10" s="7">
        <v>16</v>
      </c>
      <c r="F10" s="7">
        <v>3</v>
      </c>
      <c r="G10" s="7">
        <v>9</v>
      </c>
      <c r="H10" s="7">
        <v>8</v>
      </c>
      <c r="I10" s="7">
        <v>5</v>
      </c>
      <c r="J10" s="7">
        <v>7</v>
      </c>
      <c r="K10" s="7">
        <v>9</v>
      </c>
      <c r="L10" s="7">
        <v>6</v>
      </c>
      <c r="M10" s="7">
        <v>11</v>
      </c>
      <c r="N10" s="7">
        <v>6</v>
      </c>
      <c r="O10" s="7">
        <v>11</v>
      </c>
      <c r="P10" s="7">
        <v>6</v>
      </c>
      <c r="Q10" s="7">
        <v>6</v>
      </c>
      <c r="R10" s="7">
        <v>3</v>
      </c>
      <c r="S10" s="7">
        <v>4</v>
      </c>
      <c r="T10" s="7">
        <v>8</v>
      </c>
      <c r="U10" s="7">
        <v>7</v>
      </c>
      <c r="V10" s="7">
        <v>11</v>
      </c>
      <c r="W10" s="7">
        <v>6</v>
      </c>
      <c r="X10" s="7">
        <v>13</v>
      </c>
      <c r="Y10" s="7">
        <v>12</v>
      </c>
      <c r="Z10" s="7"/>
      <c r="AA10" s="7">
        <v>4</v>
      </c>
      <c r="AB10" s="7">
        <v>10</v>
      </c>
      <c r="AC10" s="7">
        <v>8</v>
      </c>
      <c r="AD10" s="7">
        <v>6</v>
      </c>
      <c r="AE10" s="7">
        <v>3</v>
      </c>
      <c r="AF10" s="8"/>
      <c r="AG10" s="4">
        <f t="shared" si="2"/>
        <v>215</v>
      </c>
    </row>
    <row r="11" spans="1:33" ht="18.75" x14ac:dyDescent="0.25">
      <c r="A11" s="41" t="s">
        <v>42</v>
      </c>
      <c r="B11" s="7">
        <v>10</v>
      </c>
      <c r="C11" s="7">
        <v>7</v>
      </c>
      <c r="D11" s="7">
        <v>9</v>
      </c>
      <c r="E11" s="7">
        <v>9</v>
      </c>
      <c r="F11" s="7">
        <v>9</v>
      </c>
      <c r="G11" s="7">
        <v>7</v>
      </c>
      <c r="H11" s="7">
        <v>7</v>
      </c>
      <c r="I11" s="7">
        <v>5</v>
      </c>
      <c r="J11" s="7">
        <v>6</v>
      </c>
      <c r="K11" s="7">
        <v>7</v>
      </c>
      <c r="L11" s="7">
        <v>10</v>
      </c>
      <c r="M11" s="7">
        <v>15</v>
      </c>
      <c r="N11" s="7">
        <v>6</v>
      </c>
      <c r="O11" s="7">
        <v>4</v>
      </c>
      <c r="P11" s="7">
        <v>11</v>
      </c>
      <c r="Q11" s="7">
        <v>6</v>
      </c>
      <c r="R11" s="7">
        <v>5</v>
      </c>
      <c r="S11" s="7">
        <v>2</v>
      </c>
      <c r="T11" s="7">
        <v>8</v>
      </c>
      <c r="U11" s="7">
        <v>7</v>
      </c>
      <c r="V11" s="7">
        <v>13</v>
      </c>
      <c r="W11" s="7">
        <v>8</v>
      </c>
      <c r="X11" s="7">
        <v>15</v>
      </c>
      <c r="Y11" s="7">
        <v>8</v>
      </c>
      <c r="Z11" s="7"/>
      <c r="AA11" s="7">
        <v>4</v>
      </c>
      <c r="AB11" s="7">
        <v>3</v>
      </c>
      <c r="AC11" s="7">
        <v>4</v>
      </c>
      <c r="AD11" s="7">
        <v>3</v>
      </c>
      <c r="AE11" s="7">
        <v>4</v>
      </c>
      <c r="AF11" s="8"/>
      <c r="AG11" s="4">
        <f t="shared" si="2"/>
        <v>212</v>
      </c>
    </row>
    <row r="12" spans="1:33" ht="18.75" x14ac:dyDescent="0.25">
      <c r="A12" s="41" t="s">
        <v>43</v>
      </c>
      <c r="B12" s="7">
        <v>9</v>
      </c>
      <c r="C12" s="7">
        <v>5</v>
      </c>
      <c r="D12" s="7">
        <v>12</v>
      </c>
      <c r="E12" s="7">
        <v>8</v>
      </c>
      <c r="F12" s="7">
        <v>4</v>
      </c>
      <c r="G12" s="7">
        <v>4</v>
      </c>
      <c r="H12" s="7">
        <v>16</v>
      </c>
      <c r="I12" s="7">
        <v>10</v>
      </c>
      <c r="J12" s="7">
        <v>11</v>
      </c>
      <c r="K12" s="7">
        <v>8</v>
      </c>
      <c r="L12" s="7">
        <v>16</v>
      </c>
      <c r="M12" s="7">
        <v>6</v>
      </c>
      <c r="N12" s="7">
        <v>7</v>
      </c>
      <c r="O12" s="7">
        <v>7</v>
      </c>
      <c r="P12" s="7">
        <v>9</v>
      </c>
      <c r="Q12" s="7">
        <v>6</v>
      </c>
      <c r="R12" s="7">
        <v>4</v>
      </c>
      <c r="S12" s="7">
        <v>4</v>
      </c>
      <c r="T12" s="7">
        <v>3</v>
      </c>
      <c r="U12" s="7">
        <v>6</v>
      </c>
      <c r="V12" s="7">
        <v>15</v>
      </c>
      <c r="W12" s="7">
        <v>13</v>
      </c>
      <c r="X12" s="7">
        <v>14</v>
      </c>
      <c r="Y12" s="7">
        <v>10</v>
      </c>
      <c r="Z12" s="7">
        <v>1</v>
      </c>
      <c r="AA12" s="7">
        <v>11</v>
      </c>
      <c r="AB12" s="7">
        <v>12</v>
      </c>
      <c r="AC12" s="7">
        <v>15</v>
      </c>
      <c r="AD12" s="7">
        <v>2</v>
      </c>
      <c r="AE12" s="7">
        <v>5</v>
      </c>
      <c r="AF12" s="8"/>
      <c r="AG12" s="4">
        <f t="shared" si="2"/>
        <v>253</v>
      </c>
    </row>
    <row r="13" spans="1:33" ht="18.75" x14ac:dyDescent="0.25">
      <c r="A13" s="41" t="s">
        <v>44</v>
      </c>
      <c r="B13" s="7">
        <v>4</v>
      </c>
      <c r="C13" s="7">
        <v>5</v>
      </c>
      <c r="D13" s="7">
        <v>8</v>
      </c>
      <c r="E13" s="7">
        <v>10</v>
      </c>
      <c r="F13" s="7">
        <v>6</v>
      </c>
      <c r="G13" s="7">
        <v>8</v>
      </c>
      <c r="H13" s="7">
        <v>7</v>
      </c>
      <c r="I13" s="7">
        <v>12</v>
      </c>
      <c r="J13" s="7">
        <v>14</v>
      </c>
      <c r="K13" s="7">
        <v>10</v>
      </c>
      <c r="L13" s="7">
        <v>11</v>
      </c>
      <c r="M13" s="7">
        <v>6</v>
      </c>
      <c r="N13" s="7">
        <v>4</v>
      </c>
      <c r="O13" s="7">
        <v>15</v>
      </c>
      <c r="P13" s="7">
        <v>12</v>
      </c>
      <c r="Q13" s="7">
        <v>10</v>
      </c>
      <c r="R13" s="7">
        <v>7</v>
      </c>
      <c r="S13" s="7">
        <v>2</v>
      </c>
      <c r="T13" s="7">
        <v>5</v>
      </c>
      <c r="U13" s="7">
        <v>5</v>
      </c>
      <c r="V13" s="7">
        <v>8</v>
      </c>
      <c r="W13" s="7">
        <v>13</v>
      </c>
      <c r="X13" s="7">
        <v>5</v>
      </c>
      <c r="Y13" s="7">
        <v>12</v>
      </c>
      <c r="Z13" s="7"/>
      <c r="AA13" s="7">
        <v>13</v>
      </c>
      <c r="AB13" s="7">
        <v>8</v>
      </c>
      <c r="AC13" s="7">
        <v>7</v>
      </c>
      <c r="AD13" s="7">
        <v>5</v>
      </c>
      <c r="AE13" s="7">
        <v>8</v>
      </c>
      <c r="AF13" s="8"/>
      <c r="AG13" s="4">
        <f t="shared" si="2"/>
        <v>240</v>
      </c>
    </row>
    <row r="14" spans="1:33" ht="18.75" x14ac:dyDescent="0.25">
      <c r="A14" s="41" t="s">
        <v>45</v>
      </c>
      <c r="B14" s="7">
        <v>8</v>
      </c>
      <c r="C14" s="7">
        <v>7</v>
      </c>
      <c r="D14" s="7">
        <v>7</v>
      </c>
      <c r="E14" s="7">
        <v>13</v>
      </c>
      <c r="F14" s="7">
        <v>10</v>
      </c>
      <c r="G14" s="7">
        <v>7</v>
      </c>
      <c r="H14" s="7">
        <v>13</v>
      </c>
      <c r="I14" s="7">
        <v>7</v>
      </c>
      <c r="J14" s="7">
        <v>8</v>
      </c>
      <c r="K14" s="7">
        <v>12</v>
      </c>
      <c r="L14" s="7">
        <v>4</v>
      </c>
      <c r="M14" s="7">
        <v>10</v>
      </c>
      <c r="N14" s="7">
        <v>4</v>
      </c>
      <c r="O14" s="7">
        <v>4</v>
      </c>
      <c r="P14" s="7">
        <v>9</v>
      </c>
      <c r="Q14" s="7">
        <v>7</v>
      </c>
      <c r="R14" s="7">
        <v>2</v>
      </c>
      <c r="S14" s="7">
        <v>4</v>
      </c>
      <c r="T14" s="7">
        <v>6</v>
      </c>
      <c r="U14" s="7">
        <v>9</v>
      </c>
      <c r="V14" s="7">
        <v>13</v>
      </c>
      <c r="W14" s="7">
        <v>8</v>
      </c>
      <c r="X14" s="7">
        <v>14</v>
      </c>
      <c r="Y14" s="7">
        <v>8</v>
      </c>
      <c r="Z14" s="7">
        <v>9</v>
      </c>
      <c r="AA14" s="7">
        <v>8</v>
      </c>
      <c r="AB14" s="7">
        <v>7</v>
      </c>
      <c r="AC14" s="7">
        <v>10</v>
      </c>
      <c r="AD14" s="7">
        <v>11</v>
      </c>
      <c r="AE14" s="7">
        <v>9</v>
      </c>
      <c r="AF14" s="8"/>
      <c r="AG14" s="4">
        <f t="shared" si="2"/>
        <v>248</v>
      </c>
    </row>
    <row r="15" spans="1:33" ht="18.75" x14ac:dyDescent="0.25">
      <c r="A15" s="41" t="s">
        <v>46</v>
      </c>
      <c r="B15" s="7">
        <v>4</v>
      </c>
      <c r="C15" s="7">
        <v>5</v>
      </c>
      <c r="D15" s="7">
        <v>5</v>
      </c>
      <c r="E15" s="7">
        <v>3</v>
      </c>
      <c r="F15" s="7">
        <v>4</v>
      </c>
      <c r="G15" s="7">
        <v>7</v>
      </c>
      <c r="H15" s="7">
        <v>7</v>
      </c>
      <c r="I15" s="7">
        <v>11</v>
      </c>
      <c r="J15" s="7">
        <v>7</v>
      </c>
      <c r="K15" s="7">
        <v>3</v>
      </c>
      <c r="L15" s="7">
        <v>8</v>
      </c>
      <c r="M15" s="7">
        <v>11</v>
      </c>
      <c r="N15" s="7">
        <v>5</v>
      </c>
      <c r="O15" s="7">
        <v>6</v>
      </c>
      <c r="P15" s="7">
        <v>9</v>
      </c>
      <c r="Q15" s="7">
        <v>6</v>
      </c>
      <c r="R15" s="7">
        <v>3</v>
      </c>
      <c r="S15" s="7">
        <v>8</v>
      </c>
      <c r="T15" s="7">
        <v>6</v>
      </c>
      <c r="U15" s="7">
        <v>3</v>
      </c>
      <c r="V15" s="7">
        <v>7</v>
      </c>
      <c r="W15" s="7">
        <v>4</v>
      </c>
      <c r="X15" s="7">
        <v>3</v>
      </c>
      <c r="Y15" s="7">
        <v>7</v>
      </c>
      <c r="Z15" s="7">
        <v>9</v>
      </c>
      <c r="AA15" s="7">
        <v>4</v>
      </c>
      <c r="AB15" s="7">
        <v>3</v>
      </c>
      <c r="AC15" s="7">
        <v>7</v>
      </c>
      <c r="AD15" s="7">
        <v>5</v>
      </c>
      <c r="AE15" s="7">
        <v>7</v>
      </c>
      <c r="AF15" s="8"/>
      <c r="AG15" s="4">
        <f t="shared" si="2"/>
        <v>177</v>
      </c>
    </row>
    <row r="16" spans="1:33" ht="18.75" x14ac:dyDescent="0.25">
      <c r="A16" s="41" t="s">
        <v>47</v>
      </c>
      <c r="B16" s="7">
        <v>8</v>
      </c>
      <c r="C16" s="7">
        <v>6</v>
      </c>
      <c r="D16" s="7">
        <v>4</v>
      </c>
      <c r="E16" s="7">
        <v>4</v>
      </c>
      <c r="F16" s="7">
        <v>3</v>
      </c>
      <c r="G16" s="7">
        <v>7</v>
      </c>
      <c r="H16" s="7">
        <v>3</v>
      </c>
      <c r="I16" s="7">
        <v>8</v>
      </c>
      <c r="J16" s="7">
        <v>6</v>
      </c>
      <c r="K16" s="7">
        <v>5</v>
      </c>
      <c r="L16" s="7">
        <v>9</v>
      </c>
      <c r="M16" s="7">
        <v>8</v>
      </c>
      <c r="N16" s="7">
        <v>7</v>
      </c>
      <c r="O16" s="7">
        <v>5</v>
      </c>
      <c r="P16" s="7">
        <v>6</v>
      </c>
      <c r="Q16" s="7">
        <v>3</v>
      </c>
      <c r="R16" s="7">
        <v>2</v>
      </c>
      <c r="S16" s="7">
        <v>6</v>
      </c>
      <c r="T16" s="7">
        <v>4</v>
      </c>
      <c r="U16" s="7">
        <v>6</v>
      </c>
      <c r="V16" s="7">
        <v>10</v>
      </c>
      <c r="W16" s="7">
        <v>6</v>
      </c>
      <c r="X16" s="7">
        <v>10</v>
      </c>
      <c r="Y16" s="7">
        <v>11</v>
      </c>
      <c r="Z16" s="7">
        <v>5</v>
      </c>
      <c r="AA16" s="7">
        <v>7</v>
      </c>
      <c r="AB16" s="7">
        <v>9</v>
      </c>
      <c r="AC16" s="7">
        <v>3</v>
      </c>
      <c r="AD16" s="7">
        <v>6</v>
      </c>
      <c r="AE16" s="7">
        <v>5</v>
      </c>
      <c r="AF16" s="8"/>
      <c r="AG16" s="4">
        <f t="shared" si="2"/>
        <v>182</v>
      </c>
    </row>
    <row r="17" spans="1:33" ht="18.75" x14ac:dyDescent="0.25">
      <c r="A17" s="41" t="s">
        <v>48</v>
      </c>
      <c r="B17" s="7">
        <v>5</v>
      </c>
      <c r="C17" s="7">
        <v>2</v>
      </c>
      <c r="D17" s="7">
        <v>7</v>
      </c>
      <c r="E17" s="7">
        <v>3</v>
      </c>
      <c r="F17" s="7">
        <v>8</v>
      </c>
      <c r="G17" s="7">
        <v>4</v>
      </c>
      <c r="H17" s="7">
        <v>7</v>
      </c>
      <c r="I17" s="7">
        <v>4</v>
      </c>
      <c r="J17" s="7">
        <v>7</v>
      </c>
      <c r="K17" s="7">
        <v>5</v>
      </c>
      <c r="L17" s="7">
        <v>6</v>
      </c>
      <c r="M17" s="7">
        <v>3</v>
      </c>
      <c r="N17" s="7">
        <v>4</v>
      </c>
      <c r="O17" s="7">
        <v>3</v>
      </c>
      <c r="P17" s="7">
        <v>1</v>
      </c>
      <c r="Q17" s="7">
        <v>2</v>
      </c>
      <c r="R17" s="7">
        <v>5</v>
      </c>
      <c r="S17" s="7">
        <v>3</v>
      </c>
      <c r="T17" s="7">
        <v>1</v>
      </c>
      <c r="U17" s="7">
        <v>4</v>
      </c>
      <c r="V17" s="7">
        <v>8</v>
      </c>
      <c r="W17" s="7">
        <v>1</v>
      </c>
      <c r="X17" s="7">
        <v>10</v>
      </c>
      <c r="Y17" s="7">
        <v>13</v>
      </c>
      <c r="Z17" s="7">
        <v>5</v>
      </c>
      <c r="AA17" s="7">
        <v>6</v>
      </c>
      <c r="AB17" s="7">
        <v>2</v>
      </c>
      <c r="AC17" s="7">
        <v>7</v>
      </c>
      <c r="AD17" s="7">
        <v>3</v>
      </c>
      <c r="AE17" s="7">
        <v>1</v>
      </c>
      <c r="AF17" s="8"/>
      <c r="AG17" s="4">
        <f t="shared" si="2"/>
        <v>140</v>
      </c>
    </row>
    <row r="18" spans="1:33" ht="18.75" x14ac:dyDescent="0.25">
      <c r="A18" s="41" t="s">
        <v>49</v>
      </c>
      <c r="B18" s="7">
        <v>4</v>
      </c>
      <c r="C18" s="7">
        <v>3</v>
      </c>
      <c r="D18" s="7">
        <v>4</v>
      </c>
      <c r="E18" s="7">
        <v>2</v>
      </c>
      <c r="F18" s="7">
        <v>4</v>
      </c>
      <c r="G18" s="7">
        <v>2</v>
      </c>
      <c r="H18" s="7">
        <v>1</v>
      </c>
      <c r="I18" s="7">
        <v>2</v>
      </c>
      <c r="J18" s="7">
        <v>3</v>
      </c>
      <c r="K18" s="7">
        <v>3</v>
      </c>
      <c r="L18" s="7">
        <v>6</v>
      </c>
      <c r="M18" s="7">
        <v>3</v>
      </c>
      <c r="N18" s="7">
        <v>1</v>
      </c>
      <c r="O18" s="7">
        <v>3</v>
      </c>
      <c r="P18" s="7">
        <v>2</v>
      </c>
      <c r="Q18" s="7">
        <v>1</v>
      </c>
      <c r="R18" s="7">
        <v>8</v>
      </c>
      <c r="S18" s="7">
        <v>5</v>
      </c>
      <c r="T18" s="7">
        <v>2</v>
      </c>
      <c r="U18" s="7">
        <v>2</v>
      </c>
      <c r="V18" s="7">
        <v>6</v>
      </c>
      <c r="W18" s="7">
        <v>1</v>
      </c>
      <c r="X18" s="7">
        <v>3</v>
      </c>
      <c r="Y18" s="7">
        <v>6</v>
      </c>
      <c r="Z18" s="7">
        <v>6</v>
      </c>
      <c r="AA18" s="7">
        <v>10</v>
      </c>
      <c r="AB18" s="7">
        <v>4</v>
      </c>
      <c r="AC18" s="7">
        <v>2</v>
      </c>
      <c r="AD18" s="7">
        <v>4</v>
      </c>
      <c r="AE18" s="7">
        <v>3</v>
      </c>
      <c r="AF18" s="8"/>
      <c r="AG18" s="4">
        <f t="shared" si="2"/>
        <v>106</v>
      </c>
    </row>
    <row r="19" spans="1:33" ht="18.75" x14ac:dyDescent="0.25">
      <c r="A19" s="41" t="s">
        <v>50</v>
      </c>
      <c r="B19" s="7">
        <v>2</v>
      </c>
      <c r="C19" s="7">
        <v>2</v>
      </c>
      <c r="D19" s="7">
        <v>4</v>
      </c>
      <c r="E19" s="7">
        <v>1</v>
      </c>
      <c r="F19" s="7">
        <v>5</v>
      </c>
      <c r="G19" s="7">
        <v>3</v>
      </c>
      <c r="H19" s="7">
        <v>1</v>
      </c>
      <c r="I19" s="7">
        <v>6</v>
      </c>
      <c r="J19" s="7">
        <v>3</v>
      </c>
      <c r="K19" s="7">
        <v>2</v>
      </c>
      <c r="L19" s="7">
        <v>3</v>
      </c>
      <c r="M19" s="7">
        <v>2</v>
      </c>
      <c r="N19" s="7">
        <v>2</v>
      </c>
      <c r="O19" s="7">
        <v>3</v>
      </c>
      <c r="P19" s="7"/>
      <c r="Q19" s="7">
        <v>1</v>
      </c>
      <c r="R19" s="7">
        <v>5</v>
      </c>
      <c r="S19" s="7">
        <v>1</v>
      </c>
      <c r="T19" s="7">
        <v>6</v>
      </c>
      <c r="U19" s="7">
        <v>3</v>
      </c>
      <c r="V19" s="7">
        <v>1</v>
      </c>
      <c r="W19" s="7">
        <v>4</v>
      </c>
      <c r="X19" s="7">
        <v>3</v>
      </c>
      <c r="Y19" s="7">
        <v>4</v>
      </c>
      <c r="Z19" s="7">
        <v>1</v>
      </c>
      <c r="AA19" s="7">
        <v>2</v>
      </c>
      <c r="AB19" s="7">
        <v>6</v>
      </c>
      <c r="AC19" s="7">
        <v>4</v>
      </c>
      <c r="AD19" s="7">
        <v>3</v>
      </c>
      <c r="AE19" s="7">
        <v>3</v>
      </c>
      <c r="AF19" s="8"/>
      <c r="AG19" s="4">
        <f t="shared" si="2"/>
        <v>86</v>
      </c>
    </row>
    <row r="20" spans="1:33" ht="18.75" x14ac:dyDescent="0.25">
      <c r="A20" s="41" t="s">
        <v>33</v>
      </c>
      <c r="B20" s="7">
        <v>1</v>
      </c>
      <c r="C20" s="7">
        <v>3</v>
      </c>
      <c r="D20" s="7">
        <v>1</v>
      </c>
      <c r="E20" s="7">
        <v>1</v>
      </c>
      <c r="F20" s="7"/>
      <c r="G20" s="7"/>
      <c r="H20" s="7">
        <v>1</v>
      </c>
      <c r="I20" s="7">
        <v>2</v>
      </c>
      <c r="J20" s="7">
        <v>1</v>
      </c>
      <c r="K20" s="7">
        <v>1</v>
      </c>
      <c r="L20" s="7">
        <v>6</v>
      </c>
      <c r="M20" s="7"/>
      <c r="N20" s="7">
        <v>1</v>
      </c>
      <c r="O20" s="7"/>
      <c r="P20" s="7">
        <v>1</v>
      </c>
      <c r="Q20" s="7"/>
      <c r="R20" s="7"/>
      <c r="S20" s="7"/>
      <c r="T20" s="7">
        <v>1</v>
      </c>
      <c r="U20" s="7">
        <v>2</v>
      </c>
      <c r="V20" s="7">
        <v>5</v>
      </c>
      <c r="W20" s="7">
        <v>1</v>
      </c>
      <c r="X20" s="7">
        <v>2</v>
      </c>
      <c r="Y20" s="7">
        <v>3</v>
      </c>
      <c r="Z20" s="7">
        <v>2</v>
      </c>
      <c r="AA20" s="7">
        <v>2</v>
      </c>
      <c r="AB20" s="7">
        <v>4</v>
      </c>
      <c r="AC20" s="7">
        <v>2</v>
      </c>
      <c r="AD20" s="7">
        <v>2</v>
      </c>
      <c r="AE20" s="7">
        <v>3</v>
      </c>
      <c r="AF20" s="8"/>
      <c r="AG20" s="4">
        <f t="shared" si="2"/>
        <v>48</v>
      </c>
    </row>
    <row r="21" spans="1:33" ht="18.75" x14ac:dyDescent="0.25">
      <c r="A21" s="41" t="s">
        <v>34</v>
      </c>
      <c r="B21" s="7">
        <v>2</v>
      </c>
      <c r="C21" s="7">
        <v>1</v>
      </c>
      <c r="D21" s="7">
        <v>2</v>
      </c>
      <c r="E21" s="7">
        <v>3</v>
      </c>
      <c r="F21" s="7">
        <v>5</v>
      </c>
      <c r="G21" s="7">
        <v>1</v>
      </c>
      <c r="H21" s="7"/>
      <c r="I21" s="7"/>
      <c r="J21" s="7"/>
      <c r="K21" s="7">
        <v>1</v>
      </c>
      <c r="L21" s="7"/>
      <c r="M21" s="7">
        <v>1</v>
      </c>
      <c r="N21" s="7">
        <v>4</v>
      </c>
      <c r="O21" s="7">
        <v>3</v>
      </c>
      <c r="P21" s="7">
        <v>4</v>
      </c>
      <c r="Q21" s="7"/>
      <c r="R21" s="7"/>
      <c r="S21" s="7">
        <v>3</v>
      </c>
      <c r="T21" s="7">
        <v>1</v>
      </c>
      <c r="U21" s="7">
        <v>4</v>
      </c>
      <c r="V21" s="7"/>
      <c r="W21" s="7">
        <v>3</v>
      </c>
      <c r="X21" s="7">
        <v>1</v>
      </c>
      <c r="Y21" s="7">
        <v>1</v>
      </c>
      <c r="Z21" s="7"/>
      <c r="AA21" s="7">
        <v>1</v>
      </c>
      <c r="AB21" s="7"/>
      <c r="AC21" s="7">
        <v>2</v>
      </c>
      <c r="AD21" s="7">
        <v>6</v>
      </c>
      <c r="AE21" s="7"/>
      <c r="AF21" s="8"/>
      <c r="AG21" s="4">
        <f t="shared" si="2"/>
        <v>49</v>
      </c>
    </row>
    <row r="22" spans="1:33" ht="18.75" x14ac:dyDescent="0.25">
      <c r="A22" s="41" t="s">
        <v>35</v>
      </c>
      <c r="B22" s="7">
        <v>3</v>
      </c>
      <c r="C22" s="7">
        <v>2</v>
      </c>
      <c r="D22" s="7">
        <v>1</v>
      </c>
      <c r="E22" s="7"/>
      <c r="F22" s="7">
        <v>8</v>
      </c>
      <c r="G22" s="7">
        <v>1</v>
      </c>
      <c r="H22" s="7"/>
      <c r="I22" s="7">
        <v>1</v>
      </c>
      <c r="J22" s="7">
        <v>2</v>
      </c>
      <c r="K22" s="7">
        <v>3</v>
      </c>
      <c r="L22" s="7">
        <v>1</v>
      </c>
      <c r="M22" s="7"/>
      <c r="N22" s="7">
        <v>3</v>
      </c>
      <c r="O22" s="7">
        <v>3</v>
      </c>
      <c r="P22" s="7">
        <v>3</v>
      </c>
      <c r="Q22" s="7">
        <v>1</v>
      </c>
      <c r="R22" s="7">
        <v>2</v>
      </c>
      <c r="S22" s="7">
        <v>2</v>
      </c>
      <c r="T22" s="7"/>
      <c r="U22" s="7"/>
      <c r="V22" s="7">
        <v>1</v>
      </c>
      <c r="W22" s="7">
        <v>1</v>
      </c>
      <c r="X22" s="7"/>
      <c r="Y22" s="7">
        <v>1</v>
      </c>
      <c r="Z22" s="7">
        <v>1</v>
      </c>
      <c r="AA22" s="7">
        <v>2</v>
      </c>
      <c r="AB22" s="7"/>
      <c r="AC22" s="7"/>
      <c r="AD22" s="7"/>
      <c r="AE22" s="7">
        <v>1</v>
      </c>
      <c r="AF22" s="8"/>
      <c r="AG22" s="4">
        <f t="shared" si="2"/>
        <v>43</v>
      </c>
    </row>
    <row r="23" spans="1:33" ht="18.75" x14ac:dyDescent="0.25">
      <c r="A23" s="41" t="s">
        <v>36</v>
      </c>
      <c r="B23" s="7"/>
      <c r="C23" s="7"/>
      <c r="D23" s="7"/>
      <c r="E23" s="7"/>
      <c r="F23" s="7">
        <v>1</v>
      </c>
      <c r="G23" s="7">
        <v>2</v>
      </c>
      <c r="H23" s="7">
        <v>1</v>
      </c>
      <c r="I23" s="7">
        <v>1</v>
      </c>
      <c r="J23" s="7">
        <v>1</v>
      </c>
      <c r="K23" s="7">
        <v>1</v>
      </c>
      <c r="L23" s="7">
        <v>1</v>
      </c>
      <c r="M23" s="7"/>
      <c r="N23" s="7"/>
      <c r="O23" s="7">
        <v>3</v>
      </c>
      <c r="P23" s="7">
        <v>1</v>
      </c>
      <c r="Q23" s="7">
        <v>1</v>
      </c>
      <c r="R23" s="7">
        <v>1</v>
      </c>
      <c r="S23" s="7">
        <v>4</v>
      </c>
      <c r="T23" s="7">
        <v>2</v>
      </c>
      <c r="U23" s="7">
        <v>1</v>
      </c>
      <c r="V23" s="7"/>
      <c r="W23" s="7"/>
      <c r="X23" s="7"/>
      <c r="Y23" s="7"/>
      <c r="Z23" s="7">
        <v>1</v>
      </c>
      <c r="AA23" s="7"/>
      <c r="AB23" s="7">
        <v>5</v>
      </c>
      <c r="AC23" s="7">
        <v>1</v>
      </c>
      <c r="AD23" s="7">
        <v>1</v>
      </c>
      <c r="AE23" s="7"/>
      <c r="AF23" s="8"/>
      <c r="AG23" s="4">
        <f t="shared" si="2"/>
        <v>29</v>
      </c>
    </row>
    <row r="24" spans="1:33" ht="18.75" x14ac:dyDescent="0.25">
      <c r="A24" s="41" t="s">
        <v>51</v>
      </c>
      <c r="B24" s="7">
        <v>1</v>
      </c>
      <c r="C24" s="7"/>
      <c r="D24" s="7"/>
      <c r="E24" s="7"/>
      <c r="F24" s="7"/>
      <c r="G24" s="7">
        <v>2</v>
      </c>
      <c r="H24" s="7"/>
      <c r="I24" s="7"/>
      <c r="J24" s="7">
        <v>1</v>
      </c>
      <c r="K24" s="7"/>
      <c r="L24" s="7"/>
      <c r="M24" s="7"/>
      <c r="N24" s="7">
        <v>2</v>
      </c>
      <c r="O24" s="7"/>
      <c r="P24" s="7">
        <v>2</v>
      </c>
      <c r="Q24" s="7"/>
      <c r="R24" s="7">
        <v>1</v>
      </c>
      <c r="S24" s="7"/>
      <c r="T24" s="7">
        <v>1</v>
      </c>
      <c r="U24" s="7">
        <v>1</v>
      </c>
      <c r="V24" s="7">
        <v>1</v>
      </c>
      <c r="W24" s="7"/>
      <c r="X24" s="7"/>
      <c r="Y24" s="7"/>
      <c r="Z24" s="7"/>
      <c r="AA24" s="7"/>
      <c r="AB24" s="7"/>
      <c r="AC24" s="7"/>
      <c r="AD24" s="7"/>
      <c r="AE24" s="7"/>
      <c r="AF24" s="8"/>
      <c r="AG24" s="4">
        <f t="shared" si="2"/>
        <v>12</v>
      </c>
    </row>
    <row r="25" spans="1:33" ht="18.75" x14ac:dyDescent="0.25">
      <c r="A25" s="41" t="s">
        <v>52</v>
      </c>
      <c r="B25" s="7"/>
      <c r="C25" s="7">
        <v>1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>
        <v>1</v>
      </c>
      <c r="O25" s="7">
        <v>1</v>
      </c>
      <c r="P25" s="7">
        <v>1</v>
      </c>
      <c r="Q25" s="7"/>
      <c r="R25" s="7"/>
      <c r="S25" s="7">
        <v>1</v>
      </c>
      <c r="T25" s="7"/>
      <c r="U25" s="7"/>
      <c r="V25" s="7"/>
      <c r="W25" s="7"/>
      <c r="X25" s="7"/>
      <c r="Y25" s="7"/>
      <c r="Z25" s="7">
        <v>1</v>
      </c>
      <c r="AA25" s="7">
        <v>1</v>
      </c>
      <c r="AB25" s="7"/>
      <c r="AC25" s="7"/>
      <c r="AD25" s="7">
        <v>1</v>
      </c>
      <c r="AE25" s="7">
        <v>1</v>
      </c>
      <c r="AF25" s="8"/>
      <c r="AG25" s="4">
        <f t="shared" si="2"/>
        <v>9</v>
      </c>
    </row>
    <row r="26" spans="1:33" ht="18.75" x14ac:dyDescent="0.25">
      <c r="A26" s="41" t="s">
        <v>37</v>
      </c>
      <c r="B26" s="7">
        <v>2</v>
      </c>
      <c r="C26" s="7"/>
      <c r="D26" s="7"/>
      <c r="E26" s="7"/>
      <c r="F26" s="7"/>
      <c r="G26" s="7">
        <v>2</v>
      </c>
      <c r="H26" s="7"/>
      <c r="I26" s="7"/>
      <c r="J26" s="7">
        <v>1</v>
      </c>
      <c r="K26" s="7"/>
      <c r="L26" s="7"/>
      <c r="M26" s="7"/>
      <c r="N26" s="7">
        <v>1</v>
      </c>
      <c r="O26" s="7">
        <v>1</v>
      </c>
      <c r="P26" s="7">
        <v>2</v>
      </c>
      <c r="Q26" s="7"/>
      <c r="R26" s="7"/>
      <c r="S26" s="7">
        <v>2</v>
      </c>
      <c r="T26" s="7">
        <v>2</v>
      </c>
      <c r="U26" s="7">
        <v>3</v>
      </c>
      <c r="V26" s="7"/>
      <c r="W26" s="7"/>
      <c r="X26" s="7">
        <v>1</v>
      </c>
      <c r="Y26" s="7"/>
      <c r="Z26" s="7"/>
      <c r="AA26" s="7"/>
      <c r="AB26" s="7"/>
      <c r="AC26" s="7"/>
      <c r="AD26" s="7">
        <v>1</v>
      </c>
      <c r="AE26" s="7"/>
      <c r="AF26" s="8"/>
      <c r="AG26" s="4">
        <f t="shared" si="2"/>
        <v>18</v>
      </c>
    </row>
    <row r="27" spans="1:33" ht="19.5" thickBot="1" x14ac:dyDescent="0.3">
      <c r="A27" s="81" t="s">
        <v>53</v>
      </c>
      <c r="B27" s="78"/>
      <c r="C27" s="78"/>
      <c r="D27" s="78"/>
      <c r="E27" s="78">
        <v>2</v>
      </c>
      <c r="F27" s="78">
        <v>1</v>
      </c>
      <c r="G27" s="78"/>
      <c r="H27" s="78">
        <v>2</v>
      </c>
      <c r="I27" s="78">
        <v>2</v>
      </c>
      <c r="J27" s="78">
        <v>1</v>
      </c>
      <c r="K27" s="78"/>
      <c r="L27" s="78"/>
      <c r="M27" s="78"/>
      <c r="N27" s="78"/>
      <c r="O27" s="78"/>
      <c r="P27" s="78"/>
      <c r="Q27" s="78">
        <v>1</v>
      </c>
      <c r="R27" s="78">
        <v>3</v>
      </c>
      <c r="S27" s="78"/>
      <c r="T27" s="78">
        <v>1</v>
      </c>
      <c r="U27" s="78">
        <v>1</v>
      </c>
      <c r="V27" s="78"/>
      <c r="W27" s="78">
        <v>2</v>
      </c>
      <c r="X27" s="78"/>
      <c r="Y27" s="78">
        <v>1</v>
      </c>
      <c r="Z27" s="78"/>
      <c r="AA27" s="78">
        <v>1</v>
      </c>
      <c r="AB27" s="78">
        <v>2</v>
      </c>
      <c r="AC27" s="78"/>
      <c r="AD27" s="78">
        <v>2</v>
      </c>
      <c r="AE27" s="78"/>
      <c r="AF27" s="83"/>
      <c r="AG27" s="4">
        <f t="shared" si="2"/>
        <v>22</v>
      </c>
    </row>
    <row r="28" spans="1:33" ht="18.75" x14ac:dyDescent="0.25">
      <c r="A28" s="79" t="s">
        <v>107</v>
      </c>
      <c r="B28" s="80">
        <f>SUM(B29:B52)</f>
        <v>108</v>
      </c>
      <c r="C28" s="80">
        <f t="shared" ref="C28:AF28" si="3">SUM(C29:C52)</f>
        <v>71</v>
      </c>
      <c r="D28" s="80">
        <f t="shared" si="3"/>
        <v>90</v>
      </c>
      <c r="E28" s="80">
        <f t="shared" si="3"/>
        <v>109</v>
      </c>
      <c r="F28" s="80">
        <f t="shared" si="3"/>
        <v>106</v>
      </c>
      <c r="G28" s="80">
        <f t="shared" si="3"/>
        <v>87</v>
      </c>
      <c r="H28" s="80">
        <f t="shared" si="3"/>
        <v>108</v>
      </c>
      <c r="I28" s="80">
        <f t="shared" si="3"/>
        <v>96</v>
      </c>
      <c r="J28" s="80">
        <f t="shared" si="3"/>
        <v>109</v>
      </c>
      <c r="K28" s="80">
        <f t="shared" si="3"/>
        <v>105</v>
      </c>
      <c r="L28" s="80">
        <f t="shared" si="3"/>
        <v>135</v>
      </c>
      <c r="M28" s="80">
        <f t="shared" si="3"/>
        <v>108</v>
      </c>
      <c r="N28" s="80">
        <f t="shared" si="3"/>
        <v>76</v>
      </c>
      <c r="O28" s="80">
        <f t="shared" si="3"/>
        <v>111</v>
      </c>
      <c r="P28" s="80">
        <f t="shared" si="3"/>
        <v>117</v>
      </c>
      <c r="Q28" s="80">
        <f t="shared" si="3"/>
        <v>88</v>
      </c>
      <c r="R28" s="80">
        <f t="shared" si="3"/>
        <v>76</v>
      </c>
      <c r="S28" s="80">
        <f t="shared" si="3"/>
        <v>72</v>
      </c>
      <c r="T28" s="80">
        <f t="shared" si="3"/>
        <v>85</v>
      </c>
      <c r="U28" s="80">
        <f t="shared" si="3"/>
        <v>97</v>
      </c>
      <c r="V28" s="80">
        <f t="shared" si="3"/>
        <v>144</v>
      </c>
      <c r="W28" s="80">
        <f t="shared" si="3"/>
        <v>113</v>
      </c>
      <c r="X28" s="80">
        <f t="shared" si="3"/>
        <v>143</v>
      </c>
      <c r="Y28" s="80">
        <f t="shared" si="3"/>
        <v>144</v>
      </c>
      <c r="Z28" s="80">
        <f t="shared" si="3"/>
        <v>68</v>
      </c>
      <c r="AA28" s="80">
        <f t="shared" si="3"/>
        <v>99</v>
      </c>
      <c r="AB28" s="80">
        <f t="shared" si="3"/>
        <v>96</v>
      </c>
      <c r="AC28" s="80">
        <f t="shared" si="3"/>
        <v>116</v>
      </c>
      <c r="AD28" s="80">
        <f t="shared" si="3"/>
        <v>105</v>
      </c>
      <c r="AE28" s="80">
        <f>SUM(AE29:AE52)</f>
        <v>86</v>
      </c>
      <c r="AF28" s="80">
        <f t="shared" si="3"/>
        <v>0</v>
      </c>
      <c r="AG28" s="150">
        <f t="shared" si="2"/>
        <v>3068</v>
      </c>
    </row>
    <row r="29" spans="1:33" ht="18.75" x14ac:dyDescent="0.25">
      <c r="A29" s="41" t="s">
        <v>54</v>
      </c>
      <c r="B29" s="7">
        <v>4</v>
      </c>
      <c r="C29" s="7"/>
      <c r="D29" s="7"/>
      <c r="E29" s="7">
        <v>4</v>
      </c>
      <c r="F29" s="7">
        <v>3</v>
      </c>
      <c r="G29" s="7">
        <v>1</v>
      </c>
      <c r="H29" s="7">
        <v>1</v>
      </c>
      <c r="I29" s="7">
        <v>2</v>
      </c>
      <c r="J29" s="7"/>
      <c r="K29" s="7"/>
      <c r="L29" s="7">
        <v>1</v>
      </c>
      <c r="M29" s="7">
        <v>1</v>
      </c>
      <c r="N29" s="7"/>
      <c r="O29" s="7">
        <v>3</v>
      </c>
      <c r="P29" s="7">
        <v>1</v>
      </c>
      <c r="Q29" s="7">
        <v>1</v>
      </c>
      <c r="R29" s="7">
        <v>1</v>
      </c>
      <c r="S29" s="7">
        <v>1</v>
      </c>
      <c r="T29" s="7">
        <v>1</v>
      </c>
      <c r="U29" s="7"/>
      <c r="V29" s="7">
        <v>2</v>
      </c>
      <c r="W29" s="7">
        <v>1</v>
      </c>
      <c r="X29" s="7"/>
      <c r="Y29" s="7">
        <v>2</v>
      </c>
      <c r="Z29" s="7">
        <v>3</v>
      </c>
      <c r="AA29" s="7">
        <v>1</v>
      </c>
      <c r="AB29" s="7">
        <v>2</v>
      </c>
      <c r="AC29" s="7">
        <v>2</v>
      </c>
      <c r="AD29" s="7">
        <v>4</v>
      </c>
      <c r="AE29" s="7">
        <v>3</v>
      </c>
      <c r="AF29" s="8"/>
      <c r="AG29" s="4">
        <f t="shared" si="2"/>
        <v>45</v>
      </c>
    </row>
    <row r="30" spans="1:33" ht="18.75" x14ac:dyDescent="0.25">
      <c r="A30" s="41" t="s">
        <v>55</v>
      </c>
      <c r="B30" s="7">
        <v>7</v>
      </c>
      <c r="C30" s="7">
        <v>1</v>
      </c>
      <c r="D30" s="7">
        <v>2</v>
      </c>
      <c r="E30" s="7">
        <v>6</v>
      </c>
      <c r="F30" s="7">
        <v>8</v>
      </c>
      <c r="G30" s="7">
        <v>2</v>
      </c>
      <c r="H30" s="7">
        <v>6</v>
      </c>
      <c r="I30" s="7">
        <v>6</v>
      </c>
      <c r="J30" s="7">
        <v>4</v>
      </c>
      <c r="K30" s="7">
        <v>5</v>
      </c>
      <c r="L30" s="7">
        <v>6</v>
      </c>
      <c r="M30" s="7">
        <v>2</v>
      </c>
      <c r="N30" s="7"/>
      <c r="O30" s="7">
        <v>6</v>
      </c>
      <c r="P30" s="7">
        <v>7</v>
      </c>
      <c r="Q30" s="7">
        <v>8</v>
      </c>
      <c r="R30" s="7">
        <v>3</v>
      </c>
      <c r="S30" s="7"/>
      <c r="T30" s="7"/>
      <c r="U30" s="7">
        <v>5</v>
      </c>
      <c r="V30" s="7">
        <v>9</v>
      </c>
      <c r="W30" s="7">
        <v>12</v>
      </c>
      <c r="X30" s="7">
        <v>10</v>
      </c>
      <c r="Y30" s="7">
        <v>6</v>
      </c>
      <c r="Z30" s="7">
        <v>10</v>
      </c>
      <c r="AA30" s="7">
        <v>3</v>
      </c>
      <c r="AB30" s="7">
        <v>2</v>
      </c>
      <c r="AC30" s="7">
        <v>4</v>
      </c>
      <c r="AD30" s="7">
        <v>13</v>
      </c>
      <c r="AE30" s="7">
        <v>5</v>
      </c>
      <c r="AF30" s="8"/>
      <c r="AG30" s="4">
        <f t="shared" si="2"/>
        <v>158</v>
      </c>
    </row>
    <row r="31" spans="1:33" ht="18.75" x14ac:dyDescent="0.25">
      <c r="A31" s="41" t="s">
        <v>56</v>
      </c>
      <c r="B31" s="7">
        <v>5</v>
      </c>
      <c r="C31" s="7">
        <v>5</v>
      </c>
      <c r="D31" s="7">
        <v>4</v>
      </c>
      <c r="E31" s="7">
        <v>3</v>
      </c>
      <c r="F31" s="7">
        <v>4</v>
      </c>
      <c r="G31" s="7">
        <v>4</v>
      </c>
      <c r="H31" s="7">
        <v>4</v>
      </c>
      <c r="I31" s="7">
        <v>2</v>
      </c>
      <c r="J31" s="7">
        <v>6</v>
      </c>
      <c r="K31" s="7">
        <v>7</v>
      </c>
      <c r="L31" s="7">
        <v>7</v>
      </c>
      <c r="M31" s="7">
        <v>6</v>
      </c>
      <c r="N31" s="7">
        <v>2</v>
      </c>
      <c r="O31" s="7">
        <v>8</v>
      </c>
      <c r="P31" s="7">
        <v>4</v>
      </c>
      <c r="Q31" s="7">
        <v>5</v>
      </c>
      <c r="R31" s="7">
        <v>6</v>
      </c>
      <c r="S31" s="7">
        <v>2</v>
      </c>
      <c r="T31" s="7">
        <v>6</v>
      </c>
      <c r="U31" s="7">
        <v>3</v>
      </c>
      <c r="V31" s="7">
        <v>12</v>
      </c>
      <c r="W31" s="7">
        <v>12</v>
      </c>
      <c r="X31" s="7">
        <v>6</v>
      </c>
      <c r="Y31" s="7">
        <v>9</v>
      </c>
      <c r="Z31" s="7">
        <v>10</v>
      </c>
      <c r="AA31" s="7">
        <v>5</v>
      </c>
      <c r="AB31" s="7">
        <v>3</v>
      </c>
      <c r="AC31" s="7">
        <v>10</v>
      </c>
      <c r="AD31" s="7">
        <v>8</v>
      </c>
      <c r="AE31" s="7">
        <v>3</v>
      </c>
      <c r="AF31" s="8"/>
      <c r="AG31" s="4">
        <f t="shared" si="2"/>
        <v>171</v>
      </c>
    </row>
    <row r="32" spans="1:33" ht="18.75" x14ac:dyDescent="0.25">
      <c r="A32" s="41" t="s">
        <v>38</v>
      </c>
      <c r="B32" s="7">
        <v>3</v>
      </c>
      <c r="C32" s="7">
        <v>1</v>
      </c>
      <c r="D32" s="7">
        <v>8</v>
      </c>
      <c r="E32" s="7">
        <v>8</v>
      </c>
      <c r="F32" s="7">
        <v>4</v>
      </c>
      <c r="G32" s="7">
        <v>5</v>
      </c>
      <c r="H32" s="7">
        <v>5</v>
      </c>
      <c r="I32" s="7">
        <v>1</v>
      </c>
      <c r="J32" s="7">
        <v>2</v>
      </c>
      <c r="K32" s="7">
        <v>10</v>
      </c>
      <c r="L32" s="7">
        <v>12</v>
      </c>
      <c r="M32" s="7">
        <v>5</v>
      </c>
      <c r="N32" s="7">
        <v>4</v>
      </c>
      <c r="O32" s="7">
        <v>6</v>
      </c>
      <c r="P32" s="7">
        <v>9</v>
      </c>
      <c r="Q32" s="7">
        <v>6</v>
      </c>
      <c r="R32" s="7">
        <v>7</v>
      </c>
      <c r="S32" s="7">
        <v>3</v>
      </c>
      <c r="T32" s="7">
        <v>4</v>
      </c>
      <c r="U32" s="7"/>
      <c r="V32" s="7">
        <v>6</v>
      </c>
      <c r="W32" s="7">
        <v>5</v>
      </c>
      <c r="X32" s="7">
        <v>8</v>
      </c>
      <c r="Y32" s="7">
        <v>6</v>
      </c>
      <c r="Z32" s="7">
        <v>2</v>
      </c>
      <c r="AA32" s="7">
        <v>9</v>
      </c>
      <c r="AB32" s="7">
        <v>3</v>
      </c>
      <c r="AC32" s="7">
        <v>7</v>
      </c>
      <c r="AD32" s="7">
        <v>6</v>
      </c>
      <c r="AE32" s="7">
        <v>5</v>
      </c>
      <c r="AF32" s="8"/>
      <c r="AG32" s="4">
        <f t="shared" si="2"/>
        <v>160</v>
      </c>
    </row>
    <row r="33" spans="1:33" ht="18.75" x14ac:dyDescent="0.25">
      <c r="A33" s="41" t="s">
        <v>39</v>
      </c>
      <c r="B33" s="7">
        <v>6</v>
      </c>
      <c r="C33" s="7">
        <v>8</v>
      </c>
      <c r="D33" s="7">
        <v>5</v>
      </c>
      <c r="E33" s="7">
        <v>10</v>
      </c>
      <c r="F33" s="7">
        <v>3</v>
      </c>
      <c r="G33" s="7">
        <v>5</v>
      </c>
      <c r="H33" s="7">
        <v>8</v>
      </c>
      <c r="I33" s="7">
        <v>6</v>
      </c>
      <c r="J33" s="7">
        <v>7</v>
      </c>
      <c r="K33" s="7">
        <v>8</v>
      </c>
      <c r="L33" s="7">
        <v>9</v>
      </c>
      <c r="M33" s="7">
        <v>7</v>
      </c>
      <c r="N33" s="7">
        <v>6</v>
      </c>
      <c r="O33" s="7">
        <v>7</v>
      </c>
      <c r="P33" s="7">
        <v>10</v>
      </c>
      <c r="Q33" s="7">
        <v>6</v>
      </c>
      <c r="R33" s="7">
        <v>4</v>
      </c>
      <c r="S33" s="7">
        <v>5</v>
      </c>
      <c r="T33" s="7">
        <v>8</v>
      </c>
      <c r="U33" s="7">
        <v>5</v>
      </c>
      <c r="V33" s="7">
        <v>10</v>
      </c>
      <c r="W33" s="7">
        <v>10</v>
      </c>
      <c r="X33" s="7">
        <v>12</v>
      </c>
      <c r="Y33" s="7">
        <v>8</v>
      </c>
      <c r="Z33" s="7">
        <v>1</v>
      </c>
      <c r="AA33" s="7">
        <v>6</v>
      </c>
      <c r="AB33" s="7">
        <v>5</v>
      </c>
      <c r="AC33" s="7">
        <v>9</v>
      </c>
      <c r="AD33" s="7">
        <v>9</v>
      </c>
      <c r="AE33" s="7">
        <v>9</v>
      </c>
      <c r="AF33" s="8"/>
      <c r="AG33" s="4">
        <f t="shared" si="2"/>
        <v>212</v>
      </c>
    </row>
    <row r="34" spans="1:33" ht="18.75" x14ac:dyDescent="0.25">
      <c r="A34" s="41" t="s">
        <v>40</v>
      </c>
      <c r="B34" s="7">
        <v>8</v>
      </c>
      <c r="C34" s="7">
        <v>4</v>
      </c>
      <c r="D34" s="7">
        <v>1</v>
      </c>
      <c r="E34" s="7">
        <v>4</v>
      </c>
      <c r="F34" s="7">
        <v>7</v>
      </c>
      <c r="G34" s="7">
        <v>5</v>
      </c>
      <c r="H34" s="7">
        <v>10</v>
      </c>
      <c r="I34" s="7">
        <v>4</v>
      </c>
      <c r="J34" s="7">
        <v>14</v>
      </c>
      <c r="K34" s="7">
        <v>7</v>
      </c>
      <c r="L34" s="7">
        <v>7</v>
      </c>
      <c r="M34" s="7">
        <v>7</v>
      </c>
      <c r="N34" s="7">
        <v>3</v>
      </c>
      <c r="O34" s="7">
        <v>6</v>
      </c>
      <c r="P34" s="7">
        <v>5</v>
      </c>
      <c r="Q34" s="7">
        <v>9</v>
      </c>
      <c r="R34" s="7">
        <v>6</v>
      </c>
      <c r="S34" s="7">
        <v>5</v>
      </c>
      <c r="T34" s="7">
        <v>4</v>
      </c>
      <c r="U34" s="7">
        <v>9</v>
      </c>
      <c r="V34" s="7">
        <v>10</v>
      </c>
      <c r="W34" s="7">
        <v>6</v>
      </c>
      <c r="X34" s="7">
        <v>10</v>
      </c>
      <c r="Y34" s="7">
        <v>10</v>
      </c>
      <c r="Z34" s="7"/>
      <c r="AA34" s="7">
        <v>3</v>
      </c>
      <c r="AB34" s="7">
        <v>5</v>
      </c>
      <c r="AC34" s="7">
        <v>6</v>
      </c>
      <c r="AD34" s="7">
        <v>5</v>
      </c>
      <c r="AE34" s="7">
        <v>7</v>
      </c>
      <c r="AF34" s="8"/>
      <c r="AG34" s="4">
        <f t="shared" si="2"/>
        <v>187</v>
      </c>
    </row>
    <row r="35" spans="1:33" ht="18.75" x14ac:dyDescent="0.25">
      <c r="A35" s="41" t="s">
        <v>41</v>
      </c>
      <c r="B35" s="7">
        <v>11</v>
      </c>
      <c r="C35" s="7">
        <v>7</v>
      </c>
      <c r="D35" s="7">
        <v>7</v>
      </c>
      <c r="E35" s="7">
        <v>10</v>
      </c>
      <c r="F35" s="7">
        <v>10</v>
      </c>
      <c r="G35" s="7">
        <v>3</v>
      </c>
      <c r="H35" s="7">
        <v>9</v>
      </c>
      <c r="I35" s="7">
        <v>7</v>
      </c>
      <c r="J35" s="7">
        <v>5</v>
      </c>
      <c r="K35" s="7">
        <v>5</v>
      </c>
      <c r="L35" s="7">
        <v>8</v>
      </c>
      <c r="M35" s="7">
        <v>9</v>
      </c>
      <c r="N35" s="7">
        <v>7</v>
      </c>
      <c r="O35" s="7">
        <v>2</v>
      </c>
      <c r="P35" s="7">
        <v>4</v>
      </c>
      <c r="Q35" s="7">
        <v>4</v>
      </c>
      <c r="R35" s="7">
        <v>6</v>
      </c>
      <c r="S35" s="7">
        <v>7</v>
      </c>
      <c r="T35" s="7">
        <v>11</v>
      </c>
      <c r="U35" s="7">
        <v>13</v>
      </c>
      <c r="V35" s="7">
        <v>7</v>
      </c>
      <c r="W35" s="7">
        <v>2</v>
      </c>
      <c r="X35" s="7">
        <v>10</v>
      </c>
      <c r="Y35" s="7">
        <v>4</v>
      </c>
      <c r="Z35" s="7"/>
      <c r="AA35" s="7">
        <v>4</v>
      </c>
      <c r="AB35" s="7">
        <v>6</v>
      </c>
      <c r="AC35" s="7">
        <v>6</v>
      </c>
      <c r="AD35" s="7">
        <v>4</v>
      </c>
      <c r="AE35" s="7">
        <v>4</v>
      </c>
      <c r="AF35" s="8"/>
      <c r="AG35" s="4">
        <f t="shared" si="2"/>
        <v>192</v>
      </c>
    </row>
    <row r="36" spans="1:33" ht="18.75" x14ac:dyDescent="0.25">
      <c r="A36" s="41" t="s">
        <v>42</v>
      </c>
      <c r="B36" s="7">
        <v>1</v>
      </c>
      <c r="C36" s="7">
        <v>5</v>
      </c>
      <c r="D36" s="7">
        <v>8</v>
      </c>
      <c r="E36" s="7">
        <v>12</v>
      </c>
      <c r="F36" s="7">
        <v>4</v>
      </c>
      <c r="G36" s="7">
        <v>12</v>
      </c>
      <c r="H36" s="7">
        <v>5</v>
      </c>
      <c r="I36" s="7">
        <v>3</v>
      </c>
      <c r="J36" s="7">
        <v>7</v>
      </c>
      <c r="K36" s="7">
        <v>10</v>
      </c>
      <c r="L36" s="7">
        <v>8</v>
      </c>
      <c r="M36" s="7">
        <v>13</v>
      </c>
      <c r="N36" s="7">
        <v>6</v>
      </c>
      <c r="O36" s="7">
        <v>10</v>
      </c>
      <c r="P36" s="7">
        <v>13</v>
      </c>
      <c r="Q36" s="7">
        <v>10</v>
      </c>
      <c r="R36" s="7">
        <v>2</v>
      </c>
      <c r="S36" s="7">
        <v>3</v>
      </c>
      <c r="T36" s="7">
        <v>7</v>
      </c>
      <c r="U36" s="7">
        <v>5</v>
      </c>
      <c r="V36" s="7">
        <v>10</v>
      </c>
      <c r="W36" s="7">
        <v>8</v>
      </c>
      <c r="X36" s="7">
        <v>14</v>
      </c>
      <c r="Y36" s="7">
        <v>13</v>
      </c>
      <c r="Z36" s="7"/>
      <c r="AA36" s="7">
        <v>3</v>
      </c>
      <c r="AB36" s="7">
        <v>8</v>
      </c>
      <c r="AC36" s="7">
        <v>12</v>
      </c>
      <c r="AD36" s="7">
        <v>5</v>
      </c>
      <c r="AE36" s="7">
        <v>5</v>
      </c>
      <c r="AF36" s="8"/>
      <c r="AG36" s="4">
        <f t="shared" si="2"/>
        <v>222</v>
      </c>
    </row>
    <row r="37" spans="1:33" ht="18.75" x14ac:dyDescent="0.25">
      <c r="A37" s="41" t="s">
        <v>43</v>
      </c>
      <c r="B37" s="7">
        <v>12</v>
      </c>
      <c r="C37" s="7">
        <v>5</v>
      </c>
      <c r="D37" s="7">
        <v>7</v>
      </c>
      <c r="E37" s="7">
        <v>8</v>
      </c>
      <c r="F37" s="7">
        <v>5</v>
      </c>
      <c r="G37" s="7">
        <v>3</v>
      </c>
      <c r="H37" s="7">
        <v>11</v>
      </c>
      <c r="I37" s="7">
        <v>7</v>
      </c>
      <c r="J37" s="7">
        <v>9</v>
      </c>
      <c r="K37" s="7">
        <v>8</v>
      </c>
      <c r="L37" s="7">
        <v>12</v>
      </c>
      <c r="M37" s="7">
        <v>9</v>
      </c>
      <c r="N37" s="7">
        <v>8</v>
      </c>
      <c r="O37" s="7">
        <v>11</v>
      </c>
      <c r="P37" s="7">
        <v>8</v>
      </c>
      <c r="Q37" s="7">
        <v>6</v>
      </c>
      <c r="R37" s="7">
        <v>6</v>
      </c>
      <c r="S37" s="7">
        <v>3</v>
      </c>
      <c r="T37" s="7">
        <v>8</v>
      </c>
      <c r="U37" s="7">
        <v>8</v>
      </c>
      <c r="V37" s="7">
        <v>18</v>
      </c>
      <c r="W37" s="7">
        <v>8</v>
      </c>
      <c r="X37" s="7">
        <v>14</v>
      </c>
      <c r="Y37" s="7">
        <v>17</v>
      </c>
      <c r="Z37" s="7">
        <v>2</v>
      </c>
      <c r="AA37" s="7">
        <v>5</v>
      </c>
      <c r="AB37" s="7">
        <v>6</v>
      </c>
      <c r="AC37" s="7">
        <v>7</v>
      </c>
      <c r="AD37" s="7">
        <v>2</v>
      </c>
      <c r="AE37" s="7">
        <v>6</v>
      </c>
      <c r="AF37" s="8"/>
      <c r="AG37" s="4">
        <f t="shared" si="2"/>
        <v>239</v>
      </c>
    </row>
    <row r="38" spans="1:33" ht="18.75" x14ac:dyDescent="0.25">
      <c r="A38" s="41" t="s">
        <v>44</v>
      </c>
      <c r="B38" s="7">
        <v>6</v>
      </c>
      <c r="C38" s="7">
        <v>2</v>
      </c>
      <c r="D38" s="7">
        <v>10</v>
      </c>
      <c r="E38" s="7">
        <v>5</v>
      </c>
      <c r="F38" s="7">
        <v>9</v>
      </c>
      <c r="G38" s="7">
        <v>4</v>
      </c>
      <c r="H38" s="7">
        <v>5</v>
      </c>
      <c r="I38" s="7">
        <v>13</v>
      </c>
      <c r="J38" s="7">
        <v>6</v>
      </c>
      <c r="K38" s="7">
        <v>4</v>
      </c>
      <c r="L38" s="7">
        <v>6</v>
      </c>
      <c r="M38" s="7">
        <v>8</v>
      </c>
      <c r="N38" s="7">
        <v>5</v>
      </c>
      <c r="O38" s="7">
        <v>4</v>
      </c>
      <c r="P38" s="7">
        <v>5</v>
      </c>
      <c r="Q38" s="7">
        <v>7</v>
      </c>
      <c r="R38" s="7">
        <v>6</v>
      </c>
      <c r="S38" s="7">
        <v>4</v>
      </c>
      <c r="T38" s="7">
        <v>6</v>
      </c>
      <c r="U38" s="7">
        <v>8</v>
      </c>
      <c r="V38" s="7">
        <v>4</v>
      </c>
      <c r="W38" s="7">
        <v>9</v>
      </c>
      <c r="X38" s="7">
        <v>5</v>
      </c>
      <c r="Y38" s="7">
        <v>9</v>
      </c>
      <c r="Z38" s="7"/>
      <c r="AA38" s="7">
        <v>10</v>
      </c>
      <c r="AB38" s="7">
        <v>10</v>
      </c>
      <c r="AC38" s="7">
        <v>4</v>
      </c>
      <c r="AD38" s="7">
        <v>4</v>
      </c>
      <c r="AE38" s="7">
        <v>4</v>
      </c>
      <c r="AF38" s="8"/>
      <c r="AG38" s="4">
        <f t="shared" si="2"/>
        <v>182</v>
      </c>
    </row>
    <row r="39" spans="1:33" ht="18.75" x14ac:dyDescent="0.25">
      <c r="A39" s="41" t="s">
        <v>45</v>
      </c>
      <c r="B39" s="7">
        <v>10</v>
      </c>
      <c r="C39" s="7">
        <v>6</v>
      </c>
      <c r="D39" s="7">
        <v>7</v>
      </c>
      <c r="E39" s="7">
        <v>7</v>
      </c>
      <c r="F39" s="7">
        <v>8</v>
      </c>
      <c r="G39" s="7">
        <v>7</v>
      </c>
      <c r="H39" s="7">
        <v>12</v>
      </c>
      <c r="I39" s="7">
        <v>11</v>
      </c>
      <c r="J39" s="7">
        <v>12</v>
      </c>
      <c r="K39" s="7">
        <v>11</v>
      </c>
      <c r="L39" s="7">
        <v>12</v>
      </c>
      <c r="M39" s="7">
        <v>10</v>
      </c>
      <c r="N39" s="7">
        <v>5</v>
      </c>
      <c r="O39" s="7">
        <v>11</v>
      </c>
      <c r="P39" s="7">
        <v>9</v>
      </c>
      <c r="Q39" s="7">
        <v>9</v>
      </c>
      <c r="R39" s="7">
        <v>3</v>
      </c>
      <c r="S39" s="7">
        <v>2</v>
      </c>
      <c r="T39" s="7">
        <v>3</v>
      </c>
      <c r="U39" s="7">
        <v>8</v>
      </c>
      <c r="V39" s="7">
        <v>9</v>
      </c>
      <c r="W39" s="7">
        <v>11</v>
      </c>
      <c r="X39" s="7">
        <v>11</v>
      </c>
      <c r="Y39" s="7">
        <v>9</v>
      </c>
      <c r="Z39" s="7">
        <v>4</v>
      </c>
      <c r="AA39" s="7">
        <v>12</v>
      </c>
      <c r="AB39" s="7">
        <v>7</v>
      </c>
      <c r="AC39" s="7">
        <v>5</v>
      </c>
      <c r="AD39" s="7">
        <v>8</v>
      </c>
      <c r="AE39" s="7">
        <v>5</v>
      </c>
      <c r="AF39" s="8"/>
      <c r="AG39" s="4">
        <f t="shared" si="2"/>
        <v>244</v>
      </c>
    </row>
    <row r="40" spans="1:33" ht="18.75" x14ac:dyDescent="0.25">
      <c r="A40" s="41" t="s">
        <v>46</v>
      </c>
      <c r="B40" s="7">
        <v>7</v>
      </c>
      <c r="C40" s="7">
        <v>5</v>
      </c>
      <c r="D40" s="7">
        <v>6</v>
      </c>
      <c r="E40" s="7">
        <v>13</v>
      </c>
      <c r="F40" s="7">
        <v>3</v>
      </c>
      <c r="G40" s="7">
        <v>10</v>
      </c>
      <c r="H40" s="7">
        <v>11</v>
      </c>
      <c r="I40" s="7">
        <v>8</v>
      </c>
      <c r="J40" s="7">
        <v>11</v>
      </c>
      <c r="K40" s="7">
        <v>10</v>
      </c>
      <c r="L40" s="7">
        <v>11</v>
      </c>
      <c r="M40" s="7">
        <v>8</v>
      </c>
      <c r="N40" s="7">
        <v>3</v>
      </c>
      <c r="O40" s="7">
        <v>9</v>
      </c>
      <c r="P40" s="7">
        <v>8</v>
      </c>
      <c r="Q40" s="7">
        <v>4</v>
      </c>
      <c r="R40" s="7">
        <v>3</v>
      </c>
      <c r="S40" s="7">
        <v>6</v>
      </c>
      <c r="T40" s="7">
        <v>5</v>
      </c>
      <c r="U40" s="7">
        <v>7</v>
      </c>
      <c r="V40" s="7">
        <v>10</v>
      </c>
      <c r="W40" s="7">
        <v>8</v>
      </c>
      <c r="X40" s="7">
        <v>10</v>
      </c>
      <c r="Y40" s="7">
        <v>7</v>
      </c>
      <c r="Z40" s="7">
        <v>11</v>
      </c>
      <c r="AA40" s="7">
        <v>6</v>
      </c>
      <c r="AB40" s="7">
        <v>8</v>
      </c>
      <c r="AC40" s="7">
        <v>14</v>
      </c>
      <c r="AD40" s="7">
        <v>6</v>
      </c>
      <c r="AE40" s="7">
        <v>7</v>
      </c>
      <c r="AF40" s="8"/>
      <c r="AG40" s="4">
        <f t="shared" si="2"/>
        <v>235</v>
      </c>
    </row>
    <row r="41" spans="1:33" ht="18.75" x14ac:dyDescent="0.25">
      <c r="A41" s="41" t="s">
        <v>47</v>
      </c>
      <c r="B41" s="7">
        <v>5</v>
      </c>
      <c r="C41" s="7">
        <v>7</v>
      </c>
      <c r="D41" s="7">
        <v>6</v>
      </c>
      <c r="E41" s="7">
        <v>7</v>
      </c>
      <c r="F41" s="7">
        <v>6</v>
      </c>
      <c r="G41" s="7">
        <v>7</v>
      </c>
      <c r="H41" s="7">
        <v>7</v>
      </c>
      <c r="I41" s="7">
        <v>6</v>
      </c>
      <c r="J41" s="7">
        <v>3</v>
      </c>
      <c r="K41" s="7">
        <v>3</v>
      </c>
      <c r="L41" s="7">
        <v>10</v>
      </c>
      <c r="M41" s="7">
        <v>10</v>
      </c>
      <c r="N41" s="7">
        <v>3</v>
      </c>
      <c r="O41" s="7">
        <v>8</v>
      </c>
      <c r="P41" s="7">
        <v>11</v>
      </c>
      <c r="Q41" s="7">
        <v>3</v>
      </c>
      <c r="R41" s="7">
        <v>2</v>
      </c>
      <c r="S41" s="7">
        <v>7</v>
      </c>
      <c r="T41" s="7">
        <v>5</v>
      </c>
      <c r="U41" s="7">
        <v>4</v>
      </c>
      <c r="V41" s="7">
        <v>13</v>
      </c>
      <c r="W41" s="7">
        <v>6</v>
      </c>
      <c r="X41" s="7">
        <v>9</v>
      </c>
      <c r="Y41" s="7">
        <v>10</v>
      </c>
      <c r="Z41" s="7">
        <v>7</v>
      </c>
      <c r="AA41" s="7">
        <v>5</v>
      </c>
      <c r="AB41" s="7">
        <v>4</v>
      </c>
      <c r="AC41" s="7">
        <v>6</v>
      </c>
      <c r="AD41" s="7">
        <v>6</v>
      </c>
      <c r="AE41" s="7">
        <v>8</v>
      </c>
      <c r="AF41" s="8"/>
      <c r="AG41" s="4">
        <f t="shared" si="2"/>
        <v>194</v>
      </c>
    </row>
    <row r="42" spans="1:33" ht="18.75" x14ac:dyDescent="0.25">
      <c r="A42" s="41" t="s">
        <v>48</v>
      </c>
      <c r="B42" s="7">
        <v>7</v>
      </c>
      <c r="C42" s="7">
        <v>3</v>
      </c>
      <c r="D42" s="7">
        <v>6</v>
      </c>
      <c r="E42" s="7">
        <v>4</v>
      </c>
      <c r="F42" s="7">
        <v>4</v>
      </c>
      <c r="G42" s="7">
        <v>4</v>
      </c>
      <c r="H42" s="7">
        <v>6</v>
      </c>
      <c r="I42" s="7">
        <v>5</v>
      </c>
      <c r="J42" s="7">
        <v>6</v>
      </c>
      <c r="K42" s="7">
        <v>6</v>
      </c>
      <c r="L42" s="7">
        <v>6</v>
      </c>
      <c r="M42" s="7">
        <v>7</v>
      </c>
      <c r="N42" s="7">
        <v>6</v>
      </c>
      <c r="O42" s="7">
        <v>1</v>
      </c>
      <c r="P42" s="7">
        <v>5</v>
      </c>
      <c r="Q42" s="7">
        <v>5</v>
      </c>
      <c r="R42" s="7">
        <v>1</v>
      </c>
      <c r="S42" s="7">
        <v>4</v>
      </c>
      <c r="T42" s="7">
        <v>2</v>
      </c>
      <c r="U42" s="7">
        <v>3</v>
      </c>
      <c r="V42" s="7">
        <v>5</v>
      </c>
      <c r="W42" s="7">
        <v>2</v>
      </c>
      <c r="X42" s="7">
        <v>9</v>
      </c>
      <c r="Y42" s="7">
        <v>12</v>
      </c>
      <c r="Z42" s="7">
        <v>4</v>
      </c>
      <c r="AA42" s="7">
        <v>3</v>
      </c>
      <c r="AB42" s="7">
        <v>6</v>
      </c>
      <c r="AC42" s="7">
        <v>6</v>
      </c>
      <c r="AD42" s="7">
        <v>4</v>
      </c>
      <c r="AE42" s="7">
        <v>4</v>
      </c>
      <c r="AF42" s="8"/>
      <c r="AG42" s="4">
        <f t="shared" si="2"/>
        <v>146</v>
      </c>
    </row>
    <row r="43" spans="1:33" ht="18.75" x14ac:dyDescent="0.25">
      <c r="A43" s="41" t="s">
        <v>49</v>
      </c>
      <c r="B43" s="7">
        <v>5</v>
      </c>
      <c r="C43" s="7">
        <v>3</v>
      </c>
      <c r="D43" s="7">
        <v>4</v>
      </c>
      <c r="E43" s="7">
        <v>2</v>
      </c>
      <c r="F43" s="7">
        <v>7</v>
      </c>
      <c r="G43" s="7">
        <v>3</v>
      </c>
      <c r="H43" s="7">
        <v>4</v>
      </c>
      <c r="I43" s="7">
        <v>4</v>
      </c>
      <c r="J43" s="7">
        <v>6</v>
      </c>
      <c r="K43" s="7">
        <v>3</v>
      </c>
      <c r="L43" s="7">
        <v>7</v>
      </c>
      <c r="M43" s="7">
        <v>2</v>
      </c>
      <c r="N43" s="7">
        <v>2</v>
      </c>
      <c r="O43" s="7">
        <v>4</v>
      </c>
      <c r="P43" s="7">
        <v>5</v>
      </c>
      <c r="Q43" s="7"/>
      <c r="R43" s="7">
        <v>10</v>
      </c>
      <c r="S43" s="7">
        <v>4</v>
      </c>
      <c r="T43" s="7">
        <v>2</v>
      </c>
      <c r="U43" s="7">
        <v>4</v>
      </c>
      <c r="V43" s="7">
        <v>10</v>
      </c>
      <c r="W43" s="7">
        <v>2</v>
      </c>
      <c r="X43" s="7">
        <v>7</v>
      </c>
      <c r="Y43" s="7">
        <v>11</v>
      </c>
      <c r="Z43" s="7">
        <v>6</v>
      </c>
      <c r="AA43" s="7">
        <v>8</v>
      </c>
      <c r="AB43" s="7">
        <v>6</v>
      </c>
      <c r="AC43" s="7">
        <v>8</v>
      </c>
      <c r="AD43" s="7">
        <v>5</v>
      </c>
      <c r="AE43" s="7">
        <v>4</v>
      </c>
      <c r="AF43" s="8"/>
      <c r="AG43" s="4">
        <f t="shared" si="2"/>
        <v>148</v>
      </c>
    </row>
    <row r="44" spans="1:33" ht="18.75" x14ac:dyDescent="0.25">
      <c r="A44" s="41" t="s">
        <v>50</v>
      </c>
      <c r="B44" s="7">
        <v>1</v>
      </c>
      <c r="C44" s="7">
        <v>2</v>
      </c>
      <c r="D44" s="7">
        <v>2</v>
      </c>
      <c r="E44" s="7">
        <v>2</v>
      </c>
      <c r="F44" s="7">
        <v>5</v>
      </c>
      <c r="G44" s="7">
        <v>4</v>
      </c>
      <c r="H44" s="7">
        <v>1</v>
      </c>
      <c r="I44" s="7">
        <v>4</v>
      </c>
      <c r="J44" s="7">
        <v>4</v>
      </c>
      <c r="K44" s="7">
        <v>2</v>
      </c>
      <c r="L44" s="7">
        <v>5</v>
      </c>
      <c r="M44" s="7">
        <v>1</v>
      </c>
      <c r="N44" s="7">
        <v>5</v>
      </c>
      <c r="O44" s="7">
        <v>3</v>
      </c>
      <c r="P44" s="7"/>
      <c r="Q44" s="7">
        <v>1</v>
      </c>
      <c r="R44" s="7">
        <v>2</v>
      </c>
      <c r="S44" s="7">
        <v>4</v>
      </c>
      <c r="T44" s="7">
        <v>4</v>
      </c>
      <c r="U44" s="7">
        <v>3</v>
      </c>
      <c r="V44" s="7">
        <v>3</v>
      </c>
      <c r="W44" s="7">
        <v>2</v>
      </c>
      <c r="X44" s="7">
        <v>4</v>
      </c>
      <c r="Y44" s="7">
        <v>3</v>
      </c>
      <c r="Z44" s="7">
        <v>3</v>
      </c>
      <c r="AA44" s="7">
        <v>4</v>
      </c>
      <c r="AB44" s="7">
        <v>3</v>
      </c>
      <c r="AC44" s="7">
        <v>2</v>
      </c>
      <c r="AD44" s="7">
        <v>4</v>
      </c>
      <c r="AE44" s="7">
        <v>3</v>
      </c>
      <c r="AF44" s="8"/>
      <c r="AG44" s="4">
        <f t="shared" si="2"/>
        <v>86</v>
      </c>
    </row>
    <row r="45" spans="1:33" ht="18.75" x14ac:dyDescent="0.25">
      <c r="A45" s="41" t="s">
        <v>33</v>
      </c>
      <c r="B45" s="7">
        <v>2</v>
      </c>
      <c r="C45" s="7">
        <v>3</v>
      </c>
      <c r="D45" s="7">
        <v>4</v>
      </c>
      <c r="E45" s="7">
        <v>1</v>
      </c>
      <c r="F45" s="7"/>
      <c r="G45" s="7"/>
      <c r="H45" s="7"/>
      <c r="I45" s="7">
        <v>2</v>
      </c>
      <c r="J45" s="7">
        <v>2</v>
      </c>
      <c r="K45" s="7">
        <v>1</v>
      </c>
      <c r="L45" s="7">
        <v>3</v>
      </c>
      <c r="M45" s="7">
        <v>2</v>
      </c>
      <c r="N45" s="7">
        <v>1</v>
      </c>
      <c r="O45" s="7">
        <v>1</v>
      </c>
      <c r="P45" s="7">
        <v>1</v>
      </c>
      <c r="Q45" s="7">
        <v>1</v>
      </c>
      <c r="R45" s="7">
        <v>2</v>
      </c>
      <c r="S45" s="7"/>
      <c r="T45" s="7">
        <v>3</v>
      </c>
      <c r="U45" s="7">
        <v>1</v>
      </c>
      <c r="V45" s="7">
        <v>5</v>
      </c>
      <c r="W45" s="7">
        <v>3</v>
      </c>
      <c r="X45" s="7">
        <v>2</v>
      </c>
      <c r="Y45" s="7">
        <v>5</v>
      </c>
      <c r="Z45" s="7">
        <v>2</v>
      </c>
      <c r="AA45" s="7">
        <v>5</v>
      </c>
      <c r="AB45" s="7">
        <v>2</v>
      </c>
      <c r="AC45" s="7">
        <v>3</v>
      </c>
      <c r="AD45" s="7">
        <v>2</v>
      </c>
      <c r="AE45" s="7">
        <v>2</v>
      </c>
      <c r="AF45" s="8"/>
      <c r="AG45" s="4">
        <f t="shared" si="2"/>
        <v>61</v>
      </c>
    </row>
    <row r="46" spans="1:33" ht="18.75" x14ac:dyDescent="0.25">
      <c r="A46" s="41" t="s">
        <v>34</v>
      </c>
      <c r="B46" s="7">
        <v>2</v>
      </c>
      <c r="C46" s="7">
        <v>1</v>
      </c>
      <c r="D46" s="7">
        <v>1</v>
      </c>
      <c r="E46" s="7">
        <v>2</v>
      </c>
      <c r="F46" s="7">
        <v>6</v>
      </c>
      <c r="G46" s="7"/>
      <c r="H46" s="7">
        <v>1</v>
      </c>
      <c r="I46" s="7">
        <v>1</v>
      </c>
      <c r="J46" s="7"/>
      <c r="K46" s="7">
        <v>1</v>
      </c>
      <c r="L46" s="7">
        <v>3</v>
      </c>
      <c r="M46" s="7">
        <v>1</v>
      </c>
      <c r="N46" s="7">
        <v>3</v>
      </c>
      <c r="O46" s="7">
        <v>3</v>
      </c>
      <c r="P46" s="7">
        <v>3</v>
      </c>
      <c r="Q46" s="7"/>
      <c r="R46" s="7"/>
      <c r="S46" s="7">
        <v>3</v>
      </c>
      <c r="T46" s="7"/>
      <c r="U46" s="7">
        <v>4</v>
      </c>
      <c r="V46" s="7"/>
      <c r="W46" s="7">
        <v>3</v>
      </c>
      <c r="X46" s="7"/>
      <c r="Y46" s="7">
        <v>1</v>
      </c>
      <c r="Z46" s="7"/>
      <c r="AA46" s="7">
        <v>3</v>
      </c>
      <c r="AB46" s="7">
        <v>3</v>
      </c>
      <c r="AC46" s="7">
        <v>4</v>
      </c>
      <c r="AD46" s="7">
        <v>7</v>
      </c>
      <c r="AE46" s="7"/>
      <c r="AF46" s="8"/>
      <c r="AG46" s="4">
        <f t="shared" si="2"/>
        <v>56</v>
      </c>
    </row>
    <row r="47" spans="1:33" ht="18.75" x14ac:dyDescent="0.25">
      <c r="A47" s="41" t="s">
        <v>35</v>
      </c>
      <c r="B47" s="7">
        <v>3</v>
      </c>
      <c r="C47" s="7">
        <v>2</v>
      </c>
      <c r="D47" s="7">
        <v>2</v>
      </c>
      <c r="E47" s="7">
        <v>1</v>
      </c>
      <c r="F47" s="7">
        <v>7</v>
      </c>
      <c r="G47" s="7">
        <v>2</v>
      </c>
      <c r="H47" s="7"/>
      <c r="I47" s="7">
        <v>1</v>
      </c>
      <c r="J47" s="7">
        <v>2</v>
      </c>
      <c r="K47" s="7">
        <v>2</v>
      </c>
      <c r="L47" s="7"/>
      <c r="M47" s="7"/>
      <c r="N47" s="7">
        <v>3</v>
      </c>
      <c r="O47" s="7">
        <v>2</v>
      </c>
      <c r="P47" s="7">
        <v>3</v>
      </c>
      <c r="Q47" s="7">
        <v>1</v>
      </c>
      <c r="R47" s="7">
        <v>2</v>
      </c>
      <c r="S47" s="7">
        <v>1</v>
      </c>
      <c r="T47" s="7">
        <v>1</v>
      </c>
      <c r="U47" s="7">
        <v>1</v>
      </c>
      <c r="V47" s="7"/>
      <c r="W47" s="7">
        <v>1</v>
      </c>
      <c r="X47" s="7">
        <v>1</v>
      </c>
      <c r="Y47" s="7">
        <v>1</v>
      </c>
      <c r="Z47" s="7">
        <v>1</v>
      </c>
      <c r="AA47" s="7">
        <v>2</v>
      </c>
      <c r="AB47" s="7">
        <v>1</v>
      </c>
      <c r="AC47" s="7"/>
      <c r="AD47" s="7"/>
      <c r="AE47" s="7">
        <v>1</v>
      </c>
      <c r="AF47" s="8"/>
      <c r="AG47" s="4">
        <f t="shared" si="2"/>
        <v>44</v>
      </c>
    </row>
    <row r="48" spans="1:33" ht="18.75" x14ac:dyDescent="0.25">
      <c r="A48" s="41" t="s">
        <v>36</v>
      </c>
      <c r="B48" s="7"/>
      <c r="C48" s="7"/>
      <c r="D48" s="7"/>
      <c r="E48" s="7"/>
      <c r="F48" s="7">
        <v>2</v>
      </c>
      <c r="G48" s="7">
        <v>2</v>
      </c>
      <c r="H48" s="7">
        <v>1</v>
      </c>
      <c r="I48" s="7">
        <v>1</v>
      </c>
      <c r="J48" s="7">
        <v>1</v>
      </c>
      <c r="K48" s="7">
        <v>2</v>
      </c>
      <c r="L48" s="7">
        <v>1</v>
      </c>
      <c r="M48" s="7"/>
      <c r="N48" s="7">
        <v>1</v>
      </c>
      <c r="O48" s="7">
        <v>2</v>
      </c>
      <c r="P48" s="7">
        <v>1</v>
      </c>
      <c r="Q48" s="7">
        <v>1</v>
      </c>
      <c r="R48" s="7">
        <v>1</v>
      </c>
      <c r="S48" s="7">
        <v>4</v>
      </c>
      <c r="T48" s="7"/>
      <c r="U48" s="7">
        <v>1</v>
      </c>
      <c r="V48" s="7"/>
      <c r="W48" s="7"/>
      <c r="X48" s="7"/>
      <c r="Y48" s="7"/>
      <c r="Z48" s="7">
        <v>1</v>
      </c>
      <c r="AA48" s="7"/>
      <c r="AB48" s="7">
        <v>2</v>
      </c>
      <c r="AC48" s="7">
        <v>1</v>
      </c>
      <c r="AD48" s="7">
        <v>1</v>
      </c>
      <c r="AE48" s="7"/>
      <c r="AF48" s="8"/>
      <c r="AG48" s="4">
        <f t="shared" si="2"/>
        <v>26</v>
      </c>
    </row>
    <row r="49" spans="1:33" ht="18.75" x14ac:dyDescent="0.25">
      <c r="A49" s="41" t="s">
        <v>51</v>
      </c>
      <c r="B49" s="7">
        <v>1</v>
      </c>
      <c r="C49" s="7"/>
      <c r="D49" s="7"/>
      <c r="E49" s="7"/>
      <c r="F49" s="7"/>
      <c r="G49" s="7">
        <v>2</v>
      </c>
      <c r="H49" s="7"/>
      <c r="I49" s="7"/>
      <c r="J49" s="7">
        <v>1</v>
      </c>
      <c r="K49" s="7"/>
      <c r="L49" s="7">
        <v>1</v>
      </c>
      <c r="M49" s="7"/>
      <c r="N49" s="7">
        <v>1</v>
      </c>
      <c r="O49" s="7">
        <v>2</v>
      </c>
      <c r="P49" s="7">
        <v>1</v>
      </c>
      <c r="Q49" s="7"/>
      <c r="R49" s="7">
        <v>1</v>
      </c>
      <c r="S49" s="7">
        <v>1</v>
      </c>
      <c r="T49" s="7">
        <v>3</v>
      </c>
      <c r="U49" s="7">
        <v>1</v>
      </c>
      <c r="V49" s="7">
        <v>1</v>
      </c>
      <c r="W49" s="7"/>
      <c r="X49" s="7"/>
      <c r="Y49" s="7"/>
      <c r="Z49" s="7"/>
      <c r="AA49" s="7"/>
      <c r="AB49" s="7"/>
      <c r="AC49" s="7"/>
      <c r="AD49" s="7"/>
      <c r="AE49" s="7"/>
      <c r="AF49" s="8"/>
      <c r="AG49" s="4">
        <f t="shared" si="2"/>
        <v>16</v>
      </c>
    </row>
    <row r="50" spans="1:33" ht="18.75" x14ac:dyDescent="0.25">
      <c r="A50" s="41" t="s">
        <v>52</v>
      </c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>
        <v>1</v>
      </c>
      <c r="O50" s="7"/>
      <c r="P50" s="7">
        <v>2</v>
      </c>
      <c r="Q50" s="7"/>
      <c r="R50" s="7"/>
      <c r="S50" s="7">
        <v>1</v>
      </c>
      <c r="T50" s="7"/>
      <c r="U50" s="7"/>
      <c r="V50" s="7"/>
      <c r="W50" s="7"/>
      <c r="X50" s="7"/>
      <c r="Y50" s="7"/>
      <c r="Z50" s="7">
        <v>1</v>
      </c>
      <c r="AA50" s="7">
        <v>1</v>
      </c>
      <c r="AB50" s="7">
        <v>2</v>
      </c>
      <c r="AC50" s="7"/>
      <c r="AD50" s="7"/>
      <c r="AE50" s="7"/>
      <c r="AF50" s="8"/>
      <c r="AG50" s="4">
        <f t="shared" si="2"/>
        <v>8</v>
      </c>
    </row>
    <row r="51" spans="1:33" ht="18.75" x14ac:dyDescent="0.25">
      <c r="A51" s="41" t="s">
        <v>37</v>
      </c>
      <c r="B51" s="7"/>
      <c r="C51" s="7">
        <v>1</v>
      </c>
      <c r="D51" s="7"/>
      <c r="E51" s="7"/>
      <c r="F51" s="7"/>
      <c r="G51" s="7">
        <v>1</v>
      </c>
      <c r="H51" s="7"/>
      <c r="I51" s="7"/>
      <c r="J51" s="7">
        <v>1</v>
      </c>
      <c r="K51" s="7"/>
      <c r="L51" s="7"/>
      <c r="M51" s="7"/>
      <c r="N51" s="7"/>
      <c r="O51" s="7">
        <v>2</v>
      </c>
      <c r="P51" s="7">
        <v>2</v>
      </c>
      <c r="Q51" s="7"/>
      <c r="R51" s="7"/>
      <c r="S51" s="7">
        <v>2</v>
      </c>
      <c r="T51" s="7"/>
      <c r="U51" s="7">
        <v>3</v>
      </c>
      <c r="V51" s="7"/>
      <c r="W51" s="7"/>
      <c r="X51" s="7">
        <v>1</v>
      </c>
      <c r="Y51" s="7"/>
      <c r="Z51" s="7"/>
      <c r="AA51" s="7"/>
      <c r="AB51" s="7">
        <v>1</v>
      </c>
      <c r="AC51" s="7"/>
      <c r="AD51" s="7">
        <v>2</v>
      </c>
      <c r="AE51" s="7">
        <v>1</v>
      </c>
      <c r="AF51" s="8"/>
      <c r="AG51" s="4">
        <f t="shared" si="2"/>
        <v>17</v>
      </c>
    </row>
    <row r="52" spans="1:33" ht="19.5" thickBot="1" x14ac:dyDescent="0.3">
      <c r="A52" s="77" t="s">
        <v>53</v>
      </c>
      <c r="B52" s="9">
        <v>2</v>
      </c>
      <c r="C52" s="9"/>
      <c r="D52" s="9"/>
      <c r="E52" s="9"/>
      <c r="F52" s="9">
        <v>1</v>
      </c>
      <c r="G52" s="9">
        <v>1</v>
      </c>
      <c r="H52" s="9">
        <v>1</v>
      </c>
      <c r="I52" s="9">
        <v>2</v>
      </c>
      <c r="J52" s="9"/>
      <c r="K52" s="9"/>
      <c r="L52" s="9"/>
      <c r="M52" s="9"/>
      <c r="N52" s="9">
        <v>1</v>
      </c>
      <c r="O52" s="9"/>
      <c r="P52" s="9"/>
      <c r="Q52" s="9">
        <v>1</v>
      </c>
      <c r="R52" s="9">
        <v>2</v>
      </c>
      <c r="S52" s="9"/>
      <c r="T52" s="9">
        <v>2</v>
      </c>
      <c r="U52" s="9">
        <v>1</v>
      </c>
      <c r="V52" s="9"/>
      <c r="W52" s="9">
        <v>2</v>
      </c>
      <c r="X52" s="9"/>
      <c r="Y52" s="9">
        <v>1</v>
      </c>
      <c r="Z52" s="9"/>
      <c r="AA52" s="9">
        <v>1</v>
      </c>
      <c r="AB52" s="9">
        <v>1</v>
      </c>
      <c r="AC52" s="9"/>
      <c r="AD52" s="9"/>
      <c r="AE52" s="9"/>
      <c r="AF52" s="10"/>
      <c r="AG52" s="108">
        <f t="shared" si="2"/>
        <v>19</v>
      </c>
    </row>
    <row r="53" spans="1:33" ht="19.5" thickBot="1" x14ac:dyDescent="0.3">
      <c r="A53" s="136" t="s">
        <v>108</v>
      </c>
      <c r="B53" s="135">
        <f t="shared" ref="B53:AF53" si="4">SUM(B54:B77)</f>
        <v>3</v>
      </c>
      <c r="C53" s="135">
        <f t="shared" si="4"/>
        <v>9</v>
      </c>
      <c r="D53" s="135">
        <f t="shared" si="4"/>
        <v>7</v>
      </c>
      <c r="E53" s="135">
        <f t="shared" si="4"/>
        <v>7</v>
      </c>
      <c r="F53" s="135">
        <f t="shared" si="4"/>
        <v>3</v>
      </c>
      <c r="G53" s="135">
        <f t="shared" si="4"/>
        <v>1</v>
      </c>
      <c r="H53" s="135">
        <f t="shared" si="4"/>
        <v>8</v>
      </c>
      <c r="I53" s="135">
        <f t="shared" si="4"/>
        <v>8</v>
      </c>
      <c r="J53" s="135">
        <f t="shared" si="4"/>
        <v>9</v>
      </c>
      <c r="K53" s="135">
        <f t="shared" si="4"/>
        <v>5</v>
      </c>
      <c r="L53" s="135">
        <f t="shared" si="4"/>
        <v>9</v>
      </c>
      <c r="M53" s="135">
        <f t="shared" si="4"/>
        <v>3</v>
      </c>
      <c r="N53" s="135">
        <f t="shared" si="4"/>
        <v>7</v>
      </c>
      <c r="O53" s="135">
        <f t="shared" si="4"/>
        <v>7</v>
      </c>
      <c r="P53" s="135">
        <f t="shared" si="4"/>
        <v>5</v>
      </c>
      <c r="Q53" s="135">
        <f t="shared" si="4"/>
        <v>3</v>
      </c>
      <c r="R53" s="135">
        <f t="shared" si="4"/>
        <v>5</v>
      </c>
      <c r="S53" s="135">
        <f t="shared" si="4"/>
        <v>0</v>
      </c>
      <c r="T53" s="135">
        <f t="shared" si="4"/>
        <v>7</v>
      </c>
      <c r="U53" s="135">
        <f t="shared" si="4"/>
        <v>2</v>
      </c>
      <c r="V53" s="135">
        <f t="shared" si="4"/>
        <v>7</v>
      </c>
      <c r="W53" s="135">
        <f t="shared" si="4"/>
        <v>7</v>
      </c>
      <c r="X53" s="135">
        <f t="shared" si="4"/>
        <v>9</v>
      </c>
      <c r="Y53" s="135">
        <f t="shared" si="4"/>
        <v>10</v>
      </c>
      <c r="Z53" s="135">
        <f t="shared" si="4"/>
        <v>1</v>
      </c>
      <c r="AA53" s="135">
        <f t="shared" si="4"/>
        <v>5</v>
      </c>
      <c r="AB53" s="135">
        <f t="shared" si="4"/>
        <v>2</v>
      </c>
      <c r="AC53" s="135">
        <f t="shared" si="4"/>
        <v>10</v>
      </c>
      <c r="AD53" s="135">
        <f t="shared" si="4"/>
        <v>3</v>
      </c>
      <c r="AE53" s="135">
        <f t="shared" si="4"/>
        <v>5</v>
      </c>
      <c r="AF53" s="135">
        <f t="shared" si="4"/>
        <v>0</v>
      </c>
      <c r="AG53" s="116">
        <f t="shared" si="2"/>
        <v>167</v>
      </c>
    </row>
    <row r="54" spans="1:33" ht="18.75" x14ac:dyDescent="0.25">
      <c r="A54" s="113" t="s">
        <v>54</v>
      </c>
      <c r="B54" s="114"/>
      <c r="C54" s="114"/>
      <c r="D54" s="7">
        <v>1</v>
      </c>
      <c r="E54" s="114">
        <v>1</v>
      </c>
      <c r="F54" s="114"/>
      <c r="G54" s="7"/>
      <c r="H54" s="114"/>
      <c r="I54" s="114"/>
      <c r="J54" s="114"/>
      <c r="K54" s="114"/>
      <c r="L54" s="114"/>
      <c r="M54" s="114"/>
      <c r="N54" s="114"/>
      <c r="O54" s="114"/>
      <c r="P54" s="114"/>
      <c r="Q54" s="114"/>
      <c r="R54" s="114"/>
      <c r="S54" s="114"/>
      <c r="T54" s="114"/>
      <c r="U54" s="114"/>
      <c r="V54" s="114"/>
      <c r="W54" s="114"/>
      <c r="X54" s="114"/>
      <c r="Y54" s="114"/>
      <c r="Z54" s="114"/>
      <c r="AA54" s="7"/>
      <c r="AB54" s="114"/>
      <c r="AC54" s="114">
        <v>1</v>
      </c>
      <c r="AD54" s="114"/>
      <c r="AE54" s="114"/>
      <c r="AF54" s="115"/>
      <c r="AG54" s="132">
        <f t="shared" si="2"/>
        <v>3</v>
      </c>
    </row>
    <row r="55" spans="1:33" ht="18.75" x14ac:dyDescent="0.25">
      <c r="A55" s="41" t="s">
        <v>55</v>
      </c>
      <c r="B55" s="7"/>
      <c r="C55" s="7"/>
      <c r="D55" s="7"/>
      <c r="E55" s="7">
        <v>1</v>
      </c>
      <c r="F55" s="7"/>
      <c r="G55" s="7"/>
      <c r="H55" s="7"/>
      <c r="I55" s="7"/>
      <c r="J55" s="7"/>
      <c r="K55" s="7">
        <v>1</v>
      </c>
      <c r="L55" s="7"/>
      <c r="M55" s="7"/>
      <c r="N55" s="7"/>
      <c r="O55" s="7">
        <v>1</v>
      </c>
      <c r="P55" s="7">
        <v>1</v>
      </c>
      <c r="Q55" s="7"/>
      <c r="R55" s="7"/>
      <c r="S55" s="7"/>
      <c r="T55" s="7"/>
      <c r="U55" s="7"/>
      <c r="V55" s="7">
        <v>1</v>
      </c>
      <c r="W55" s="7"/>
      <c r="X55" s="7"/>
      <c r="Y55" s="7"/>
      <c r="Z55" s="7"/>
      <c r="AA55" s="7"/>
      <c r="AB55" s="7"/>
      <c r="AC55" s="7">
        <v>1</v>
      </c>
      <c r="AD55" s="7"/>
      <c r="AE55" s="7">
        <v>1</v>
      </c>
      <c r="AF55" s="8"/>
      <c r="AG55" s="4">
        <f t="shared" si="2"/>
        <v>7</v>
      </c>
    </row>
    <row r="56" spans="1:33" ht="18.75" x14ac:dyDescent="0.25">
      <c r="A56" s="41" t="s">
        <v>56</v>
      </c>
      <c r="B56" s="7"/>
      <c r="C56" s="7">
        <v>2</v>
      </c>
      <c r="D56" s="7"/>
      <c r="E56" s="7">
        <v>1</v>
      </c>
      <c r="F56" s="7"/>
      <c r="G56" s="7"/>
      <c r="H56" s="7">
        <v>2</v>
      </c>
      <c r="I56" s="7">
        <v>1</v>
      </c>
      <c r="J56" s="7">
        <v>1</v>
      </c>
      <c r="K56" s="7"/>
      <c r="L56" s="7"/>
      <c r="M56" s="7"/>
      <c r="N56" s="7"/>
      <c r="O56" s="7"/>
      <c r="P56" s="7"/>
      <c r="Q56" s="7">
        <v>2</v>
      </c>
      <c r="R56" s="7"/>
      <c r="S56" s="7"/>
      <c r="T56" s="7"/>
      <c r="U56" s="7"/>
      <c r="V56" s="7"/>
      <c r="W56" s="7"/>
      <c r="X56" s="7"/>
      <c r="Y56" s="7">
        <v>1</v>
      </c>
      <c r="Z56" s="7"/>
      <c r="AA56" s="7"/>
      <c r="AB56" s="7"/>
      <c r="AC56" s="7"/>
      <c r="AD56" s="7">
        <v>1</v>
      </c>
      <c r="AE56" s="7"/>
      <c r="AF56" s="8"/>
      <c r="AG56" s="4">
        <f t="shared" si="2"/>
        <v>11</v>
      </c>
    </row>
    <row r="57" spans="1:33" ht="18.75" x14ac:dyDescent="0.25">
      <c r="A57" s="41" t="s">
        <v>38</v>
      </c>
      <c r="B57" s="7"/>
      <c r="C57" s="7"/>
      <c r="D57" s="7"/>
      <c r="E57" s="7"/>
      <c r="F57" s="7"/>
      <c r="G57" s="7"/>
      <c r="H57" s="7"/>
      <c r="I57" s="7"/>
      <c r="J57" s="7">
        <v>1</v>
      </c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>
        <v>1</v>
      </c>
      <c r="X57" s="7"/>
      <c r="Y57" s="7">
        <v>1</v>
      </c>
      <c r="Z57" s="7"/>
      <c r="AA57" s="7">
        <v>1</v>
      </c>
      <c r="AB57" s="7"/>
      <c r="AC57" s="7">
        <v>2</v>
      </c>
      <c r="AD57" s="7"/>
      <c r="AE57" s="7"/>
      <c r="AF57" s="8"/>
      <c r="AG57" s="4">
        <f t="shared" si="2"/>
        <v>6</v>
      </c>
    </row>
    <row r="58" spans="1:33" ht="18.75" x14ac:dyDescent="0.25">
      <c r="A58" s="41" t="s">
        <v>39</v>
      </c>
      <c r="B58" s="7"/>
      <c r="C58" s="7">
        <v>1</v>
      </c>
      <c r="D58" s="7"/>
      <c r="E58" s="7"/>
      <c r="F58" s="7"/>
      <c r="G58" s="7"/>
      <c r="H58" s="7"/>
      <c r="I58" s="7"/>
      <c r="J58" s="7">
        <v>1</v>
      </c>
      <c r="K58" s="7"/>
      <c r="L58" s="7"/>
      <c r="M58" s="7"/>
      <c r="N58" s="7"/>
      <c r="O58" s="7"/>
      <c r="P58" s="7"/>
      <c r="Q58" s="7"/>
      <c r="R58" s="7"/>
      <c r="S58" s="7"/>
      <c r="T58" s="7">
        <v>1</v>
      </c>
      <c r="U58" s="7"/>
      <c r="V58" s="7"/>
      <c r="W58" s="7"/>
      <c r="X58" s="7">
        <v>2</v>
      </c>
      <c r="Y58" s="7"/>
      <c r="Z58" s="7"/>
      <c r="AA58" s="7"/>
      <c r="AB58" s="7"/>
      <c r="AC58" s="7"/>
      <c r="AD58" s="7">
        <v>1</v>
      </c>
      <c r="AE58" s="7"/>
      <c r="AF58" s="8"/>
      <c r="AG58" s="4">
        <f t="shared" si="2"/>
        <v>6</v>
      </c>
    </row>
    <row r="59" spans="1:33" ht="18.75" x14ac:dyDescent="0.25">
      <c r="A59" s="41" t="s">
        <v>40</v>
      </c>
      <c r="B59" s="7"/>
      <c r="C59" s="7">
        <v>2</v>
      </c>
      <c r="D59" s="7">
        <v>1</v>
      </c>
      <c r="E59" s="7">
        <v>1</v>
      </c>
      <c r="F59" s="7"/>
      <c r="G59" s="7"/>
      <c r="H59" s="7"/>
      <c r="I59" s="7">
        <v>1</v>
      </c>
      <c r="J59" s="7">
        <v>1</v>
      </c>
      <c r="K59" s="7"/>
      <c r="L59" s="7"/>
      <c r="M59" s="7"/>
      <c r="N59" s="7"/>
      <c r="O59" s="7"/>
      <c r="P59" s="7">
        <v>1</v>
      </c>
      <c r="Q59" s="7"/>
      <c r="R59" s="7"/>
      <c r="S59" s="7"/>
      <c r="T59" s="7"/>
      <c r="U59" s="7"/>
      <c r="V59" s="7"/>
      <c r="W59" s="7"/>
      <c r="X59" s="7">
        <v>1</v>
      </c>
      <c r="Y59" s="7"/>
      <c r="Z59" s="7"/>
      <c r="AA59" s="7"/>
      <c r="AB59" s="7"/>
      <c r="AC59" s="7">
        <v>2</v>
      </c>
      <c r="AD59" s="7">
        <v>1</v>
      </c>
      <c r="AE59" s="7"/>
      <c r="AF59" s="8"/>
      <c r="AG59" s="4">
        <f t="shared" si="2"/>
        <v>11</v>
      </c>
    </row>
    <row r="60" spans="1:33" ht="18.75" x14ac:dyDescent="0.25">
      <c r="A60" s="41" t="s">
        <v>41</v>
      </c>
      <c r="B60" s="7"/>
      <c r="C60" s="7"/>
      <c r="D60" s="7"/>
      <c r="E60" s="7"/>
      <c r="F60" s="7">
        <v>1</v>
      </c>
      <c r="G60" s="7"/>
      <c r="H60" s="7">
        <v>1</v>
      </c>
      <c r="I60" s="7"/>
      <c r="J60" s="7">
        <v>2</v>
      </c>
      <c r="K60" s="7"/>
      <c r="L60" s="7">
        <v>5</v>
      </c>
      <c r="M60" s="7">
        <v>1</v>
      </c>
      <c r="N60" s="7"/>
      <c r="O60" s="7">
        <v>1</v>
      </c>
      <c r="P60" s="7"/>
      <c r="Q60" s="7"/>
      <c r="R60" s="7">
        <v>1</v>
      </c>
      <c r="S60" s="7"/>
      <c r="T60" s="7"/>
      <c r="U60" s="7">
        <v>1</v>
      </c>
      <c r="V60" s="7"/>
      <c r="W60" s="7">
        <v>2</v>
      </c>
      <c r="X60" s="7">
        <v>2</v>
      </c>
      <c r="Y60" s="7">
        <v>1</v>
      </c>
      <c r="Z60" s="7"/>
      <c r="AA60" s="7"/>
      <c r="AB60" s="7"/>
      <c r="AC60" s="7"/>
      <c r="AD60" s="7"/>
      <c r="AE60" s="7"/>
      <c r="AF60" s="8"/>
      <c r="AG60" s="4">
        <f t="shared" si="2"/>
        <v>18</v>
      </c>
    </row>
    <row r="61" spans="1:33" ht="18.75" x14ac:dyDescent="0.25">
      <c r="A61" s="41" t="s">
        <v>42</v>
      </c>
      <c r="B61" s="7">
        <v>1</v>
      </c>
      <c r="C61" s="7">
        <v>1</v>
      </c>
      <c r="D61" s="7">
        <v>3</v>
      </c>
      <c r="E61" s="7">
        <v>1</v>
      </c>
      <c r="F61" s="7">
        <v>1</v>
      </c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>
        <v>1</v>
      </c>
      <c r="U61" s="7"/>
      <c r="V61" s="7"/>
      <c r="W61" s="7"/>
      <c r="X61" s="7"/>
      <c r="Y61" s="7">
        <v>1</v>
      </c>
      <c r="Z61" s="7"/>
      <c r="AA61" s="7"/>
      <c r="AB61" s="7"/>
      <c r="AC61" s="7">
        <v>1</v>
      </c>
      <c r="AD61" s="7"/>
      <c r="AE61" s="7"/>
      <c r="AF61" s="8"/>
      <c r="AG61" s="4">
        <f t="shared" si="2"/>
        <v>10</v>
      </c>
    </row>
    <row r="62" spans="1:33" ht="18.75" x14ac:dyDescent="0.25">
      <c r="A62" s="41" t="s">
        <v>43</v>
      </c>
      <c r="B62" s="7"/>
      <c r="C62" s="7"/>
      <c r="D62" s="7">
        <v>1</v>
      </c>
      <c r="E62" s="7">
        <v>1</v>
      </c>
      <c r="F62" s="7"/>
      <c r="G62" s="7"/>
      <c r="H62" s="7">
        <v>1</v>
      </c>
      <c r="I62" s="7">
        <v>2</v>
      </c>
      <c r="J62" s="7">
        <v>1</v>
      </c>
      <c r="K62" s="7">
        <v>1</v>
      </c>
      <c r="L62" s="7">
        <v>1</v>
      </c>
      <c r="M62" s="7">
        <v>1</v>
      </c>
      <c r="N62" s="7">
        <v>2</v>
      </c>
      <c r="O62" s="7"/>
      <c r="P62" s="7">
        <v>1</v>
      </c>
      <c r="Q62" s="7"/>
      <c r="R62" s="7"/>
      <c r="S62" s="7"/>
      <c r="T62" s="7">
        <v>1</v>
      </c>
      <c r="U62" s="7"/>
      <c r="V62" s="7">
        <v>1</v>
      </c>
      <c r="W62" s="7"/>
      <c r="X62" s="7"/>
      <c r="Y62" s="7"/>
      <c r="Z62" s="7">
        <v>1</v>
      </c>
      <c r="AA62" s="7">
        <v>3</v>
      </c>
      <c r="AB62" s="7"/>
      <c r="AC62" s="7">
        <v>2</v>
      </c>
      <c r="AD62" s="7"/>
      <c r="AE62" s="7"/>
      <c r="AF62" s="8"/>
      <c r="AG62" s="4">
        <f t="shared" si="2"/>
        <v>20</v>
      </c>
    </row>
    <row r="63" spans="1:33" ht="18.75" x14ac:dyDescent="0.25">
      <c r="A63" s="41" t="s">
        <v>44</v>
      </c>
      <c r="B63" s="7">
        <v>1</v>
      </c>
      <c r="C63" s="7">
        <v>1</v>
      </c>
      <c r="D63" s="7"/>
      <c r="E63" s="7"/>
      <c r="F63" s="7"/>
      <c r="G63" s="7"/>
      <c r="H63" s="7">
        <v>1</v>
      </c>
      <c r="I63" s="7"/>
      <c r="J63" s="7"/>
      <c r="K63" s="7"/>
      <c r="L63" s="7"/>
      <c r="M63" s="7"/>
      <c r="N63" s="7">
        <v>1</v>
      </c>
      <c r="O63" s="7">
        <v>1</v>
      </c>
      <c r="P63" s="7"/>
      <c r="Q63" s="7"/>
      <c r="R63" s="7"/>
      <c r="S63" s="7"/>
      <c r="T63" s="7">
        <v>1</v>
      </c>
      <c r="U63" s="7"/>
      <c r="V63" s="7">
        <v>1</v>
      </c>
      <c r="W63" s="7">
        <v>2</v>
      </c>
      <c r="X63" s="7">
        <v>2</v>
      </c>
      <c r="Y63" s="7">
        <v>3</v>
      </c>
      <c r="Z63" s="7"/>
      <c r="AA63" s="7"/>
      <c r="AB63" s="7"/>
      <c r="AC63" s="7"/>
      <c r="AD63" s="7"/>
      <c r="AE63" s="7"/>
      <c r="AF63" s="8"/>
      <c r="AG63" s="4">
        <f t="shared" si="2"/>
        <v>14</v>
      </c>
    </row>
    <row r="64" spans="1:33" ht="18.75" x14ac:dyDescent="0.25">
      <c r="A64" s="41" t="s">
        <v>45</v>
      </c>
      <c r="B64" s="7"/>
      <c r="C64" s="7">
        <v>1</v>
      </c>
      <c r="D64" s="7">
        <v>1</v>
      </c>
      <c r="E64" s="7"/>
      <c r="F64" s="7">
        <v>1</v>
      </c>
      <c r="G64" s="7"/>
      <c r="H64" s="7">
        <v>2</v>
      </c>
      <c r="I64" s="7"/>
      <c r="J64" s="7">
        <v>1</v>
      </c>
      <c r="K64" s="7">
        <v>1</v>
      </c>
      <c r="L64" s="7"/>
      <c r="M64" s="7"/>
      <c r="N64" s="7"/>
      <c r="O64" s="7">
        <v>4</v>
      </c>
      <c r="P64" s="7">
        <v>1</v>
      </c>
      <c r="Q64" s="7"/>
      <c r="R64" s="7"/>
      <c r="S64" s="7"/>
      <c r="T64" s="7"/>
      <c r="U64" s="7"/>
      <c r="V64" s="7"/>
      <c r="W64" s="7">
        <v>1</v>
      </c>
      <c r="X64" s="7"/>
      <c r="Y64" s="7">
        <v>1</v>
      </c>
      <c r="Z64" s="7"/>
      <c r="AA64" s="7">
        <v>1</v>
      </c>
      <c r="AB64" s="7"/>
      <c r="AC64" s="7"/>
      <c r="AD64" s="7"/>
      <c r="AE64" s="7">
        <v>2</v>
      </c>
      <c r="AF64" s="8"/>
      <c r="AG64" s="4">
        <f t="shared" si="2"/>
        <v>17</v>
      </c>
    </row>
    <row r="65" spans="1:33" ht="18.75" x14ac:dyDescent="0.25">
      <c r="A65" s="41" t="s">
        <v>46</v>
      </c>
      <c r="B65" s="7">
        <v>1</v>
      </c>
      <c r="C65" s="7"/>
      <c r="D65" s="7"/>
      <c r="E65" s="7">
        <v>1</v>
      </c>
      <c r="F65" s="7"/>
      <c r="G65" s="7">
        <v>1</v>
      </c>
      <c r="H65" s="7">
        <v>1</v>
      </c>
      <c r="I65" s="7">
        <v>2</v>
      </c>
      <c r="J65" s="7"/>
      <c r="K65" s="7"/>
      <c r="L65" s="7">
        <v>1</v>
      </c>
      <c r="M65" s="7"/>
      <c r="N65" s="7"/>
      <c r="O65" s="7"/>
      <c r="P65" s="7"/>
      <c r="Q65" s="7"/>
      <c r="R65" s="7"/>
      <c r="S65" s="7"/>
      <c r="T65" s="7">
        <v>1</v>
      </c>
      <c r="U65" s="7"/>
      <c r="V65" s="7">
        <v>1</v>
      </c>
      <c r="W65" s="7">
        <v>1</v>
      </c>
      <c r="X65" s="7"/>
      <c r="Y65" s="7">
        <v>1</v>
      </c>
      <c r="Z65" s="7"/>
      <c r="AA65" s="7"/>
      <c r="AB65" s="7"/>
      <c r="AC65" s="7"/>
      <c r="AD65" s="7"/>
      <c r="AE65" s="7"/>
      <c r="AF65" s="8"/>
      <c r="AG65" s="4">
        <f t="shared" si="2"/>
        <v>11</v>
      </c>
    </row>
    <row r="66" spans="1:33" ht="18.75" x14ac:dyDescent="0.25">
      <c r="A66" s="41" t="s">
        <v>47</v>
      </c>
      <c r="B66" s="7"/>
      <c r="C66" s="7">
        <v>1</v>
      </c>
      <c r="D66" s="7"/>
      <c r="E66" s="7"/>
      <c r="F66" s="7"/>
      <c r="G66" s="7"/>
      <c r="H66" s="7"/>
      <c r="I66" s="7">
        <v>1</v>
      </c>
      <c r="J66" s="7"/>
      <c r="K66" s="7"/>
      <c r="L66" s="7"/>
      <c r="M66" s="7">
        <v>1</v>
      </c>
      <c r="N66" s="7">
        <v>2</v>
      </c>
      <c r="O66" s="7"/>
      <c r="P66" s="7"/>
      <c r="Q66" s="7">
        <v>1</v>
      </c>
      <c r="R66" s="7"/>
      <c r="S66" s="7"/>
      <c r="T66" s="7">
        <v>1</v>
      </c>
      <c r="U66" s="7"/>
      <c r="V66" s="7">
        <v>1</v>
      </c>
      <c r="W66" s="7"/>
      <c r="X66" s="7"/>
      <c r="Y66" s="7"/>
      <c r="Z66" s="7"/>
      <c r="AA66" s="7"/>
      <c r="AB66" s="7"/>
      <c r="AC66" s="7">
        <v>1</v>
      </c>
      <c r="AD66" s="7"/>
      <c r="AE66" s="7">
        <v>1</v>
      </c>
      <c r="AF66" s="8"/>
      <c r="AG66" s="4">
        <f t="shared" si="2"/>
        <v>10</v>
      </c>
    </row>
    <row r="67" spans="1:33" ht="18.75" x14ac:dyDescent="0.25">
      <c r="A67" s="41" t="s">
        <v>48</v>
      </c>
      <c r="B67" s="7"/>
      <c r="C67" s="7"/>
      <c r="D67" s="7"/>
      <c r="E67" s="7"/>
      <c r="F67" s="7"/>
      <c r="G67" s="7"/>
      <c r="H67" s="7"/>
      <c r="I67" s="7"/>
      <c r="J67" s="7"/>
      <c r="K67" s="7">
        <v>1</v>
      </c>
      <c r="L67" s="7">
        <v>1</v>
      </c>
      <c r="M67" s="7"/>
      <c r="N67" s="7"/>
      <c r="O67" s="7"/>
      <c r="P67" s="7"/>
      <c r="Q67" s="7"/>
      <c r="R67" s="7">
        <v>1</v>
      </c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8"/>
      <c r="AG67" s="4">
        <f t="shared" si="2"/>
        <v>3</v>
      </c>
    </row>
    <row r="68" spans="1:33" ht="18.75" x14ac:dyDescent="0.25">
      <c r="A68" s="41" t="s">
        <v>49</v>
      </c>
      <c r="B68" s="7"/>
      <c r="C68" s="7"/>
      <c r="D68" s="7"/>
      <c r="E68" s="7"/>
      <c r="F68" s="7"/>
      <c r="G68" s="7"/>
      <c r="H68" s="7"/>
      <c r="I68" s="7"/>
      <c r="J68" s="7"/>
      <c r="K68" s="7"/>
      <c r="L68" s="7">
        <v>1</v>
      </c>
      <c r="M68" s="7"/>
      <c r="N68" s="7"/>
      <c r="O68" s="7"/>
      <c r="P68" s="7"/>
      <c r="Q68" s="7"/>
      <c r="R68" s="7">
        <v>1</v>
      </c>
      <c r="S68" s="7"/>
      <c r="T68" s="7"/>
      <c r="U68" s="7">
        <v>1</v>
      </c>
      <c r="V68" s="7">
        <v>1</v>
      </c>
      <c r="W68" s="7"/>
      <c r="X68" s="7">
        <v>1</v>
      </c>
      <c r="Y68" s="7">
        <v>1</v>
      </c>
      <c r="Z68" s="7"/>
      <c r="AA68" s="7"/>
      <c r="AB68" s="7"/>
      <c r="AC68" s="7"/>
      <c r="AD68" s="7"/>
      <c r="AE68" s="7"/>
      <c r="AF68" s="8"/>
      <c r="AG68" s="4">
        <f t="shared" si="2"/>
        <v>6</v>
      </c>
    </row>
    <row r="69" spans="1:33" ht="18.75" x14ac:dyDescent="0.25">
      <c r="A69" s="41" t="s">
        <v>50</v>
      </c>
      <c r="B69" s="7"/>
      <c r="C69" s="7"/>
      <c r="D69" s="7"/>
      <c r="E69" s="7"/>
      <c r="F69" s="7"/>
      <c r="G69" s="7"/>
      <c r="H69" s="7"/>
      <c r="I69" s="7">
        <v>1</v>
      </c>
      <c r="J69" s="7">
        <v>1</v>
      </c>
      <c r="K69" s="7">
        <v>1</v>
      </c>
      <c r="L69" s="7"/>
      <c r="M69" s="7"/>
      <c r="N69" s="7"/>
      <c r="O69" s="7"/>
      <c r="P69" s="7"/>
      <c r="Q69" s="7"/>
      <c r="R69" s="7">
        <v>2</v>
      </c>
      <c r="S69" s="7"/>
      <c r="T69" s="7"/>
      <c r="U69" s="7"/>
      <c r="V69" s="7"/>
      <c r="W69" s="7"/>
      <c r="X69" s="7">
        <v>1</v>
      </c>
      <c r="Y69" s="7"/>
      <c r="Z69" s="7"/>
      <c r="AA69" s="7"/>
      <c r="AB69" s="7">
        <v>1</v>
      </c>
      <c r="AC69" s="7"/>
      <c r="AD69" s="7"/>
      <c r="AE69" s="7"/>
      <c r="AF69" s="8"/>
      <c r="AG69" s="4">
        <f t="shared" si="2"/>
        <v>7</v>
      </c>
    </row>
    <row r="70" spans="1:33" ht="18.75" x14ac:dyDescent="0.25">
      <c r="A70" s="41" t="s">
        <v>33</v>
      </c>
      <c r="B70" s="114"/>
      <c r="C70" s="114"/>
      <c r="D70" s="7"/>
      <c r="E70" s="114"/>
      <c r="F70" s="114"/>
      <c r="G70" s="7"/>
      <c r="H70" s="114"/>
      <c r="I70" s="7"/>
      <c r="J70" s="114"/>
      <c r="K70" s="114"/>
      <c r="L70" s="114"/>
      <c r="M70" s="114"/>
      <c r="N70" s="114"/>
      <c r="O70" s="114"/>
      <c r="P70" s="114"/>
      <c r="Q70" s="114"/>
      <c r="R70" s="114"/>
      <c r="S70" s="114"/>
      <c r="T70" s="114"/>
      <c r="U70" s="114"/>
      <c r="V70" s="114"/>
      <c r="W70" s="114"/>
      <c r="X70" s="114"/>
      <c r="Y70" s="114"/>
      <c r="Z70" s="114"/>
      <c r="AA70" s="7"/>
      <c r="AB70" s="114"/>
      <c r="AC70" s="114"/>
      <c r="AD70" s="114"/>
      <c r="AE70" s="114"/>
      <c r="AF70" s="115"/>
      <c r="AG70" s="4">
        <f t="shared" si="2"/>
        <v>0</v>
      </c>
    </row>
    <row r="71" spans="1:33" ht="18.75" x14ac:dyDescent="0.25">
      <c r="A71" s="41" t="s">
        <v>34</v>
      </c>
      <c r="B71" s="114"/>
      <c r="C71" s="114"/>
      <c r="D71" s="7"/>
      <c r="E71" s="114"/>
      <c r="F71" s="114"/>
      <c r="G71" s="7"/>
      <c r="H71" s="114"/>
      <c r="I71" s="7"/>
      <c r="J71" s="114"/>
      <c r="K71" s="114"/>
      <c r="L71" s="114"/>
      <c r="M71" s="114"/>
      <c r="N71" s="114"/>
      <c r="O71" s="114"/>
      <c r="P71" s="114"/>
      <c r="Q71" s="114"/>
      <c r="R71" s="114"/>
      <c r="S71" s="114"/>
      <c r="T71" s="114"/>
      <c r="U71" s="114"/>
      <c r="V71" s="114"/>
      <c r="W71" s="114"/>
      <c r="X71" s="114"/>
      <c r="Y71" s="114"/>
      <c r="Z71" s="114"/>
      <c r="AA71" s="7"/>
      <c r="AB71" s="114"/>
      <c r="AC71" s="114"/>
      <c r="AD71" s="114"/>
      <c r="AE71" s="114">
        <v>1</v>
      </c>
      <c r="AF71" s="115"/>
      <c r="AG71" s="4">
        <f t="shared" si="2"/>
        <v>1</v>
      </c>
    </row>
    <row r="72" spans="1:33" ht="18.75" x14ac:dyDescent="0.25">
      <c r="A72" s="41" t="s">
        <v>35</v>
      </c>
      <c r="B72" s="114"/>
      <c r="C72" s="114"/>
      <c r="D72" s="7"/>
      <c r="E72" s="114"/>
      <c r="F72" s="114"/>
      <c r="G72" s="7"/>
      <c r="H72" s="114"/>
      <c r="I72" s="7"/>
      <c r="J72" s="114"/>
      <c r="K72" s="114"/>
      <c r="L72" s="114"/>
      <c r="M72" s="114"/>
      <c r="N72" s="114">
        <v>1</v>
      </c>
      <c r="O72" s="114"/>
      <c r="P72" s="114">
        <v>1</v>
      </c>
      <c r="Q72" s="114"/>
      <c r="R72" s="114"/>
      <c r="S72" s="114"/>
      <c r="T72" s="114"/>
      <c r="U72" s="114"/>
      <c r="V72" s="114">
        <v>1</v>
      </c>
      <c r="W72" s="114"/>
      <c r="X72" s="114"/>
      <c r="Y72" s="114"/>
      <c r="Z72" s="114"/>
      <c r="AA72" s="7"/>
      <c r="AB72" s="114">
        <v>1</v>
      </c>
      <c r="AC72" s="114"/>
      <c r="AD72" s="114"/>
      <c r="AE72" s="114"/>
      <c r="AF72" s="115"/>
      <c r="AG72" s="4">
        <f t="shared" si="2"/>
        <v>4</v>
      </c>
    </row>
    <row r="73" spans="1:33" ht="18.75" x14ac:dyDescent="0.25">
      <c r="A73" s="41" t="s">
        <v>36</v>
      </c>
      <c r="B73" s="114"/>
      <c r="C73" s="114"/>
      <c r="D73" s="7"/>
      <c r="E73" s="114"/>
      <c r="F73" s="114"/>
      <c r="G73" s="7"/>
      <c r="H73" s="114"/>
      <c r="I73" s="7"/>
      <c r="J73" s="114"/>
      <c r="K73" s="114"/>
      <c r="L73" s="114"/>
      <c r="M73" s="114"/>
      <c r="N73" s="114"/>
      <c r="O73" s="114"/>
      <c r="P73" s="114"/>
      <c r="Q73" s="114"/>
      <c r="R73" s="114"/>
      <c r="S73" s="114"/>
      <c r="T73" s="114"/>
      <c r="U73" s="114"/>
      <c r="V73" s="114"/>
      <c r="W73" s="114"/>
      <c r="X73" s="114"/>
      <c r="Y73" s="114"/>
      <c r="Z73" s="114"/>
      <c r="AA73" s="7"/>
      <c r="AB73" s="114"/>
      <c r="AC73" s="114"/>
      <c r="AD73" s="114"/>
      <c r="AE73" s="114"/>
      <c r="AF73" s="115"/>
      <c r="AG73" s="4">
        <f t="shared" si="2"/>
        <v>0</v>
      </c>
    </row>
    <row r="74" spans="1:33" ht="18.75" x14ac:dyDescent="0.25">
      <c r="A74" s="41" t="s">
        <v>51</v>
      </c>
      <c r="B74" s="114"/>
      <c r="C74" s="114"/>
      <c r="D74" s="7"/>
      <c r="E74" s="114"/>
      <c r="F74" s="114"/>
      <c r="G74" s="7"/>
      <c r="H74" s="114"/>
      <c r="I74" s="7"/>
      <c r="J74" s="114"/>
      <c r="K74" s="114"/>
      <c r="L74" s="114"/>
      <c r="M74" s="114"/>
      <c r="N74" s="114">
        <v>1</v>
      </c>
      <c r="O74" s="114"/>
      <c r="P74" s="114"/>
      <c r="Q74" s="114"/>
      <c r="R74" s="114"/>
      <c r="S74" s="114"/>
      <c r="T74" s="114"/>
      <c r="U74" s="114"/>
      <c r="V74" s="114"/>
      <c r="W74" s="114"/>
      <c r="X74" s="114"/>
      <c r="Y74" s="114"/>
      <c r="Z74" s="114"/>
      <c r="AA74" s="7"/>
      <c r="AB74" s="114"/>
      <c r="AC74" s="114"/>
      <c r="AD74" s="114"/>
      <c r="AE74" s="114"/>
      <c r="AF74" s="115"/>
      <c r="AG74" s="4">
        <f t="shared" si="2"/>
        <v>1</v>
      </c>
    </row>
    <row r="75" spans="1:33" ht="18.75" x14ac:dyDescent="0.25">
      <c r="A75" s="41" t="s">
        <v>52</v>
      </c>
      <c r="B75" s="114"/>
      <c r="C75" s="114"/>
      <c r="D75" s="7"/>
      <c r="E75" s="114"/>
      <c r="F75" s="114"/>
      <c r="G75" s="7"/>
      <c r="H75" s="114"/>
      <c r="I75" s="7"/>
      <c r="J75" s="114"/>
      <c r="K75" s="114"/>
      <c r="L75" s="114"/>
      <c r="M75" s="114"/>
      <c r="N75" s="114"/>
      <c r="O75" s="114"/>
      <c r="P75" s="114"/>
      <c r="Q75" s="114"/>
      <c r="R75" s="114"/>
      <c r="S75" s="114"/>
      <c r="T75" s="114"/>
      <c r="U75" s="114"/>
      <c r="V75" s="114"/>
      <c r="W75" s="114"/>
      <c r="X75" s="114"/>
      <c r="Y75" s="114"/>
      <c r="Z75" s="114"/>
      <c r="AA75" s="7"/>
      <c r="AB75" s="114"/>
      <c r="AC75" s="114"/>
      <c r="AD75" s="114"/>
      <c r="AE75" s="114"/>
      <c r="AF75" s="115"/>
      <c r="AG75" s="4">
        <f t="shared" si="2"/>
        <v>0</v>
      </c>
    </row>
    <row r="76" spans="1:33" ht="18.75" x14ac:dyDescent="0.25">
      <c r="A76" s="41" t="s">
        <v>37</v>
      </c>
      <c r="B76" s="114"/>
      <c r="C76" s="114"/>
      <c r="D76" s="7"/>
      <c r="E76" s="114"/>
      <c r="F76" s="114"/>
      <c r="G76" s="7"/>
      <c r="H76" s="114"/>
      <c r="I76" s="7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X76" s="114"/>
      <c r="Y76" s="114"/>
      <c r="Z76" s="114"/>
      <c r="AA76" s="7"/>
      <c r="AB76" s="114"/>
      <c r="AC76" s="114"/>
      <c r="AD76" s="114"/>
      <c r="AE76" s="114"/>
      <c r="AF76" s="115"/>
      <c r="AG76" s="4">
        <f t="shared" si="2"/>
        <v>0</v>
      </c>
    </row>
    <row r="77" spans="1:33" ht="19.5" thickBot="1" x14ac:dyDescent="0.3">
      <c r="A77" s="134" t="s">
        <v>53</v>
      </c>
      <c r="B77" s="166"/>
      <c r="C77" s="166"/>
      <c r="D77" s="9"/>
      <c r="E77" s="166"/>
      <c r="F77" s="166"/>
      <c r="G77" s="9"/>
      <c r="H77" s="166"/>
      <c r="I77" s="9"/>
      <c r="J77" s="166"/>
      <c r="K77" s="166"/>
      <c r="L77" s="166"/>
      <c r="M77" s="166"/>
      <c r="N77" s="166"/>
      <c r="O77" s="166"/>
      <c r="P77" s="166"/>
      <c r="Q77" s="166"/>
      <c r="R77" s="166"/>
      <c r="S77" s="166"/>
      <c r="T77" s="166">
        <v>1</v>
      </c>
      <c r="U77" s="166"/>
      <c r="V77" s="166"/>
      <c r="W77" s="166"/>
      <c r="X77" s="166"/>
      <c r="Y77" s="166"/>
      <c r="Z77" s="166"/>
      <c r="AA77" s="9"/>
      <c r="AB77" s="166"/>
      <c r="AC77" s="166"/>
      <c r="AD77" s="166"/>
      <c r="AE77" s="166"/>
      <c r="AF77" s="167"/>
      <c r="AG77" s="108">
        <f t="shared" si="2"/>
        <v>1</v>
      </c>
    </row>
    <row r="78" spans="1:33" ht="19.5" hidden="1" customHeight="1" thickBot="1" x14ac:dyDescent="0.3">
      <c r="A78" s="183" t="s">
        <v>99</v>
      </c>
      <c r="B78" s="185">
        <f t="shared" ref="B78:AF78" si="5">SUM(B79:B80)</f>
        <v>111</v>
      </c>
      <c r="C78" s="185">
        <f t="shared" si="5"/>
        <v>80</v>
      </c>
      <c r="D78" s="185">
        <f t="shared" si="5"/>
        <v>97</v>
      </c>
      <c r="E78" s="184">
        <f t="shared" si="5"/>
        <v>116</v>
      </c>
      <c r="F78" s="184">
        <f t="shared" si="5"/>
        <v>109</v>
      </c>
      <c r="G78" s="184">
        <f t="shared" si="5"/>
        <v>88</v>
      </c>
      <c r="H78" s="184">
        <f t="shared" si="5"/>
        <v>116</v>
      </c>
      <c r="I78" s="184">
        <f t="shared" si="5"/>
        <v>104</v>
      </c>
      <c r="J78" s="184">
        <f t="shared" si="5"/>
        <v>118</v>
      </c>
      <c r="K78" s="184">
        <f t="shared" si="5"/>
        <v>110</v>
      </c>
      <c r="L78" s="184">
        <f t="shared" si="5"/>
        <v>144</v>
      </c>
      <c r="M78" s="184">
        <f t="shared" si="5"/>
        <v>111</v>
      </c>
      <c r="N78" s="184">
        <f t="shared" si="5"/>
        <v>83</v>
      </c>
      <c r="O78" s="184">
        <f>SUM(O79:O80)</f>
        <v>118</v>
      </c>
      <c r="P78" s="184">
        <f t="shared" si="5"/>
        <v>122</v>
      </c>
      <c r="Q78" s="184">
        <f t="shared" si="5"/>
        <v>91</v>
      </c>
      <c r="R78" s="184">
        <f t="shared" si="5"/>
        <v>81</v>
      </c>
      <c r="S78" s="184">
        <f t="shared" si="5"/>
        <v>72</v>
      </c>
      <c r="T78" s="184">
        <f t="shared" si="5"/>
        <v>92</v>
      </c>
      <c r="U78" s="184">
        <f t="shared" si="5"/>
        <v>99</v>
      </c>
      <c r="V78" s="184">
        <f t="shared" si="5"/>
        <v>151</v>
      </c>
      <c r="W78" s="184">
        <f t="shared" si="5"/>
        <v>120</v>
      </c>
      <c r="X78" s="184">
        <f t="shared" si="5"/>
        <v>152</v>
      </c>
      <c r="Y78" s="184">
        <f t="shared" si="5"/>
        <v>154</v>
      </c>
      <c r="Z78" s="184">
        <f t="shared" si="5"/>
        <v>69</v>
      </c>
      <c r="AA78" s="184">
        <f t="shared" si="5"/>
        <v>104</v>
      </c>
      <c r="AB78" s="184">
        <f t="shared" si="5"/>
        <v>98</v>
      </c>
      <c r="AC78" s="184">
        <f t="shared" si="5"/>
        <v>126</v>
      </c>
      <c r="AD78" s="184">
        <f t="shared" si="5"/>
        <v>108</v>
      </c>
      <c r="AE78" s="184">
        <f t="shared" si="5"/>
        <v>91</v>
      </c>
      <c r="AF78" s="186">
        <f t="shared" si="5"/>
        <v>0</v>
      </c>
      <c r="AG78" s="116">
        <f t="shared" si="2"/>
        <v>3235</v>
      </c>
    </row>
    <row r="79" spans="1:33" ht="19.5" hidden="1" customHeight="1" thickBot="1" x14ac:dyDescent="0.3">
      <c r="A79" s="181" t="s">
        <v>58</v>
      </c>
      <c r="B79" s="114">
        <f t="shared" ref="B79:AF79" si="6">SUM(B4:B27)-B80</f>
        <v>111</v>
      </c>
      <c r="C79" s="114">
        <f t="shared" si="6"/>
        <v>80</v>
      </c>
      <c r="D79" s="114">
        <f t="shared" si="6"/>
        <v>97</v>
      </c>
      <c r="E79" s="114">
        <f t="shared" si="6"/>
        <v>116</v>
      </c>
      <c r="F79" s="114">
        <f t="shared" si="6"/>
        <v>55</v>
      </c>
      <c r="G79" s="114">
        <f t="shared" si="6"/>
        <v>46</v>
      </c>
      <c r="H79" s="114">
        <f t="shared" si="6"/>
        <v>43</v>
      </c>
      <c r="I79" s="114">
        <f t="shared" si="6"/>
        <v>104</v>
      </c>
      <c r="J79" s="114">
        <f t="shared" si="6"/>
        <v>118</v>
      </c>
      <c r="K79" s="114">
        <f t="shared" si="6"/>
        <v>110</v>
      </c>
      <c r="L79" s="114">
        <f t="shared" si="6"/>
        <v>144</v>
      </c>
      <c r="M79" s="114">
        <f t="shared" si="6"/>
        <v>44</v>
      </c>
      <c r="N79" s="114">
        <f t="shared" si="6"/>
        <v>39</v>
      </c>
      <c r="O79" s="114">
        <f t="shared" si="6"/>
        <v>50</v>
      </c>
      <c r="P79" s="114">
        <f t="shared" si="6"/>
        <v>122</v>
      </c>
      <c r="Q79" s="114">
        <f t="shared" si="6"/>
        <v>91</v>
      </c>
      <c r="R79" s="114">
        <f t="shared" si="6"/>
        <v>39</v>
      </c>
      <c r="S79" s="114">
        <f t="shared" si="6"/>
        <v>41</v>
      </c>
      <c r="T79" s="114">
        <f t="shared" si="6"/>
        <v>38</v>
      </c>
      <c r="U79" s="114">
        <f t="shared" si="6"/>
        <v>44</v>
      </c>
      <c r="V79" s="114">
        <f t="shared" si="6"/>
        <v>60</v>
      </c>
      <c r="W79" s="114">
        <f t="shared" si="6"/>
        <v>120</v>
      </c>
      <c r="X79" s="114">
        <f t="shared" si="6"/>
        <v>152</v>
      </c>
      <c r="Y79" s="114">
        <f t="shared" si="6"/>
        <v>67</v>
      </c>
      <c r="Z79" s="114">
        <f t="shared" si="6"/>
        <v>69</v>
      </c>
      <c r="AA79" s="114">
        <f t="shared" si="6"/>
        <v>57</v>
      </c>
      <c r="AB79" s="114">
        <f t="shared" si="6"/>
        <v>50</v>
      </c>
      <c r="AC79" s="114">
        <f t="shared" si="6"/>
        <v>45</v>
      </c>
      <c r="AD79" s="114">
        <f t="shared" si="6"/>
        <v>108</v>
      </c>
      <c r="AE79" s="114">
        <f t="shared" si="6"/>
        <v>91</v>
      </c>
      <c r="AF79" s="114">
        <f t="shared" si="6"/>
        <v>0</v>
      </c>
      <c r="AG79" s="132">
        <f t="shared" si="2"/>
        <v>2351</v>
      </c>
    </row>
    <row r="80" spans="1:33" ht="19.5" hidden="1" customHeight="1" thickBot="1" x14ac:dyDescent="0.3">
      <c r="A80" s="107" t="s">
        <v>57</v>
      </c>
      <c r="B80" s="11"/>
      <c r="C80" s="11"/>
      <c r="D80" s="9">
        <v>0</v>
      </c>
      <c r="E80" s="9">
        <v>0</v>
      </c>
      <c r="F80" s="9">
        <f>SUM(F4:F12)</f>
        <v>54</v>
      </c>
      <c r="G80" s="9">
        <f>SUM(G4:G12)</f>
        <v>42</v>
      </c>
      <c r="H80" s="9">
        <f>SUM(H4:H12)</f>
        <v>73</v>
      </c>
      <c r="I80" s="11"/>
      <c r="J80" s="11"/>
      <c r="K80" s="9">
        <v>0</v>
      </c>
      <c r="L80" s="9">
        <v>0</v>
      </c>
      <c r="M80" s="9">
        <f>SUM(M4:M12)</f>
        <v>67</v>
      </c>
      <c r="N80" s="9">
        <f>SUM(N4:N12)</f>
        <v>44</v>
      </c>
      <c r="O80" s="9">
        <f>SUM(O4:O12)</f>
        <v>68</v>
      </c>
      <c r="P80" s="11"/>
      <c r="Q80" s="11"/>
      <c r="R80" s="9">
        <f>SUM(R4:R12)</f>
        <v>42</v>
      </c>
      <c r="S80" s="9">
        <f>SUM(S4:S12)</f>
        <v>31</v>
      </c>
      <c r="T80" s="9">
        <f>SUM(T4:T12)</f>
        <v>54</v>
      </c>
      <c r="U80" s="9">
        <f>SUM(U4:U12)</f>
        <v>55</v>
      </c>
      <c r="V80" s="9">
        <f>SUM(V4:V12)</f>
        <v>91</v>
      </c>
      <c r="W80" s="11"/>
      <c r="X80" s="11"/>
      <c r="Y80" s="9">
        <f>SUM(Y4:Y12)</f>
        <v>87</v>
      </c>
      <c r="Z80" s="11"/>
      <c r="AA80" s="9">
        <f>SUM(AA4:AA12)</f>
        <v>47</v>
      </c>
      <c r="AB80" s="9">
        <f>SUM(AB4:AB12)</f>
        <v>48</v>
      </c>
      <c r="AC80" s="9">
        <f>SUM(AC4:AC12)</f>
        <v>81</v>
      </c>
      <c r="AD80" s="11"/>
      <c r="AE80" s="11"/>
      <c r="AF80" s="9">
        <f>SUM(AF4:AF12)</f>
        <v>0</v>
      </c>
      <c r="AG80" s="108">
        <f t="shared" si="2"/>
        <v>884</v>
      </c>
    </row>
    <row r="81" spans="1:35" ht="19.5" thickBot="1" x14ac:dyDescent="0.3">
      <c r="A81" s="183" t="s">
        <v>98</v>
      </c>
      <c r="B81" s="184">
        <f t="shared" ref="B81:AF81" si="7">SUM(B82:B83)</f>
        <v>3</v>
      </c>
      <c r="C81" s="184">
        <f t="shared" si="7"/>
        <v>9</v>
      </c>
      <c r="D81" s="184">
        <f t="shared" si="7"/>
        <v>7</v>
      </c>
      <c r="E81" s="184">
        <f t="shared" si="7"/>
        <v>7</v>
      </c>
      <c r="F81" s="184">
        <f t="shared" si="7"/>
        <v>3</v>
      </c>
      <c r="G81" s="184">
        <f t="shared" si="7"/>
        <v>1</v>
      </c>
      <c r="H81" s="184">
        <f t="shared" si="7"/>
        <v>8</v>
      </c>
      <c r="I81" s="184">
        <f t="shared" si="7"/>
        <v>8</v>
      </c>
      <c r="J81" s="184">
        <f t="shared" si="7"/>
        <v>9</v>
      </c>
      <c r="K81" s="184">
        <f t="shared" si="7"/>
        <v>5</v>
      </c>
      <c r="L81" s="184">
        <f t="shared" si="7"/>
        <v>9</v>
      </c>
      <c r="M81" s="184">
        <f t="shared" si="7"/>
        <v>3</v>
      </c>
      <c r="N81" s="184">
        <f t="shared" si="7"/>
        <v>7</v>
      </c>
      <c r="O81" s="184">
        <f t="shared" si="7"/>
        <v>7</v>
      </c>
      <c r="P81" s="184">
        <f t="shared" si="7"/>
        <v>5</v>
      </c>
      <c r="Q81" s="184">
        <f t="shared" si="7"/>
        <v>3</v>
      </c>
      <c r="R81" s="184">
        <f t="shared" si="7"/>
        <v>5</v>
      </c>
      <c r="S81" s="184">
        <f t="shared" si="7"/>
        <v>0</v>
      </c>
      <c r="T81" s="184">
        <f t="shared" si="7"/>
        <v>7</v>
      </c>
      <c r="U81" s="184">
        <f t="shared" si="7"/>
        <v>2</v>
      </c>
      <c r="V81" s="184">
        <f t="shared" si="7"/>
        <v>7</v>
      </c>
      <c r="W81" s="184">
        <f t="shared" si="7"/>
        <v>7</v>
      </c>
      <c r="X81" s="184">
        <f t="shared" si="7"/>
        <v>9</v>
      </c>
      <c r="Y81" s="184">
        <f t="shared" si="7"/>
        <v>10</v>
      </c>
      <c r="Z81" s="184">
        <f>SUM(Z82:Z83)</f>
        <v>1</v>
      </c>
      <c r="AA81" s="184">
        <f t="shared" si="7"/>
        <v>5</v>
      </c>
      <c r="AB81" s="184">
        <f t="shared" si="7"/>
        <v>2</v>
      </c>
      <c r="AC81" s="184">
        <f t="shared" si="7"/>
        <v>10</v>
      </c>
      <c r="AD81" s="184">
        <f t="shared" si="7"/>
        <v>3</v>
      </c>
      <c r="AE81" s="184">
        <f t="shared" si="7"/>
        <v>5</v>
      </c>
      <c r="AF81" s="184">
        <f t="shared" si="7"/>
        <v>0</v>
      </c>
      <c r="AG81" s="116">
        <f t="shared" si="2"/>
        <v>167</v>
      </c>
      <c r="AH81" s="180" t="str">
        <f>IF(AG81&lt;&gt;AG53,"*","")</f>
        <v/>
      </c>
    </row>
    <row r="82" spans="1:35" ht="18.75" x14ac:dyDescent="0.25">
      <c r="A82" s="181" t="s">
        <v>57</v>
      </c>
      <c r="B82" s="114">
        <f t="shared" ref="B82:AF82" si="8">SUM(B54:B62)</f>
        <v>1</v>
      </c>
      <c r="C82" s="114">
        <f t="shared" si="8"/>
        <v>6</v>
      </c>
      <c r="D82" s="114">
        <f t="shared" si="8"/>
        <v>6</v>
      </c>
      <c r="E82" s="114">
        <f t="shared" si="8"/>
        <v>6</v>
      </c>
      <c r="F82" s="182"/>
      <c r="G82" s="182"/>
      <c r="H82" s="114">
        <f t="shared" si="8"/>
        <v>4</v>
      </c>
      <c r="I82" s="114">
        <f t="shared" si="8"/>
        <v>4</v>
      </c>
      <c r="J82" s="114">
        <f t="shared" si="8"/>
        <v>7</v>
      </c>
      <c r="K82" s="114">
        <f t="shared" si="8"/>
        <v>2</v>
      </c>
      <c r="L82" s="114">
        <f t="shared" si="8"/>
        <v>6</v>
      </c>
      <c r="M82" s="182"/>
      <c r="N82" s="182"/>
      <c r="O82" s="114">
        <f t="shared" si="8"/>
        <v>2</v>
      </c>
      <c r="P82" s="114">
        <f t="shared" si="8"/>
        <v>3</v>
      </c>
      <c r="Q82" s="114">
        <f t="shared" si="8"/>
        <v>2</v>
      </c>
      <c r="R82" s="114">
        <f t="shared" si="8"/>
        <v>1</v>
      </c>
      <c r="S82" s="182"/>
      <c r="T82" s="182"/>
      <c r="U82" s="182"/>
      <c r="V82" s="114">
        <f t="shared" si="8"/>
        <v>2</v>
      </c>
      <c r="W82" s="114">
        <f t="shared" si="8"/>
        <v>3</v>
      </c>
      <c r="X82" s="114">
        <f t="shared" si="8"/>
        <v>5</v>
      </c>
      <c r="Y82" s="114">
        <f t="shared" si="8"/>
        <v>4</v>
      </c>
      <c r="Z82" s="114">
        <f t="shared" si="8"/>
        <v>1</v>
      </c>
      <c r="AA82" s="182"/>
      <c r="AB82" s="182"/>
      <c r="AC82" s="114">
        <f t="shared" si="8"/>
        <v>9</v>
      </c>
      <c r="AD82" s="114">
        <f t="shared" si="8"/>
        <v>3</v>
      </c>
      <c r="AE82" s="114">
        <f t="shared" si="8"/>
        <v>1</v>
      </c>
      <c r="AF82" s="114">
        <f t="shared" si="8"/>
        <v>0</v>
      </c>
      <c r="AG82" s="132">
        <f t="shared" si="2"/>
        <v>78</v>
      </c>
    </row>
    <row r="83" spans="1:35" ht="19.5" thickBot="1" x14ac:dyDescent="0.3">
      <c r="A83" s="107" t="s">
        <v>58</v>
      </c>
      <c r="B83" s="9">
        <f t="shared" ref="B83" si="9">SUM(B54:B77)-B82</f>
        <v>2</v>
      </c>
      <c r="C83" s="9">
        <f t="shared" ref="C83" si="10">SUM(C54:C77)-C82</f>
        <v>3</v>
      </c>
      <c r="D83" s="9">
        <f t="shared" ref="D83:AF83" si="11">SUM(D54:D77)-D82</f>
        <v>1</v>
      </c>
      <c r="E83" s="9">
        <f t="shared" si="11"/>
        <v>1</v>
      </c>
      <c r="F83" s="9">
        <f t="shared" si="11"/>
        <v>3</v>
      </c>
      <c r="G83" s="9">
        <f t="shared" si="11"/>
        <v>1</v>
      </c>
      <c r="H83" s="9">
        <f t="shared" si="11"/>
        <v>4</v>
      </c>
      <c r="I83" s="9">
        <f t="shared" si="11"/>
        <v>4</v>
      </c>
      <c r="J83" s="9">
        <f t="shared" si="11"/>
        <v>2</v>
      </c>
      <c r="K83" s="9">
        <f t="shared" si="11"/>
        <v>3</v>
      </c>
      <c r="L83" s="9">
        <f t="shared" si="11"/>
        <v>3</v>
      </c>
      <c r="M83" s="9">
        <f t="shared" si="11"/>
        <v>3</v>
      </c>
      <c r="N83" s="9">
        <f t="shared" si="11"/>
        <v>7</v>
      </c>
      <c r="O83" s="9">
        <f t="shared" si="11"/>
        <v>5</v>
      </c>
      <c r="P83" s="9">
        <f t="shared" si="11"/>
        <v>2</v>
      </c>
      <c r="Q83" s="9">
        <f t="shared" si="11"/>
        <v>1</v>
      </c>
      <c r="R83" s="9">
        <f t="shared" si="11"/>
        <v>4</v>
      </c>
      <c r="S83" s="9">
        <f t="shared" si="11"/>
        <v>0</v>
      </c>
      <c r="T83" s="9">
        <f t="shared" si="11"/>
        <v>7</v>
      </c>
      <c r="U83" s="9">
        <f t="shared" si="11"/>
        <v>2</v>
      </c>
      <c r="V83" s="9">
        <f t="shared" si="11"/>
        <v>5</v>
      </c>
      <c r="W83" s="9">
        <f t="shared" si="11"/>
        <v>4</v>
      </c>
      <c r="X83" s="9">
        <f t="shared" si="11"/>
        <v>4</v>
      </c>
      <c r="Y83" s="9">
        <f t="shared" si="11"/>
        <v>6</v>
      </c>
      <c r="Z83" s="9">
        <f t="shared" si="11"/>
        <v>0</v>
      </c>
      <c r="AA83" s="9">
        <f t="shared" si="11"/>
        <v>5</v>
      </c>
      <c r="AB83" s="9">
        <f t="shared" si="11"/>
        <v>2</v>
      </c>
      <c r="AC83" s="9">
        <f t="shared" si="11"/>
        <v>1</v>
      </c>
      <c r="AD83" s="9">
        <f t="shared" si="11"/>
        <v>0</v>
      </c>
      <c r="AE83" s="9">
        <f t="shared" si="11"/>
        <v>4</v>
      </c>
      <c r="AF83" s="9">
        <f t="shared" si="11"/>
        <v>0</v>
      </c>
      <c r="AG83" s="4">
        <f t="shared" si="2"/>
        <v>89</v>
      </c>
    </row>
    <row r="84" spans="1:35" ht="19.5" thickBot="1" x14ac:dyDescent="0.3">
      <c r="A84" s="164" t="s">
        <v>146</v>
      </c>
      <c r="B84" s="165">
        <f>SUM(B85:B86)</f>
        <v>3</v>
      </c>
      <c r="C84" s="165">
        <f t="shared" ref="C84:AF84" si="12">SUM(C85:C86)</f>
        <v>9</v>
      </c>
      <c r="D84" s="165">
        <f t="shared" si="12"/>
        <v>7</v>
      </c>
      <c r="E84" s="165">
        <f t="shared" si="12"/>
        <v>7</v>
      </c>
      <c r="F84" s="165">
        <f t="shared" si="12"/>
        <v>3</v>
      </c>
      <c r="G84" s="165">
        <f t="shared" si="12"/>
        <v>1</v>
      </c>
      <c r="H84" s="165">
        <f t="shared" si="12"/>
        <v>8</v>
      </c>
      <c r="I84" s="165">
        <f t="shared" si="12"/>
        <v>8</v>
      </c>
      <c r="J84" s="165">
        <f t="shared" si="12"/>
        <v>9</v>
      </c>
      <c r="K84" s="165">
        <f t="shared" si="12"/>
        <v>5</v>
      </c>
      <c r="L84" s="165">
        <f t="shared" si="12"/>
        <v>9</v>
      </c>
      <c r="M84" s="165">
        <f t="shared" si="12"/>
        <v>3</v>
      </c>
      <c r="N84" s="165">
        <f t="shared" si="12"/>
        <v>7</v>
      </c>
      <c r="O84" s="165">
        <f t="shared" si="12"/>
        <v>7</v>
      </c>
      <c r="P84" s="165">
        <f t="shared" si="12"/>
        <v>5</v>
      </c>
      <c r="Q84" s="165">
        <f t="shared" si="12"/>
        <v>3</v>
      </c>
      <c r="R84" s="165">
        <f t="shared" si="12"/>
        <v>5</v>
      </c>
      <c r="S84" s="165">
        <f t="shared" si="12"/>
        <v>0</v>
      </c>
      <c r="T84" s="165">
        <f t="shared" si="12"/>
        <v>7</v>
      </c>
      <c r="U84" s="165">
        <f t="shared" si="12"/>
        <v>2</v>
      </c>
      <c r="V84" s="165">
        <f t="shared" si="12"/>
        <v>7</v>
      </c>
      <c r="W84" s="165">
        <f t="shared" si="12"/>
        <v>7</v>
      </c>
      <c r="X84" s="165">
        <f t="shared" si="12"/>
        <v>9</v>
      </c>
      <c r="Y84" s="165">
        <f t="shared" si="12"/>
        <v>10</v>
      </c>
      <c r="Z84" s="165">
        <f t="shared" si="12"/>
        <v>1</v>
      </c>
      <c r="AA84" s="165">
        <f t="shared" si="12"/>
        <v>5</v>
      </c>
      <c r="AB84" s="165">
        <f t="shared" si="12"/>
        <v>2</v>
      </c>
      <c r="AC84" s="165">
        <f t="shared" si="12"/>
        <v>10</v>
      </c>
      <c r="AD84" s="165">
        <f t="shared" si="12"/>
        <v>3</v>
      </c>
      <c r="AE84" s="165">
        <f t="shared" si="12"/>
        <v>5</v>
      </c>
      <c r="AF84" s="165">
        <f t="shared" si="12"/>
        <v>0</v>
      </c>
      <c r="AG84" s="171">
        <f t="shared" ref="AG84:AG126" si="13">SUM(B84:AF84)</f>
        <v>167</v>
      </c>
      <c r="AH84" s="180" t="str">
        <f>IF(AG84&lt;&gt;AG82+AG83,"*","")</f>
        <v/>
      </c>
      <c r="AI84" s="434" t="s">
        <v>1</v>
      </c>
    </row>
    <row r="85" spans="1:35" ht="18.75" x14ac:dyDescent="0.25">
      <c r="A85" s="72" t="s">
        <v>144</v>
      </c>
      <c r="B85" s="169">
        <v>0</v>
      </c>
      <c r="C85" s="169">
        <v>0</v>
      </c>
      <c r="D85" s="169">
        <v>2</v>
      </c>
      <c r="E85" s="169">
        <v>0</v>
      </c>
      <c r="F85" s="169">
        <v>0</v>
      </c>
      <c r="G85" s="169">
        <v>0</v>
      </c>
      <c r="H85" s="169">
        <v>0</v>
      </c>
      <c r="I85" s="169">
        <v>0</v>
      </c>
      <c r="J85" s="169">
        <v>0</v>
      </c>
      <c r="K85" s="169">
        <v>0</v>
      </c>
      <c r="L85" s="169">
        <v>0</v>
      </c>
      <c r="M85" s="169">
        <v>0</v>
      </c>
      <c r="N85" s="169">
        <v>1</v>
      </c>
      <c r="O85" s="169">
        <v>0</v>
      </c>
      <c r="P85" s="169">
        <v>1</v>
      </c>
      <c r="Q85" s="169">
        <v>0</v>
      </c>
      <c r="R85" s="169">
        <v>0</v>
      </c>
      <c r="S85" s="169">
        <v>0</v>
      </c>
      <c r="T85" s="169">
        <v>1</v>
      </c>
      <c r="U85" s="169">
        <v>1</v>
      </c>
      <c r="V85" s="169">
        <v>1</v>
      </c>
      <c r="W85" s="169">
        <v>2</v>
      </c>
      <c r="X85" s="169">
        <v>1</v>
      </c>
      <c r="Y85" s="169">
        <v>0</v>
      </c>
      <c r="Z85" s="169">
        <v>0</v>
      </c>
      <c r="AA85" s="169">
        <v>0</v>
      </c>
      <c r="AB85" s="169">
        <v>1</v>
      </c>
      <c r="AC85" s="169">
        <v>0</v>
      </c>
      <c r="AD85" s="169">
        <v>0</v>
      </c>
      <c r="AE85" s="169">
        <v>0</v>
      </c>
      <c r="AF85" s="170"/>
      <c r="AG85" s="168">
        <f t="shared" si="13"/>
        <v>11</v>
      </c>
      <c r="AI85" s="435"/>
    </row>
    <row r="86" spans="1:35" ht="19.5" thickBot="1" x14ac:dyDescent="0.3">
      <c r="A86" s="172" t="s">
        <v>145</v>
      </c>
      <c r="B86" s="173">
        <v>3</v>
      </c>
      <c r="C86" s="173">
        <v>9</v>
      </c>
      <c r="D86" s="173">
        <v>5</v>
      </c>
      <c r="E86" s="173">
        <v>7</v>
      </c>
      <c r="F86" s="173">
        <v>3</v>
      </c>
      <c r="G86" s="173">
        <v>1</v>
      </c>
      <c r="H86" s="173">
        <v>8</v>
      </c>
      <c r="I86" s="173">
        <v>8</v>
      </c>
      <c r="J86" s="173">
        <v>9</v>
      </c>
      <c r="K86" s="173">
        <v>5</v>
      </c>
      <c r="L86" s="173">
        <v>9</v>
      </c>
      <c r="M86" s="173">
        <v>3</v>
      </c>
      <c r="N86" s="173">
        <v>6</v>
      </c>
      <c r="O86" s="173">
        <v>7</v>
      </c>
      <c r="P86" s="173">
        <v>4</v>
      </c>
      <c r="Q86" s="173">
        <v>3</v>
      </c>
      <c r="R86" s="173">
        <v>5</v>
      </c>
      <c r="S86" s="173">
        <v>0</v>
      </c>
      <c r="T86" s="173">
        <v>6</v>
      </c>
      <c r="U86" s="173">
        <v>1</v>
      </c>
      <c r="V86" s="173">
        <v>6</v>
      </c>
      <c r="W86" s="173">
        <v>5</v>
      </c>
      <c r="X86" s="173">
        <v>8</v>
      </c>
      <c r="Y86" s="173">
        <v>10</v>
      </c>
      <c r="Z86" s="173">
        <v>1</v>
      </c>
      <c r="AA86" s="173">
        <v>5</v>
      </c>
      <c r="AB86" s="173">
        <v>1</v>
      </c>
      <c r="AC86" s="173">
        <v>10</v>
      </c>
      <c r="AD86" s="173">
        <v>3</v>
      </c>
      <c r="AE86" s="173">
        <v>5</v>
      </c>
      <c r="AF86" s="174"/>
      <c r="AG86" s="176">
        <f t="shared" si="13"/>
        <v>156</v>
      </c>
      <c r="AI86" s="436"/>
    </row>
    <row r="87" spans="1:35" ht="19.5" thickBot="1" x14ac:dyDescent="0.3">
      <c r="A87" s="177" t="s">
        <v>147</v>
      </c>
      <c r="B87" s="178">
        <f>SUM(B88:B92)</f>
        <v>3</v>
      </c>
      <c r="C87" s="178">
        <f t="shared" ref="C87:AF87" si="14">SUM(C88:C92)</f>
        <v>9</v>
      </c>
      <c r="D87" s="178">
        <f t="shared" si="14"/>
        <v>7</v>
      </c>
      <c r="E87" s="178">
        <f t="shared" si="14"/>
        <v>7</v>
      </c>
      <c r="F87" s="178">
        <f t="shared" si="14"/>
        <v>3</v>
      </c>
      <c r="G87" s="178">
        <f t="shared" si="14"/>
        <v>1</v>
      </c>
      <c r="H87" s="178">
        <f t="shared" si="14"/>
        <v>8</v>
      </c>
      <c r="I87" s="178">
        <f t="shared" si="14"/>
        <v>8</v>
      </c>
      <c r="J87" s="178">
        <f t="shared" si="14"/>
        <v>9</v>
      </c>
      <c r="K87" s="178">
        <f t="shared" si="14"/>
        <v>5</v>
      </c>
      <c r="L87" s="178">
        <f t="shared" si="14"/>
        <v>9</v>
      </c>
      <c r="M87" s="178">
        <f t="shared" si="14"/>
        <v>3</v>
      </c>
      <c r="N87" s="178">
        <f t="shared" si="14"/>
        <v>7</v>
      </c>
      <c r="O87" s="178">
        <f t="shared" si="14"/>
        <v>7</v>
      </c>
      <c r="P87" s="178">
        <f t="shared" si="14"/>
        <v>5</v>
      </c>
      <c r="Q87" s="178">
        <f t="shared" si="14"/>
        <v>3</v>
      </c>
      <c r="R87" s="178">
        <f t="shared" si="14"/>
        <v>5</v>
      </c>
      <c r="S87" s="178">
        <f t="shared" si="14"/>
        <v>0</v>
      </c>
      <c r="T87" s="178">
        <f t="shared" si="14"/>
        <v>7</v>
      </c>
      <c r="U87" s="178">
        <f t="shared" si="14"/>
        <v>2</v>
      </c>
      <c r="V87" s="178">
        <f t="shared" si="14"/>
        <v>7</v>
      </c>
      <c r="W87" s="178">
        <f t="shared" si="14"/>
        <v>7</v>
      </c>
      <c r="X87" s="178">
        <f t="shared" si="14"/>
        <v>9</v>
      </c>
      <c r="Y87" s="178">
        <f t="shared" si="14"/>
        <v>10</v>
      </c>
      <c r="Z87" s="178">
        <f t="shared" si="14"/>
        <v>1</v>
      </c>
      <c r="AA87" s="178">
        <f t="shared" si="14"/>
        <v>5</v>
      </c>
      <c r="AB87" s="178">
        <f t="shared" si="14"/>
        <v>2</v>
      </c>
      <c r="AC87" s="178">
        <f t="shared" si="14"/>
        <v>10</v>
      </c>
      <c r="AD87" s="178">
        <f t="shared" si="14"/>
        <v>3</v>
      </c>
      <c r="AE87" s="178">
        <f t="shared" si="14"/>
        <v>5</v>
      </c>
      <c r="AF87" s="178">
        <f t="shared" si="14"/>
        <v>0</v>
      </c>
      <c r="AG87" s="179">
        <f t="shared" si="13"/>
        <v>167</v>
      </c>
      <c r="AH87" s="175" t="str">
        <f>IF(AG87&lt;&gt;AG84,"*","")</f>
        <v/>
      </c>
    </row>
    <row r="88" spans="1:35" ht="18.75" x14ac:dyDescent="0.25">
      <c r="A88" s="104" t="s">
        <v>127</v>
      </c>
      <c r="B88" s="166">
        <v>1</v>
      </c>
      <c r="C88" s="166">
        <v>8</v>
      </c>
      <c r="D88" s="166">
        <v>3</v>
      </c>
      <c r="E88" s="166">
        <v>4</v>
      </c>
      <c r="F88" s="166">
        <v>1</v>
      </c>
      <c r="G88" s="166">
        <v>1</v>
      </c>
      <c r="H88" s="166">
        <v>5</v>
      </c>
      <c r="I88" s="166">
        <v>5</v>
      </c>
      <c r="J88" s="166">
        <v>8</v>
      </c>
      <c r="K88" s="166">
        <v>5</v>
      </c>
      <c r="L88" s="166">
        <v>5</v>
      </c>
      <c r="M88" s="166">
        <v>2</v>
      </c>
      <c r="N88" s="166">
        <v>2</v>
      </c>
      <c r="O88" s="166">
        <v>3</v>
      </c>
      <c r="P88" s="166">
        <v>1</v>
      </c>
      <c r="Q88" s="166">
        <v>3</v>
      </c>
      <c r="R88" s="166">
        <v>3</v>
      </c>
      <c r="S88" s="166"/>
      <c r="T88" s="166">
        <v>5</v>
      </c>
      <c r="U88" s="166">
        <v>2</v>
      </c>
      <c r="V88" s="166">
        <v>3</v>
      </c>
      <c r="W88" s="166">
        <v>5</v>
      </c>
      <c r="X88" s="166">
        <v>4</v>
      </c>
      <c r="Y88" s="166">
        <v>7</v>
      </c>
      <c r="Z88" s="166">
        <v>1</v>
      </c>
      <c r="AA88" s="166">
        <v>3</v>
      </c>
      <c r="AB88" s="166">
        <v>1</v>
      </c>
      <c r="AC88" s="166">
        <v>3</v>
      </c>
      <c r="AD88" s="166">
        <v>3</v>
      </c>
      <c r="AE88" s="166">
        <v>2</v>
      </c>
      <c r="AF88" s="167"/>
      <c r="AG88" s="132">
        <f t="shared" si="13"/>
        <v>99</v>
      </c>
    </row>
    <row r="89" spans="1:35" ht="18.75" x14ac:dyDescent="0.25">
      <c r="A89" s="105" t="s">
        <v>73</v>
      </c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10"/>
      <c r="AG89" s="4">
        <f t="shared" si="13"/>
        <v>0</v>
      </c>
    </row>
    <row r="90" spans="1:35" ht="18.75" x14ac:dyDescent="0.25">
      <c r="A90" s="105" t="s">
        <v>74</v>
      </c>
      <c r="B90" s="9"/>
      <c r="C90" s="9"/>
      <c r="D90" s="9">
        <v>1</v>
      </c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>
        <v>1</v>
      </c>
      <c r="U90" s="9"/>
      <c r="V90" s="9">
        <v>1</v>
      </c>
      <c r="W90" s="9"/>
      <c r="X90" s="9"/>
      <c r="Y90" s="9"/>
      <c r="Z90" s="9"/>
      <c r="AA90" s="9"/>
      <c r="AB90" s="9"/>
      <c r="AC90" s="9"/>
      <c r="AD90" s="9"/>
      <c r="AE90" s="9"/>
      <c r="AF90" s="10"/>
      <c r="AG90" s="4">
        <f t="shared" si="13"/>
        <v>3</v>
      </c>
    </row>
    <row r="91" spans="1:35" ht="18.75" x14ac:dyDescent="0.25">
      <c r="A91" s="105" t="s">
        <v>75</v>
      </c>
      <c r="B91" s="9"/>
      <c r="C91" s="9">
        <v>1</v>
      </c>
      <c r="D91" s="9">
        <v>1</v>
      </c>
      <c r="E91" s="9"/>
      <c r="F91" s="9">
        <v>1</v>
      </c>
      <c r="G91" s="9"/>
      <c r="H91" s="9"/>
      <c r="I91" s="9"/>
      <c r="J91" s="9">
        <v>1</v>
      </c>
      <c r="K91" s="9"/>
      <c r="L91" s="9">
        <v>1</v>
      </c>
      <c r="M91" s="9">
        <v>1</v>
      </c>
      <c r="N91" s="9"/>
      <c r="O91" s="9">
        <v>1</v>
      </c>
      <c r="P91" s="9">
        <v>2</v>
      </c>
      <c r="Q91" s="9"/>
      <c r="R91" s="9"/>
      <c r="S91" s="9"/>
      <c r="T91" s="9"/>
      <c r="U91" s="9"/>
      <c r="V91" s="9">
        <v>1</v>
      </c>
      <c r="W91" s="9">
        <v>1</v>
      </c>
      <c r="X91" s="9">
        <v>1</v>
      </c>
      <c r="Y91" s="9">
        <v>1</v>
      </c>
      <c r="Z91" s="9"/>
      <c r="AA91" s="9"/>
      <c r="AB91" s="9">
        <v>1</v>
      </c>
      <c r="AC91" s="9">
        <v>3</v>
      </c>
      <c r="AD91" s="9"/>
      <c r="AE91" s="9">
        <v>1</v>
      </c>
      <c r="AF91" s="10"/>
      <c r="AG91" s="4">
        <f t="shared" si="13"/>
        <v>18</v>
      </c>
    </row>
    <row r="92" spans="1:35" ht="19.5" thickBot="1" x14ac:dyDescent="0.3">
      <c r="A92" s="105" t="s">
        <v>76</v>
      </c>
      <c r="B92" s="9">
        <v>2</v>
      </c>
      <c r="C92" s="9"/>
      <c r="D92" s="9">
        <v>2</v>
      </c>
      <c r="E92" s="9">
        <v>3</v>
      </c>
      <c r="F92" s="9">
        <v>1</v>
      </c>
      <c r="G92" s="9"/>
      <c r="H92" s="9">
        <v>3</v>
      </c>
      <c r="I92" s="9">
        <v>3</v>
      </c>
      <c r="J92" s="9"/>
      <c r="K92" s="9"/>
      <c r="L92" s="9">
        <v>3</v>
      </c>
      <c r="M92" s="9"/>
      <c r="N92" s="9">
        <v>5</v>
      </c>
      <c r="O92" s="9">
        <v>3</v>
      </c>
      <c r="P92" s="9">
        <v>2</v>
      </c>
      <c r="Q92" s="9"/>
      <c r="R92" s="9">
        <v>2</v>
      </c>
      <c r="S92" s="9"/>
      <c r="T92" s="9">
        <v>1</v>
      </c>
      <c r="U92" s="9"/>
      <c r="V92" s="9">
        <v>2</v>
      </c>
      <c r="W92" s="9">
        <v>1</v>
      </c>
      <c r="X92" s="9">
        <v>4</v>
      </c>
      <c r="Y92" s="9">
        <v>2</v>
      </c>
      <c r="Z92" s="9"/>
      <c r="AA92" s="9">
        <v>2</v>
      </c>
      <c r="AB92" s="9"/>
      <c r="AC92" s="9">
        <v>4</v>
      </c>
      <c r="AD92" s="9"/>
      <c r="AE92" s="9">
        <v>2</v>
      </c>
      <c r="AF92" s="10"/>
      <c r="AG92" s="4">
        <f t="shared" si="13"/>
        <v>47</v>
      </c>
    </row>
    <row r="93" spans="1:35" ht="18.75" x14ac:dyDescent="0.25">
      <c r="A93" s="73" t="s">
        <v>615</v>
      </c>
      <c r="B93" s="74">
        <f t="shared" ref="B93:AF93" si="15">+B94+B100</f>
        <v>108</v>
      </c>
      <c r="C93" s="74">
        <f t="shared" si="15"/>
        <v>71</v>
      </c>
      <c r="D93" s="74">
        <f t="shared" si="15"/>
        <v>90</v>
      </c>
      <c r="E93" s="74">
        <f t="shared" si="15"/>
        <v>109</v>
      </c>
      <c r="F93" s="74">
        <f t="shared" si="15"/>
        <v>106</v>
      </c>
      <c r="G93" s="74">
        <f t="shared" si="15"/>
        <v>87</v>
      </c>
      <c r="H93" s="74">
        <f t="shared" si="15"/>
        <v>108</v>
      </c>
      <c r="I93" s="74">
        <f t="shared" si="15"/>
        <v>96</v>
      </c>
      <c r="J93" s="74">
        <f t="shared" si="15"/>
        <v>109</v>
      </c>
      <c r="K93" s="74">
        <f t="shared" si="15"/>
        <v>105</v>
      </c>
      <c r="L93" s="74">
        <f t="shared" si="15"/>
        <v>135</v>
      </c>
      <c r="M93" s="74">
        <f t="shared" si="15"/>
        <v>108</v>
      </c>
      <c r="N93" s="74">
        <f t="shared" si="15"/>
        <v>76</v>
      </c>
      <c r="O93" s="74">
        <f t="shared" si="15"/>
        <v>111</v>
      </c>
      <c r="P93" s="74">
        <f t="shared" si="15"/>
        <v>117</v>
      </c>
      <c r="Q93" s="74">
        <f t="shared" si="15"/>
        <v>88</v>
      </c>
      <c r="R93" s="74">
        <f t="shared" si="15"/>
        <v>76</v>
      </c>
      <c r="S93" s="74">
        <f t="shared" si="15"/>
        <v>72</v>
      </c>
      <c r="T93" s="74">
        <f t="shared" si="15"/>
        <v>85</v>
      </c>
      <c r="U93" s="74">
        <f t="shared" si="15"/>
        <v>97</v>
      </c>
      <c r="V93" s="74">
        <f t="shared" si="15"/>
        <v>144</v>
      </c>
      <c r="W93" s="74">
        <f t="shared" si="15"/>
        <v>113</v>
      </c>
      <c r="X93" s="74">
        <f t="shared" si="15"/>
        <v>143</v>
      </c>
      <c r="Y93" s="74">
        <f t="shared" si="15"/>
        <v>144</v>
      </c>
      <c r="Z93" s="74">
        <f t="shared" si="15"/>
        <v>68</v>
      </c>
      <c r="AA93" s="74">
        <f t="shared" si="15"/>
        <v>99</v>
      </c>
      <c r="AB93" s="74">
        <f t="shared" si="15"/>
        <v>96</v>
      </c>
      <c r="AC93" s="74">
        <f t="shared" si="15"/>
        <v>116</v>
      </c>
      <c r="AD93" s="74">
        <f t="shared" si="15"/>
        <v>105</v>
      </c>
      <c r="AE93" s="74">
        <f t="shared" si="15"/>
        <v>86</v>
      </c>
      <c r="AF93" s="84">
        <f t="shared" si="15"/>
        <v>0</v>
      </c>
      <c r="AG93" s="150">
        <f t="shared" si="13"/>
        <v>3068</v>
      </c>
      <c r="AH93" s="37" t="str">
        <f>IF(AG93&lt;&gt;AG28,"*","")</f>
        <v/>
      </c>
    </row>
    <row r="94" spans="1:35" ht="18.75" x14ac:dyDescent="0.25">
      <c r="A94" s="42" t="s">
        <v>65</v>
      </c>
      <c r="B94" s="17">
        <f t="shared" ref="B94:AF94" si="16">SUM(B95:B99)</f>
        <v>6</v>
      </c>
      <c r="C94" s="17">
        <f t="shared" si="16"/>
        <v>6</v>
      </c>
      <c r="D94" s="17">
        <f t="shared" si="16"/>
        <v>7</v>
      </c>
      <c r="E94" s="17">
        <f t="shared" si="16"/>
        <v>6</v>
      </c>
      <c r="F94" s="17">
        <f t="shared" si="16"/>
        <v>5</v>
      </c>
      <c r="G94" s="17">
        <f t="shared" si="16"/>
        <v>7</v>
      </c>
      <c r="H94" s="17">
        <f t="shared" si="16"/>
        <v>4</v>
      </c>
      <c r="I94" s="17">
        <f t="shared" si="16"/>
        <v>3</v>
      </c>
      <c r="J94" s="17">
        <f t="shared" si="16"/>
        <v>9</v>
      </c>
      <c r="K94" s="17">
        <f t="shared" si="16"/>
        <v>9</v>
      </c>
      <c r="L94" s="17">
        <f t="shared" si="16"/>
        <v>5</v>
      </c>
      <c r="M94" s="17">
        <f t="shared" si="16"/>
        <v>4</v>
      </c>
      <c r="N94" s="17">
        <f t="shared" si="16"/>
        <v>5</v>
      </c>
      <c r="O94" s="17">
        <f t="shared" si="16"/>
        <v>5</v>
      </c>
      <c r="P94" s="17">
        <f t="shared" si="16"/>
        <v>6</v>
      </c>
      <c r="Q94" s="17">
        <f t="shared" si="16"/>
        <v>10</v>
      </c>
      <c r="R94" s="17">
        <f t="shared" si="16"/>
        <v>8</v>
      </c>
      <c r="S94" s="17">
        <f t="shared" si="16"/>
        <v>9</v>
      </c>
      <c r="T94" s="17">
        <f t="shared" si="16"/>
        <v>4</v>
      </c>
      <c r="U94" s="17">
        <f t="shared" si="16"/>
        <v>15</v>
      </c>
      <c r="V94" s="17">
        <f t="shared" si="16"/>
        <v>10</v>
      </c>
      <c r="W94" s="17">
        <f t="shared" si="16"/>
        <v>9</v>
      </c>
      <c r="X94" s="17">
        <f t="shared" si="16"/>
        <v>12</v>
      </c>
      <c r="Y94" s="17">
        <f t="shared" si="16"/>
        <v>8</v>
      </c>
      <c r="Z94" s="17">
        <f t="shared" si="16"/>
        <v>8</v>
      </c>
      <c r="AA94" s="17">
        <f t="shared" si="16"/>
        <v>3</v>
      </c>
      <c r="AB94" s="17">
        <f t="shared" si="16"/>
        <v>9</v>
      </c>
      <c r="AC94" s="17">
        <f t="shared" si="16"/>
        <v>8</v>
      </c>
      <c r="AD94" s="17">
        <f t="shared" si="16"/>
        <v>8</v>
      </c>
      <c r="AE94" s="17">
        <f t="shared" si="16"/>
        <v>3</v>
      </c>
      <c r="AF94" s="18">
        <f t="shared" si="16"/>
        <v>0</v>
      </c>
      <c r="AG94" s="4">
        <f t="shared" si="13"/>
        <v>211</v>
      </c>
    </row>
    <row r="95" spans="1:35" ht="18.75" x14ac:dyDescent="0.25">
      <c r="A95" s="44" t="s">
        <v>81</v>
      </c>
      <c r="B95" s="7"/>
      <c r="C95" s="7"/>
      <c r="D95" s="7"/>
      <c r="E95" s="7">
        <v>1</v>
      </c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>
        <v>2</v>
      </c>
      <c r="R95" s="7"/>
      <c r="S95" s="7">
        <v>1</v>
      </c>
      <c r="T95" s="7"/>
      <c r="U95" s="7">
        <v>2</v>
      </c>
      <c r="V95" s="7">
        <v>1</v>
      </c>
      <c r="W95" s="7">
        <v>1</v>
      </c>
      <c r="X95" s="7"/>
      <c r="Y95" s="7"/>
      <c r="Z95" s="7"/>
      <c r="AA95" s="7"/>
      <c r="AB95" s="7"/>
      <c r="AC95" s="7"/>
      <c r="AD95" s="7"/>
      <c r="AE95" s="7"/>
      <c r="AF95" s="8"/>
      <c r="AG95" s="4">
        <f t="shared" si="13"/>
        <v>8</v>
      </c>
    </row>
    <row r="96" spans="1:35" ht="18.75" x14ac:dyDescent="0.25">
      <c r="A96" s="45" t="s">
        <v>82</v>
      </c>
      <c r="B96" s="7"/>
      <c r="C96" s="7">
        <v>1</v>
      </c>
      <c r="D96" s="7">
        <v>2</v>
      </c>
      <c r="E96" s="7"/>
      <c r="F96" s="7"/>
      <c r="G96" s="7"/>
      <c r="H96" s="7"/>
      <c r="I96" s="7">
        <v>1</v>
      </c>
      <c r="J96" s="7">
        <v>1</v>
      </c>
      <c r="K96" s="7">
        <v>1</v>
      </c>
      <c r="L96" s="7">
        <v>1</v>
      </c>
      <c r="M96" s="7"/>
      <c r="N96" s="7">
        <v>1</v>
      </c>
      <c r="O96" s="7">
        <v>1</v>
      </c>
      <c r="P96" s="7"/>
      <c r="Q96" s="7"/>
      <c r="R96" s="7"/>
      <c r="S96" s="141">
        <v>3</v>
      </c>
      <c r="T96" s="7"/>
      <c r="U96" s="7"/>
      <c r="V96" s="7"/>
      <c r="W96" s="7"/>
      <c r="X96" s="7">
        <v>2</v>
      </c>
      <c r="Y96" s="7">
        <v>1</v>
      </c>
      <c r="Z96" s="7"/>
      <c r="AA96" s="7"/>
      <c r="AB96" s="7">
        <v>3</v>
      </c>
      <c r="AC96" s="7">
        <v>1</v>
      </c>
      <c r="AD96" s="7"/>
      <c r="AE96" s="7"/>
      <c r="AF96" s="8"/>
      <c r="AG96" s="4">
        <f t="shared" si="13"/>
        <v>19</v>
      </c>
    </row>
    <row r="97" spans="1:33" ht="18.75" x14ac:dyDescent="0.25">
      <c r="A97" s="46" t="s">
        <v>70</v>
      </c>
      <c r="B97" s="7">
        <v>1</v>
      </c>
      <c r="C97" s="7"/>
      <c r="D97" s="7">
        <v>1</v>
      </c>
      <c r="E97" s="7">
        <v>4</v>
      </c>
      <c r="F97" s="7"/>
      <c r="G97" s="7">
        <v>2</v>
      </c>
      <c r="H97" s="7">
        <v>1</v>
      </c>
      <c r="I97" s="7"/>
      <c r="J97" s="7">
        <v>2</v>
      </c>
      <c r="K97" s="7">
        <v>1</v>
      </c>
      <c r="L97" s="7"/>
      <c r="M97" s="7">
        <v>1</v>
      </c>
      <c r="N97" s="7">
        <v>1</v>
      </c>
      <c r="O97" s="7">
        <v>1</v>
      </c>
      <c r="P97" s="7">
        <v>2</v>
      </c>
      <c r="Q97" s="7">
        <v>1</v>
      </c>
      <c r="R97" s="7">
        <v>3</v>
      </c>
      <c r="S97" s="7">
        <v>1</v>
      </c>
      <c r="T97" s="7">
        <v>2</v>
      </c>
      <c r="U97" s="7">
        <v>3</v>
      </c>
      <c r="V97" s="7">
        <v>2</v>
      </c>
      <c r="W97" s="7">
        <v>1</v>
      </c>
      <c r="X97" s="7">
        <v>3</v>
      </c>
      <c r="Y97" s="7"/>
      <c r="Z97" s="7">
        <v>2</v>
      </c>
      <c r="AA97" s="7"/>
      <c r="AB97" s="7">
        <v>1</v>
      </c>
      <c r="AC97" s="7">
        <v>1</v>
      </c>
      <c r="AD97" s="7">
        <v>1</v>
      </c>
      <c r="AE97" s="7">
        <v>1</v>
      </c>
      <c r="AF97" s="8"/>
      <c r="AG97" s="4">
        <f t="shared" si="13"/>
        <v>39</v>
      </c>
    </row>
    <row r="98" spans="1:33" ht="18.75" x14ac:dyDescent="0.25">
      <c r="A98" s="47" t="s">
        <v>6</v>
      </c>
      <c r="B98" s="7">
        <v>5</v>
      </c>
      <c r="C98" s="7">
        <v>3</v>
      </c>
      <c r="D98" s="7">
        <v>1</v>
      </c>
      <c r="E98" s="7">
        <v>1</v>
      </c>
      <c r="F98" s="7">
        <v>3</v>
      </c>
      <c r="G98" s="7">
        <v>3</v>
      </c>
      <c r="H98" s="7">
        <v>2</v>
      </c>
      <c r="I98" s="7"/>
      <c r="J98" s="7">
        <v>4</v>
      </c>
      <c r="K98" s="7">
        <v>4</v>
      </c>
      <c r="L98" s="7">
        <v>4</v>
      </c>
      <c r="M98" s="7">
        <v>1</v>
      </c>
      <c r="N98" s="7">
        <v>1</v>
      </c>
      <c r="O98" s="7">
        <v>2</v>
      </c>
      <c r="P98" s="7">
        <v>2</v>
      </c>
      <c r="Q98" s="7">
        <v>5</v>
      </c>
      <c r="R98" s="7">
        <v>3</v>
      </c>
      <c r="S98" s="7">
        <v>2</v>
      </c>
      <c r="T98" s="7">
        <v>2</v>
      </c>
      <c r="U98" s="7">
        <v>5</v>
      </c>
      <c r="V98" s="7">
        <v>4</v>
      </c>
      <c r="W98" s="7">
        <v>1</v>
      </c>
      <c r="X98" s="7">
        <v>5</v>
      </c>
      <c r="Y98" s="7">
        <v>1</v>
      </c>
      <c r="Z98" s="7">
        <v>4</v>
      </c>
      <c r="AA98" s="7">
        <v>3</v>
      </c>
      <c r="AB98" s="7">
        <v>4</v>
      </c>
      <c r="AC98" s="7">
        <v>4</v>
      </c>
      <c r="AD98" s="7">
        <v>3</v>
      </c>
      <c r="AE98" s="7">
        <v>1</v>
      </c>
      <c r="AF98" s="8"/>
      <c r="AG98" s="4">
        <f t="shared" si="13"/>
        <v>83</v>
      </c>
    </row>
    <row r="99" spans="1:33" ht="18.75" x14ac:dyDescent="0.25">
      <c r="A99" s="48" t="s">
        <v>7</v>
      </c>
      <c r="B99" s="7"/>
      <c r="C99" s="7">
        <v>2</v>
      </c>
      <c r="D99" s="7">
        <v>3</v>
      </c>
      <c r="E99" s="7"/>
      <c r="F99" s="7">
        <v>2</v>
      </c>
      <c r="G99" s="7">
        <v>2</v>
      </c>
      <c r="H99" s="7">
        <v>1</v>
      </c>
      <c r="I99" s="7">
        <v>2</v>
      </c>
      <c r="J99" s="7">
        <v>2</v>
      </c>
      <c r="K99" s="7">
        <v>3</v>
      </c>
      <c r="L99" s="7"/>
      <c r="M99" s="7">
        <v>2</v>
      </c>
      <c r="N99" s="7">
        <v>2</v>
      </c>
      <c r="O99" s="7">
        <v>1</v>
      </c>
      <c r="P99" s="7">
        <v>2</v>
      </c>
      <c r="Q99" s="7">
        <v>2</v>
      </c>
      <c r="R99" s="7">
        <v>2</v>
      </c>
      <c r="S99" s="7">
        <v>2</v>
      </c>
      <c r="T99" s="7"/>
      <c r="U99" s="7">
        <v>5</v>
      </c>
      <c r="V99" s="7">
        <v>3</v>
      </c>
      <c r="W99" s="7">
        <v>6</v>
      </c>
      <c r="X99" s="7">
        <v>2</v>
      </c>
      <c r="Y99" s="7">
        <v>6</v>
      </c>
      <c r="Z99" s="7">
        <v>2</v>
      </c>
      <c r="AA99" s="7"/>
      <c r="AB99" s="7">
        <v>1</v>
      </c>
      <c r="AC99" s="7">
        <v>2</v>
      </c>
      <c r="AD99" s="7">
        <v>4</v>
      </c>
      <c r="AE99" s="7">
        <v>1</v>
      </c>
      <c r="AF99" s="8"/>
      <c r="AG99" s="4">
        <f t="shared" si="13"/>
        <v>62</v>
      </c>
    </row>
    <row r="100" spans="1:33" ht="18.75" x14ac:dyDescent="0.25">
      <c r="A100" s="42" t="s">
        <v>66</v>
      </c>
      <c r="B100" s="17">
        <f t="shared" ref="B100:AF100" si="17">SUM(B101:B115)</f>
        <v>102</v>
      </c>
      <c r="C100" s="17">
        <f t="shared" si="17"/>
        <v>65</v>
      </c>
      <c r="D100" s="17">
        <f t="shared" si="17"/>
        <v>83</v>
      </c>
      <c r="E100" s="17">
        <f t="shared" si="17"/>
        <v>103</v>
      </c>
      <c r="F100" s="17">
        <f t="shared" si="17"/>
        <v>101</v>
      </c>
      <c r="G100" s="17">
        <f t="shared" si="17"/>
        <v>80</v>
      </c>
      <c r="H100" s="17">
        <f t="shared" si="17"/>
        <v>104</v>
      </c>
      <c r="I100" s="17">
        <f t="shared" si="17"/>
        <v>93</v>
      </c>
      <c r="J100" s="17">
        <f t="shared" si="17"/>
        <v>100</v>
      </c>
      <c r="K100" s="17">
        <f t="shared" si="17"/>
        <v>96</v>
      </c>
      <c r="L100" s="17">
        <f t="shared" si="17"/>
        <v>130</v>
      </c>
      <c r="M100" s="17">
        <f t="shared" si="17"/>
        <v>104</v>
      </c>
      <c r="N100" s="17">
        <f t="shared" si="17"/>
        <v>71</v>
      </c>
      <c r="O100" s="17">
        <f t="shared" si="17"/>
        <v>106</v>
      </c>
      <c r="P100" s="17">
        <f t="shared" si="17"/>
        <v>111</v>
      </c>
      <c r="Q100" s="17">
        <f t="shared" si="17"/>
        <v>78</v>
      </c>
      <c r="R100" s="17">
        <f t="shared" si="17"/>
        <v>68</v>
      </c>
      <c r="S100" s="17">
        <f t="shared" si="17"/>
        <v>63</v>
      </c>
      <c r="T100" s="17">
        <f t="shared" si="17"/>
        <v>81</v>
      </c>
      <c r="U100" s="17">
        <f t="shared" si="17"/>
        <v>82</v>
      </c>
      <c r="V100" s="17">
        <f t="shared" si="17"/>
        <v>134</v>
      </c>
      <c r="W100" s="17">
        <f t="shared" si="17"/>
        <v>104</v>
      </c>
      <c r="X100" s="17">
        <f t="shared" si="17"/>
        <v>131</v>
      </c>
      <c r="Y100" s="17">
        <f t="shared" si="17"/>
        <v>136</v>
      </c>
      <c r="Z100" s="17">
        <f t="shared" si="17"/>
        <v>60</v>
      </c>
      <c r="AA100" s="17">
        <f t="shared" si="17"/>
        <v>96</v>
      </c>
      <c r="AB100" s="17">
        <f t="shared" si="17"/>
        <v>87</v>
      </c>
      <c r="AC100" s="17">
        <f t="shared" si="17"/>
        <v>108</v>
      </c>
      <c r="AD100" s="17">
        <f t="shared" si="17"/>
        <v>97</v>
      </c>
      <c r="AE100" s="17">
        <f t="shared" si="17"/>
        <v>83</v>
      </c>
      <c r="AF100" s="18">
        <f t="shared" si="17"/>
        <v>0</v>
      </c>
      <c r="AG100" s="4">
        <f t="shared" si="13"/>
        <v>2857</v>
      </c>
    </row>
    <row r="101" spans="1:33" ht="18.75" x14ac:dyDescent="0.25">
      <c r="A101" s="48" t="s">
        <v>8</v>
      </c>
      <c r="B101" s="7">
        <v>6</v>
      </c>
      <c r="C101" s="7">
        <v>6</v>
      </c>
      <c r="D101" s="7">
        <v>7</v>
      </c>
      <c r="E101" s="7">
        <v>5</v>
      </c>
      <c r="F101" s="7">
        <v>8</v>
      </c>
      <c r="G101" s="7">
        <v>3</v>
      </c>
      <c r="H101" s="7">
        <v>4</v>
      </c>
      <c r="I101" s="7">
        <v>6</v>
      </c>
      <c r="J101" s="7">
        <v>7</v>
      </c>
      <c r="K101" s="7">
        <v>4</v>
      </c>
      <c r="L101" s="7">
        <v>7</v>
      </c>
      <c r="M101" s="7">
        <v>6</v>
      </c>
      <c r="N101" s="7">
        <v>4</v>
      </c>
      <c r="O101" s="7">
        <v>5</v>
      </c>
      <c r="P101" s="7">
        <v>7</v>
      </c>
      <c r="Q101" s="7">
        <v>8</v>
      </c>
      <c r="R101" s="7">
        <v>5</v>
      </c>
      <c r="S101" s="7">
        <v>4</v>
      </c>
      <c r="T101" s="7">
        <v>7</v>
      </c>
      <c r="U101" s="7">
        <v>6</v>
      </c>
      <c r="V101" s="7">
        <v>9</v>
      </c>
      <c r="W101" s="7">
        <v>4</v>
      </c>
      <c r="X101" s="7">
        <v>3</v>
      </c>
      <c r="Y101" s="7">
        <v>5</v>
      </c>
      <c r="Z101" s="7">
        <v>5</v>
      </c>
      <c r="AA101" s="7">
        <v>13</v>
      </c>
      <c r="AB101" s="7">
        <v>5</v>
      </c>
      <c r="AC101" s="7">
        <v>4</v>
      </c>
      <c r="AD101" s="7">
        <v>4</v>
      </c>
      <c r="AE101" s="7">
        <v>1</v>
      </c>
      <c r="AF101" s="8"/>
      <c r="AG101" s="4">
        <f t="shared" si="13"/>
        <v>168</v>
      </c>
    </row>
    <row r="102" spans="1:33" ht="18.75" x14ac:dyDescent="0.25">
      <c r="A102" s="48" t="s">
        <v>9</v>
      </c>
      <c r="B102" s="7">
        <v>8</v>
      </c>
      <c r="C102" s="7">
        <v>4</v>
      </c>
      <c r="D102" s="7">
        <v>10</v>
      </c>
      <c r="E102" s="7">
        <v>10</v>
      </c>
      <c r="F102" s="7">
        <v>14</v>
      </c>
      <c r="G102" s="7">
        <v>8</v>
      </c>
      <c r="H102" s="7">
        <v>8</v>
      </c>
      <c r="I102" s="7">
        <v>13</v>
      </c>
      <c r="J102" s="7">
        <v>9</v>
      </c>
      <c r="K102" s="7">
        <v>9</v>
      </c>
      <c r="L102" s="7">
        <v>7</v>
      </c>
      <c r="M102" s="7">
        <v>19</v>
      </c>
      <c r="N102" s="7">
        <v>9</v>
      </c>
      <c r="O102" s="7">
        <v>11</v>
      </c>
      <c r="P102" s="7">
        <v>11</v>
      </c>
      <c r="Q102" s="7">
        <v>10</v>
      </c>
      <c r="R102" s="7">
        <v>7</v>
      </c>
      <c r="S102" s="7">
        <v>7</v>
      </c>
      <c r="T102" s="7">
        <v>2</v>
      </c>
      <c r="U102" s="7">
        <v>11</v>
      </c>
      <c r="V102" s="7">
        <v>12</v>
      </c>
      <c r="W102" s="7">
        <v>8</v>
      </c>
      <c r="X102" s="7">
        <v>15</v>
      </c>
      <c r="Y102" s="7">
        <v>13</v>
      </c>
      <c r="Z102" s="7">
        <v>11</v>
      </c>
      <c r="AA102" s="7">
        <v>10</v>
      </c>
      <c r="AB102" s="7">
        <v>7</v>
      </c>
      <c r="AC102" s="7">
        <v>14</v>
      </c>
      <c r="AD102" s="7">
        <v>15</v>
      </c>
      <c r="AE102" s="7">
        <v>9</v>
      </c>
      <c r="AF102" s="8"/>
      <c r="AG102" s="4">
        <f t="shared" si="13"/>
        <v>301</v>
      </c>
    </row>
    <row r="103" spans="1:33" ht="18.75" x14ac:dyDescent="0.25">
      <c r="A103" s="49" t="s">
        <v>10</v>
      </c>
      <c r="B103" s="7">
        <v>12</v>
      </c>
      <c r="C103" s="7">
        <v>5</v>
      </c>
      <c r="D103" s="7">
        <v>6</v>
      </c>
      <c r="E103" s="7">
        <v>13</v>
      </c>
      <c r="F103" s="7">
        <v>5</v>
      </c>
      <c r="G103" s="7">
        <v>8</v>
      </c>
      <c r="H103" s="7">
        <v>9</v>
      </c>
      <c r="I103" s="7">
        <v>14</v>
      </c>
      <c r="J103" s="7">
        <v>10</v>
      </c>
      <c r="K103" s="7">
        <v>10</v>
      </c>
      <c r="L103" s="7">
        <v>17</v>
      </c>
      <c r="M103" s="7">
        <v>9</v>
      </c>
      <c r="N103" s="7">
        <v>10</v>
      </c>
      <c r="O103" s="7">
        <v>11</v>
      </c>
      <c r="P103" s="7">
        <v>10</v>
      </c>
      <c r="Q103" s="7">
        <v>11</v>
      </c>
      <c r="R103" s="7">
        <v>2</v>
      </c>
      <c r="S103" s="7">
        <v>8</v>
      </c>
      <c r="T103" s="7">
        <v>8</v>
      </c>
      <c r="U103" s="7">
        <v>11</v>
      </c>
      <c r="V103" s="7">
        <v>5</v>
      </c>
      <c r="W103" s="7">
        <v>11</v>
      </c>
      <c r="X103" s="7">
        <v>14</v>
      </c>
      <c r="Y103" s="7">
        <v>14</v>
      </c>
      <c r="Z103" s="7">
        <v>5</v>
      </c>
      <c r="AA103" s="7">
        <v>9</v>
      </c>
      <c r="AB103" s="7">
        <v>15</v>
      </c>
      <c r="AC103" s="7">
        <v>7</v>
      </c>
      <c r="AD103" s="7">
        <v>10</v>
      </c>
      <c r="AE103" s="7">
        <v>5</v>
      </c>
      <c r="AF103" s="8"/>
      <c r="AG103" s="4">
        <f t="shared" si="13"/>
        <v>284</v>
      </c>
    </row>
    <row r="104" spans="1:33" ht="18.75" x14ac:dyDescent="0.25">
      <c r="A104" s="49" t="s">
        <v>11</v>
      </c>
      <c r="B104" s="7">
        <v>13</v>
      </c>
      <c r="C104" s="7">
        <v>7</v>
      </c>
      <c r="D104" s="7">
        <v>8</v>
      </c>
      <c r="E104" s="7">
        <v>4</v>
      </c>
      <c r="F104" s="7">
        <v>13</v>
      </c>
      <c r="G104" s="7">
        <v>5</v>
      </c>
      <c r="H104" s="7">
        <v>15</v>
      </c>
      <c r="I104" s="7">
        <v>9</v>
      </c>
      <c r="J104" s="7">
        <v>6</v>
      </c>
      <c r="K104" s="7">
        <v>8</v>
      </c>
      <c r="L104" s="7">
        <v>10</v>
      </c>
      <c r="M104" s="7">
        <v>11</v>
      </c>
      <c r="N104" s="7">
        <v>5</v>
      </c>
      <c r="O104" s="7">
        <v>4</v>
      </c>
      <c r="P104" s="7">
        <v>11</v>
      </c>
      <c r="Q104" s="7">
        <v>5</v>
      </c>
      <c r="R104" s="7">
        <v>9</v>
      </c>
      <c r="S104" s="7">
        <v>9</v>
      </c>
      <c r="T104" s="7">
        <v>8</v>
      </c>
      <c r="U104" s="7">
        <v>9</v>
      </c>
      <c r="V104" s="7">
        <v>7</v>
      </c>
      <c r="W104" s="7">
        <v>6</v>
      </c>
      <c r="X104" s="7">
        <v>8</v>
      </c>
      <c r="Y104" s="7">
        <v>19</v>
      </c>
      <c r="Z104" s="7">
        <v>3</v>
      </c>
      <c r="AA104" s="7">
        <v>7</v>
      </c>
      <c r="AB104" s="7">
        <v>7</v>
      </c>
      <c r="AC104" s="7">
        <v>13</v>
      </c>
      <c r="AD104" s="7">
        <v>9</v>
      </c>
      <c r="AE104" s="7">
        <v>6</v>
      </c>
      <c r="AF104" s="8"/>
      <c r="AG104" s="4">
        <f t="shared" si="13"/>
        <v>254</v>
      </c>
    </row>
    <row r="105" spans="1:33" ht="18.75" x14ac:dyDescent="0.25">
      <c r="A105" s="49" t="s">
        <v>12</v>
      </c>
      <c r="B105" s="7">
        <v>10</v>
      </c>
      <c r="C105" s="7">
        <v>5</v>
      </c>
      <c r="D105" s="7">
        <v>6</v>
      </c>
      <c r="E105" s="7">
        <v>6</v>
      </c>
      <c r="F105" s="7">
        <v>3</v>
      </c>
      <c r="G105" s="7">
        <v>4</v>
      </c>
      <c r="H105" s="7">
        <v>8</v>
      </c>
      <c r="I105" s="7">
        <v>6</v>
      </c>
      <c r="J105" s="7">
        <v>8</v>
      </c>
      <c r="K105" s="7">
        <v>8</v>
      </c>
      <c r="L105" s="7">
        <v>9</v>
      </c>
      <c r="M105" s="7">
        <v>8</v>
      </c>
      <c r="N105" s="7">
        <v>4</v>
      </c>
      <c r="O105" s="7">
        <v>10</v>
      </c>
      <c r="P105" s="7">
        <v>4</v>
      </c>
      <c r="Q105" s="7">
        <v>6</v>
      </c>
      <c r="R105" s="7">
        <v>8</v>
      </c>
      <c r="S105" s="7">
        <v>4</v>
      </c>
      <c r="T105" s="7">
        <v>8</v>
      </c>
      <c r="U105" s="7">
        <v>8</v>
      </c>
      <c r="V105" s="7">
        <v>15</v>
      </c>
      <c r="W105" s="7">
        <v>8</v>
      </c>
      <c r="X105" s="7">
        <v>9</v>
      </c>
      <c r="Y105" s="7">
        <v>5</v>
      </c>
      <c r="Z105" s="7">
        <v>4</v>
      </c>
      <c r="AA105" s="7">
        <v>6</v>
      </c>
      <c r="AB105" s="7">
        <v>7</v>
      </c>
      <c r="AC105" s="7">
        <v>6</v>
      </c>
      <c r="AD105" s="7">
        <v>5</v>
      </c>
      <c r="AE105" s="7">
        <v>5</v>
      </c>
      <c r="AF105" s="8"/>
      <c r="AG105" s="4">
        <f t="shared" si="13"/>
        <v>203</v>
      </c>
    </row>
    <row r="106" spans="1:33" ht="18.75" x14ac:dyDescent="0.25">
      <c r="A106" s="49" t="s">
        <v>13</v>
      </c>
      <c r="B106" s="7">
        <v>5</v>
      </c>
      <c r="C106" s="7">
        <v>12</v>
      </c>
      <c r="D106" s="7">
        <v>7</v>
      </c>
      <c r="E106" s="7">
        <v>4</v>
      </c>
      <c r="F106" s="7">
        <v>11</v>
      </c>
      <c r="G106" s="7">
        <v>6</v>
      </c>
      <c r="H106" s="7">
        <v>5</v>
      </c>
      <c r="I106" s="7">
        <v>11</v>
      </c>
      <c r="J106" s="7">
        <v>12</v>
      </c>
      <c r="K106" s="7">
        <v>9</v>
      </c>
      <c r="L106" s="7">
        <v>9</v>
      </c>
      <c r="M106" s="7">
        <v>4</v>
      </c>
      <c r="N106" s="7">
        <v>2</v>
      </c>
      <c r="O106" s="7">
        <v>6</v>
      </c>
      <c r="P106" s="7">
        <v>3</v>
      </c>
      <c r="Q106" s="7">
        <v>6</v>
      </c>
      <c r="R106" s="7">
        <v>9</v>
      </c>
      <c r="S106" s="7">
        <v>3</v>
      </c>
      <c r="T106" s="7">
        <v>6</v>
      </c>
      <c r="U106" s="7">
        <v>7</v>
      </c>
      <c r="V106" s="7">
        <v>12</v>
      </c>
      <c r="W106" s="7">
        <v>10</v>
      </c>
      <c r="X106" s="7">
        <v>15</v>
      </c>
      <c r="Y106" s="7">
        <v>12</v>
      </c>
      <c r="Z106" s="7">
        <v>7</v>
      </c>
      <c r="AA106" s="7">
        <v>6</v>
      </c>
      <c r="AB106" s="7">
        <v>6</v>
      </c>
      <c r="AC106" s="7">
        <v>9</v>
      </c>
      <c r="AD106" s="7">
        <v>9</v>
      </c>
      <c r="AE106" s="7">
        <v>4</v>
      </c>
      <c r="AF106" s="8"/>
      <c r="AG106" s="4">
        <f t="shared" si="13"/>
        <v>227</v>
      </c>
    </row>
    <row r="107" spans="1:33" ht="18.75" x14ac:dyDescent="0.25">
      <c r="A107" s="49" t="s">
        <v>14</v>
      </c>
      <c r="B107" s="7">
        <v>6</v>
      </c>
      <c r="C107" s="7">
        <v>5</v>
      </c>
      <c r="D107" s="7">
        <v>3</v>
      </c>
      <c r="E107" s="7">
        <v>10</v>
      </c>
      <c r="F107" s="7">
        <v>16</v>
      </c>
      <c r="G107" s="7">
        <v>9</v>
      </c>
      <c r="H107" s="7">
        <v>9</v>
      </c>
      <c r="I107" s="7">
        <v>5</v>
      </c>
      <c r="J107" s="7">
        <v>5</v>
      </c>
      <c r="K107" s="7">
        <v>10</v>
      </c>
      <c r="L107" s="7">
        <v>9</v>
      </c>
      <c r="M107" s="7">
        <v>8</v>
      </c>
      <c r="N107" s="7">
        <v>8</v>
      </c>
      <c r="O107" s="7">
        <v>7</v>
      </c>
      <c r="P107" s="7">
        <v>12</v>
      </c>
      <c r="Q107" s="7">
        <v>3</v>
      </c>
      <c r="R107" s="7">
        <v>4</v>
      </c>
      <c r="S107" s="7">
        <v>2</v>
      </c>
      <c r="T107" s="7">
        <v>8</v>
      </c>
      <c r="U107" s="7">
        <v>9</v>
      </c>
      <c r="V107" s="7">
        <v>10</v>
      </c>
      <c r="W107" s="7">
        <v>5</v>
      </c>
      <c r="X107" s="7">
        <v>7</v>
      </c>
      <c r="Y107" s="7">
        <v>12</v>
      </c>
      <c r="Z107" s="7">
        <v>2</v>
      </c>
      <c r="AA107" s="7">
        <v>7</v>
      </c>
      <c r="AB107" s="7">
        <v>11</v>
      </c>
      <c r="AC107" s="7">
        <v>2</v>
      </c>
      <c r="AD107" s="7">
        <v>2</v>
      </c>
      <c r="AE107" s="7">
        <v>4</v>
      </c>
      <c r="AF107" s="8"/>
      <c r="AG107" s="4">
        <f t="shared" si="13"/>
        <v>210</v>
      </c>
    </row>
    <row r="108" spans="1:33" ht="18.75" x14ac:dyDescent="0.25">
      <c r="A108" s="49" t="s">
        <v>15</v>
      </c>
      <c r="B108" s="7">
        <v>10</v>
      </c>
      <c r="C108" s="7">
        <v>5</v>
      </c>
      <c r="D108" s="7">
        <v>8</v>
      </c>
      <c r="E108" s="7">
        <v>10</v>
      </c>
      <c r="F108" s="7">
        <v>6</v>
      </c>
      <c r="G108" s="7">
        <v>9</v>
      </c>
      <c r="H108" s="7">
        <v>9</v>
      </c>
      <c r="I108" s="7">
        <v>9</v>
      </c>
      <c r="J108" s="7">
        <v>9</v>
      </c>
      <c r="K108" s="7">
        <v>6</v>
      </c>
      <c r="L108" s="7">
        <v>15</v>
      </c>
      <c r="M108" s="7">
        <v>10</v>
      </c>
      <c r="N108" s="7">
        <v>2</v>
      </c>
      <c r="O108" s="7">
        <v>11</v>
      </c>
      <c r="P108" s="7">
        <v>9</v>
      </c>
      <c r="Q108" s="7">
        <v>3</v>
      </c>
      <c r="R108" s="7">
        <v>8</v>
      </c>
      <c r="S108" s="7">
        <v>5</v>
      </c>
      <c r="T108" s="7">
        <v>6</v>
      </c>
      <c r="U108" s="7">
        <v>3</v>
      </c>
      <c r="V108" s="7">
        <v>10</v>
      </c>
      <c r="W108" s="7"/>
      <c r="X108" s="7">
        <v>10</v>
      </c>
      <c r="Y108" s="7">
        <v>10</v>
      </c>
      <c r="Z108" s="7">
        <v>8</v>
      </c>
      <c r="AA108" s="7">
        <v>9</v>
      </c>
      <c r="AB108" s="7">
        <v>6</v>
      </c>
      <c r="AC108" s="7">
        <v>8</v>
      </c>
      <c r="AD108" s="7">
        <v>6</v>
      </c>
      <c r="AE108" s="7">
        <v>5</v>
      </c>
      <c r="AF108" s="8"/>
      <c r="AG108" s="4">
        <f t="shared" si="13"/>
        <v>225</v>
      </c>
    </row>
    <row r="109" spans="1:33" ht="18.75" x14ac:dyDescent="0.25">
      <c r="A109" s="49" t="s">
        <v>16</v>
      </c>
      <c r="B109" s="7">
        <v>7</v>
      </c>
      <c r="C109" s="7">
        <v>2</v>
      </c>
      <c r="D109" s="7">
        <v>3</v>
      </c>
      <c r="E109" s="7">
        <v>9</v>
      </c>
      <c r="F109" s="7">
        <v>5</v>
      </c>
      <c r="G109" s="7">
        <v>9</v>
      </c>
      <c r="H109" s="7">
        <v>5</v>
      </c>
      <c r="I109" s="7">
        <v>2</v>
      </c>
      <c r="J109" s="7">
        <v>11</v>
      </c>
      <c r="K109" s="7">
        <v>6</v>
      </c>
      <c r="L109" s="7">
        <v>13</v>
      </c>
      <c r="M109" s="7">
        <v>10</v>
      </c>
      <c r="N109" s="7">
        <v>6</v>
      </c>
      <c r="O109" s="7">
        <v>14</v>
      </c>
      <c r="P109" s="7">
        <v>10</v>
      </c>
      <c r="Q109" s="7">
        <v>9</v>
      </c>
      <c r="R109" s="7">
        <v>2</v>
      </c>
      <c r="S109" s="7">
        <v>5</v>
      </c>
      <c r="T109" s="7">
        <v>8</v>
      </c>
      <c r="U109" s="7">
        <v>7</v>
      </c>
      <c r="V109" s="7">
        <v>14</v>
      </c>
      <c r="W109" s="7">
        <v>17</v>
      </c>
      <c r="X109" s="7">
        <v>15</v>
      </c>
      <c r="Y109" s="7">
        <v>13</v>
      </c>
      <c r="Z109" s="7">
        <v>5</v>
      </c>
      <c r="AA109" s="7">
        <v>6</v>
      </c>
      <c r="AB109" s="7">
        <v>9</v>
      </c>
      <c r="AC109" s="7">
        <v>9</v>
      </c>
      <c r="AD109" s="7">
        <v>7</v>
      </c>
      <c r="AE109" s="7">
        <v>8</v>
      </c>
      <c r="AF109" s="8"/>
      <c r="AG109" s="4">
        <f t="shared" si="13"/>
        <v>246</v>
      </c>
    </row>
    <row r="110" spans="1:33" ht="18.75" x14ac:dyDescent="0.25">
      <c r="A110" s="49" t="s">
        <v>17</v>
      </c>
      <c r="B110" s="7">
        <v>11</v>
      </c>
      <c r="C110" s="7">
        <v>4</v>
      </c>
      <c r="D110" s="7">
        <v>6</v>
      </c>
      <c r="E110" s="7">
        <v>12</v>
      </c>
      <c r="F110" s="7">
        <v>5</v>
      </c>
      <c r="G110" s="7">
        <v>5</v>
      </c>
      <c r="H110" s="7">
        <v>8</v>
      </c>
      <c r="I110" s="7">
        <v>6</v>
      </c>
      <c r="J110" s="7">
        <v>4</v>
      </c>
      <c r="K110" s="7">
        <v>9</v>
      </c>
      <c r="L110" s="7">
        <v>3</v>
      </c>
      <c r="M110" s="7">
        <v>5</v>
      </c>
      <c r="N110" s="7">
        <v>2</v>
      </c>
      <c r="O110" s="7">
        <v>11</v>
      </c>
      <c r="P110" s="7">
        <v>7</v>
      </c>
      <c r="Q110" s="7">
        <v>3</v>
      </c>
      <c r="R110" s="7">
        <v>9</v>
      </c>
      <c r="S110" s="7">
        <v>5</v>
      </c>
      <c r="T110" s="7">
        <v>7</v>
      </c>
      <c r="U110" s="7">
        <v>3</v>
      </c>
      <c r="V110" s="7">
        <v>9</v>
      </c>
      <c r="W110" s="7">
        <v>13</v>
      </c>
      <c r="X110" s="7">
        <v>9</v>
      </c>
      <c r="Y110" s="7">
        <v>5</v>
      </c>
      <c r="Z110" s="7">
        <v>6</v>
      </c>
      <c r="AA110" s="7">
        <v>8</v>
      </c>
      <c r="AB110" s="7">
        <v>9</v>
      </c>
      <c r="AC110" s="7">
        <v>9</v>
      </c>
      <c r="AD110" s="7">
        <v>14</v>
      </c>
      <c r="AE110" s="7">
        <v>11</v>
      </c>
      <c r="AF110" s="8"/>
      <c r="AG110" s="4">
        <f t="shared" si="13"/>
        <v>218</v>
      </c>
    </row>
    <row r="111" spans="1:33" ht="18.75" x14ac:dyDescent="0.25">
      <c r="A111" s="49" t="s">
        <v>18</v>
      </c>
      <c r="B111" s="7">
        <v>5</v>
      </c>
      <c r="C111" s="7">
        <v>2</v>
      </c>
      <c r="D111" s="7">
        <v>7</v>
      </c>
      <c r="E111" s="7">
        <v>8</v>
      </c>
      <c r="F111" s="7">
        <v>4</v>
      </c>
      <c r="G111" s="7">
        <v>5</v>
      </c>
      <c r="H111" s="7">
        <v>6</v>
      </c>
      <c r="I111" s="7">
        <v>4</v>
      </c>
      <c r="J111" s="7">
        <v>6</v>
      </c>
      <c r="K111" s="7">
        <v>5</v>
      </c>
      <c r="L111" s="7">
        <v>9</v>
      </c>
      <c r="M111" s="7">
        <v>5</v>
      </c>
      <c r="N111" s="7">
        <v>7</v>
      </c>
      <c r="O111" s="7">
        <v>5</v>
      </c>
      <c r="P111" s="7">
        <v>7</v>
      </c>
      <c r="Q111" s="7">
        <v>3</v>
      </c>
      <c r="R111" s="7">
        <v>3</v>
      </c>
      <c r="S111" s="7">
        <v>4</v>
      </c>
      <c r="T111" s="7">
        <v>5</v>
      </c>
      <c r="U111" s="7">
        <v>1</v>
      </c>
      <c r="V111" s="7">
        <v>7</v>
      </c>
      <c r="W111" s="7">
        <v>2</v>
      </c>
      <c r="X111" s="7">
        <v>7</v>
      </c>
      <c r="Y111" s="7">
        <v>10</v>
      </c>
      <c r="Z111" s="7"/>
      <c r="AA111" s="7">
        <v>4</v>
      </c>
      <c r="AB111" s="7">
        <v>3</v>
      </c>
      <c r="AC111" s="7">
        <v>9</v>
      </c>
      <c r="AD111" s="7">
        <v>5</v>
      </c>
      <c r="AE111" s="7">
        <v>5</v>
      </c>
      <c r="AF111" s="8"/>
      <c r="AG111" s="4">
        <f t="shared" si="13"/>
        <v>153</v>
      </c>
    </row>
    <row r="112" spans="1:33" ht="18.75" x14ac:dyDescent="0.25">
      <c r="A112" s="49" t="s">
        <v>19</v>
      </c>
      <c r="B112" s="7">
        <v>2</v>
      </c>
      <c r="C112" s="7">
        <v>3</v>
      </c>
      <c r="D112" s="7">
        <v>10</v>
      </c>
      <c r="E112" s="7">
        <v>5</v>
      </c>
      <c r="F112" s="7">
        <v>4</v>
      </c>
      <c r="G112" s="7">
        <v>4</v>
      </c>
      <c r="H112" s="7">
        <v>6</v>
      </c>
      <c r="I112" s="7">
        <v>2</v>
      </c>
      <c r="J112" s="7">
        <v>4</v>
      </c>
      <c r="K112" s="7">
        <v>5</v>
      </c>
      <c r="L112" s="7">
        <v>13</v>
      </c>
      <c r="M112" s="7">
        <v>3</v>
      </c>
      <c r="N112" s="7">
        <v>1</v>
      </c>
      <c r="O112" s="7">
        <v>2</v>
      </c>
      <c r="P112" s="7">
        <v>5</v>
      </c>
      <c r="Q112" s="7">
        <v>4</v>
      </c>
      <c r="R112" s="7">
        <v>1</v>
      </c>
      <c r="S112" s="7">
        <v>3</v>
      </c>
      <c r="T112" s="7">
        <v>4</v>
      </c>
      <c r="U112" s="7">
        <v>1</v>
      </c>
      <c r="V112" s="7">
        <v>10</v>
      </c>
      <c r="W112" s="7">
        <v>8</v>
      </c>
      <c r="X112" s="7">
        <v>7</v>
      </c>
      <c r="Y112" s="7">
        <v>11</v>
      </c>
      <c r="Z112" s="7"/>
      <c r="AA112" s="7">
        <v>3</v>
      </c>
      <c r="AB112" s="7"/>
      <c r="AC112" s="7">
        <v>7</v>
      </c>
      <c r="AD112" s="7">
        <v>8</v>
      </c>
      <c r="AE112" s="7">
        <v>7</v>
      </c>
      <c r="AF112" s="8"/>
      <c r="AG112" s="4">
        <f>SUM(B112:AF112)</f>
        <v>143</v>
      </c>
    </row>
    <row r="113" spans="1:33" ht="18.75" x14ac:dyDescent="0.25">
      <c r="A113" s="49" t="s">
        <v>20</v>
      </c>
      <c r="B113" s="7">
        <v>5</v>
      </c>
      <c r="C113" s="7">
        <v>5</v>
      </c>
      <c r="D113" s="7"/>
      <c r="E113" s="7">
        <v>3</v>
      </c>
      <c r="F113" s="7">
        <v>5</v>
      </c>
      <c r="G113" s="7">
        <v>4</v>
      </c>
      <c r="H113" s="7">
        <v>9</v>
      </c>
      <c r="I113" s="7">
        <v>3</v>
      </c>
      <c r="J113" s="7">
        <v>5</v>
      </c>
      <c r="K113" s="7">
        <v>2</v>
      </c>
      <c r="L113" s="7">
        <v>4</v>
      </c>
      <c r="M113" s="7">
        <v>3</v>
      </c>
      <c r="N113" s="7">
        <v>4</v>
      </c>
      <c r="O113" s="7">
        <v>4</v>
      </c>
      <c r="P113" s="7">
        <v>5</v>
      </c>
      <c r="Q113" s="7">
        <v>3</v>
      </c>
      <c r="R113" s="7">
        <v>1</v>
      </c>
      <c r="S113" s="7">
        <v>2</v>
      </c>
      <c r="T113" s="7">
        <v>3</v>
      </c>
      <c r="U113" s="7"/>
      <c r="V113" s="7">
        <v>4</v>
      </c>
      <c r="W113" s="7">
        <v>7</v>
      </c>
      <c r="X113" s="7">
        <v>4</v>
      </c>
      <c r="Y113" s="7">
        <v>3</v>
      </c>
      <c r="Z113" s="7">
        <v>1</v>
      </c>
      <c r="AA113" s="7">
        <v>4</v>
      </c>
      <c r="AB113" s="7">
        <v>1</v>
      </c>
      <c r="AC113" s="7">
        <v>7</v>
      </c>
      <c r="AD113" s="7">
        <v>1</v>
      </c>
      <c r="AE113" s="7">
        <v>7</v>
      </c>
      <c r="AF113" s="8"/>
      <c r="AG113" s="4">
        <f t="shared" si="13"/>
        <v>109</v>
      </c>
    </row>
    <row r="114" spans="1:33" ht="18.75" x14ac:dyDescent="0.25">
      <c r="A114" s="49" t="s">
        <v>21</v>
      </c>
      <c r="B114" s="7">
        <v>2</v>
      </c>
      <c r="C114" s="7"/>
      <c r="D114" s="7">
        <v>2</v>
      </c>
      <c r="E114" s="7">
        <v>4</v>
      </c>
      <c r="F114" s="7">
        <v>2</v>
      </c>
      <c r="G114" s="7">
        <v>1</v>
      </c>
      <c r="H114" s="7">
        <v>3</v>
      </c>
      <c r="I114" s="7">
        <v>3</v>
      </c>
      <c r="J114" s="7">
        <v>4</v>
      </c>
      <c r="K114" s="7">
        <v>5</v>
      </c>
      <c r="L114" s="7">
        <v>5</v>
      </c>
      <c r="M114" s="7">
        <v>3</v>
      </c>
      <c r="N114" s="7">
        <v>7</v>
      </c>
      <c r="O114" s="7">
        <v>5</v>
      </c>
      <c r="P114" s="7">
        <v>10</v>
      </c>
      <c r="Q114" s="7">
        <v>4</v>
      </c>
      <c r="R114" s="7"/>
      <c r="S114" s="7">
        <v>2</v>
      </c>
      <c r="T114" s="7">
        <v>1</v>
      </c>
      <c r="U114" s="7">
        <v>6</v>
      </c>
      <c r="V114" s="7">
        <v>10</v>
      </c>
      <c r="W114" s="7">
        <v>5</v>
      </c>
      <c r="X114" s="7">
        <v>8</v>
      </c>
      <c r="Y114" s="7">
        <v>4</v>
      </c>
      <c r="Z114" s="7">
        <v>3</v>
      </c>
      <c r="AA114" s="7">
        <v>4</v>
      </c>
      <c r="AB114" s="7">
        <v>1</v>
      </c>
      <c r="AC114" s="7">
        <v>4</v>
      </c>
      <c r="AD114" s="7">
        <v>2</v>
      </c>
      <c r="AE114" s="7">
        <v>6</v>
      </c>
      <c r="AF114" s="8"/>
      <c r="AG114" s="4">
        <f t="shared" si="13"/>
        <v>116</v>
      </c>
    </row>
    <row r="115" spans="1:33" ht="19.5" thickBot="1" x14ac:dyDescent="0.3">
      <c r="A115" s="76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2"/>
      <c r="AG115" s="4">
        <f t="shared" si="13"/>
        <v>0</v>
      </c>
    </row>
    <row r="116" spans="1:33" ht="18.75" x14ac:dyDescent="0.25">
      <c r="A116" s="73" t="s">
        <v>61</v>
      </c>
      <c r="B116" s="74">
        <f t="shared" ref="B116:AF116" si="18">SUM(B117:B129)</f>
        <v>70</v>
      </c>
      <c r="C116" s="74">
        <f t="shared" si="18"/>
        <v>46</v>
      </c>
      <c r="D116" s="74">
        <f t="shared" si="18"/>
        <v>50</v>
      </c>
      <c r="E116" s="74">
        <f t="shared" si="18"/>
        <v>56</v>
      </c>
      <c r="F116" s="74">
        <f t="shared" si="18"/>
        <v>39</v>
      </c>
      <c r="G116" s="74">
        <f t="shared" si="18"/>
        <v>31</v>
      </c>
      <c r="H116" s="74">
        <f t="shared" si="18"/>
        <v>59</v>
      </c>
      <c r="I116" s="74">
        <f t="shared" si="18"/>
        <v>51</v>
      </c>
      <c r="J116" s="74">
        <f t="shared" si="18"/>
        <v>67</v>
      </c>
      <c r="K116" s="74">
        <f t="shared" si="18"/>
        <v>58</v>
      </c>
      <c r="L116" s="74">
        <f t="shared" si="18"/>
        <v>89</v>
      </c>
      <c r="M116" s="74">
        <f t="shared" si="18"/>
        <v>59</v>
      </c>
      <c r="N116" s="74">
        <f t="shared" si="18"/>
        <v>27</v>
      </c>
      <c r="O116" s="74">
        <f t="shared" si="18"/>
        <v>70</v>
      </c>
      <c r="P116" s="74">
        <f t="shared" si="18"/>
        <v>67</v>
      </c>
      <c r="Q116" s="74">
        <f t="shared" si="18"/>
        <v>44</v>
      </c>
      <c r="R116" s="74">
        <f t="shared" si="18"/>
        <v>37</v>
      </c>
      <c r="S116" s="74">
        <f t="shared" si="18"/>
        <v>31</v>
      </c>
      <c r="T116" s="74">
        <f t="shared" si="18"/>
        <v>51</v>
      </c>
      <c r="U116" s="74">
        <f t="shared" si="18"/>
        <v>39</v>
      </c>
      <c r="V116" s="74">
        <f t="shared" si="18"/>
        <v>88</v>
      </c>
      <c r="W116" s="74">
        <f t="shared" si="18"/>
        <v>69</v>
      </c>
      <c r="X116" s="74">
        <f t="shared" si="18"/>
        <v>90</v>
      </c>
      <c r="Y116" s="74">
        <f t="shared" si="18"/>
        <v>90</v>
      </c>
      <c r="Z116" s="74">
        <f t="shared" si="18"/>
        <v>36</v>
      </c>
      <c r="AA116" s="74">
        <f t="shared" si="18"/>
        <v>54</v>
      </c>
      <c r="AB116" s="74">
        <f t="shared" si="18"/>
        <v>43</v>
      </c>
      <c r="AC116" s="74">
        <f t="shared" si="18"/>
        <v>70</v>
      </c>
      <c r="AD116" s="74">
        <f t="shared" si="18"/>
        <v>60</v>
      </c>
      <c r="AE116" s="74">
        <f t="shared" si="18"/>
        <v>52</v>
      </c>
      <c r="AF116" s="84">
        <f t="shared" si="18"/>
        <v>0</v>
      </c>
      <c r="AG116" s="4">
        <f t="shared" si="13"/>
        <v>1693</v>
      </c>
    </row>
    <row r="117" spans="1:33" ht="18.75" x14ac:dyDescent="0.25">
      <c r="A117" s="43" t="s">
        <v>59</v>
      </c>
      <c r="B117" s="7">
        <v>50</v>
      </c>
      <c r="C117" s="7">
        <f>2+4</f>
        <v>6</v>
      </c>
      <c r="D117" s="7">
        <v>38</v>
      </c>
      <c r="E117" s="7">
        <v>44</v>
      </c>
      <c r="F117" s="7">
        <v>25</v>
      </c>
      <c r="G117" s="7">
        <v>26</v>
      </c>
      <c r="H117" s="7">
        <v>48</v>
      </c>
      <c r="I117" s="7">
        <v>42</v>
      </c>
      <c r="J117" s="7">
        <v>53</v>
      </c>
      <c r="K117" s="7">
        <v>39</v>
      </c>
      <c r="L117" s="7">
        <v>75</v>
      </c>
      <c r="M117" s="7">
        <v>46</v>
      </c>
      <c r="N117" s="7">
        <v>19</v>
      </c>
      <c r="O117" s="7">
        <v>55</v>
      </c>
      <c r="P117" s="7">
        <v>50</v>
      </c>
      <c r="Q117" s="7">
        <v>33</v>
      </c>
      <c r="R117" s="7">
        <v>28</v>
      </c>
      <c r="S117" s="7">
        <v>20</v>
      </c>
      <c r="T117" s="7">
        <v>39</v>
      </c>
      <c r="U117" s="7">
        <v>32</v>
      </c>
      <c r="V117" s="7">
        <v>74</v>
      </c>
      <c r="W117" s="7">
        <v>51</v>
      </c>
      <c r="X117" s="7">
        <v>73</v>
      </c>
      <c r="Y117" s="7">
        <v>77</v>
      </c>
      <c r="Z117" s="7">
        <v>31</v>
      </c>
      <c r="AA117" s="7">
        <v>36</v>
      </c>
      <c r="AB117" s="7">
        <v>30</v>
      </c>
      <c r="AC117" s="7">
        <v>53</v>
      </c>
      <c r="AD117" s="7">
        <v>47</v>
      </c>
      <c r="AE117" s="7">
        <v>40</v>
      </c>
      <c r="AF117" s="8"/>
      <c r="AG117" s="4">
        <f t="shared" si="13"/>
        <v>1280</v>
      </c>
    </row>
    <row r="118" spans="1:33" ht="19.5" hidden="1" customHeight="1" thickBot="1" x14ac:dyDescent="0.25">
      <c r="A118" s="43" t="s">
        <v>23</v>
      </c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8"/>
      <c r="AG118" s="4">
        <f t="shared" si="13"/>
        <v>0</v>
      </c>
    </row>
    <row r="119" spans="1:33" ht="19.5" hidden="1" customHeight="1" thickBot="1" x14ac:dyDescent="0.25">
      <c r="A119" s="43" t="s">
        <v>24</v>
      </c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8"/>
      <c r="AG119" s="4">
        <f t="shared" si="13"/>
        <v>0</v>
      </c>
    </row>
    <row r="120" spans="1:33" ht="19.5" hidden="1" customHeight="1" thickBot="1" x14ac:dyDescent="0.25">
      <c r="A120" s="43" t="s">
        <v>25</v>
      </c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8"/>
      <c r="AG120" s="4">
        <f t="shared" si="13"/>
        <v>0</v>
      </c>
    </row>
    <row r="121" spans="1:33" ht="19.5" hidden="1" customHeight="1" thickBot="1" x14ac:dyDescent="0.25">
      <c r="A121" s="43" t="s">
        <v>26</v>
      </c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8"/>
      <c r="AG121" s="4">
        <f t="shared" si="13"/>
        <v>0</v>
      </c>
    </row>
    <row r="122" spans="1:33" ht="19.5" hidden="1" customHeight="1" thickBot="1" x14ac:dyDescent="0.25">
      <c r="A122" s="43" t="s">
        <v>27</v>
      </c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8"/>
      <c r="AG122" s="4">
        <f t="shared" si="13"/>
        <v>0</v>
      </c>
    </row>
    <row r="123" spans="1:33" ht="19.5" hidden="1" customHeight="1" thickBot="1" x14ac:dyDescent="0.25">
      <c r="A123" s="43" t="s">
        <v>28</v>
      </c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8"/>
      <c r="AG123" s="4">
        <f t="shared" si="13"/>
        <v>0</v>
      </c>
    </row>
    <row r="124" spans="1:33" ht="19.5" hidden="1" customHeight="1" thickBot="1" x14ac:dyDescent="0.25">
      <c r="A124" s="43" t="s">
        <v>29</v>
      </c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8"/>
      <c r="AG124" s="4">
        <f t="shared" si="13"/>
        <v>0</v>
      </c>
    </row>
    <row r="125" spans="1:33" ht="19.5" hidden="1" customHeight="1" thickBot="1" x14ac:dyDescent="0.25">
      <c r="A125" s="41" t="s">
        <v>30</v>
      </c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8"/>
      <c r="AG125" s="4">
        <f t="shared" si="13"/>
        <v>0</v>
      </c>
    </row>
    <row r="126" spans="1:33" ht="19.5" hidden="1" customHeight="1" thickBot="1" x14ac:dyDescent="0.25">
      <c r="A126" s="41" t="s">
        <v>31</v>
      </c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8"/>
      <c r="AG126" s="4">
        <f t="shared" si="13"/>
        <v>0</v>
      </c>
    </row>
    <row r="127" spans="1:33" ht="19.5" hidden="1" customHeight="1" thickBot="1" x14ac:dyDescent="0.25">
      <c r="A127" s="41" t="s">
        <v>32</v>
      </c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8"/>
      <c r="AG127" s="4">
        <f t="shared" ref="AG127:AG133" si="19">SUM(B127:AF127)</f>
        <v>0</v>
      </c>
    </row>
    <row r="128" spans="1:33" ht="19.5" hidden="1" customHeight="1" thickBot="1" x14ac:dyDescent="0.25">
      <c r="A128" s="43" t="s">
        <v>60</v>
      </c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8"/>
      <c r="AG128" s="4">
        <f t="shared" si="19"/>
        <v>0</v>
      </c>
    </row>
    <row r="129" spans="1:35" ht="19.5" thickBot="1" x14ac:dyDescent="0.3">
      <c r="A129" s="75" t="s">
        <v>86</v>
      </c>
      <c r="B129" s="13">
        <f>4+16</f>
        <v>20</v>
      </c>
      <c r="C129" s="13">
        <v>40</v>
      </c>
      <c r="D129" s="13">
        <f>5+7</f>
        <v>12</v>
      </c>
      <c r="E129" s="13">
        <f>5+7</f>
        <v>12</v>
      </c>
      <c r="F129" s="13">
        <f>5+1+8</f>
        <v>14</v>
      </c>
      <c r="G129" s="13">
        <f>1+4</f>
        <v>5</v>
      </c>
      <c r="H129" s="13">
        <f>7+4</f>
        <v>11</v>
      </c>
      <c r="I129" s="13">
        <f>3+6</f>
        <v>9</v>
      </c>
      <c r="J129" s="13">
        <f>6+8</f>
        <v>14</v>
      </c>
      <c r="K129" s="13">
        <f>8+11</f>
        <v>19</v>
      </c>
      <c r="L129" s="13">
        <f>10+4</f>
        <v>14</v>
      </c>
      <c r="M129" s="13">
        <f>6+7</f>
        <v>13</v>
      </c>
      <c r="N129" s="13">
        <f>5+3</f>
        <v>8</v>
      </c>
      <c r="O129" s="13">
        <f>6+9</f>
        <v>15</v>
      </c>
      <c r="P129" s="13">
        <f>5+11+1</f>
        <v>17</v>
      </c>
      <c r="Q129" s="13">
        <f>2+1+8</f>
        <v>11</v>
      </c>
      <c r="R129" s="13">
        <f>5+4</f>
        <v>9</v>
      </c>
      <c r="S129" s="13">
        <f>9+2</f>
        <v>11</v>
      </c>
      <c r="T129" s="13">
        <f>6+1+5</f>
        <v>12</v>
      </c>
      <c r="U129" s="13">
        <f>2+5</f>
        <v>7</v>
      </c>
      <c r="V129" s="13">
        <f>6+8</f>
        <v>14</v>
      </c>
      <c r="W129" s="13">
        <f>11+7</f>
        <v>18</v>
      </c>
      <c r="X129" s="13">
        <f>9+8</f>
        <v>17</v>
      </c>
      <c r="Y129" s="13">
        <f>8+5</f>
        <v>13</v>
      </c>
      <c r="Z129" s="13">
        <f>2+3</f>
        <v>5</v>
      </c>
      <c r="AA129" s="13">
        <f>12+6</f>
        <v>18</v>
      </c>
      <c r="AB129" s="13">
        <f>5+8</f>
        <v>13</v>
      </c>
      <c r="AC129" s="13">
        <f>11+6</f>
        <v>17</v>
      </c>
      <c r="AD129" s="13">
        <f>5+1+7</f>
        <v>13</v>
      </c>
      <c r="AE129" s="13">
        <f>7+5</f>
        <v>12</v>
      </c>
      <c r="AF129" s="14"/>
      <c r="AG129" s="4">
        <f t="shared" si="19"/>
        <v>413</v>
      </c>
    </row>
    <row r="130" spans="1:35" ht="18.75" x14ac:dyDescent="0.25">
      <c r="A130" s="73" t="s">
        <v>109</v>
      </c>
      <c r="B130" s="74">
        <f t="shared" ref="B130:AF130" si="20">SUM(B131:B143)</f>
        <v>108</v>
      </c>
      <c r="C130" s="74">
        <f t="shared" si="20"/>
        <v>71</v>
      </c>
      <c r="D130" s="74">
        <f t="shared" si="20"/>
        <v>90</v>
      </c>
      <c r="E130" s="74">
        <f t="shared" si="20"/>
        <v>109</v>
      </c>
      <c r="F130" s="74">
        <f t="shared" si="20"/>
        <v>106</v>
      </c>
      <c r="G130" s="74">
        <f t="shared" si="20"/>
        <v>87</v>
      </c>
      <c r="H130" s="74">
        <f t="shared" si="20"/>
        <v>108</v>
      </c>
      <c r="I130" s="74">
        <f t="shared" si="20"/>
        <v>96</v>
      </c>
      <c r="J130" s="74">
        <f t="shared" si="20"/>
        <v>109</v>
      </c>
      <c r="K130" s="74">
        <f t="shared" si="20"/>
        <v>105</v>
      </c>
      <c r="L130" s="74">
        <f t="shared" si="20"/>
        <v>135</v>
      </c>
      <c r="M130" s="74">
        <f t="shared" si="20"/>
        <v>108</v>
      </c>
      <c r="N130" s="74">
        <f t="shared" si="20"/>
        <v>76</v>
      </c>
      <c r="O130" s="74">
        <f t="shared" si="20"/>
        <v>111</v>
      </c>
      <c r="P130" s="74">
        <f t="shared" si="20"/>
        <v>117</v>
      </c>
      <c r="Q130" s="74">
        <f t="shared" si="20"/>
        <v>88</v>
      </c>
      <c r="R130" s="74">
        <f t="shared" si="20"/>
        <v>76</v>
      </c>
      <c r="S130" s="74">
        <f t="shared" si="20"/>
        <v>72</v>
      </c>
      <c r="T130" s="74">
        <f t="shared" si="20"/>
        <v>85</v>
      </c>
      <c r="U130" s="74">
        <f t="shared" si="20"/>
        <v>97</v>
      </c>
      <c r="V130" s="74">
        <f t="shared" si="20"/>
        <v>144</v>
      </c>
      <c r="W130" s="74">
        <f t="shared" si="20"/>
        <v>113</v>
      </c>
      <c r="X130" s="74">
        <f t="shared" si="20"/>
        <v>143</v>
      </c>
      <c r="Y130" s="74">
        <f t="shared" si="20"/>
        <v>144</v>
      </c>
      <c r="Z130" s="74">
        <f t="shared" si="20"/>
        <v>68</v>
      </c>
      <c r="AA130" s="74">
        <f t="shared" si="20"/>
        <v>99</v>
      </c>
      <c r="AB130" s="74">
        <f t="shared" si="20"/>
        <v>96</v>
      </c>
      <c r="AC130" s="74">
        <f t="shared" si="20"/>
        <v>116</v>
      </c>
      <c r="AD130" s="74">
        <f t="shared" si="20"/>
        <v>105</v>
      </c>
      <c r="AE130" s="74">
        <f t="shared" si="20"/>
        <v>86</v>
      </c>
      <c r="AF130" s="84">
        <f t="shared" si="20"/>
        <v>0</v>
      </c>
      <c r="AG130" s="150">
        <f t="shared" si="19"/>
        <v>3068</v>
      </c>
      <c r="AH130" s="1" t="str">
        <f>IF(AG130&lt;&gt;AG93,"*","")</f>
        <v/>
      </c>
    </row>
    <row r="131" spans="1:35" ht="18.75" x14ac:dyDescent="0.25">
      <c r="A131" s="43" t="s">
        <v>59</v>
      </c>
      <c r="B131" s="7">
        <v>50</v>
      </c>
      <c r="C131" s="7">
        <v>36</v>
      </c>
      <c r="D131" s="7">
        <v>33</v>
      </c>
      <c r="E131" s="7">
        <v>43</v>
      </c>
      <c r="F131" s="7">
        <v>25</v>
      </c>
      <c r="G131" s="7">
        <v>26</v>
      </c>
      <c r="H131" s="7">
        <v>45</v>
      </c>
      <c r="I131" s="7">
        <v>37</v>
      </c>
      <c r="J131" s="7">
        <v>49</v>
      </c>
      <c r="K131" s="7">
        <v>38</v>
      </c>
      <c r="L131" s="7">
        <v>70</v>
      </c>
      <c r="M131" s="7">
        <v>44</v>
      </c>
      <c r="N131" s="7">
        <v>16</v>
      </c>
      <c r="O131" s="7">
        <v>51</v>
      </c>
      <c r="P131" s="7">
        <v>48</v>
      </c>
      <c r="Q131" s="7">
        <v>33</v>
      </c>
      <c r="R131" s="7">
        <v>27</v>
      </c>
      <c r="S131" s="7">
        <v>20</v>
      </c>
      <c r="T131" s="7">
        <v>36</v>
      </c>
      <c r="U131" s="7">
        <v>30</v>
      </c>
      <c r="V131" s="7">
        <v>71</v>
      </c>
      <c r="W131" s="7">
        <v>50</v>
      </c>
      <c r="X131" s="7">
        <v>68</v>
      </c>
      <c r="Y131" s="7">
        <v>71</v>
      </c>
      <c r="Z131" s="7">
        <v>31</v>
      </c>
      <c r="AA131" s="7">
        <v>33</v>
      </c>
      <c r="AB131" s="7">
        <v>30</v>
      </c>
      <c r="AC131" s="7">
        <v>47</v>
      </c>
      <c r="AD131" s="7">
        <v>44</v>
      </c>
      <c r="AE131" s="7">
        <v>39</v>
      </c>
      <c r="AF131" s="8"/>
      <c r="AG131" s="4">
        <f t="shared" si="19"/>
        <v>1241</v>
      </c>
    </row>
    <row r="132" spans="1:35" ht="18.75" x14ac:dyDescent="0.25">
      <c r="A132" s="43" t="s">
        <v>23</v>
      </c>
      <c r="B132" s="7">
        <v>4</v>
      </c>
      <c r="C132" s="7"/>
      <c r="D132" s="7">
        <v>1</v>
      </c>
      <c r="E132" s="7">
        <v>10</v>
      </c>
      <c r="F132" s="7">
        <v>8</v>
      </c>
      <c r="G132" s="7">
        <v>8</v>
      </c>
      <c r="H132" s="7">
        <v>6</v>
      </c>
      <c r="I132" s="7">
        <v>5</v>
      </c>
      <c r="J132" s="7">
        <v>9</v>
      </c>
      <c r="K132" s="7">
        <v>7</v>
      </c>
      <c r="L132" s="7">
        <v>6</v>
      </c>
      <c r="M132" s="7">
        <v>4</v>
      </c>
      <c r="N132" s="7">
        <v>4</v>
      </c>
      <c r="O132" s="7">
        <v>8</v>
      </c>
      <c r="P132" s="7">
        <v>6</v>
      </c>
      <c r="Q132" s="7">
        <v>8</v>
      </c>
      <c r="R132" s="7">
        <v>6</v>
      </c>
      <c r="S132" s="7">
        <v>5</v>
      </c>
      <c r="T132" s="7">
        <v>2</v>
      </c>
      <c r="U132" s="7">
        <v>9</v>
      </c>
      <c r="V132" s="7">
        <v>8</v>
      </c>
      <c r="W132" s="7">
        <v>10</v>
      </c>
      <c r="X132" s="7">
        <v>10</v>
      </c>
      <c r="Y132" s="7">
        <v>6</v>
      </c>
      <c r="Z132" s="7">
        <v>7</v>
      </c>
      <c r="AA132" s="7">
        <v>3</v>
      </c>
      <c r="AB132" s="7">
        <v>3</v>
      </c>
      <c r="AC132" s="7">
        <v>9</v>
      </c>
      <c r="AD132" s="7">
        <v>4</v>
      </c>
      <c r="AE132" s="7">
        <v>4</v>
      </c>
      <c r="AF132" s="8"/>
      <c r="AG132" s="4">
        <f t="shared" si="19"/>
        <v>180</v>
      </c>
    </row>
    <row r="133" spans="1:35" ht="18.75" x14ac:dyDescent="0.25">
      <c r="A133" s="43" t="s">
        <v>24</v>
      </c>
      <c r="B133" s="7">
        <v>6</v>
      </c>
      <c r="C133" s="7">
        <v>4</v>
      </c>
      <c r="D133" s="7">
        <v>4</v>
      </c>
      <c r="E133" s="7">
        <v>4</v>
      </c>
      <c r="F133" s="7">
        <v>6</v>
      </c>
      <c r="G133" s="7">
        <v>7</v>
      </c>
      <c r="H133" s="7">
        <v>5</v>
      </c>
      <c r="I133" s="7">
        <v>7</v>
      </c>
      <c r="J133" s="7">
        <v>6</v>
      </c>
      <c r="K133" s="7">
        <v>6</v>
      </c>
      <c r="L133" s="7">
        <v>6</v>
      </c>
      <c r="M133" s="7">
        <v>14</v>
      </c>
      <c r="N133" s="7">
        <v>12</v>
      </c>
      <c r="O133" s="7">
        <v>5</v>
      </c>
      <c r="P133" s="7">
        <v>7</v>
      </c>
      <c r="Q133" s="7">
        <v>3</v>
      </c>
      <c r="R133" s="7">
        <v>3</v>
      </c>
      <c r="S133" s="7">
        <v>2</v>
      </c>
      <c r="T133" s="7">
        <v>3</v>
      </c>
      <c r="U133" s="7">
        <v>3</v>
      </c>
      <c r="V133" s="7">
        <v>4</v>
      </c>
      <c r="W133" s="7">
        <v>7</v>
      </c>
      <c r="X133" s="7">
        <v>5</v>
      </c>
      <c r="Y133" s="7">
        <v>12</v>
      </c>
      <c r="Z133" s="7">
        <v>2</v>
      </c>
      <c r="AA133" s="7">
        <v>7</v>
      </c>
      <c r="AB133" s="7">
        <v>6</v>
      </c>
      <c r="AC133" s="7">
        <v>9</v>
      </c>
      <c r="AD133" s="7">
        <v>9</v>
      </c>
      <c r="AE133" s="7">
        <v>6</v>
      </c>
      <c r="AF133" s="8"/>
      <c r="AG133" s="4">
        <f t="shared" si="19"/>
        <v>180</v>
      </c>
    </row>
    <row r="134" spans="1:35" ht="18.75" x14ac:dyDescent="0.25">
      <c r="A134" s="43" t="s">
        <v>25</v>
      </c>
      <c r="B134" s="7">
        <f>1+2+1</f>
        <v>4</v>
      </c>
      <c r="C134" s="7">
        <f>1+6</f>
        <v>7</v>
      </c>
      <c r="D134" s="7">
        <f>9+1</f>
        <v>10</v>
      </c>
      <c r="E134" s="7">
        <f>1+5</f>
        <v>6</v>
      </c>
      <c r="F134" s="7">
        <v>9</v>
      </c>
      <c r="G134" s="7">
        <v>5</v>
      </c>
      <c r="H134" s="7">
        <f>1+5</f>
        <v>6</v>
      </c>
      <c r="I134" s="7">
        <f>2+2</f>
        <v>4</v>
      </c>
      <c r="J134" s="7">
        <v>6</v>
      </c>
      <c r="K134" s="7">
        <v>7</v>
      </c>
      <c r="L134" s="7">
        <f>1+6</f>
        <v>7</v>
      </c>
      <c r="M134" s="7">
        <f>1+5+1</f>
        <v>7</v>
      </c>
      <c r="N134" s="7">
        <v>5</v>
      </c>
      <c r="O134" s="7">
        <v>6</v>
      </c>
      <c r="P134" s="7">
        <f>1+7</f>
        <v>8</v>
      </c>
      <c r="Q134" s="7">
        <v>6</v>
      </c>
      <c r="R134" s="7">
        <f>1+5</f>
        <v>6</v>
      </c>
      <c r="S134" s="7">
        <f>5+1</f>
        <v>6</v>
      </c>
      <c r="T134" s="7">
        <v>7</v>
      </c>
      <c r="U134" s="7">
        <f>1+8</f>
        <v>9</v>
      </c>
      <c r="V134" s="7">
        <v>4</v>
      </c>
      <c r="W134" s="7">
        <f>4+1</f>
        <v>5</v>
      </c>
      <c r="X134" s="7">
        <v>4</v>
      </c>
      <c r="Y134" s="7">
        <v>5</v>
      </c>
      <c r="Z134" s="7">
        <v>5</v>
      </c>
      <c r="AA134" s="7">
        <v>7</v>
      </c>
      <c r="AB134" s="7">
        <v>2</v>
      </c>
      <c r="AC134" s="7">
        <v>4</v>
      </c>
      <c r="AD134" s="7">
        <v>10</v>
      </c>
      <c r="AE134" s="7">
        <v>5</v>
      </c>
      <c r="AF134" s="8"/>
      <c r="AG134" s="4">
        <f t="shared" ref="AG134:AG197" si="21">SUM(B134:AF134)</f>
        <v>182</v>
      </c>
    </row>
    <row r="135" spans="1:35" ht="18.75" x14ac:dyDescent="0.25">
      <c r="A135" s="43" t="s">
        <v>26</v>
      </c>
      <c r="B135" s="7">
        <v>9</v>
      </c>
      <c r="C135" s="7">
        <v>1</v>
      </c>
      <c r="D135" s="7">
        <v>10</v>
      </c>
      <c r="E135" s="7">
        <v>10</v>
      </c>
      <c r="F135" s="7">
        <v>7</v>
      </c>
      <c r="G135" s="7">
        <v>5</v>
      </c>
      <c r="H135" s="7">
        <v>9</v>
      </c>
      <c r="I135" s="7">
        <v>4</v>
      </c>
      <c r="J135" s="7">
        <v>5</v>
      </c>
      <c r="K135" s="7">
        <v>2</v>
      </c>
      <c r="L135" s="7">
        <v>9</v>
      </c>
      <c r="M135" s="7">
        <v>6</v>
      </c>
      <c r="N135" s="7">
        <v>7</v>
      </c>
      <c r="O135" s="7">
        <v>6</v>
      </c>
      <c r="P135" s="7">
        <v>5</v>
      </c>
      <c r="Q135" s="7">
        <v>7</v>
      </c>
      <c r="R135" s="7">
        <v>4</v>
      </c>
      <c r="S135" s="7">
        <v>6</v>
      </c>
      <c r="T135" s="7">
        <v>6</v>
      </c>
      <c r="U135" s="7">
        <v>5</v>
      </c>
      <c r="V135" s="7">
        <v>9</v>
      </c>
      <c r="W135" s="7">
        <v>6</v>
      </c>
      <c r="X135" s="7">
        <v>8</v>
      </c>
      <c r="Y135" s="7">
        <v>8</v>
      </c>
      <c r="Z135" s="7">
        <v>7</v>
      </c>
      <c r="AA135" s="7">
        <v>5</v>
      </c>
      <c r="AB135" s="7">
        <v>12</v>
      </c>
      <c r="AC135" s="7">
        <v>6</v>
      </c>
      <c r="AD135" s="7">
        <v>4</v>
      </c>
      <c r="AE135" s="7">
        <v>4</v>
      </c>
      <c r="AF135" s="8"/>
      <c r="AG135" s="4">
        <f t="shared" si="21"/>
        <v>192</v>
      </c>
    </row>
    <row r="136" spans="1:35" ht="18.75" x14ac:dyDescent="0.25">
      <c r="A136" s="43" t="s">
        <v>27</v>
      </c>
      <c r="B136" s="7">
        <v>9</v>
      </c>
      <c r="C136" s="7">
        <v>13</v>
      </c>
      <c r="D136" s="7">
        <v>12</v>
      </c>
      <c r="E136" s="7">
        <v>15</v>
      </c>
      <c r="F136" s="7">
        <v>27</v>
      </c>
      <c r="G136" s="7">
        <v>18</v>
      </c>
      <c r="H136" s="7">
        <v>18</v>
      </c>
      <c r="I136" s="7">
        <v>17</v>
      </c>
      <c r="J136" s="7">
        <v>17</v>
      </c>
      <c r="K136" s="7">
        <v>12</v>
      </c>
      <c r="L136" s="7">
        <v>14</v>
      </c>
      <c r="M136" s="7">
        <v>14</v>
      </c>
      <c r="N136" s="7">
        <v>18</v>
      </c>
      <c r="O136" s="7">
        <v>11</v>
      </c>
      <c r="P136" s="7">
        <v>13</v>
      </c>
      <c r="Q136" s="7">
        <v>12</v>
      </c>
      <c r="R136" s="7">
        <v>7</v>
      </c>
      <c r="S136" s="7">
        <v>12</v>
      </c>
      <c r="T136" s="7">
        <v>11</v>
      </c>
      <c r="U136" s="7">
        <v>21</v>
      </c>
      <c r="V136" s="7">
        <v>20</v>
      </c>
      <c r="W136" s="7">
        <v>11</v>
      </c>
      <c r="X136" s="7">
        <v>21</v>
      </c>
      <c r="Y136" s="7">
        <v>13</v>
      </c>
      <c r="Z136" s="7">
        <v>7</v>
      </c>
      <c r="AA136" s="7">
        <v>22</v>
      </c>
      <c r="AB136" s="7">
        <v>21</v>
      </c>
      <c r="AC136" s="7">
        <v>14</v>
      </c>
      <c r="AD136" s="7">
        <v>6</v>
      </c>
      <c r="AE136" s="7">
        <v>10</v>
      </c>
      <c r="AF136" s="8"/>
      <c r="AG136" s="4">
        <f t="shared" si="21"/>
        <v>436</v>
      </c>
    </row>
    <row r="137" spans="1:35" ht="18.75" x14ac:dyDescent="0.25">
      <c r="A137" s="43" t="s">
        <v>28</v>
      </c>
      <c r="B137" s="7">
        <v>2</v>
      </c>
      <c r="C137" s="7"/>
      <c r="D137" s="7">
        <v>3</v>
      </c>
      <c r="E137" s="7">
        <v>3</v>
      </c>
      <c r="F137" s="7">
        <v>6</v>
      </c>
      <c r="G137" s="7">
        <f>5+1</f>
        <v>6</v>
      </c>
      <c r="H137" s="7">
        <f>3</f>
        <v>3</v>
      </c>
      <c r="I137" s="7">
        <v>4</v>
      </c>
      <c r="J137" s="7">
        <v>1</v>
      </c>
      <c r="K137" s="7">
        <v>6</v>
      </c>
      <c r="L137" s="7">
        <v>2</v>
      </c>
      <c r="M137" s="7">
        <v>1</v>
      </c>
      <c r="N137" s="7">
        <v>1</v>
      </c>
      <c r="O137" s="7">
        <v>1</v>
      </c>
      <c r="P137" s="7">
        <f>3+1</f>
        <v>4</v>
      </c>
      <c r="Q137" s="7">
        <v>3</v>
      </c>
      <c r="R137" s="7">
        <f>4+1</f>
        <v>5</v>
      </c>
      <c r="S137" s="7">
        <f>3+1</f>
        <v>4</v>
      </c>
      <c r="T137" s="7">
        <f>3+1</f>
        <v>4</v>
      </c>
      <c r="U137" s="7">
        <f>5+1</f>
        <v>6</v>
      </c>
      <c r="V137" s="7">
        <v>9</v>
      </c>
      <c r="W137" s="7">
        <v>4</v>
      </c>
      <c r="X137" s="7">
        <v>4</v>
      </c>
      <c r="Y137" s="7">
        <f>5+1</f>
        <v>6</v>
      </c>
      <c r="Z137" s="7"/>
      <c r="AA137" s="7">
        <v>2</v>
      </c>
      <c r="AB137" s="7">
        <v>4</v>
      </c>
      <c r="AC137" s="7">
        <f>2+2</f>
        <v>4</v>
      </c>
      <c r="AD137" s="7">
        <f>2+2</f>
        <v>4</v>
      </c>
      <c r="AE137" s="7">
        <f>4+1</f>
        <v>5</v>
      </c>
      <c r="AF137" s="8"/>
      <c r="AG137" s="4">
        <f t="shared" si="21"/>
        <v>107</v>
      </c>
    </row>
    <row r="138" spans="1:35" ht="18.75" x14ac:dyDescent="0.25">
      <c r="A138" s="43" t="s">
        <v>29</v>
      </c>
      <c r="B138" s="7">
        <v>1</v>
      </c>
      <c r="C138" s="7">
        <v>2</v>
      </c>
      <c r="D138" s="7">
        <v>1</v>
      </c>
      <c r="E138" s="7">
        <v>2</v>
      </c>
      <c r="F138" s="7">
        <v>1</v>
      </c>
      <c r="G138" s="7">
        <v>4</v>
      </c>
      <c r="H138" s="7"/>
      <c r="I138" s="7">
        <v>4</v>
      </c>
      <c r="J138" s="7">
        <v>2</v>
      </c>
      <c r="K138" s="7">
        <v>3</v>
      </c>
      <c r="L138" s="7">
        <v>2</v>
      </c>
      <c r="M138" s="7">
        <v>1</v>
      </c>
      <c r="N138" s="7"/>
      <c r="O138" s="7">
        <v>3</v>
      </c>
      <c r="P138" s="7">
        <v>3</v>
      </c>
      <c r="Q138" s="7">
        <v>4</v>
      </c>
      <c r="R138" s="7">
        <v>1</v>
      </c>
      <c r="S138" s="7">
        <v>1</v>
      </c>
      <c r="T138" s="7">
        <v>1</v>
      </c>
      <c r="U138" s="7">
        <v>2</v>
      </c>
      <c r="V138" s="7">
        <v>2</v>
      </c>
      <c r="W138" s="7">
        <v>2</v>
      </c>
      <c r="X138" s="7"/>
      <c r="Y138" s="7">
        <v>4</v>
      </c>
      <c r="Z138" s="7"/>
      <c r="AA138" s="7">
        <v>1</v>
      </c>
      <c r="AB138" s="7">
        <v>2</v>
      </c>
      <c r="AC138" s="7">
        <v>2</v>
      </c>
      <c r="AD138" s="7">
        <v>2</v>
      </c>
      <c r="AE138" s="7"/>
      <c r="AF138" s="8"/>
      <c r="AG138" s="4">
        <f t="shared" si="21"/>
        <v>53</v>
      </c>
    </row>
    <row r="139" spans="1:35" ht="18.75" x14ac:dyDescent="0.25">
      <c r="A139" s="41" t="s">
        <v>30</v>
      </c>
      <c r="B139" s="7"/>
      <c r="C139" s="7"/>
      <c r="D139" s="7">
        <v>1</v>
      </c>
      <c r="E139" s="7"/>
      <c r="F139" s="7"/>
      <c r="G139" s="7">
        <v>2</v>
      </c>
      <c r="H139" s="7">
        <v>1</v>
      </c>
      <c r="I139" s="7">
        <v>1</v>
      </c>
      <c r="J139" s="7"/>
      <c r="K139" s="7"/>
      <c r="L139" s="7">
        <v>1</v>
      </c>
      <c r="M139" s="7">
        <v>1</v>
      </c>
      <c r="N139" s="7"/>
      <c r="O139" s="7"/>
      <c r="P139" s="7"/>
      <c r="Q139" s="7"/>
      <c r="R139" s="7">
        <v>2</v>
      </c>
      <c r="S139" s="7">
        <v>2</v>
      </c>
      <c r="T139" s="7">
        <v>1</v>
      </c>
      <c r="U139" s="7">
        <v>2</v>
      </c>
      <c r="V139" s="7">
        <v>2</v>
      </c>
      <c r="W139" s="7"/>
      <c r="X139" s="7">
        <v>1</v>
      </c>
      <c r="Y139" s="7">
        <v>1</v>
      </c>
      <c r="Z139" s="7">
        <v>1</v>
      </c>
      <c r="AA139" s="7"/>
      <c r="AB139" s="7">
        <v>1</v>
      </c>
      <c r="AC139" s="7">
        <v>1</v>
      </c>
      <c r="AD139" s="7">
        <v>1</v>
      </c>
      <c r="AE139" s="7"/>
      <c r="AF139" s="8"/>
      <c r="AG139" s="4">
        <f t="shared" si="21"/>
        <v>22</v>
      </c>
    </row>
    <row r="140" spans="1:35" ht="18.75" x14ac:dyDescent="0.25">
      <c r="A140" s="41" t="s">
        <v>31</v>
      </c>
      <c r="B140" s="7">
        <v>1</v>
      </c>
      <c r="C140" s="7"/>
      <c r="D140" s="7"/>
      <c r="E140" s="7">
        <v>3</v>
      </c>
      <c r="F140" s="7">
        <v>3</v>
      </c>
      <c r="G140" s="7"/>
      <c r="H140" s="7"/>
      <c r="I140" s="7">
        <v>2</v>
      </c>
      <c r="J140" s="7">
        <v>1</v>
      </c>
      <c r="K140" s="7"/>
      <c r="L140" s="7">
        <v>1</v>
      </c>
      <c r="M140" s="7"/>
      <c r="N140" s="7"/>
      <c r="O140" s="7"/>
      <c r="P140" s="7"/>
      <c r="Q140" s="7"/>
      <c r="R140" s="7">
        <v>1</v>
      </c>
      <c r="S140" s="7">
        <v>1</v>
      </c>
      <c r="T140" s="7"/>
      <c r="U140" s="7">
        <v>1</v>
      </c>
      <c r="V140" s="7"/>
      <c r="W140" s="7"/>
      <c r="X140" s="7"/>
      <c r="Y140" s="7"/>
      <c r="Z140" s="7"/>
      <c r="AA140" s="7">
        <v>1</v>
      </c>
      <c r="AB140" s="7">
        <v>1</v>
      </c>
      <c r="AC140" s="7"/>
      <c r="AD140" s="7">
        <v>1</v>
      </c>
      <c r="AE140" s="7"/>
      <c r="AF140" s="8"/>
      <c r="AG140" s="4">
        <f t="shared" si="21"/>
        <v>17</v>
      </c>
    </row>
    <row r="141" spans="1:35" ht="18.75" x14ac:dyDescent="0.25">
      <c r="A141" s="41" t="s">
        <v>32</v>
      </c>
      <c r="B141" s="7"/>
      <c r="C141" s="7"/>
      <c r="D141" s="7">
        <v>1</v>
      </c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>
        <v>2</v>
      </c>
      <c r="X141" s="7"/>
      <c r="Y141" s="7"/>
      <c r="Z141" s="7"/>
      <c r="AA141" s="7"/>
      <c r="AB141" s="7"/>
      <c r="AC141" s="7"/>
      <c r="AD141" s="7"/>
      <c r="AE141" s="7"/>
      <c r="AF141" s="8"/>
      <c r="AG141" s="4">
        <f t="shared" si="21"/>
        <v>3</v>
      </c>
    </row>
    <row r="142" spans="1:35" ht="18.75" x14ac:dyDescent="0.25">
      <c r="A142" s="43" t="s">
        <v>60</v>
      </c>
      <c r="B142" s="7">
        <f>1+2</f>
        <v>3</v>
      </c>
      <c r="C142" s="7">
        <f>1+1+1</f>
        <v>3</v>
      </c>
      <c r="D142" s="7">
        <f>1+1+1+1</f>
        <v>4</v>
      </c>
      <c r="E142" s="7">
        <v>2</v>
      </c>
      <c r="F142" s="7">
        <f>1+1</f>
        <v>2</v>
      </c>
      <c r="G142" s="7">
        <f>1</f>
        <v>1</v>
      </c>
      <c r="H142" s="7">
        <f>1+1+1+1+1</f>
        <v>5</v>
      </c>
      <c r="I142" s="7">
        <f>1+1</f>
        <v>2</v>
      </c>
      <c r="J142" s="7">
        <f>1+1</f>
        <v>2</v>
      </c>
      <c r="K142" s="7">
        <f>4+1+1+1</f>
        <v>7</v>
      </c>
      <c r="L142" s="7">
        <f>1+1+2</f>
        <v>4</v>
      </c>
      <c r="M142" s="7">
        <f>1+1+1</f>
        <v>3</v>
      </c>
      <c r="N142" s="7">
        <f>1+1+2+1</f>
        <v>5</v>
      </c>
      <c r="O142" s="7">
        <f>1+1+1+1+2</f>
        <v>6</v>
      </c>
      <c r="P142" s="7">
        <f>1+1+1+1+1+1+1+2</f>
        <v>9</v>
      </c>
      <c r="Q142" s="7">
        <v>1</v>
      </c>
      <c r="R142" s="7">
        <f>1+1+1+1+1</f>
        <v>5</v>
      </c>
      <c r="S142" s="7">
        <f>1+1</f>
        <v>2</v>
      </c>
      <c r="T142" s="7">
        <f>1+1</f>
        <v>2</v>
      </c>
      <c r="U142" s="7">
        <f>1+1</f>
        <v>2</v>
      </c>
      <c r="V142" s="7">
        <f>1+1</f>
        <v>2</v>
      </c>
      <c r="W142" s="7">
        <f>1+1</f>
        <v>2</v>
      </c>
      <c r="X142" s="7">
        <f>1+1+1+1+1</f>
        <v>5</v>
      </c>
      <c r="Y142" s="7">
        <f>2+1+1+1+1</f>
        <v>6</v>
      </c>
      <c r="Z142" s="7">
        <f>1+1+1</f>
        <v>3</v>
      </c>
      <c r="AA142" s="7">
        <v>1</v>
      </c>
      <c r="AB142" s="7">
        <v>1</v>
      </c>
      <c r="AC142" s="7">
        <f>1+1+1+1+1</f>
        <v>5</v>
      </c>
      <c r="AD142" s="7">
        <f>3+1+1+1+1</f>
        <v>7</v>
      </c>
      <c r="AE142" s="7">
        <f>1+1</f>
        <v>2</v>
      </c>
      <c r="AF142" s="8"/>
      <c r="AG142" s="4">
        <f t="shared" si="21"/>
        <v>104</v>
      </c>
    </row>
    <row r="143" spans="1:35" ht="19.5" thickBot="1" x14ac:dyDescent="0.3">
      <c r="A143" s="75" t="s">
        <v>86</v>
      </c>
      <c r="B143" s="13">
        <f>3+16</f>
        <v>19</v>
      </c>
      <c r="C143" s="13">
        <f>2+3</f>
        <v>5</v>
      </c>
      <c r="D143" s="13">
        <f>4+6</f>
        <v>10</v>
      </c>
      <c r="E143" s="13">
        <f>4+7</f>
        <v>11</v>
      </c>
      <c r="F143" s="13">
        <f>5+1+6</f>
        <v>12</v>
      </c>
      <c r="G143" s="13">
        <f>1+4</f>
        <v>5</v>
      </c>
      <c r="H143" s="13">
        <f>6+4</f>
        <v>10</v>
      </c>
      <c r="I143" s="13">
        <f>3+6</f>
        <v>9</v>
      </c>
      <c r="J143" s="13">
        <f>4+7</f>
        <v>11</v>
      </c>
      <c r="K143" s="13">
        <f>6+11</f>
        <v>17</v>
      </c>
      <c r="L143" s="13">
        <f>9+4</f>
        <v>13</v>
      </c>
      <c r="M143" s="13">
        <f>6+7</f>
        <v>13</v>
      </c>
      <c r="N143" s="13">
        <f>5+3</f>
        <v>8</v>
      </c>
      <c r="O143" s="13">
        <f>5+9</f>
        <v>14</v>
      </c>
      <c r="P143" s="13">
        <f>5+9</f>
        <v>14</v>
      </c>
      <c r="Q143" s="13">
        <f>2+1+8</f>
        <v>11</v>
      </c>
      <c r="R143" s="13">
        <f>5+4</f>
        <v>9</v>
      </c>
      <c r="S143" s="13">
        <f>9+2</f>
        <v>11</v>
      </c>
      <c r="T143" s="13">
        <f>6+1+5</f>
        <v>12</v>
      </c>
      <c r="U143" s="13">
        <f>2+5</f>
        <v>7</v>
      </c>
      <c r="V143" s="13">
        <f>6+7</f>
        <v>13</v>
      </c>
      <c r="W143" s="13">
        <f>8+6</f>
        <v>14</v>
      </c>
      <c r="X143" s="13">
        <f>9+8</f>
        <v>17</v>
      </c>
      <c r="Y143" s="13">
        <f>7+5</f>
        <v>12</v>
      </c>
      <c r="Z143" s="13">
        <f>2+3</f>
        <v>5</v>
      </c>
      <c r="AA143" s="13">
        <f>11+6</f>
        <v>17</v>
      </c>
      <c r="AB143" s="13">
        <f>5+8</f>
        <v>13</v>
      </c>
      <c r="AC143" s="13">
        <f>10+5</f>
        <v>15</v>
      </c>
      <c r="AD143" s="13">
        <f>5+1+7</f>
        <v>13</v>
      </c>
      <c r="AE143" s="13">
        <f>7+4</f>
        <v>11</v>
      </c>
      <c r="AF143" s="14"/>
      <c r="AG143" s="108">
        <f t="shared" si="21"/>
        <v>351</v>
      </c>
    </row>
    <row r="144" spans="1:35" ht="19.5" thickBot="1" x14ac:dyDescent="0.3">
      <c r="A144" s="164" t="s">
        <v>89</v>
      </c>
      <c r="B144" s="165">
        <f t="shared" ref="B144:AD144" si="22">+B146+B156+B158+B167</f>
        <v>108</v>
      </c>
      <c r="C144" s="165">
        <f t="shared" si="22"/>
        <v>71</v>
      </c>
      <c r="D144" s="165">
        <f t="shared" si="22"/>
        <v>90</v>
      </c>
      <c r="E144" s="165">
        <f t="shared" si="22"/>
        <v>109</v>
      </c>
      <c r="F144" s="165">
        <f t="shared" si="22"/>
        <v>106</v>
      </c>
      <c r="G144" s="165">
        <f t="shared" si="22"/>
        <v>87</v>
      </c>
      <c r="H144" s="165">
        <f t="shared" si="22"/>
        <v>108</v>
      </c>
      <c r="I144" s="165">
        <f t="shared" si="22"/>
        <v>96</v>
      </c>
      <c r="J144" s="165">
        <f t="shared" si="22"/>
        <v>109</v>
      </c>
      <c r="K144" s="165">
        <f t="shared" si="22"/>
        <v>105</v>
      </c>
      <c r="L144" s="165">
        <f t="shared" si="22"/>
        <v>135</v>
      </c>
      <c r="M144" s="165">
        <f t="shared" si="22"/>
        <v>108</v>
      </c>
      <c r="N144" s="165">
        <f t="shared" si="22"/>
        <v>76</v>
      </c>
      <c r="O144" s="165">
        <f t="shared" si="22"/>
        <v>111</v>
      </c>
      <c r="P144" s="165">
        <f t="shared" si="22"/>
        <v>117</v>
      </c>
      <c r="Q144" s="165">
        <f t="shared" si="22"/>
        <v>88</v>
      </c>
      <c r="R144" s="165">
        <f t="shared" si="22"/>
        <v>76</v>
      </c>
      <c r="S144" s="165">
        <f t="shared" si="22"/>
        <v>72</v>
      </c>
      <c r="T144" s="165">
        <f t="shared" si="22"/>
        <v>85</v>
      </c>
      <c r="U144" s="165">
        <f t="shared" si="22"/>
        <v>97</v>
      </c>
      <c r="V144" s="165">
        <f t="shared" si="22"/>
        <v>144</v>
      </c>
      <c r="W144" s="165">
        <f t="shared" si="22"/>
        <v>113</v>
      </c>
      <c r="X144" s="165">
        <f t="shared" si="22"/>
        <v>143</v>
      </c>
      <c r="Y144" s="165">
        <f t="shared" si="22"/>
        <v>144</v>
      </c>
      <c r="Z144" s="165">
        <f t="shared" si="22"/>
        <v>68</v>
      </c>
      <c r="AA144" s="165">
        <f t="shared" si="22"/>
        <v>99</v>
      </c>
      <c r="AB144" s="165">
        <f t="shared" si="22"/>
        <v>96</v>
      </c>
      <c r="AC144" s="165">
        <f t="shared" si="22"/>
        <v>116</v>
      </c>
      <c r="AD144" s="165">
        <f t="shared" si="22"/>
        <v>105</v>
      </c>
      <c r="AE144" s="165">
        <f>+AE146+AE156+AE158+AE167</f>
        <v>86</v>
      </c>
      <c r="AF144" s="165">
        <f t="shared" ref="AF144" si="23">+AF146+AF156+AF158+AF167</f>
        <v>0</v>
      </c>
      <c r="AG144" s="116">
        <f t="shared" si="21"/>
        <v>3068</v>
      </c>
      <c r="AH144" s="38" t="str">
        <f>IF(AG144&lt;&gt;AG93,"*","")</f>
        <v/>
      </c>
      <c r="AI144" t="s">
        <v>140</v>
      </c>
    </row>
    <row r="145" spans="1:34" ht="19.5" thickBot="1" x14ac:dyDescent="0.3">
      <c r="A145" s="160" t="s">
        <v>98</v>
      </c>
      <c r="B145" s="161">
        <f t="shared" ref="B145:AD145" si="24">+B149+B155+B157+B172</f>
        <v>3</v>
      </c>
      <c r="C145" s="161">
        <f t="shared" si="24"/>
        <v>9</v>
      </c>
      <c r="D145" s="161">
        <f t="shared" si="24"/>
        <v>7</v>
      </c>
      <c r="E145" s="161">
        <f t="shared" si="24"/>
        <v>7</v>
      </c>
      <c r="F145" s="161">
        <f t="shared" si="24"/>
        <v>3</v>
      </c>
      <c r="G145" s="161">
        <f t="shared" si="24"/>
        <v>1</v>
      </c>
      <c r="H145" s="161">
        <f t="shared" si="24"/>
        <v>8</v>
      </c>
      <c r="I145" s="161">
        <f t="shared" si="24"/>
        <v>8</v>
      </c>
      <c r="J145" s="161">
        <f t="shared" si="24"/>
        <v>9</v>
      </c>
      <c r="K145" s="161">
        <f t="shared" si="24"/>
        <v>5</v>
      </c>
      <c r="L145" s="161">
        <f t="shared" si="24"/>
        <v>9</v>
      </c>
      <c r="M145" s="161">
        <f t="shared" si="24"/>
        <v>3</v>
      </c>
      <c r="N145" s="161">
        <f t="shared" si="24"/>
        <v>7</v>
      </c>
      <c r="O145" s="161">
        <f t="shared" si="24"/>
        <v>7</v>
      </c>
      <c r="P145" s="161">
        <f t="shared" si="24"/>
        <v>5</v>
      </c>
      <c r="Q145" s="161">
        <f t="shared" si="24"/>
        <v>3</v>
      </c>
      <c r="R145" s="161">
        <f t="shared" si="24"/>
        <v>5</v>
      </c>
      <c r="S145" s="161">
        <f t="shared" si="24"/>
        <v>0</v>
      </c>
      <c r="T145" s="161">
        <f t="shared" si="24"/>
        <v>7</v>
      </c>
      <c r="U145" s="161">
        <f t="shared" si="24"/>
        <v>2</v>
      </c>
      <c r="V145" s="161">
        <f t="shared" si="24"/>
        <v>7</v>
      </c>
      <c r="W145" s="161">
        <f t="shared" si="24"/>
        <v>7</v>
      </c>
      <c r="X145" s="161">
        <f t="shared" si="24"/>
        <v>9</v>
      </c>
      <c r="Y145" s="161">
        <f t="shared" si="24"/>
        <v>10</v>
      </c>
      <c r="Z145" s="161">
        <f t="shared" si="24"/>
        <v>1</v>
      </c>
      <c r="AA145" s="161">
        <f t="shared" si="24"/>
        <v>5</v>
      </c>
      <c r="AB145" s="161">
        <f t="shared" si="24"/>
        <v>2</v>
      </c>
      <c r="AC145" s="161">
        <f t="shared" si="24"/>
        <v>10</v>
      </c>
      <c r="AD145" s="161">
        <f t="shared" si="24"/>
        <v>3</v>
      </c>
      <c r="AE145" s="161">
        <f>+AE149+AE155+AE157+AE172</f>
        <v>5</v>
      </c>
      <c r="AF145" s="162">
        <f t="shared" ref="AF145" si="25">+AF149+AF155+AF157+AF172</f>
        <v>0</v>
      </c>
      <c r="AG145" s="163">
        <f t="shared" si="21"/>
        <v>167</v>
      </c>
      <c r="AH145" s="1"/>
    </row>
    <row r="146" spans="1:34" ht="19.5" thickBot="1" x14ac:dyDescent="0.3">
      <c r="A146" s="117" t="s">
        <v>69</v>
      </c>
      <c r="B146" s="118">
        <f t="shared" ref="B146:AG147" si="26">+B148+B154</f>
        <v>0</v>
      </c>
      <c r="C146" s="118">
        <f t="shared" si="26"/>
        <v>0</v>
      </c>
      <c r="D146" s="118">
        <f t="shared" si="26"/>
        <v>0</v>
      </c>
      <c r="E146" s="118">
        <f t="shared" si="26"/>
        <v>0</v>
      </c>
      <c r="F146" s="118">
        <f t="shared" si="26"/>
        <v>0</v>
      </c>
      <c r="G146" s="118">
        <f t="shared" si="26"/>
        <v>0</v>
      </c>
      <c r="H146" s="118">
        <f t="shared" si="26"/>
        <v>0</v>
      </c>
      <c r="I146" s="118">
        <f t="shared" si="26"/>
        <v>0</v>
      </c>
      <c r="J146" s="118">
        <f t="shared" si="26"/>
        <v>0</v>
      </c>
      <c r="K146" s="118">
        <f t="shared" si="26"/>
        <v>0</v>
      </c>
      <c r="L146" s="118">
        <f t="shared" si="26"/>
        <v>0</v>
      </c>
      <c r="M146" s="118">
        <f t="shared" si="26"/>
        <v>0</v>
      </c>
      <c r="N146" s="118">
        <f t="shared" si="26"/>
        <v>0</v>
      </c>
      <c r="O146" s="118">
        <f t="shared" si="26"/>
        <v>0</v>
      </c>
      <c r="P146" s="118">
        <f t="shared" si="26"/>
        <v>0</v>
      </c>
      <c r="Q146" s="118">
        <f t="shared" si="26"/>
        <v>0</v>
      </c>
      <c r="R146" s="118">
        <f t="shared" si="26"/>
        <v>0</v>
      </c>
      <c r="S146" s="118">
        <f t="shared" si="26"/>
        <v>0</v>
      </c>
      <c r="T146" s="118">
        <f t="shared" si="26"/>
        <v>0</v>
      </c>
      <c r="U146" s="118">
        <f t="shared" si="26"/>
        <v>0</v>
      </c>
      <c r="V146" s="118">
        <f t="shared" si="26"/>
        <v>0</v>
      </c>
      <c r="W146" s="118">
        <f t="shared" si="26"/>
        <v>0</v>
      </c>
      <c r="X146" s="118">
        <f t="shared" si="26"/>
        <v>0</v>
      </c>
      <c r="Y146" s="118">
        <f t="shared" si="26"/>
        <v>0</v>
      </c>
      <c r="Z146" s="118">
        <f t="shared" si="26"/>
        <v>0</v>
      </c>
      <c r="AA146" s="118">
        <f t="shared" si="26"/>
        <v>0</v>
      </c>
      <c r="AB146" s="118">
        <f t="shared" si="26"/>
        <v>0</v>
      </c>
      <c r="AC146" s="118">
        <f t="shared" si="26"/>
        <v>0</v>
      </c>
      <c r="AD146" s="118">
        <f t="shared" si="26"/>
        <v>0</v>
      </c>
      <c r="AE146" s="118">
        <f t="shared" si="26"/>
        <v>0</v>
      </c>
      <c r="AF146" s="119">
        <f t="shared" si="26"/>
        <v>0</v>
      </c>
      <c r="AG146" s="120">
        <f t="shared" si="26"/>
        <v>0</v>
      </c>
    </row>
    <row r="147" spans="1:34" ht="19.5" thickBot="1" x14ac:dyDescent="0.3">
      <c r="A147" s="153" t="s">
        <v>130</v>
      </c>
      <c r="B147" s="154">
        <f t="shared" si="26"/>
        <v>0</v>
      </c>
      <c r="C147" s="154">
        <f t="shared" si="26"/>
        <v>0</v>
      </c>
      <c r="D147" s="154">
        <f t="shared" si="26"/>
        <v>0</v>
      </c>
      <c r="E147" s="154">
        <f t="shared" si="26"/>
        <v>0</v>
      </c>
      <c r="F147" s="154">
        <f t="shared" si="26"/>
        <v>0</v>
      </c>
      <c r="G147" s="154">
        <f t="shared" si="26"/>
        <v>0</v>
      </c>
      <c r="H147" s="154">
        <f t="shared" si="26"/>
        <v>0</v>
      </c>
      <c r="I147" s="154">
        <f t="shared" si="26"/>
        <v>0</v>
      </c>
      <c r="J147" s="154">
        <f t="shared" si="26"/>
        <v>0</v>
      </c>
      <c r="K147" s="154">
        <f t="shared" si="26"/>
        <v>0</v>
      </c>
      <c r="L147" s="154">
        <f t="shared" si="26"/>
        <v>0</v>
      </c>
      <c r="M147" s="154">
        <f t="shared" si="26"/>
        <v>0</v>
      </c>
      <c r="N147" s="154">
        <f t="shared" si="26"/>
        <v>0</v>
      </c>
      <c r="O147" s="154">
        <f t="shared" si="26"/>
        <v>0</v>
      </c>
      <c r="P147" s="154">
        <f t="shared" si="26"/>
        <v>0</v>
      </c>
      <c r="Q147" s="154">
        <f t="shared" si="26"/>
        <v>0</v>
      </c>
      <c r="R147" s="154">
        <f t="shared" si="26"/>
        <v>0</v>
      </c>
      <c r="S147" s="154">
        <f t="shared" si="26"/>
        <v>0</v>
      </c>
      <c r="T147" s="154">
        <f t="shared" si="26"/>
        <v>0</v>
      </c>
      <c r="U147" s="154">
        <f t="shared" si="26"/>
        <v>0</v>
      </c>
      <c r="V147" s="154">
        <f t="shared" si="26"/>
        <v>0</v>
      </c>
      <c r="W147" s="154">
        <f t="shared" si="26"/>
        <v>0</v>
      </c>
      <c r="X147" s="154">
        <f t="shared" si="26"/>
        <v>0</v>
      </c>
      <c r="Y147" s="154">
        <f t="shared" si="26"/>
        <v>0</v>
      </c>
      <c r="Z147" s="154">
        <f t="shared" si="26"/>
        <v>0</v>
      </c>
      <c r="AA147" s="154">
        <f t="shared" si="26"/>
        <v>0</v>
      </c>
      <c r="AB147" s="154">
        <f>+AB149+AB155</f>
        <v>0</v>
      </c>
      <c r="AC147" s="154">
        <f t="shared" si="26"/>
        <v>0</v>
      </c>
      <c r="AD147" s="154">
        <f t="shared" si="26"/>
        <v>0</v>
      </c>
      <c r="AE147" s="154">
        <f t="shared" si="26"/>
        <v>0</v>
      </c>
      <c r="AF147" s="155"/>
      <c r="AG147" s="156">
        <f t="shared" si="21"/>
        <v>0</v>
      </c>
    </row>
    <row r="148" spans="1:34" ht="19.5" thickBot="1" x14ac:dyDescent="0.3">
      <c r="A148" s="125" t="s">
        <v>68</v>
      </c>
      <c r="B148" s="126">
        <f>SUM(B150:B153)</f>
        <v>0</v>
      </c>
      <c r="C148" s="126">
        <f t="shared" ref="C148:AF148" si="27">SUM(C150:C153)</f>
        <v>0</v>
      </c>
      <c r="D148" s="126">
        <f t="shared" si="27"/>
        <v>0</v>
      </c>
      <c r="E148" s="126">
        <f t="shared" si="27"/>
        <v>0</v>
      </c>
      <c r="F148" s="126">
        <f t="shared" si="27"/>
        <v>0</v>
      </c>
      <c r="G148" s="126">
        <f t="shared" si="27"/>
        <v>0</v>
      </c>
      <c r="H148" s="126">
        <f t="shared" si="27"/>
        <v>0</v>
      </c>
      <c r="I148" s="126">
        <f t="shared" si="27"/>
        <v>0</v>
      </c>
      <c r="J148" s="126">
        <f t="shared" si="27"/>
        <v>0</v>
      </c>
      <c r="K148" s="126">
        <f t="shared" si="27"/>
        <v>0</v>
      </c>
      <c r="L148" s="126">
        <f t="shared" si="27"/>
        <v>0</v>
      </c>
      <c r="M148" s="126">
        <f t="shared" si="27"/>
        <v>0</v>
      </c>
      <c r="N148" s="126">
        <f t="shared" si="27"/>
        <v>0</v>
      </c>
      <c r="O148" s="126">
        <f t="shared" si="27"/>
        <v>0</v>
      </c>
      <c r="P148" s="126">
        <f t="shared" si="27"/>
        <v>0</v>
      </c>
      <c r="Q148" s="126">
        <f t="shared" si="27"/>
        <v>0</v>
      </c>
      <c r="R148" s="126">
        <f t="shared" si="27"/>
        <v>0</v>
      </c>
      <c r="S148" s="126">
        <f t="shared" si="27"/>
        <v>0</v>
      </c>
      <c r="T148" s="126">
        <f t="shared" si="27"/>
        <v>0</v>
      </c>
      <c r="U148" s="126">
        <f t="shared" si="27"/>
        <v>0</v>
      </c>
      <c r="V148" s="126">
        <f t="shared" si="27"/>
        <v>0</v>
      </c>
      <c r="W148" s="126">
        <f t="shared" si="27"/>
        <v>0</v>
      </c>
      <c r="X148" s="126">
        <f t="shared" si="27"/>
        <v>0</v>
      </c>
      <c r="Y148" s="126">
        <f t="shared" si="27"/>
        <v>0</v>
      </c>
      <c r="Z148" s="126">
        <f t="shared" si="27"/>
        <v>0</v>
      </c>
      <c r="AA148" s="126">
        <f t="shared" si="27"/>
        <v>0</v>
      </c>
      <c r="AB148" s="126">
        <f t="shared" si="27"/>
        <v>0</v>
      </c>
      <c r="AC148" s="126">
        <f t="shared" si="27"/>
        <v>0</v>
      </c>
      <c r="AD148" s="126">
        <f t="shared" si="27"/>
        <v>0</v>
      </c>
      <c r="AE148" s="126">
        <f t="shared" si="27"/>
        <v>0</v>
      </c>
      <c r="AF148" s="127">
        <f t="shared" si="27"/>
        <v>0</v>
      </c>
      <c r="AG148" s="128">
        <f t="shared" si="21"/>
        <v>0</v>
      </c>
    </row>
    <row r="149" spans="1:34" ht="19.5" thickBot="1" x14ac:dyDescent="0.3">
      <c r="A149" s="153" t="s">
        <v>131</v>
      </c>
      <c r="B149" s="154"/>
      <c r="C149" s="154"/>
      <c r="D149" s="154"/>
      <c r="E149" s="154"/>
      <c r="F149" s="154"/>
      <c r="G149" s="154"/>
      <c r="H149" s="154"/>
      <c r="I149" s="154"/>
      <c r="J149" s="154"/>
      <c r="K149" s="154"/>
      <c r="L149" s="154"/>
      <c r="M149" s="154"/>
      <c r="N149" s="154"/>
      <c r="O149" s="154"/>
      <c r="P149" s="154"/>
      <c r="Q149" s="154"/>
      <c r="R149" s="154"/>
      <c r="S149" s="154"/>
      <c r="T149" s="154"/>
      <c r="U149" s="154"/>
      <c r="V149" s="154"/>
      <c r="W149" s="154"/>
      <c r="X149" s="154"/>
      <c r="Y149" s="154"/>
      <c r="Z149" s="154"/>
      <c r="AA149" s="154"/>
      <c r="AB149" s="154"/>
      <c r="AC149" s="154"/>
      <c r="AD149" s="154"/>
      <c r="AE149" s="154"/>
      <c r="AF149" s="155"/>
      <c r="AG149" s="156">
        <f t="shared" si="21"/>
        <v>0</v>
      </c>
    </row>
    <row r="150" spans="1:34" ht="18.75" x14ac:dyDescent="0.25">
      <c r="A150" s="129" t="s">
        <v>100</v>
      </c>
      <c r="B150" s="130"/>
      <c r="C150" s="130"/>
      <c r="D150" s="130"/>
      <c r="E150" s="130"/>
      <c r="F150" s="130"/>
      <c r="G150" s="130"/>
      <c r="H150" s="130"/>
      <c r="I150" s="130"/>
      <c r="J150" s="130"/>
      <c r="K150" s="130"/>
      <c r="L150" s="130"/>
      <c r="M150" s="130"/>
      <c r="N150" s="130"/>
      <c r="O150" s="130"/>
      <c r="P150" s="130"/>
      <c r="Q150" s="130"/>
      <c r="R150" s="130"/>
      <c r="S150" s="130"/>
      <c r="T150" s="130"/>
      <c r="U150" s="130"/>
      <c r="V150" s="130"/>
      <c r="W150" s="130"/>
      <c r="X150" s="130"/>
      <c r="Y150" s="130"/>
      <c r="Z150" s="130"/>
      <c r="AA150" s="130"/>
      <c r="AB150" s="130"/>
      <c r="AC150" s="130"/>
      <c r="AD150" s="130"/>
      <c r="AE150" s="130"/>
      <c r="AF150" s="131"/>
      <c r="AG150" s="132">
        <f t="shared" si="21"/>
        <v>0</v>
      </c>
    </row>
    <row r="151" spans="1:34" ht="18.75" x14ac:dyDescent="0.25">
      <c r="A151" s="50" t="s">
        <v>101</v>
      </c>
      <c r="B151" s="29"/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  <c r="AA151" s="29"/>
      <c r="AB151" s="29"/>
      <c r="AC151" s="29"/>
      <c r="AD151" s="29"/>
      <c r="AE151" s="29"/>
      <c r="AF151" s="21"/>
      <c r="AG151" s="4">
        <f t="shared" si="21"/>
        <v>0</v>
      </c>
    </row>
    <row r="152" spans="1:34" ht="18.75" x14ac:dyDescent="0.25">
      <c r="A152" s="50" t="s">
        <v>102</v>
      </c>
      <c r="B152" s="29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  <c r="AA152" s="29"/>
      <c r="AB152" s="29"/>
      <c r="AC152" s="29"/>
      <c r="AD152" s="29"/>
      <c r="AE152" s="29"/>
      <c r="AF152" s="21"/>
      <c r="AG152" s="4">
        <f t="shared" si="21"/>
        <v>0</v>
      </c>
    </row>
    <row r="153" spans="1:34" ht="19.5" thickBot="1" x14ac:dyDescent="0.3">
      <c r="A153" s="71" t="s">
        <v>103</v>
      </c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  <c r="AA153" s="30"/>
      <c r="AB153" s="30"/>
      <c r="AC153" s="30"/>
      <c r="AD153" s="30"/>
      <c r="AE153" s="30"/>
      <c r="AF153" s="22"/>
      <c r="AG153" s="28">
        <f t="shared" si="21"/>
        <v>0</v>
      </c>
    </row>
    <row r="154" spans="1:34" ht="19.5" thickBot="1" x14ac:dyDescent="0.3">
      <c r="A154" s="125" t="s">
        <v>67</v>
      </c>
      <c r="B154" s="126"/>
      <c r="C154" s="126"/>
      <c r="D154" s="126"/>
      <c r="E154" s="126"/>
      <c r="F154" s="126"/>
      <c r="G154" s="126"/>
      <c r="H154" s="126"/>
      <c r="I154" s="126"/>
      <c r="J154" s="126"/>
      <c r="K154" s="126"/>
      <c r="L154" s="126"/>
      <c r="M154" s="126"/>
      <c r="N154" s="126"/>
      <c r="O154" s="126"/>
      <c r="P154" s="126"/>
      <c r="Q154" s="126"/>
      <c r="R154" s="126"/>
      <c r="S154" s="126"/>
      <c r="T154" s="126"/>
      <c r="U154" s="126"/>
      <c r="V154" s="126"/>
      <c r="W154" s="126"/>
      <c r="X154" s="126"/>
      <c r="Y154" s="126"/>
      <c r="Z154" s="126"/>
      <c r="AA154" s="126"/>
      <c r="AB154" s="126"/>
      <c r="AC154" s="126"/>
      <c r="AD154" s="126"/>
      <c r="AE154" s="126"/>
      <c r="AF154" s="127"/>
      <c r="AG154" s="128">
        <f t="shared" si="21"/>
        <v>0</v>
      </c>
    </row>
    <row r="155" spans="1:34" ht="19.5" thickBot="1" x14ac:dyDescent="0.3">
      <c r="A155" s="153" t="s">
        <v>132</v>
      </c>
      <c r="B155" s="154"/>
      <c r="C155" s="154"/>
      <c r="D155" s="154"/>
      <c r="E155" s="154"/>
      <c r="F155" s="154"/>
      <c r="G155" s="154"/>
      <c r="H155" s="154"/>
      <c r="I155" s="154"/>
      <c r="J155" s="154"/>
      <c r="K155" s="154"/>
      <c r="L155" s="154"/>
      <c r="M155" s="154"/>
      <c r="N155" s="154"/>
      <c r="O155" s="154"/>
      <c r="P155" s="154"/>
      <c r="Q155" s="154"/>
      <c r="R155" s="154"/>
      <c r="S155" s="154"/>
      <c r="T155" s="154"/>
      <c r="U155" s="154"/>
      <c r="V155" s="154"/>
      <c r="W155" s="154"/>
      <c r="X155" s="154"/>
      <c r="Y155" s="154"/>
      <c r="Z155" s="154"/>
      <c r="AA155" s="154"/>
      <c r="AB155" s="154"/>
      <c r="AC155" s="154"/>
      <c r="AD155" s="154"/>
      <c r="AE155" s="154"/>
      <c r="AF155" s="155"/>
      <c r="AG155" s="156">
        <f t="shared" si="21"/>
        <v>0</v>
      </c>
    </row>
    <row r="156" spans="1:34" ht="18.75" x14ac:dyDescent="0.25">
      <c r="A156" s="69" t="s">
        <v>62</v>
      </c>
      <c r="B156" s="56">
        <v>108</v>
      </c>
      <c r="C156" s="56">
        <v>71</v>
      </c>
      <c r="D156" s="56">
        <v>90</v>
      </c>
      <c r="E156" s="56">
        <v>108</v>
      </c>
      <c r="F156" s="56">
        <v>100</v>
      </c>
      <c r="G156" s="56">
        <v>85</v>
      </c>
      <c r="H156" s="56">
        <v>108</v>
      </c>
      <c r="I156" s="56">
        <v>92</v>
      </c>
      <c r="J156" s="56">
        <v>107</v>
      </c>
      <c r="K156" s="56">
        <v>103</v>
      </c>
      <c r="L156" s="56">
        <v>133</v>
      </c>
      <c r="M156" s="56">
        <v>92</v>
      </c>
      <c r="N156" s="56">
        <v>76</v>
      </c>
      <c r="O156" s="56">
        <v>109</v>
      </c>
      <c r="P156" s="56">
        <v>117</v>
      </c>
      <c r="Q156" s="56">
        <v>88</v>
      </c>
      <c r="R156" s="56">
        <v>76</v>
      </c>
      <c r="S156" s="56">
        <v>72</v>
      </c>
      <c r="T156" s="56">
        <v>83</v>
      </c>
      <c r="U156" s="56">
        <v>89</v>
      </c>
      <c r="V156" s="56">
        <v>140</v>
      </c>
      <c r="W156" s="56">
        <v>113</v>
      </c>
      <c r="X156" s="56">
        <v>143</v>
      </c>
      <c r="Y156" s="56">
        <v>144</v>
      </c>
      <c r="Z156" s="56">
        <v>68</v>
      </c>
      <c r="AA156" s="56">
        <v>98</v>
      </c>
      <c r="AB156" s="56">
        <v>95</v>
      </c>
      <c r="AC156" s="56">
        <v>116</v>
      </c>
      <c r="AD156" s="56">
        <v>103</v>
      </c>
      <c r="AE156" s="56">
        <v>85</v>
      </c>
      <c r="AF156" s="85"/>
      <c r="AG156" s="95">
        <f t="shared" si="21"/>
        <v>3012</v>
      </c>
      <c r="AH156" s="2" t="s">
        <v>84</v>
      </c>
    </row>
    <row r="157" spans="1:34" ht="19.5" thickBot="1" x14ac:dyDescent="0.3">
      <c r="A157" s="75" t="s">
        <v>1</v>
      </c>
      <c r="B157" s="13">
        <v>3</v>
      </c>
      <c r="C157" s="13">
        <v>9</v>
      </c>
      <c r="D157" s="13">
        <v>7</v>
      </c>
      <c r="E157" s="13">
        <v>7</v>
      </c>
      <c r="F157" s="13">
        <v>3</v>
      </c>
      <c r="G157" s="13">
        <v>1</v>
      </c>
      <c r="H157" s="13">
        <v>8</v>
      </c>
      <c r="I157" s="13">
        <v>8</v>
      </c>
      <c r="J157" s="13">
        <v>9</v>
      </c>
      <c r="K157" s="13">
        <v>5</v>
      </c>
      <c r="L157" s="13">
        <v>9</v>
      </c>
      <c r="M157" s="13">
        <v>2</v>
      </c>
      <c r="N157" s="13">
        <v>6</v>
      </c>
      <c r="O157" s="13">
        <v>7</v>
      </c>
      <c r="P157" s="13">
        <v>5</v>
      </c>
      <c r="Q157" s="13">
        <v>3</v>
      </c>
      <c r="R157" s="13">
        <v>5</v>
      </c>
      <c r="S157" s="13">
        <v>0</v>
      </c>
      <c r="T157" s="13">
        <v>7</v>
      </c>
      <c r="U157" s="13">
        <v>2</v>
      </c>
      <c r="V157" s="13">
        <v>7</v>
      </c>
      <c r="W157" s="13">
        <v>7</v>
      </c>
      <c r="X157" s="13">
        <v>9</v>
      </c>
      <c r="Y157" s="13">
        <v>10</v>
      </c>
      <c r="Z157" s="13">
        <v>1</v>
      </c>
      <c r="AA157" s="13">
        <v>5</v>
      </c>
      <c r="AB157" s="13">
        <v>2</v>
      </c>
      <c r="AC157" s="13">
        <v>10</v>
      </c>
      <c r="AD157" s="13">
        <v>3</v>
      </c>
      <c r="AE157" s="13">
        <v>5</v>
      </c>
      <c r="AF157" s="14"/>
      <c r="AG157" s="157">
        <f t="shared" si="21"/>
        <v>165</v>
      </c>
      <c r="AH157" s="2"/>
    </row>
    <row r="158" spans="1:34" ht="19.5" thickBot="1" x14ac:dyDescent="0.3">
      <c r="A158" s="121" t="s">
        <v>22</v>
      </c>
      <c r="B158" s="122">
        <f t="shared" ref="B158:AF158" si="28">SUM(B159:B166)</f>
        <v>0</v>
      </c>
      <c r="C158" s="122">
        <f t="shared" si="28"/>
        <v>0</v>
      </c>
      <c r="D158" s="122">
        <f t="shared" si="28"/>
        <v>0</v>
      </c>
      <c r="E158" s="122">
        <f t="shared" si="28"/>
        <v>0</v>
      </c>
      <c r="F158" s="122">
        <f t="shared" si="28"/>
        <v>0</v>
      </c>
      <c r="G158" s="122">
        <f t="shared" si="28"/>
        <v>0</v>
      </c>
      <c r="H158" s="122">
        <f t="shared" si="28"/>
        <v>0</v>
      </c>
      <c r="I158" s="122">
        <f t="shared" si="28"/>
        <v>1</v>
      </c>
      <c r="J158" s="122">
        <f t="shared" si="28"/>
        <v>0</v>
      </c>
      <c r="K158" s="122">
        <f t="shared" si="28"/>
        <v>0</v>
      </c>
      <c r="L158" s="122">
        <f t="shared" si="28"/>
        <v>0</v>
      </c>
      <c r="M158" s="122">
        <f t="shared" si="28"/>
        <v>15</v>
      </c>
      <c r="N158" s="122">
        <f t="shared" si="28"/>
        <v>0</v>
      </c>
      <c r="O158" s="122">
        <f t="shared" si="28"/>
        <v>1</v>
      </c>
      <c r="P158" s="122">
        <f t="shared" si="28"/>
        <v>0</v>
      </c>
      <c r="Q158" s="122">
        <f t="shared" si="28"/>
        <v>0</v>
      </c>
      <c r="R158" s="122">
        <f t="shared" si="28"/>
        <v>0</v>
      </c>
      <c r="S158" s="122">
        <f t="shared" si="28"/>
        <v>0</v>
      </c>
      <c r="T158" s="122">
        <f t="shared" si="28"/>
        <v>1</v>
      </c>
      <c r="U158" s="122">
        <f t="shared" si="28"/>
        <v>7</v>
      </c>
      <c r="V158" s="122">
        <f t="shared" si="28"/>
        <v>2</v>
      </c>
      <c r="W158" s="122">
        <f t="shared" si="28"/>
        <v>0</v>
      </c>
      <c r="X158" s="122">
        <f t="shared" si="28"/>
        <v>0</v>
      </c>
      <c r="Y158" s="122">
        <f t="shared" si="28"/>
        <v>0</v>
      </c>
      <c r="Z158" s="122">
        <f t="shared" si="28"/>
        <v>0</v>
      </c>
      <c r="AA158" s="122">
        <f t="shared" si="28"/>
        <v>0</v>
      </c>
      <c r="AB158" s="122">
        <f t="shared" si="28"/>
        <v>0</v>
      </c>
      <c r="AC158" s="122">
        <f t="shared" si="28"/>
        <v>0</v>
      </c>
      <c r="AD158" s="122">
        <f t="shared" si="28"/>
        <v>1</v>
      </c>
      <c r="AE158" s="122">
        <f t="shared" si="28"/>
        <v>1</v>
      </c>
      <c r="AF158" s="123">
        <f t="shared" si="28"/>
        <v>0</v>
      </c>
      <c r="AG158" s="124">
        <f t="shared" si="21"/>
        <v>29</v>
      </c>
    </row>
    <row r="159" spans="1:34" ht="18.75" x14ac:dyDescent="0.25">
      <c r="A159" s="129" t="s">
        <v>23</v>
      </c>
      <c r="B159" s="130"/>
      <c r="C159" s="130"/>
      <c r="D159" s="130"/>
      <c r="E159" s="130"/>
      <c r="F159" s="130"/>
      <c r="G159" s="130"/>
      <c r="H159" s="130"/>
      <c r="I159" s="130"/>
      <c r="J159" s="130"/>
      <c r="K159" s="130"/>
      <c r="L159" s="130"/>
      <c r="M159" s="130">
        <v>2</v>
      </c>
      <c r="N159" s="130"/>
      <c r="O159" s="130"/>
      <c r="P159" s="130"/>
      <c r="Q159" s="130"/>
      <c r="R159" s="130"/>
      <c r="S159" s="130"/>
      <c r="T159" s="130"/>
      <c r="U159" s="130">
        <v>1</v>
      </c>
      <c r="V159" s="130"/>
      <c r="W159" s="130"/>
      <c r="X159" s="130"/>
      <c r="Y159" s="130"/>
      <c r="Z159" s="130"/>
      <c r="AA159" s="130"/>
      <c r="AB159" s="130"/>
      <c r="AC159" s="130"/>
      <c r="AD159" s="130"/>
      <c r="AE159" s="130"/>
      <c r="AF159" s="131"/>
      <c r="AG159" s="132">
        <f t="shared" si="21"/>
        <v>3</v>
      </c>
    </row>
    <row r="160" spans="1:34" ht="18.75" x14ac:dyDescent="0.25">
      <c r="A160" s="50" t="s">
        <v>24</v>
      </c>
      <c r="B160" s="29"/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>
        <v>1</v>
      </c>
      <c r="V160" s="29">
        <v>1</v>
      </c>
      <c r="W160" s="29"/>
      <c r="X160" s="29"/>
      <c r="Y160" s="29"/>
      <c r="Z160" s="29"/>
      <c r="AA160" s="29"/>
      <c r="AB160" s="29"/>
      <c r="AC160" s="29"/>
      <c r="AD160" s="29"/>
      <c r="AE160" s="29"/>
      <c r="AF160" s="21"/>
      <c r="AG160" s="4">
        <f t="shared" si="21"/>
        <v>2</v>
      </c>
    </row>
    <row r="161" spans="1:34" ht="18.75" x14ac:dyDescent="0.25">
      <c r="A161" s="50" t="s">
        <v>59</v>
      </c>
      <c r="B161" s="29"/>
      <c r="C161" s="29"/>
      <c r="D161" s="29"/>
      <c r="E161" s="29"/>
      <c r="F161" s="29"/>
      <c r="G161" s="29"/>
      <c r="H161" s="29"/>
      <c r="I161" s="29">
        <v>1</v>
      </c>
      <c r="J161" s="29"/>
      <c r="K161" s="29"/>
      <c r="L161" s="29"/>
      <c r="M161" s="29">
        <v>7</v>
      </c>
      <c r="N161" s="29"/>
      <c r="O161" s="29"/>
      <c r="P161" s="29"/>
      <c r="Q161" s="29"/>
      <c r="R161" s="29"/>
      <c r="S161" s="29"/>
      <c r="T161" s="29"/>
      <c r="U161" s="29">
        <v>2</v>
      </c>
      <c r="V161" s="29">
        <v>1</v>
      </c>
      <c r="W161" s="29"/>
      <c r="X161" s="29"/>
      <c r="Y161" s="29"/>
      <c r="Z161" s="29"/>
      <c r="AA161" s="29"/>
      <c r="AB161" s="29"/>
      <c r="AC161" s="29"/>
      <c r="AD161" s="29"/>
      <c r="AE161" s="29"/>
      <c r="AF161" s="21"/>
      <c r="AG161" s="4">
        <f t="shared" si="21"/>
        <v>11</v>
      </c>
    </row>
    <row r="162" spans="1:34" ht="18.75" x14ac:dyDescent="0.25">
      <c r="A162" s="50" t="s">
        <v>25</v>
      </c>
      <c r="B162" s="29"/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>
        <v>2</v>
      </c>
      <c r="N162" s="29"/>
      <c r="O162" s="29"/>
      <c r="P162" s="29"/>
      <c r="Q162" s="29"/>
      <c r="R162" s="29"/>
      <c r="S162" s="29"/>
      <c r="T162" s="29"/>
      <c r="U162" s="29">
        <v>1</v>
      </c>
      <c r="V162" s="29"/>
      <c r="W162" s="29"/>
      <c r="X162" s="29"/>
      <c r="Y162" s="29"/>
      <c r="Z162" s="29"/>
      <c r="AA162" s="29"/>
      <c r="AB162" s="29"/>
      <c r="AC162" s="29"/>
      <c r="AD162" s="29">
        <v>1</v>
      </c>
      <c r="AE162" s="29">
        <v>1</v>
      </c>
      <c r="AF162" s="21"/>
      <c r="AG162" s="4">
        <f t="shared" si="21"/>
        <v>5</v>
      </c>
    </row>
    <row r="163" spans="1:34" ht="18.75" x14ac:dyDescent="0.25">
      <c r="A163" s="50" t="s">
        <v>26</v>
      </c>
      <c r="B163" s="29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  <c r="AA163" s="29"/>
      <c r="AB163" s="29"/>
      <c r="AC163" s="29"/>
      <c r="AD163" s="29"/>
      <c r="AE163" s="29"/>
      <c r="AF163" s="21"/>
      <c r="AG163" s="4">
        <f t="shared" si="21"/>
        <v>0</v>
      </c>
    </row>
    <row r="164" spans="1:34" ht="18.75" x14ac:dyDescent="0.25">
      <c r="A164" s="50" t="s">
        <v>27</v>
      </c>
      <c r="B164" s="29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>
        <v>4</v>
      </c>
      <c r="N164" s="29"/>
      <c r="O164" s="29">
        <v>1</v>
      </c>
      <c r="P164" s="29"/>
      <c r="Q164" s="29"/>
      <c r="R164" s="29"/>
      <c r="S164" s="29"/>
      <c r="T164" s="29"/>
      <c r="U164" s="29">
        <v>1</v>
      </c>
      <c r="V164" s="29"/>
      <c r="W164" s="29"/>
      <c r="X164" s="29"/>
      <c r="Y164" s="29"/>
      <c r="Z164" s="29"/>
      <c r="AA164" s="29"/>
      <c r="AB164" s="29"/>
      <c r="AC164" s="29"/>
      <c r="AD164" s="29"/>
      <c r="AE164" s="29"/>
      <c r="AF164" s="21"/>
      <c r="AG164" s="4">
        <f t="shared" si="21"/>
        <v>6</v>
      </c>
    </row>
    <row r="165" spans="1:34" ht="18.75" x14ac:dyDescent="0.25">
      <c r="A165" s="50" t="s">
        <v>28</v>
      </c>
      <c r="B165" s="29"/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>
        <v>1</v>
      </c>
      <c r="U165" s="29">
        <v>1</v>
      </c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1"/>
      <c r="AG165" s="4">
        <f t="shared" si="21"/>
        <v>2</v>
      </c>
    </row>
    <row r="166" spans="1:34" ht="19.5" thickBot="1" x14ac:dyDescent="0.3">
      <c r="A166" s="71" t="s">
        <v>29</v>
      </c>
      <c r="B166" s="30"/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  <c r="AA166" s="30"/>
      <c r="AB166" s="30"/>
      <c r="AC166" s="30"/>
      <c r="AD166" s="30"/>
      <c r="AE166" s="30"/>
      <c r="AF166" s="22"/>
      <c r="AG166" s="28">
        <f t="shared" si="21"/>
        <v>0</v>
      </c>
    </row>
    <row r="167" spans="1:34" ht="18.75" x14ac:dyDescent="0.25">
      <c r="A167" s="69" t="s">
        <v>71</v>
      </c>
      <c r="B167" s="56">
        <f t="shared" ref="B167:AF167" si="29">SUM(B168:B171)</f>
        <v>0</v>
      </c>
      <c r="C167" s="56">
        <f t="shared" si="29"/>
        <v>0</v>
      </c>
      <c r="D167" s="56">
        <f t="shared" si="29"/>
        <v>0</v>
      </c>
      <c r="E167" s="56">
        <f t="shared" si="29"/>
        <v>1</v>
      </c>
      <c r="F167" s="56">
        <f t="shared" si="29"/>
        <v>6</v>
      </c>
      <c r="G167" s="56">
        <f t="shared" si="29"/>
        <v>2</v>
      </c>
      <c r="H167" s="56">
        <f t="shared" si="29"/>
        <v>0</v>
      </c>
      <c r="I167" s="56">
        <f t="shared" si="29"/>
        <v>3</v>
      </c>
      <c r="J167" s="56">
        <f t="shared" si="29"/>
        <v>2</v>
      </c>
      <c r="K167" s="56">
        <f t="shared" si="29"/>
        <v>2</v>
      </c>
      <c r="L167" s="56">
        <f t="shared" si="29"/>
        <v>2</v>
      </c>
      <c r="M167" s="56">
        <f t="shared" si="29"/>
        <v>1</v>
      </c>
      <c r="N167" s="56">
        <f t="shared" si="29"/>
        <v>0</v>
      </c>
      <c r="O167" s="56">
        <f t="shared" si="29"/>
        <v>1</v>
      </c>
      <c r="P167" s="56">
        <f t="shared" si="29"/>
        <v>0</v>
      </c>
      <c r="Q167" s="56">
        <f t="shared" si="29"/>
        <v>0</v>
      </c>
      <c r="R167" s="56">
        <f t="shared" si="29"/>
        <v>0</v>
      </c>
      <c r="S167" s="56">
        <f t="shared" si="29"/>
        <v>0</v>
      </c>
      <c r="T167" s="56">
        <f t="shared" si="29"/>
        <v>1</v>
      </c>
      <c r="U167" s="56">
        <f t="shared" si="29"/>
        <v>1</v>
      </c>
      <c r="V167" s="56">
        <f t="shared" si="29"/>
        <v>2</v>
      </c>
      <c r="W167" s="56">
        <f t="shared" si="29"/>
        <v>0</v>
      </c>
      <c r="X167" s="56">
        <f t="shared" si="29"/>
        <v>0</v>
      </c>
      <c r="Y167" s="56">
        <f t="shared" si="29"/>
        <v>0</v>
      </c>
      <c r="Z167" s="56">
        <f t="shared" si="29"/>
        <v>0</v>
      </c>
      <c r="AA167" s="56">
        <f t="shared" si="29"/>
        <v>1</v>
      </c>
      <c r="AB167" s="56">
        <f t="shared" si="29"/>
        <v>1</v>
      </c>
      <c r="AC167" s="56">
        <f t="shared" si="29"/>
        <v>0</v>
      </c>
      <c r="AD167" s="56">
        <f t="shared" si="29"/>
        <v>1</v>
      </c>
      <c r="AE167" s="56">
        <f t="shared" si="29"/>
        <v>0</v>
      </c>
      <c r="AF167" s="85">
        <f t="shared" si="29"/>
        <v>0</v>
      </c>
      <c r="AG167" s="95">
        <f t="shared" si="21"/>
        <v>27</v>
      </c>
    </row>
    <row r="168" spans="1:34" ht="18.75" x14ac:dyDescent="0.25">
      <c r="A168" s="51" t="s">
        <v>30</v>
      </c>
      <c r="B168" s="29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>
        <v>1</v>
      </c>
      <c r="N168" s="29"/>
      <c r="O168" s="29"/>
      <c r="P168" s="29"/>
      <c r="Q168" s="29"/>
      <c r="R168" s="29"/>
      <c r="S168" s="29"/>
      <c r="T168" s="29"/>
      <c r="U168" s="29"/>
      <c r="V168" s="29">
        <v>1</v>
      </c>
      <c r="W168" s="29"/>
      <c r="X168" s="29"/>
      <c r="Y168" s="29"/>
      <c r="Z168" s="29"/>
      <c r="AA168" s="29"/>
      <c r="AB168" s="29"/>
      <c r="AC168" s="29"/>
      <c r="AD168" s="29"/>
      <c r="AE168" s="29"/>
      <c r="AF168" s="21"/>
      <c r="AG168" s="4">
        <f t="shared" si="21"/>
        <v>2</v>
      </c>
    </row>
    <row r="169" spans="1:34" ht="18.75" x14ac:dyDescent="0.25">
      <c r="A169" s="51" t="s">
        <v>31</v>
      </c>
      <c r="B169" s="29"/>
      <c r="C169" s="29"/>
      <c r="D169" s="29"/>
      <c r="E169" s="29">
        <v>1</v>
      </c>
      <c r="F169" s="29">
        <v>4</v>
      </c>
      <c r="G169" s="29">
        <v>1</v>
      </c>
      <c r="H169" s="29"/>
      <c r="I169" s="29"/>
      <c r="J169" s="29"/>
      <c r="K169" s="29"/>
      <c r="L169" s="29">
        <v>1</v>
      </c>
      <c r="M169" s="29"/>
      <c r="N169" s="29"/>
      <c r="O169" s="29"/>
      <c r="P169" s="29"/>
      <c r="Q169" s="29"/>
      <c r="R169" s="29"/>
      <c r="S169" s="29"/>
      <c r="T169" s="29"/>
      <c r="U169" s="29">
        <v>1</v>
      </c>
      <c r="V169" s="29"/>
      <c r="W169" s="29"/>
      <c r="X169" s="29"/>
      <c r="Y169" s="29"/>
      <c r="Z169" s="29"/>
      <c r="AA169" s="29">
        <v>1</v>
      </c>
      <c r="AB169" s="29"/>
      <c r="AC169" s="29"/>
      <c r="AD169" s="29">
        <v>1</v>
      </c>
      <c r="AE169" s="29"/>
      <c r="AF169" s="21"/>
      <c r="AG169" s="4">
        <f t="shared" si="21"/>
        <v>10</v>
      </c>
    </row>
    <row r="170" spans="1:34" ht="18.75" x14ac:dyDescent="0.25">
      <c r="A170" s="51" t="s">
        <v>32</v>
      </c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1"/>
      <c r="AG170" s="4">
        <f t="shared" si="21"/>
        <v>0</v>
      </c>
    </row>
    <row r="171" spans="1:34" ht="19.5" thickBot="1" x14ac:dyDescent="0.3">
      <c r="A171" s="70" t="s">
        <v>87</v>
      </c>
      <c r="B171" s="30"/>
      <c r="C171" s="30"/>
      <c r="D171" s="30"/>
      <c r="E171" s="30"/>
      <c r="F171" s="30">
        <f>1+1</f>
        <v>2</v>
      </c>
      <c r="G171" s="30">
        <v>1</v>
      </c>
      <c r="H171" s="30"/>
      <c r="I171" s="30">
        <v>3</v>
      </c>
      <c r="J171" s="30">
        <v>2</v>
      </c>
      <c r="K171" s="30">
        <f>1+1</f>
        <v>2</v>
      </c>
      <c r="L171" s="30">
        <v>1</v>
      </c>
      <c r="M171" s="30"/>
      <c r="N171" s="30"/>
      <c r="O171" s="30">
        <v>1</v>
      </c>
      <c r="P171" s="30"/>
      <c r="Q171" s="30"/>
      <c r="R171" s="30"/>
      <c r="S171" s="30"/>
      <c r="T171" s="30">
        <v>1</v>
      </c>
      <c r="U171" s="30"/>
      <c r="V171" s="30">
        <v>1</v>
      </c>
      <c r="W171" s="30"/>
      <c r="X171" s="30"/>
      <c r="Y171" s="30"/>
      <c r="Z171" s="30"/>
      <c r="AA171" s="30"/>
      <c r="AB171" s="30">
        <v>1</v>
      </c>
      <c r="AC171" s="30"/>
      <c r="AD171" s="30"/>
      <c r="AE171" s="30"/>
      <c r="AF171" s="22"/>
      <c r="AG171" s="28">
        <f t="shared" si="21"/>
        <v>15</v>
      </c>
    </row>
    <row r="172" spans="1:34" ht="19.5" thickBot="1" x14ac:dyDescent="0.3">
      <c r="A172" s="158" t="s">
        <v>128</v>
      </c>
      <c r="B172" s="151"/>
      <c r="C172" s="151"/>
      <c r="D172" s="151"/>
      <c r="E172" s="151"/>
      <c r="F172" s="151"/>
      <c r="G172" s="151"/>
      <c r="H172" s="151"/>
      <c r="I172" s="151"/>
      <c r="J172" s="151"/>
      <c r="K172" s="151"/>
      <c r="L172" s="151"/>
      <c r="M172" s="151">
        <v>1</v>
      </c>
      <c r="N172" s="151">
        <v>1</v>
      </c>
      <c r="O172" s="151"/>
      <c r="P172" s="151"/>
      <c r="Q172" s="151"/>
      <c r="R172" s="151"/>
      <c r="S172" s="151"/>
      <c r="T172" s="151"/>
      <c r="U172" s="151"/>
      <c r="V172" s="151"/>
      <c r="W172" s="151"/>
      <c r="X172" s="151"/>
      <c r="Y172" s="151"/>
      <c r="Z172" s="151"/>
      <c r="AA172" s="151"/>
      <c r="AB172" s="151"/>
      <c r="AC172" s="151"/>
      <c r="AD172" s="151"/>
      <c r="AE172" s="151"/>
      <c r="AF172" s="152"/>
      <c r="AG172" s="159">
        <f t="shared" si="21"/>
        <v>2</v>
      </c>
    </row>
    <row r="173" spans="1:34" ht="18.75" x14ac:dyDescent="0.25">
      <c r="A173" s="68" t="s">
        <v>2</v>
      </c>
      <c r="B173" s="15">
        <v>0</v>
      </c>
      <c r="C173" s="15">
        <v>0</v>
      </c>
      <c r="D173" s="15">
        <v>0</v>
      </c>
      <c r="E173" s="15">
        <v>1</v>
      </c>
      <c r="F173" s="15">
        <v>0</v>
      </c>
      <c r="G173" s="15">
        <v>0</v>
      </c>
      <c r="H173" s="15">
        <v>0</v>
      </c>
      <c r="I173" s="15">
        <v>1</v>
      </c>
      <c r="J173" s="15">
        <v>0</v>
      </c>
      <c r="K173" s="15">
        <v>1</v>
      </c>
      <c r="L173" s="15">
        <v>0</v>
      </c>
      <c r="M173" s="15">
        <v>0</v>
      </c>
      <c r="N173" s="15">
        <v>0</v>
      </c>
      <c r="O173" s="15">
        <v>0</v>
      </c>
      <c r="P173" s="15">
        <v>0</v>
      </c>
      <c r="Q173" s="15">
        <v>0</v>
      </c>
      <c r="R173" s="15">
        <v>0</v>
      </c>
      <c r="S173" s="15">
        <v>1</v>
      </c>
      <c r="T173" s="15">
        <v>0</v>
      </c>
      <c r="U173" s="15">
        <v>0</v>
      </c>
      <c r="V173" s="15">
        <v>0</v>
      </c>
      <c r="W173" s="15">
        <v>1</v>
      </c>
      <c r="X173" s="15">
        <v>1</v>
      </c>
      <c r="Y173" s="15">
        <v>1</v>
      </c>
      <c r="Z173" s="15">
        <v>0</v>
      </c>
      <c r="AA173" s="15">
        <v>2</v>
      </c>
      <c r="AB173" s="15">
        <v>0</v>
      </c>
      <c r="AC173" s="15">
        <v>0</v>
      </c>
      <c r="AD173" s="15">
        <v>0</v>
      </c>
      <c r="AE173" s="15">
        <f>1+1</f>
        <v>2</v>
      </c>
      <c r="AF173" s="23"/>
      <c r="AG173" s="5">
        <f t="shared" si="21"/>
        <v>11</v>
      </c>
      <c r="AH173" s="2" t="s">
        <v>137</v>
      </c>
    </row>
    <row r="174" spans="1:34" ht="19.5" thickBot="1" x14ac:dyDescent="0.3">
      <c r="A174" s="146" t="s">
        <v>3</v>
      </c>
      <c r="B174" s="16">
        <f>SUM(B175:B176)</f>
        <v>5</v>
      </c>
      <c r="C174" s="16">
        <f t="shared" ref="C174:AF174" si="30">SUM(C175:C176)</f>
        <v>1</v>
      </c>
      <c r="D174" s="16">
        <f t="shared" si="30"/>
        <v>4</v>
      </c>
      <c r="E174" s="16">
        <f t="shared" si="30"/>
        <v>3</v>
      </c>
      <c r="F174" s="16">
        <f t="shared" si="30"/>
        <v>3</v>
      </c>
      <c r="G174" s="16">
        <f t="shared" si="30"/>
        <v>1</v>
      </c>
      <c r="H174" s="16">
        <f t="shared" si="30"/>
        <v>2</v>
      </c>
      <c r="I174" s="16">
        <f t="shared" si="30"/>
        <v>1</v>
      </c>
      <c r="J174" s="16">
        <f t="shared" si="30"/>
        <v>1</v>
      </c>
      <c r="K174" s="16">
        <f t="shared" si="30"/>
        <v>1</v>
      </c>
      <c r="L174" s="16">
        <f t="shared" si="30"/>
        <v>2</v>
      </c>
      <c r="M174" s="16">
        <f t="shared" si="30"/>
        <v>2</v>
      </c>
      <c r="N174" s="16">
        <f t="shared" si="30"/>
        <v>3</v>
      </c>
      <c r="O174" s="16">
        <f t="shared" si="30"/>
        <v>2</v>
      </c>
      <c r="P174" s="16">
        <f t="shared" si="30"/>
        <v>4</v>
      </c>
      <c r="Q174" s="16">
        <f t="shared" si="30"/>
        <v>3</v>
      </c>
      <c r="R174" s="16">
        <f t="shared" si="30"/>
        <v>2</v>
      </c>
      <c r="S174" s="16">
        <f t="shared" si="30"/>
        <v>4</v>
      </c>
      <c r="T174" s="16">
        <f t="shared" si="30"/>
        <v>2</v>
      </c>
      <c r="U174" s="16">
        <f t="shared" si="30"/>
        <v>6</v>
      </c>
      <c r="V174" s="16">
        <f t="shared" si="30"/>
        <v>4</v>
      </c>
      <c r="W174" s="16">
        <f t="shared" si="30"/>
        <v>3</v>
      </c>
      <c r="X174" s="16">
        <f t="shared" si="30"/>
        <v>2</v>
      </c>
      <c r="Y174" s="16">
        <f t="shared" si="30"/>
        <v>1</v>
      </c>
      <c r="Z174" s="16">
        <f t="shared" si="30"/>
        <v>5</v>
      </c>
      <c r="AA174" s="16">
        <f t="shared" si="30"/>
        <v>6</v>
      </c>
      <c r="AB174" s="16">
        <f t="shared" si="30"/>
        <v>3</v>
      </c>
      <c r="AC174" s="16">
        <f t="shared" si="30"/>
        <v>2</v>
      </c>
      <c r="AD174" s="16">
        <f t="shared" si="30"/>
        <v>3</v>
      </c>
      <c r="AE174" s="16">
        <f t="shared" si="30"/>
        <v>2</v>
      </c>
      <c r="AF174" s="24">
        <f t="shared" si="30"/>
        <v>0</v>
      </c>
      <c r="AG174" s="6">
        <f t="shared" si="21"/>
        <v>83</v>
      </c>
      <c r="AH174" s="2" t="s">
        <v>138</v>
      </c>
    </row>
    <row r="175" spans="1:34" ht="18.75" x14ac:dyDescent="0.25">
      <c r="A175" s="133" t="s">
        <v>120</v>
      </c>
      <c r="B175" s="15">
        <v>0</v>
      </c>
      <c r="C175" s="15">
        <v>0</v>
      </c>
      <c r="D175" s="15">
        <v>0</v>
      </c>
      <c r="E175" s="15">
        <v>0</v>
      </c>
      <c r="F175" s="15">
        <v>0</v>
      </c>
      <c r="G175" s="15">
        <v>0</v>
      </c>
      <c r="H175" s="15">
        <v>0</v>
      </c>
      <c r="I175" s="15">
        <v>0</v>
      </c>
      <c r="J175" s="15">
        <v>0</v>
      </c>
      <c r="K175" s="15">
        <v>0</v>
      </c>
      <c r="L175" s="15">
        <v>0</v>
      </c>
      <c r="M175" s="15">
        <v>0</v>
      </c>
      <c r="N175" s="15">
        <v>0</v>
      </c>
      <c r="O175" s="15">
        <v>0</v>
      </c>
      <c r="P175" s="15">
        <v>0</v>
      </c>
      <c r="Q175" s="15">
        <v>0</v>
      </c>
      <c r="R175" s="15">
        <v>0</v>
      </c>
      <c r="S175" s="15">
        <v>0</v>
      </c>
      <c r="T175" s="15">
        <v>0</v>
      </c>
      <c r="U175" s="15">
        <v>1</v>
      </c>
      <c r="V175" s="15">
        <v>0</v>
      </c>
      <c r="W175" s="15">
        <v>0</v>
      </c>
      <c r="X175" s="15">
        <v>0</v>
      </c>
      <c r="Y175" s="15">
        <v>1</v>
      </c>
      <c r="Z175" s="15">
        <v>0</v>
      </c>
      <c r="AA175" s="15">
        <v>0</v>
      </c>
      <c r="AB175" s="15">
        <v>0</v>
      </c>
      <c r="AC175" s="15">
        <v>0</v>
      </c>
      <c r="AD175" s="15">
        <v>0</v>
      </c>
      <c r="AE175" s="15">
        <v>0</v>
      </c>
      <c r="AF175" s="23"/>
      <c r="AG175" s="5">
        <f t="shared" si="21"/>
        <v>2</v>
      </c>
      <c r="AH175" s="2" t="s">
        <v>138</v>
      </c>
    </row>
    <row r="176" spans="1:34" ht="19.5" thickBot="1" x14ac:dyDescent="0.3">
      <c r="A176" s="104" t="s">
        <v>119</v>
      </c>
      <c r="B176" s="101">
        <v>5</v>
      </c>
      <c r="C176" s="101">
        <v>1</v>
      </c>
      <c r="D176" s="101">
        <v>4</v>
      </c>
      <c r="E176" s="101">
        <v>3</v>
      </c>
      <c r="F176" s="101">
        <v>3</v>
      </c>
      <c r="G176" s="101">
        <v>1</v>
      </c>
      <c r="H176" s="101">
        <v>2</v>
      </c>
      <c r="I176" s="101">
        <v>1</v>
      </c>
      <c r="J176" s="101">
        <v>1</v>
      </c>
      <c r="K176" s="101">
        <v>1</v>
      </c>
      <c r="L176" s="101">
        <v>2</v>
      </c>
      <c r="M176" s="101">
        <v>2</v>
      </c>
      <c r="N176" s="101">
        <v>3</v>
      </c>
      <c r="O176" s="101">
        <v>2</v>
      </c>
      <c r="P176" s="101">
        <v>4</v>
      </c>
      <c r="Q176" s="101">
        <v>3</v>
      </c>
      <c r="R176" s="101">
        <v>2</v>
      </c>
      <c r="S176" s="101">
        <v>4</v>
      </c>
      <c r="T176" s="101">
        <v>2</v>
      </c>
      <c r="U176" s="101">
        <v>5</v>
      </c>
      <c r="V176" s="101">
        <v>4</v>
      </c>
      <c r="W176" s="101">
        <v>3</v>
      </c>
      <c r="X176" s="101">
        <v>2</v>
      </c>
      <c r="Y176" s="101">
        <v>0</v>
      </c>
      <c r="Z176" s="101">
        <v>5</v>
      </c>
      <c r="AA176" s="101">
        <v>6</v>
      </c>
      <c r="AB176" s="101">
        <v>3</v>
      </c>
      <c r="AC176" s="101">
        <v>2</v>
      </c>
      <c r="AD176" s="101">
        <v>3</v>
      </c>
      <c r="AE176" s="101">
        <v>2</v>
      </c>
      <c r="AF176" s="102"/>
      <c r="AG176" s="103">
        <f t="shared" si="21"/>
        <v>81</v>
      </c>
      <c r="AH176" s="2" t="s">
        <v>138</v>
      </c>
    </row>
    <row r="177" spans="1:34" ht="18.75" x14ac:dyDescent="0.25">
      <c r="A177" s="64" t="s">
        <v>105</v>
      </c>
      <c r="B177" s="65"/>
      <c r="C177" s="65"/>
      <c r="D177" s="65"/>
      <c r="E177" s="65"/>
      <c r="F177" s="65"/>
      <c r="G177" s="65"/>
      <c r="H177" s="65"/>
      <c r="I177" s="65"/>
      <c r="J177" s="65"/>
      <c r="K177" s="65"/>
      <c r="L177" s="65"/>
      <c r="M177" s="65"/>
      <c r="N177" s="65"/>
      <c r="O177" s="65"/>
      <c r="P177" s="65"/>
      <c r="Q177" s="65"/>
      <c r="R177" s="65"/>
      <c r="S177" s="65"/>
      <c r="T177" s="65"/>
      <c r="U177" s="65"/>
      <c r="V177" s="65"/>
      <c r="W177" s="65"/>
      <c r="X177" s="65"/>
      <c r="Y177" s="65"/>
      <c r="Z177" s="65"/>
      <c r="AA177" s="65"/>
      <c r="AB177" s="65"/>
      <c r="AC177" s="65"/>
      <c r="AD177" s="65"/>
      <c r="AE177" s="65"/>
      <c r="AF177" s="86"/>
      <c r="AG177" s="96">
        <f t="shared" si="21"/>
        <v>0</v>
      </c>
    </row>
    <row r="178" spans="1:34" ht="19.5" thickBot="1" x14ac:dyDescent="0.3">
      <c r="A178" s="66" t="s">
        <v>104</v>
      </c>
      <c r="B178" s="67"/>
      <c r="C178" s="67"/>
      <c r="D178" s="67"/>
      <c r="E178" s="67"/>
      <c r="F178" s="67"/>
      <c r="G178" s="67"/>
      <c r="H178" s="67"/>
      <c r="I178" s="67"/>
      <c r="J178" s="67"/>
      <c r="K178" s="67"/>
      <c r="L178" s="67"/>
      <c r="M178" s="67"/>
      <c r="N178" s="67"/>
      <c r="O178" s="67"/>
      <c r="P178" s="67"/>
      <c r="Q178" s="67"/>
      <c r="R178" s="67"/>
      <c r="S178" s="67"/>
      <c r="T178" s="67"/>
      <c r="U178" s="67"/>
      <c r="V178" s="67"/>
      <c r="W178" s="67"/>
      <c r="X178" s="67"/>
      <c r="Y178" s="67"/>
      <c r="Z178" s="67"/>
      <c r="AA178" s="67"/>
      <c r="AB178" s="67"/>
      <c r="AC178" s="67"/>
      <c r="AD178" s="67"/>
      <c r="AE178" s="67"/>
      <c r="AF178" s="87"/>
      <c r="AG178" s="32">
        <f t="shared" si="21"/>
        <v>0</v>
      </c>
    </row>
    <row r="179" spans="1:34" ht="19.5" thickBot="1" x14ac:dyDescent="0.3">
      <c r="A179" s="219" t="s">
        <v>149</v>
      </c>
      <c r="B179" s="220">
        <f t="shared" ref="B179:AF179" si="31">SUM(B180:B205)</f>
        <v>45</v>
      </c>
      <c r="C179" s="220">
        <f t="shared" si="31"/>
        <v>19</v>
      </c>
      <c r="D179" s="220">
        <f t="shared" si="31"/>
        <v>33</v>
      </c>
      <c r="E179" s="220">
        <f t="shared" si="31"/>
        <v>34</v>
      </c>
      <c r="F179" s="220">
        <f t="shared" si="31"/>
        <v>54</v>
      </c>
      <c r="G179" s="220">
        <f t="shared" si="31"/>
        <v>23</v>
      </c>
      <c r="H179" s="220">
        <f t="shared" si="31"/>
        <v>44</v>
      </c>
      <c r="I179" s="220">
        <f t="shared" si="31"/>
        <v>37</v>
      </c>
      <c r="J179" s="220">
        <f t="shared" si="31"/>
        <v>47</v>
      </c>
      <c r="K179" s="220">
        <f t="shared" si="31"/>
        <v>30</v>
      </c>
      <c r="L179" s="220">
        <f t="shared" si="31"/>
        <v>30</v>
      </c>
      <c r="M179" s="220">
        <f t="shared" si="31"/>
        <v>41</v>
      </c>
      <c r="N179" s="220">
        <f t="shared" si="31"/>
        <v>24</v>
      </c>
      <c r="O179" s="220">
        <f t="shared" si="31"/>
        <v>28</v>
      </c>
      <c r="P179" s="220">
        <f t="shared" si="31"/>
        <v>19</v>
      </c>
      <c r="Q179" s="220">
        <f t="shared" si="31"/>
        <v>27</v>
      </c>
      <c r="R179" s="220">
        <f t="shared" si="31"/>
        <v>34</v>
      </c>
      <c r="S179" s="220">
        <f t="shared" si="31"/>
        <v>24</v>
      </c>
      <c r="T179" s="220">
        <f t="shared" si="31"/>
        <v>38</v>
      </c>
      <c r="U179" s="220">
        <f t="shared" si="31"/>
        <v>40</v>
      </c>
      <c r="V179" s="220">
        <f t="shared" si="31"/>
        <v>38</v>
      </c>
      <c r="W179" s="220">
        <f t="shared" si="31"/>
        <v>28</v>
      </c>
      <c r="X179" s="220">
        <f t="shared" si="31"/>
        <v>45</v>
      </c>
      <c r="Y179" s="220">
        <f t="shared" si="31"/>
        <v>51</v>
      </c>
      <c r="Z179" s="220">
        <f t="shared" si="31"/>
        <v>25</v>
      </c>
      <c r="AA179" s="220">
        <f t="shared" si="31"/>
        <v>37</v>
      </c>
      <c r="AB179" s="220">
        <f t="shared" si="31"/>
        <v>28</v>
      </c>
      <c r="AC179" s="220">
        <f t="shared" si="31"/>
        <v>33</v>
      </c>
      <c r="AD179" s="220">
        <f t="shared" si="31"/>
        <v>35</v>
      </c>
      <c r="AE179" s="220">
        <f t="shared" si="31"/>
        <v>25</v>
      </c>
      <c r="AF179" s="221">
        <f t="shared" si="31"/>
        <v>0</v>
      </c>
      <c r="AG179" s="156">
        <f t="shared" si="21"/>
        <v>1016</v>
      </c>
      <c r="AH179" s="38"/>
    </row>
    <row r="180" spans="1:34" ht="18.75" x14ac:dyDescent="0.25">
      <c r="A180" s="109" t="s">
        <v>4</v>
      </c>
      <c r="B180" s="216">
        <v>9</v>
      </c>
      <c r="C180" s="216">
        <v>4</v>
      </c>
      <c r="D180" s="216">
        <v>5</v>
      </c>
      <c r="E180" s="216">
        <v>5</v>
      </c>
      <c r="F180" s="216">
        <v>12</v>
      </c>
      <c r="G180" s="216">
        <v>5</v>
      </c>
      <c r="H180" s="216">
        <v>5</v>
      </c>
      <c r="I180" s="216">
        <v>3</v>
      </c>
      <c r="J180" s="216">
        <v>12</v>
      </c>
      <c r="K180" s="216">
        <v>4</v>
      </c>
      <c r="L180" s="216">
        <v>6</v>
      </c>
      <c r="M180" s="216">
        <v>2</v>
      </c>
      <c r="N180" s="217">
        <v>6</v>
      </c>
      <c r="O180" s="217">
        <v>8</v>
      </c>
      <c r="P180" s="217">
        <v>6</v>
      </c>
      <c r="Q180" s="217">
        <v>7</v>
      </c>
      <c r="R180" s="217">
        <v>8</v>
      </c>
      <c r="S180" s="217">
        <v>9</v>
      </c>
      <c r="T180" s="217">
        <v>11</v>
      </c>
      <c r="U180" s="217">
        <v>13</v>
      </c>
      <c r="V180" s="217">
        <v>7</v>
      </c>
      <c r="W180" s="217">
        <v>3</v>
      </c>
      <c r="X180" s="217">
        <v>4</v>
      </c>
      <c r="Y180" s="217">
        <v>5</v>
      </c>
      <c r="Z180" s="217">
        <v>5</v>
      </c>
      <c r="AA180" s="217">
        <v>7</v>
      </c>
      <c r="AB180" s="217">
        <v>5</v>
      </c>
      <c r="AC180" s="217">
        <v>7</v>
      </c>
      <c r="AD180" s="217">
        <v>7</v>
      </c>
      <c r="AE180" s="217">
        <v>6</v>
      </c>
      <c r="AF180" s="218"/>
      <c r="AG180" s="31">
        <f t="shared" si="21"/>
        <v>196</v>
      </c>
    </row>
    <row r="181" spans="1:34" ht="18.75" x14ac:dyDescent="0.25">
      <c r="A181" s="109" t="s">
        <v>122</v>
      </c>
      <c r="B181" s="147"/>
      <c r="C181" s="147"/>
      <c r="D181" s="147"/>
      <c r="E181" s="147"/>
      <c r="F181" s="147"/>
      <c r="G181" s="147"/>
      <c r="H181" s="147"/>
      <c r="I181" s="147"/>
      <c r="J181" s="147"/>
      <c r="K181" s="147"/>
      <c r="L181" s="147"/>
      <c r="M181" s="14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  <c r="AE181" s="17"/>
      <c r="AF181" s="18"/>
      <c r="AG181" s="4">
        <f t="shared" si="21"/>
        <v>0</v>
      </c>
    </row>
    <row r="182" spans="1:34" ht="18.75" x14ac:dyDescent="0.25">
      <c r="A182" s="109" t="s">
        <v>123</v>
      </c>
      <c r="B182" s="147">
        <v>1</v>
      </c>
      <c r="C182" s="147"/>
      <c r="D182" s="147"/>
      <c r="E182" s="147">
        <v>1</v>
      </c>
      <c r="F182" s="147"/>
      <c r="G182" s="147"/>
      <c r="H182" s="147">
        <v>1</v>
      </c>
      <c r="I182" s="147"/>
      <c r="J182" s="147"/>
      <c r="K182" s="147">
        <v>2</v>
      </c>
      <c r="L182" s="147"/>
      <c r="M182" s="147"/>
      <c r="N182" s="17"/>
      <c r="O182" s="17"/>
      <c r="P182" s="17"/>
      <c r="Q182" s="17"/>
      <c r="R182" s="17">
        <v>2</v>
      </c>
      <c r="S182" s="17"/>
      <c r="T182" s="17"/>
      <c r="U182" s="17"/>
      <c r="V182" s="17"/>
      <c r="W182" s="17">
        <v>1</v>
      </c>
      <c r="X182" s="17">
        <v>2</v>
      </c>
      <c r="Y182" s="17"/>
      <c r="Z182" s="17"/>
      <c r="AA182" s="17"/>
      <c r="AB182" s="17"/>
      <c r="AC182" s="17">
        <v>1</v>
      </c>
      <c r="AD182" s="17"/>
      <c r="AE182" s="17">
        <v>1</v>
      </c>
      <c r="AF182" s="18"/>
      <c r="AG182" s="4">
        <f t="shared" si="21"/>
        <v>12</v>
      </c>
    </row>
    <row r="183" spans="1:34" ht="18.75" x14ac:dyDescent="0.25">
      <c r="A183" s="109" t="s">
        <v>614</v>
      </c>
      <c r="B183" s="147"/>
      <c r="C183" s="147"/>
      <c r="D183" s="147"/>
      <c r="E183" s="147"/>
      <c r="F183" s="147"/>
      <c r="G183" s="147"/>
      <c r="H183" s="147"/>
      <c r="I183" s="147"/>
      <c r="J183" s="147"/>
      <c r="K183" s="147"/>
      <c r="L183" s="147"/>
      <c r="M183" s="14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  <c r="AE183" s="17"/>
      <c r="AF183" s="18"/>
      <c r="AG183" s="4">
        <f t="shared" si="21"/>
        <v>0</v>
      </c>
    </row>
    <row r="184" spans="1:34" s="398" customFormat="1" ht="18.75" x14ac:dyDescent="0.25">
      <c r="A184" s="393" t="s">
        <v>621</v>
      </c>
      <c r="B184" s="394">
        <v>33</v>
      </c>
      <c r="C184" s="394">
        <v>14</v>
      </c>
      <c r="D184" s="394">
        <v>28</v>
      </c>
      <c r="E184" s="394">
        <v>26</v>
      </c>
      <c r="F184" s="394">
        <v>38</v>
      </c>
      <c r="G184" s="394">
        <v>18</v>
      </c>
      <c r="H184" s="394">
        <v>34</v>
      </c>
      <c r="I184" s="394">
        <v>33</v>
      </c>
      <c r="J184" s="394">
        <v>34</v>
      </c>
      <c r="K184" s="394">
        <v>21</v>
      </c>
      <c r="L184" s="394">
        <v>21</v>
      </c>
      <c r="M184" s="394">
        <v>39</v>
      </c>
      <c r="N184" s="395">
        <v>18</v>
      </c>
      <c r="O184" s="395">
        <v>20</v>
      </c>
      <c r="P184" s="395">
        <v>12</v>
      </c>
      <c r="Q184" s="395">
        <v>18</v>
      </c>
      <c r="R184" s="395">
        <v>19</v>
      </c>
      <c r="S184" s="395">
        <v>10</v>
      </c>
      <c r="T184" s="395">
        <v>22</v>
      </c>
      <c r="U184" s="395">
        <v>25</v>
      </c>
      <c r="V184" s="395">
        <v>30</v>
      </c>
      <c r="W184" s="395">
        <v>23</v>
      </c>
      <c r="X184" s="395">
        <v>36</v>
      </c>
      <c r="Y184" s="395">
        <v>44</v>
      </c>
      <c r="Z184" s="395">
        <v>20</v>
      </c>
      <c r="AA184" s="395">
        <v>28</v>
      </c>
      <c r="AB184" s="395">
        <v>21</v>
      </c>
      <c r="AC184" s="395">
        <v>23</v>
      </c>
      <c r="AD184" s="395">
        <v>23</v>
      </c>
      <c r="AE184" s="395">
        <v>15</v>
      </c>
      <c r="AF184" s="396"/>
      <c r="AG184" s="397">
        <f t="shared" si="21"/>
        <v>746</v>
      </c>
    </row>
    <row r="185" spans="1:34" ht="18.75" x14ac:dyDescent="0.25">
      <c r="A185" s="109" t="s">
        <v>165</v>
      </c>
      <c r="B185" s="147"/>
      <c r="C185" s="147"/>
      <c r="D185" s="147"/>
      <c r="E185" s="147"/>
      <c r="F185" s="147"/>
      <c r="G185" s="147"/>
      <c r="H185" s="147"/>
      <c r="I185" s="147"/>
      <c r="J185" s="147"/>
      <c r="K185" s="147"/>
      <c r="L185" s="147"/>
      <c r="M185" s="14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  <c r="AF185" s="18"/>
      <c r="AG185" s="4">
        <f t="shared" si="21"/>
        <v>0</v>
      </c>
    </row>
    <row r="186" spans="1:34" ht="18.75" x14ac:dyDescent="0.25">
      <c r="A186" s="109" t="s">
        <v>141</v>
      </c>
      <c r="B186" s="147"/>
      <c r="C186" s="147"/>
      <c r="D186" s="147"/>
      <c r="E186" s="147"/>
      <c r="F186" s="147"/>
      <c r="G186" s="147"/>
      <c r="H186" s="147"/>
      <c r="I186" s="147"/>
      <c r="J186" s="147"/>
      <c r="K186" s="147"/>
      <c r="L186" s="147"/>
      <c r="M186" s="14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  <c r="AF186" s="18"/>
      <c r="AG186" s="4">
        <f t="shared" si="21"/>
        <v>0</v>
      </c>
    </row>
    <row r="187" spans="1:34" ht="18.75" x14ac:dyDescent="0.25">
      <c r="A187" s="109" t="s">
        <v>613</v>
      </c>
      <c r="B187" s="147"/>
      <c r="C187" s="147"/>
      <c r="D187" s="147"/>
      <c r="E187" s="147"/>
      <c r="F187" s="147"/>
      <c r="G187" s="147"/>
      <c r="H187" s="147"/>
      <c r="I187" s="147"/>
      <c r="J187" s="147"/>
      <c r="K187" s="147"/>
      <c r="L187" s="147"/>
      <c r="M187" s="14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  <c r="AF187" s="18"/>
      <c r="AG187" s="4">
        <f t="shared" si="21"/>
        <v>0</v>
      </c>
    </row>
    <row r="188" spans="1:34" ht="18.75" x14ac:dyDescent="0.25">
      <c r="A188" s="109" t="s">
        <v>139</v>
      </c>
      <c r="B188" s="147"/>
      <c r="C188" s="147"/>
      <c r="D188" s="147"/>
      <c r="E188" s="147"/>
      <c r="F188" s="147"/>
      <c r="G188" s="147"/>
      <c r="H188" s="147"/>
      <c r="I188" s="147"/>
      <c r="J188" s="147"/>
      <c r="K188" s="147"/>
      <c r="L188" s="147"/>
      <c r="M188" s="147"/>
      <c r="N188" s="17"/>
      <c r="O188" s="17"/>
      <c r="P188" s="17"/>
      <c r="Q188" s="17"/>
      <c r="R188" s="17"/>
      <c r="S188" s="17">
        <v>1</v>
      </c>
      <c r="T188" s="17">
        <v>1</v>
      </c>
      <c r="U188" s="17"/>
      <c r="V188" s="17"/>
      <c r="W188" s="17">
        <v>1</v>
      </c>
      <c r="X188" s="17">
        <v>1</v>
      </c>
      <c r="Y188" s="17"/>
      <c r="Z188" s="17"/>
      <c r="AA188" s="17">
        <v>1</v>
      </c>
      <c r="AB188" s="17"/>
      <c r="AC188" s="17"/>
      <c r="AD188" s="17">
        <v>3</v>
      </c>
      <c r="AE188" s="17"/>
      <c r="AF188" s="18"/>
      <c r="AG188" s="4">
        <f t="shared" si="21"/>
        <v>8</v>
      </c>
    </row>
    <row r="189" spans="1:34" ht="18.75" x14ac:dyDescent="0.25">
      <c r="A189" s="110" t="s">
        <v>63</v>
      </c>
      <c r="B189" s="147"/>
      <c r="C189" s="147"/>
      <c r="D189" s="147"/>
      <c r="E189" s="147"/>
      <c r="F189" s="147"/>
      <c r="G189" s="147"/>
      <c r="H189" s="147"/>
      <c r="I189" s="147"/>
      <c r="J189" s="147"/>
      <c r="K189" s="147"/>
      <c r="L189" s="147"/>
      <c r="M189" s="14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  <c r="AE189" s="17"/>
      <c r="AF189" s="18"/>
      <c r="AG189" s="4">
        <f t="shared" si="21"/>
        <v>0</v>
      </c>
    </row>
    <row r="190" spans="1:34" ht="18.75" x14ac:dyDescent="0.25">
      <c r="A190" s="110" t="s">
        <v>142</v>
      </c>
      <c r="B190" s="147"/>
      <c r="C190" s="147"/>
      <c r="D190" s="147"/>
      <c r="E190" s="147"/>
      <c r="F190" s="147"/>
      <c r="G190" s="147"/>
      <c r="H190" s="147"/>
      <c r="I190" s="147"/>
      <c r="J190" s="147"/>
      <c r="K190" s="147"/>
      <c r="L190" s="147"/>
      <c r="M190" s="14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  <c r="AE190" s="17"/>
      <c r="AF190" s="18"/>
      <c r="AG190" s="4">
        <f t="shared" si="21"/>
        <v>0</v>
      </c>
    </row>
    <row r="191" spans="1:34" ht="18.75" x14ac:dyDescent="0.25">
      <c r="A191" s="110" t="s">
        <v>168</v>
      </c>
      <c r="B191" s="147"/>
      <c r="C191" s="147"/>
      <c r="D191" s="147"/>
      <c r="E191" s="147"/>
      <c r="F191" s="147"/>
      <c r="G191" s="147"/>
      <c r="H191" s="147"/>
      <c r="I191" s="147"/>
      <c r="J191" s="147"/>
      <c r="K191" s="147"/>
      <c r="L191" s="147"/>
      <c r="M191" s="14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  <c r="AE191" s="17"/>
      <c r="AF191" s="18"/>
      <c r="AG191" s="4">
        <f t="shared" si="21"/>
        <v>0</v>
      </c>
    </row>
    <row r="192" spans="1:34" ht="18.75" x14ac:dyDescent="0.25">
      <c r="A192" s="110" t="s">
        <v>169</v>
      </c>
      <c r="B192" s="147"/>
      <c r="C192" s="147"/>
      <c r="D192" s="147"/>
      <c r="E192" s="147"/>
      <c r="F192" s="147"/>
      <c r="G192" s="147"/>
      <c r="H192" s="147"/>
      <c r="I192" s="147"/>
      <c r="J192" s="147"/>
      <c r="K192" s="147"/>
      <c r="L192" s="147"/>
      <c r="M192" s="14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  <c r="AE192" s="17"/>
      <c r="AF192" s="18"/>
      <c r="AG192" s="4">
        <f t="shared" si="21"/>
        <v>0</v>
      </c>
    </row>
    <row r="193" spans="1:34" ht="18.75" x14ac:dyDescent="0.25">
      <c r="A193" s="236" t="s">
        <v>5</v>
      </c>
      <c r="B193" s="237">
        <v>1</v>
      </c>
      <c r="C193" s="237">
        <v>1</v>
      </c>
      <c r="D193" s="237"/>
      <c r="E193" s="237">
        <v>1</v>
      </c>
      <c r="F193" s="237">
        <v>4</v>
      </c>
      <c r="G193" s="237"/>
      <c r="H193" s="237">
        <v>1</v>
      </c>
      <c r="I193" s="237"/>
      <c r="J193" s="237">
        <v>1</v>
      </c>
      <c r="K193" s="237">
        <v>2</v>
      </c>
      <c r="L193" s="237">
        <v>3</v>
      </c>
      <c r="M193" s="237"/>
      <c r="N193" s="238"/>
      <c r="O193" s="238"/>
      <c r="P193" s="238">
        <v>1</v>
      </c>
      <c r="Q193" s="238">
        <v>1</v>
      </c>
      <c r="R193" s="238">
        <v>5</v>
      </c>
      <c r="S193" s="238">
        <v>3</v>
      </c>
      <c r="T193" s="238">
        <v>3</v>
      </c>
      <c r="U193" s="238"/>
      <c r="V193" s="238">
        <v>1</v>
      </c>
      <c r="W193" s="238"/>
      <c r="X193" s="238">
        <v>1</v>
      </c>
      <c r="Y193" s="238"/>
      <c r="Z193" s="238"/>
      <c r="AA193" s="238"/>
      <c r="AB193" s="238">
        <v>2</v>
      </c>
      <c r="AC193" s="238"/>
      <c r="AD193" s="238">
        <v>2</v>
      </c>
      <c r="AE193" s="238">
        <v>1</v>
      </c>
      <c r="AF193" s="239"/>
      <c r="AG193" s="240">
        <f t="shared" si="21"/>
        <v>34</v>
      </c>
    </row>
    <row r="194" spans="1:34" ht="18.75" x14ac:dyDescent="0.25">
      <c r="A194" s="111" t="s">
        <v>174</v>
      </c>
      <c r="B194" s="147"/>
      <c r="C194" s="147"/>
      <c r="D194" s="147"/>
      <c r="E194" s="147"/>
      <c r="F194" s="147"/>
      <c r="G194" s="147"/>
      <c r="H194" s="147"/>
      <c r="I194" s="147"/>
      <c r="J194" s="147"/>
      <c r="K194" s="147"/>
      <c r="L194" s="147"/>
      <c r="M194" s="14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  <c r="AE194" s="17"/>
      <c r="AF194" s="18"/>
      <c r="AG194" s="4">
        <f t="shared" si="21"/>
        <v>0</v>
      </c>
    </row>
    <row r="195" spans="1:34" ht="18.75" x14ac:dyDescent="0.25">
      <c r="A195" s="111" t="s">
        <v>171</v>
      </c>
      <c r="B195" s="147"/>
      <c r="C195" s="147"/>
      <c r="D195" s="147"/>
      <c r="E195" s="147"/>
      <c r="F195" s="147"/>
      <c r="G195" s="147"/>
      <c r="H195" s="147"/>
      <c r="I195" s="147"/>
      <c r="J195" s="147"/>
      <c r="K195" s="147"/>
      <c r="L195" s="147"/>
      <c r="M195" s="14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  <c r="AE195" s="17"/>
      <c r="AF195" s="18"/>
      <c r="AG195" s="4">
        <f t="shared" si="21"/>
        <v>0</v>
      </c>
    </row>
    <row r="196" spans="1:34" ht="18.75" x14ac:dyDescent="0.25">
      <c r="A196" s="111" t="s">
        <v>173</v>
      </c>
      <c r="B196" s="147"/>
      <c r="C196" s="147"/>
      <c r="D196" s="147"/>
      <c r="E196" s="147"/>
      <c r="F196" s="147"/>
      <c r="G196" s="147"/>
      <c r="H196" s="147"/>
      <c r="I196" s="147"/>
      <c r="J196" s="147"/>
      <c r="K196" s="147"/>
      <c r="L196" s="147"/>
      <c r="M196" s="14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  <c r="AE196" s="17"/>
      <c r="AF196" s="18"/>
      <c r="AG196" s="4">
        <f t="shared" si="21"/>
        <v>0</v>
      </c>
    </row>
    <row r="197" spans="1:34" ht="18.75" x14ac:dyDescent="0.25">
      <c r="A197" s="111" t="s">
        <v>88</v>
      </c>
      <c r="B197" s="147"/>
      <c r="C197" s="147"/>
      <c r="D197" s="147"/>
      <c r="E197" s="147"/>
      <c r="F197" s="147"/>
      <c r="G197" s="147"/>
      <c r="H197" s="147"/>
      <c r="I197" s="147"/>
      <c r="J197" s="147"/>
      <c r="K197" s="147"/>
      <c r="L197" s="147"/>
      <c r="M197" s="14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  <c r="AE197" s="17"/>
      <c r="AF197" s="18"/>
      <c r="AG197" s="4">
        <f t="shared" si="21"/>
        <v>0</v>
      </c>
    </row>
    <row r="198" spans="1:34" ht="18.75" x14ac:dyDescent="0.25">
      <c r="A198" s="111" t="s">
        <v>617</v>
      </c>
      <c r="B198" s="147"/>
      <c r="C198" s="147"/>
      <c r="D198" s="147"/>
      <c r="E198" s="147"/>
      <c r="F198" s="147"/>
      <c r="G198" s="147"/>
      <c r="H198" s="147"/>
      <c r="I198" s="147"/>
      <c r="J198" s="147"/>
      <c r="K198" s="147"/>
      <c r="L198" s="147"/>
      <c r="M198" s="14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  <c r="AE198" s="17"/>
      <c r="AF198" s="18"/>
      <c r="AG198" s="4">
        <f t="shared" ref="AG198:AG232" si="32">SUM(B198:AF198)</f>
        <v>0</v>
      </c>
    </row>
    <row r="199" spans="1:34" ht="18.75" x14ac:dyDescent="0.25">
      <c r="A199" s="111" t="s">
        <v>143</v>
      </c>
      <c r="B199" s="147"/>
      <c r="C199" s="147"/>
      <c r="D199" s="147"/>
      <c r="E199" s="147"/>
      <c r="F199" s="147"/>
      <c r="G199" s="147"/>
      <c r="H199" s="147"/>
      <c r="I199" s="147"/>
      <c r="J199" s="147"/>
      <c r="K199" s="147"/>
      <c r="L199" s="147"/>
      <c r="M199" s="14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>
        <v>1</v>
      </c>
      <c r="AB199" s="17"/>
      <c r="AC199" s="17"/>
      <c r="AD199" s="17"/>
      <c r="AE199" s="17"/>
      <c r="AF199" s="18"/>
      <c r="AG199" s="4">
        <f t="shared" si="32"/>
        <v>1</v>
      </c>
    </row>
    <row r="200" spans="1:34" ht="18.75" x14ac:dyDescent="0.25">
      <c r="A200" s="110" t="s">
        <v>124</v>
      </c>
      <c r="B200" s="147"/>
      <c r="C200" s="147"/>
      <c r="D200" s="147"/>
      <c r="E200" s="147"/>
      <c r="F200" s="147"/>
      <c r="G200" s="147"/>
      <c r="H200" s="147"/>
      <c r="I200" s="147"/>
      <c r="J200" s="147"/>
      <c r="K200" s="147"/>
      <c r="L200" s="147"/>
      <c r="M200" s="14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>
        <v>1</v>
      </c>
      <c r="Y200" s="17">
        <v>1</v>
      </c>
      <c r="Z200" s="17"/>
      <c r="AA200" s="17"/>
      <c r="AB200" s="17"/>
      <c r="AC200" s="17"/>
      <c r="AD200" s="17"/>
      <c r="AE200" s="17"/>
      <c r="AF200" s="18"/>
      <c r="AG200" s="4">
        <f t="shared" si="32"/>
        <v>2</v>
      </c>
    </row>
    <row r="201" spans="1:34" ht="18.75" x14ac:dyDescent="0.25">
      <c r="A201" s="110" t="s">
        <v>167</v>
      </c>
      <c r="B201" s="147"/>
      <c r="C201" s="147"/>
      <c r="D201" s="147"/>
      <c r="E201" s="147"/>
      <c r="F201" s="147"/>
      <c r="G201" s="147"/>
      <c r="H201" s="147"/>
      <c r="I201" s="147"/>
      <c r="J201" s="147"/>
      <c r="K201" s="147"/>
      <c r="L201" s="147"/>
      <c r="M201" s="14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  <c r="AD201" s="17"/>
      <c r="AE201" s="17"/>
      <c r="AF201" s="18"/>
      <c r="AG201" s="4">
        <f t="shared" si="32"/>
        <v>0</v>
      </c>
    </row>
    <row r="202" spans="1:34" ht="18.75" x14ac:dyDescent="0.25">
      <c r="A202" s="110" t="s">
        <v>125</v>
      </c>
      <c r="B202" s="147">
        <v>1</v>
      </c>
      <c r="C202" s="147"/>
      <c r="D202" s="147"/>
      <c r="E202" s="147">
        <v>1</v>
      </c>
      <c r="F202" s="147"/>
      <c r="G202" s="147"/>
      <c r="H202" s="147">
        <v>1</v>
      </c>
      <c r="I202" s="147"/>
      <c r="J202" s="147"/>
      <c r="K202" s="147"/>
      <c r="L202" s="147"/>
      <c r="M202" s="147"/>
      <c r="N202" s="17"/>
      <c r="O202" s="17"/>
      <c r="P202" s="17"/>
      <c r="Q202" s="17"/>
      <c r="R202" s="17"/>
      <c r="S202" s="17"/>
      <c r="T202" s="17">
        <v>1</v>
      </c>
      <c r="U202" s="17">
        <v>1</v>
      </c>
      <c r="V202" s="17"/>
      <c r="W202" s="17"/>
      <c r="X202" s="17"/>
      <c r="Y202" s="17"/>
      <c r="Z202" s="17"/>
      <c r="AA202" s="17"/>
      <c r="AB202" s="17"/>
      <c r="AC202" s="17">
        <v>1</v>
      </c>
      <c r="AD202" s="17"/>
      <c r="AE202" s="17"/>
      <c r="AF202" s="18"/>
      <c r="AG202" s="4">
        <f t="shared" si="32"/>
        <v>6</v>
      </c>
    </row>
    <row r="203" spans="1:34" ht="18.75" x14ac:dyDescent="0.25">
      <c r="A203" s="110" t="s">
        <v>126</v>
      </c>
      <c r="B203" s="202"/>
      <c r="C203" s="202"/>
      <c r="D203" s="202"/>
      <c r="E203" s="202"/>
      <c r="F203" s="202"/>
      <c r="G203" s="202"/>
      <c r="H203" s="202">
        <v>2</v>
      </c>
      <c r="I203" s="202">
        <v>1</v>
      </c>
      <c r="J203" s="202"/>
      <c r="K203" s="202">
        <v>1</v>
      </c>
      <c r="L203" s="202"/>
      <c r="M203" s="202"/>
      <c r="N203" s="203"/>
      <c r="O203" s="203"/>
      <c r="P203" s="203"/>
      <c r="Q203" s="203">
        <v>1</v>
      </c>
      <c r="R203" s="203"/>
      <c r="S203" s="203">
        <v>1</v>
      </c>
      <c r="T203" s="203"/>
      <c r="U203" s="203">
        <v>1</v>
      </c>
      <c r="V203" s="203"/>
      <c r="W203" s="203"/>
      <c r="X203" s="203"/>
      <c r="Y203" s="203">
        <v>1</v>
      </c>
      <c r="Z203" s="203"/>
      <c r="AA203" s="203"/>
      <c r="AB203" s="203"/>
      <c r="AC203" s="203">
        <v>1</v>
      </c>
      <c r="AD203" s="203"/>
      <c r="AE203" s="203">
        <v>2</v>
      </c>
      <c r="AF203" s="204"/>
      <c r="AG203" s="4">
        <f t="shared" si="32"/>
        <v>11</v>
      </c>
    </row>
    <row r="204" spans="1:34" ht="18.75" x14ac:dyDescent="0.25">
      <c r="A204" s="112" t="s">
        <v>170</v>
      </c>
      <c r="B204" s="202"/>
      <c r="C204" s="202"/>
      <c r="D204" s="202"/>
      <c r="E204" s="202"/>
      <c r="F204" s="202"/>
      <c r="G204" s="202"/>
      <c r="H204" s="202"/>
      <c r="I204" s="202"/>
      <c r="J204" s="202"/>
      <c r="K204" s="202"/>
      <c r="L204" s="202"/>
      <c r="M204" s="202"/>
      <c r="N204" s="203"/>
      <c r="O204" s="203"/>
      <c r="P204" s="203"/>
      <c r="Q204" s="203"/>
      <c r="R204" s="203"/>
      <c r="S204" s="203"/>
      <c r="T204" s="203"/>
      <c r="U204" s="203"/>
      <c r="V204" s="203"/>
      <c r="W204" s="203"/>
      <c r="X204" s="203"/>
      <c r="Y204" s="203"/>
      <c r="Z204" s="203"/>
      <c r="AA204" s="203"/>
      <c r="AB204" s="203"/>
      <c r="AC204" s="203"/>
      <c r="AD204" s="203"/>
      <c r="AE204" s="203"/>
      <c r="AF204" s="204"/>
      <c r="AG204" s="4">
        <f t="shared" si="32"/>
        <v>0</v>
      </c>
    </row>
    <row r="205" spans="1:34" ht="19.5" thickBot="1" x14ac:dyDescent="0.3">
      <c r="A205" s="231" t="s">
        <v>166</v>
      </c>
      <c r="B205" s="202"/>
      <c r="C205" s="202"/>
      <c r="D205" s="202"/>
      <c r="E205" s="202"/>
      <c r="F205" s="202"/>
      <c r="G205" s="202"/>
      <c r="H205" s="202"/>
      <c r="I205" s="202"/>
      <c r="J205" s="202"/>
      <c r="K205" s="202"/>
      <c r="L205" s="202"/>
      <c r="M205" s="202"/>
      <c r="N205" s="203"/>
      <c r="O205" s="203"/>
      <c r="P205" s="203"/>
      <c r="Q205" s="203"/>
      <c r="R205" s="203"/>
      <c r="S205" s="203"/>
      <c r="T205" s="203"/>
      <c r="U205" s="203"/>
      <c r="V205" s="203"/>
      <c r="W205" s="203"/>
      <c r="X205" s="203"/>
      <c r="Y205" s="203"/>
      <c r="Z205" s="203"/>
      <c r="AA205" s="203"/>
      <c r="AB205" s="203"/>
      <c r="AC205" s="203"/>
      <c r="AD205" s="203"/>
      <c r="AE205" s="203"/>
      <c r="AF205" s="204"/>
      <c r="AG205" s="28">
        <f t="shared" si="32"/>
        <v>0</v>
      </c>
    </row>
    <row r="206" spans="1:34" ht="19.5" thickBot="1" x14ac:dyDescent="0.3">
      <c r="A206" s="215" t="s">
        <v>83</v>
      </c>
      <c r="B206" s="209">
        <f>SUM(B207:B211)</f>
        <v>108</v>
      </c>
      <c r="C206" s="210">
        <f t="shared" ref="C206:AF206" si="33">SUM(C207:C211)</f>
        <v>71</v>
      </c>
      <c r="D206" s="210">
        <f t="shared" si="33"/>
        <v>90</v>
      </c>
      <c r="E206" s="210">
        <f t="shared" si="33"/>
        <v>109</v>
      </c>
      <c r="F206" s="210">
        <f t="shared" si="33"/>
        <v>106</v>
      </c>
      <c r="G206" s="210">
        <f t="shared" si="33"/>
        <v>87</v>
      </c>
      <c r="H206" s="210">
        <f t="shared" si="33"/>
        <v>108</v>
      </c>
      <c r="I206" s="210">
        <f t="shared" si="33"/>
        <v>96</v>
      </c>
      <c r="J206" s="210">
        <f t="shared" si="33"/>
        <v>109</v>
      </c>
      <c r="K206" s="210">
        <f t="shared" si="33"/>
        <v>105</v>
      </c>
      <c r="L206" s="210">
        <f t="shared" si="33"/>
        <v>135</v>
      </c>
      <c r="M206" s="210">
        <f t="shared" si="33"/>
        <v>108</v>
      </c>
      <c r="N206" s="211">
        <f t="shared" si="33"/>
        <v>76</v>
      </c>
      <c r="O206" s="211">
        <f t="shared" si="33"/>
        <v>111</v>
      </c>
      <c r="P206" s="211">
        <f t="shared" si="33"/>
        <v>117</v>
      </c>
      <c r="Q206" s="211">
        <f t="shared" si="33"/>
        <v>88</v>
      </c>
      <c r="R206" s="211">
        <f t="shared" si="33"/>
        <v>76</v>
      </c>
      <c r="S206" s="211">
        <f t="shared" si="33"/>
        <v>72</v>
      </c>
      <c r="T206" s="211">
        <f t="shared" si="33"/>
        <v>85</v>
      </c>
      <c r="U206" s="211">
        <f t="shared" si="33"/>
        <v>97</v>
      </c>
      <c r="V206" s="211">
        <f t="shared" si="33"/>
        <v>144</v>
      </c>
      <c r="W206" s="211">
        <f t="shared" si="33"/>
        <v>113</v>
      </c>
      <c r="X206" s="211">
        <f t="shared" si="33"/>
        <v>143</v>
      </c>
      <c r="Y206" s="211">
        <f t="shared" si="33"/>
        <v>144</v>
      </c>
      <c r="Z206" s="211">
        <f t="shared" si="33"/>
        <v>68</v>
      </c>
      <c r="AA206" s="211">
        <f t="shared" si="33"/>
        <v>99</v>
      </c>
      <c r="AB206" s="211">
        <f t="shared" si="33"/>
        <v>96</v>
      </c>
      <c r="AC206" s="211">
        <f t="shared" si="33"/>
        <v>116</v>
      </c>
      <c r="AD206" s="211">
        <f t="shared" si="33"/>
        <v>105</v>
      </c>
      <c r="AE206" s="211">
        <f t="shared" si="33"/>
        <v>86</v>
      </c>
      <c r="AF206" s="212">
        <f t="shared" si="33"/>
        <v>0</v>
      </c>
      <c r="AG206" s="213">
        <f t="shared" si="32"/>
        <v>3068</v>
      </c>
      <c r="AH206" s="180" t="str">
        <f>IF(AG206&lt;&gt;AG93,"X","")</f>
        <v/>
      </c>
    </row>
    <row r="207" spans="1:34" ht="18.75" x14ac:dyDescent="0.25">
      <c r="A207" s="214" t="s">
        <v>72</v>
      </c>
      <c r="B207" s="205"/>
      <c r="C207" s="205"/>
      <c r="D207" s="205"/>
      <c r="E207" s="205"/>
      <c r="F207" s="205"/>
      <c r="G207" s="205"/>
      <c r="H207" s="205"/>
      <c r="I207" s="205"/>
      <c r="J207" s="205"/>
      <c r="K207" s="205"/>
      <c r="L207" s="205"/>
      <c r="M207" s="205"/>
      <c r="N207" s="206"/>
      <c r="O207" s="206">
        <v>1</v>
      </c>
      <c r="P207" s="206"/>
      <c r="Q207" s="206"/>
      <c r="R207" s="206"/>
      <c r="S207" s="206"/>
      <c r="T207" s="206"/>
      <c r="U207" s="206">
        <v>1</v>
      </c>
      <c r="V207" s="206"/>
      <c r="W207" s="206"/>
      <c r="X207" s="206"/>
      <c r="Y207" s="206"/>
      <c r="Z207" s="206"/>
      <c r="AA207" s="206"/>
      <c r="AB207" s="206"/>
      <c r="AC207" s="206"/>
      <c r="AD207" s="206"/>
      <c r="AE207" s="206"/>
      <c r="AF207" s="207"/>
      <c r="AG207" s="208">
        <f t="shared" si="32"/>
        <v>2</v>
      </c>
    </row>
    <row r="208" spans="1:34" ht="18.75" x14ac:dyDescent="0.25">
      <c r="A208" s="52" t="s">
        <v>73</v>
      </c>
      <c r="B208" s="148"/>
      <c r="C208" s="148">
        <v>1</v>
      </c>
      <c r="D208" s="148"/>
      <c r="E208" s="148"/>
      <c r="F208" s="148"/>
      <c r="G208" s="148">
        <v>1</v>
      </c>
      <c r="H208" s="148"/>
      <c r="I208" s="148"/>
      <c r="J208" s="148">
        <v>1</v>
      </c>
      <c r="K208" s="148"/>
      <c r="L208" s="148"/>
      <c r="M208" s="148">
        <v>1</v>
      </c>
      <c r="N208" s="33">
        <v>1</v>
      </c>
      <c r="O208" s="33"/>
      <c r="P208" s="33"/>
      <c r="Q208" s="33">
        <v>1</v>
      </c>
      <c r="R208" s="33"/>
      <c r="S208" s="33">
        <v>1</v>
      </c>
      <c r="T208" s="33">
        <v>1</v>
      </c>
      <c r="U208" s="33"/>
      <c r="V208" s="33"/>
      <c r="W208" s="33"/>
      <c r="X208" s="33"/>
      <c r="Y208" s="33">
        <v>2</v>
      </c>
      <c r="Z208" s="33">
        <v>1</v>
      </c>
      <c r="AA208" s="33">
        <v>2</v>
      </c>
      <c r="AB208" s="33">
        <v>1</v>
      </c>
      <c r="AC208" s="33"/>
      <c r="AD208" s="33"/>
      <c r="AE208" s="33">
        <v>2</v>
      </c>
      <c r="AF208" s="88"/>
      <c r="AG208" s="97">
        <f t="shared" si="32"/>
        <v>16</v>
      </c>
    </row>
    <row r="209" spans="1:34" ht="18.75" x14ac:dyDescent="0.25">
      <c r="A209" s="52" t="s">
        <v>74</v>
      </c>
      <c r="B209" s="148">
        <v>11</v>
      </c>
      <c r="C209" s="148">
        <v>10</v>
      </c>
      <c r="D209" s="148">
        <v>8</v>
      </c>
      <c r="E209" s="148">
        <v>11</v>
      </c>
      <c r="F209" s="148">
        <v>19</v>
      </c>
      <c r="G209" s="148">
        <v>13</v>
      </c>
      <c r="H209" s="148">
        <v>7</v>
      </c>
      <c r="I209" s="148">
        <v>5</v>
      </c>
      <c r="J209" s="148">
        <v>17</v>
      </c>
      <c r="K209" s="148">
        <v>6</v>
      </c>
      <c r="L209" s="148">
        <v>12</v>
      </c>
      <c r="M209" s="148">
        <v>7</v>
      </c>
      <c r="N209" s="33">
        <v>10</v>
      </c>
      <c r="O209" s="33">
        <v>12</v>
      </c>
      <c r="P209" s="33">
        <v>13</v>
      </c>
      <c r="Q209" s="33">
        <v>10</v>
      </c>
      <c r="R209" s="33">
        <v>15</v>
      </c>
      <c r="S209" s="33">
        <v>14</v>
      </c>
      <c r="T209" s="33">
        <v>23</v>
      </c>
      <c r="U209" s="33">
        <v>16</v>
      </c>
      <c r="V209" s="33">
        <v>7</v>
      </c>
      <c r="W209" s="33">
        <v>7</v>
      </c>
      <c r="X209" s="33">
        <v>9</v>
      </c>
      <c r="Y209" s="33">
        <v>8</v>
      </c>
      <c r="Z209" s="33">
        <v>7</v>
      </c>
      <c r="AA209" s="33">
        <v>15</v>
      </c>
      <c r="AB209" s="33">
        <v>11</v>
      </c>
      <c r="AC209" s="33">
        <v>13</v>
      </c>
      <c r="AD209" s="33">
        <v>10</v>
      </c>
      <c r="AE209" s="33">
        <v>8</v>
      </c>
      <c r="AF209" s="88"/>
      <c r="AG209" s="97">
        <f t="shared" si="32"/>
        <v>334</v>
      </c>
    </row>
    <row r="210" spans="1:34" ht="18.75" x14ac:dyDescent="0.25">
      <c r="A210" s="52" t="s">
        <v>75</v>
      </c>
      <c r="B210" s="148">
        <v>54</v>
      </c>
      <c r="C210" s="148">
        <v>24</v>
      </c>
      <c r="D210" s="148">
        <v>32</v>
      </c>
      <c r="E210" s="148">
        <v>50</v>
      </c>
      <c r="F210" s="148">
        <v>52</v>
      </c>
      <c r="G210" s="148">
        <v>45</v>
      </c>
      <c r="H210" s="148">
        <v>50</v>
      </c>
      <c r="I210" s="148">
        <v>52</v>
      </c>
      <c r="J210" s="148">
        <v>57</v>
      </c>
      <c r="K210" s="148">
        <v>53</v>
      </c>
      <c r="L210" s="148">
        <v>81</v>
      </c>
      <c r="M210" s="148">
        <v>66</v>
      </c>
      <c r="N210" s="33">
        <v>43</v>
      </c>
      <c r="O210" s="33">
        <v>38</v>
      </c>
      <c r="P210" s="33">
        <v>43</v>
      </c>
      <c r="Q210" s="33">
        <v>46</v>
      </c>
      <c r="R210" s="33">
        <v>38</v>
      </c>
      <c r="S210" s="33">
        <v>43</v>
      </c>
      <c r="T210" s="33">
        <v>35</v>
      </c>
      <c r="U210" s="33">
        <v>51</v>
      </c>
      <c r="V210" s="33">
        <v>77</v>
      </c>
      <c r="W210" s="33">
        <v>43</v>
      </c>
      <c r="X210" s="33">
        <v>56</v>
      </c>
      <c r="Y210" s="33">
        <v>77</v>
      </c>
      <c r="Z210" s="33">
        <v>42</v>
      </c>
      <c r="AA210" s="33">
        <v>52</v>
      </c>
      <c r="AB210" s="33">
        <v>46</v>
      </c>
      <c r="AC210" s="33">
        <v>52</v>
      </c>
      <c r="AD210" s="33">
        <v>52</v>
      </c>
      <c r="AE210" s="33">
        <v>29</v>
      </c>
      <c r="AF210" s="88"/>
      <c r="AG210" s="97">
        <f t="shared" si="32"/>
        <v>1479</v>
      </c>
    </row>
    <row r="211" spans="1:34" ht="19.5" thickBot="1" x14ac:dyDescent="0.3">
      <c r="A211" s="63" t="s">
        <v>76</v>
      </c>
      <c r="B211" s="149">
        <v>43</v>
      </c>
      <c r="C211" s="149">
        <v>36</v>
      </c>
      <c r="D211" s="149">
        <v>50</v>
      </c>
      <c r="E211" s="149">
        <v>48</v>
      </c>
      <c r="F211" s="149">
        <v>35</v>
      </c>
      <c r="G211" s="149">
        <v>28</v>
      </c>
      <c r="H211" s="149">
        <v>51</v>
      </c>
      <c r="I211" s="149">
        <v>39</v>
      </c>
      <c r="J211" s="149">
        <v>34</v>
      </c>
      <c r="K211" s="149">
        <v>46</v>
      </c>
      <c r="L211" s="149">
        <v>42</v>
      </c>
      <c r="M211" s="149">
        <v>34</v>
      </c>
      <c r="N211" s="34">
        <v>22</v>
      </c>
      <c r="O211" s="34">
        <v>60</v>
      </c>
      <c r="P211" s="34">
        <v>61</v>
      </c>
      <c r="Q211" s="34">
        <v>31</v>
      </c>
      <c r="R211" s="34">
        <v>23</v>
      </c>
      <c r="S211" s="34">
        <v>14</v>
      </c>
      <c r="T211" s="34">
        <v>26</v>
      </c>
      <c r="U211" s="34">
        <v>29</v>
      </c>
      <c r="V211" s="34">
        <v>60</v>
      </c>
      <c r="W211" s="34">
        <v>63</v>
      </c>
      <c r="X211" s="34">
        <v>78</v>
      </c>
      <c r="Y211" s="34">
        <v>57</v>
      </c>
      <c r="Z211" s="34">
        <v>18</v>
      </c>
      <c r="AA211" s="34">
        <v>30</v>
      </c>
      <c r="AB211" s="34">
        <v>38</v>
      </c>
      <c r="AC211" s="34">
        <v>51</v>
      </c>
      <c r="AD211" s="34">
        <v>43</v>
      </c>
      <c r="AE211" s="34">
        <v>47</v>
      </c>
      <c r="AF211" s="89"/>
      <c r="AG211" s="35">
        <f t="shared" si="32"/>
        <v>1237</v>
      </c>
    </row>
    <row r="212" spans="1:34" ht="19.5" thickBot="1" x14ac:dyDescent="0.3">
      <c r="A212" s="121" t="s">
        <v>622</v>
      </c>
      <c r="B212" s="404">
        <v>25</v>
      </c>
      <c r="C212" s="404">
        <v>10</v>
      </c>
      <c r="D212" s="404">
        <v>21</v>
      </c>
      <c r="E212" s="404">
        <v>19</v>
      </c>
      <c r="F212" s="404">
        <v>32</v>
      </c>
      <c r="G212" s="404">
        <v>11</v>
      </c>
      <c r="H212" s="404">
        <v>22</v>
      </c>
      <c r="I212" s="404">
        <v>28</v>
      </c>
      <c r="J212" s="404">
        <v>27</v>
      </c>
      <c r="K212" s="404">
        <v>16</v>
      </c>
      <c r="L212" s="404">
        <v>16</v>
      </c>
      <c r="M212" s="404">
        <v>36</v>
      </c>
      <c r="N212" s="122">
        <v>11</v>
      </c>
      <c r="O212" s="122">
        <v>14</v>
      </c>
      <c r="P212" s="122">
        <v>10</v>
      </c>
      <c r="Q212" s="122">
        <v>16</v>
      </c>
      <c r="R212" s="122">
        <v>16</v>
      </c>
      <c r="S212" s="122">
        <v>8</v>
      </c>
      <c r="T212" s="122">
        <v>17</v>
      </c>
      <c r="U212" s="122">
        <v>23</v>
      </c>
      <c r="V212" s="122">
        <v>20</v>
      </c>
      <c r="W212" s="122">
        <v>14</v>
      </c>
      <c r="X212" s="122">
        <v>28</v>
      </c>
      <c r="Y212" s="122">
        <v>36</v>
      </c>
      <c r="Z212" s="122">
        <v>14</v>
      </c>
      <c r="AA212" s="122">
        <v>20</v>
      </c>
      <c r="AB212" s="122">
        <v>15</v>
      </c>
      <c r="AC212" s="122">
        <v>19</v>
      </c>
      <c r="AD212" s="122">
        <v>14</v>
      </c>
      <c r="AE212" s="122">
        <v>11</v>
      </c>
      <c r="AF212" s="123"/>
      <c r="AG212" s="124">
        <f t="shared" ref="AG212:AG215" si="34">SUM(B212:AF212)</f>
        <v>569</v>
      </c>
    </row>
    <row r="213" spans="1:34" ht="18.75" x14ac:dyDescent="0.25">
      <c r="A213" s="414" t="s">
        <v>624</v>
      </c>
      <c r="B213" s="415">
        <v>20</v>
      </c>
      <c r="C213" s="415">
        <v>8</v>
      </c>
      <c r="D213" s="415">
        <v>17</v>
      </c>
      <c r="E213" s="415">
        <v>10</v>
      </c>
      <c r="F213" s="415">
        <v>26</v>
      </c>
      <c r="G213" s="415">
        <v>10</v>
      </c>
      <c r="H213" s="415">
        <v>18</v>
      </c>
      <c r="I213" s="415">
        <v>26</v>
      </c>
      <c r="J213" s="415">
        <v>24</v>
      </c>
      <c r="K213" s="415">
        <v>13</v>
      </c>
      <c r="L213" s="415">
        <v>13</v>
      </c>
      <c r="M213" s="415">
        <v>32</v>
      </c>
      <c r="N213" s="416">
        <v>8</v>
      </c>
      <c r="O213" s="416">
        <v>13</v>
      </c>
      <c r="P213" s="416">
        <v>9</v>
      </c>
      <c r="Q213" s="416">
        <v>15</v>
      </c>
      <c r="R213" s="416">
        <v>10</v>
      </c>
      <c r="S213" s="416">
        <v>6</v>
      </c>
      <c r="T213" s="416">
        <v>10</v>
      </c>
      <c r="U213" s="416">
        <v>21</v>
      </c>
      <c r="V213" s="416">
        <v>18</v>
      </c>
      <c r="W213" s="416">
        <v>12</v>
      </c>
      <c r="X213" s="416">
        <v>21</v>
      </c>
      <c r="Y213" s="416">
        <v>31</v>
      </c>
      <c r="Z213" s="416">
        <v>13</v>
      </c>
      <c r="AA213" s="416">
        <v>17</v>
      </c>
      <c r="AB213" s="416">
        <v>13</v>
      </c>
      <c r="AC213" s="416">
        <v>16</v>
      </c>
      <c r="AD213" s="416">
        <v>14</v>
      </c>
      <c r="AE213" s="416">
        <v>9</v>
      </c>
      <c r="AF213" s="417"/>
      <c r="AG213" s="418">
        <f t="shared" si="34"/>
        <v>473</v>
      </c>
    </row>
    <row r="214" spans="1:34" ht="18.75" x14ac:dyDescent="0.25">
      <c r="A214" s="419" t="s">
        <v>626</v>
      </c>
      <c r="B214" s="420"/>
      <c r="C214" s="420"/>
      <c r="D214" s="420"/>
      <c r="E214" s="420"/>
      <c r="F214" s="420"/>
      <c r="G214" s="420"/>
      <c r="H214" s="420"/>
      <c r="I214" s="420"/>
      <c r="J214" s="420"/>
      <c r="K214" s="420"/>
      <c r="L214" s="420"/>
      <c r="M214" s="420"/>
      <c r="N214" s="421"/>
      <c r="O214" s="421"/>
      <c r="P214" s="421"/>
      <c r="Q214" s="421"/>
      <c r="R214" s="421"/>
      <c r="S214" s="421"/>
      <c r="T214" s="421"/>
      <c r="U214" s="421"/>
      <c r="V214" s="421"/>
      <c r="W214" s="421"/>
      <c r="X214" s="421"/>
      <c r="Y214" s="421"/>
      <c r="Z214" s="421"/>
      <c r="AA214" s="421">
        <v>1</v>
      </c>
      <c r="AB214" s="421"/>
      <c r="AC214" s="421"/>
      <c r="AD214" s="421"/>
      <c r="AE214" s="421"/>
      <c r="AF214" s="422"/>
      <c r="AG214" s="397">
        <f t="shared" si="34"/>
        <v>1</v>
      </c>
    </row>
    <row r="215" spans="1:34" ht="18.75" x14ac:dyDescent="0.25">
      <c r="A215" s="423" t="s">
        <v>627</v>
      </c>
      <c r="B215" s="420"/>
      <c r="C215" s="420"/>
      <c r="D215" s="420"/>
      <c r="E215" s="420"/>
      <c r="F215" s="420"/>
      <c r="G215" s="420"/>
      <c r="H215" s="420"/>
      <c r="I215" s="420"/>
      <c r="J215" s="420"/>
      <c r="K215" s="420">
        <v>1</v>
      </c>
      <c r="L215" s="420"/>
      <c r="M215" s="420"/>
      <c r="N215" s="421"/>
      <c r="O215" s="421"/>
      <c r="P215" s="421"/>
      <c r="Q215" s="421"/>
      <c r="R215" s="421"/>
      <c r="S215" s="421"/>
      <c r="T215" s="421"/>
      <c r="U215" s="421"/>
      <c r="V215" s="421"/>
      <c r="W215" s="421"/>
      <c r="X215" s="421"/>
      <c r="Y215" s="421"/>
      <c r="Z215" s="421"/>
      <c r="AA215" s="421"/>
      <c r="AB215" s="421"/>
      <c r="AC215" s="421"/>
      <c r="AD215" s="421"/>
      <c r="AE215" s="421"/>
      <c r="AF215" s="422"/>
      <c r="AG215" s="397">
        <f t="shared" si="34"/>
        <v>1</v>
      </c>
    </row>
    <row r="216" spans="1:34" ht="19.5" thickBot="1" x14ac:dyDescent="0.3">
      <c r="A216" s="424" t="s">
        <v>623</v>
      </c>
      <c r="B216" s="412">
        <v>5</v>
      </c>
      <c r="C216" s="412">
        <v>2</v>
      </c>
      <c r="D216" s="412">
        <v>4</v>
      </c>
      <c r="E216" s="412">
        <v>9</v>
      </c>
      <c r="F216" s="412">
        <v>6</v>
      </c>
      <c r="G216" s="412">
        <v>1</v>
      </c>
      <c r="H216" s="412">
        <v>4</v>
      </c>
      <c r="I216" s="412">
        <v>2</v>
      </c>
      <c r="J216" s="412">
        <v>3</v>
      </c>
      <c r="K216" s="412">
        <v>2</v>
      </c>
      <c r="L216" s="412">
        <v>3</v>
      </c>
      <c r="M216" s="412">
        <v>4</v>
      </c>
      <c r="N216" s="425">
        <v>3</v>
      </c>
      <c r="O216" s="425">
        <v>1</v>
      </c>
      <c r="P216" s="425">
        <v>1</v>
      </c>
      <c r="Q216" s="425">
        <v>1</v>
      </c>
      <c r="R216" s="425">
        <v>6</v>
      </c>
      <c r="S216" s="425">
        <v>2</v>
      </c>
      <c r="T216" s="425">
        <v>7</v>
      </c>
      <c r="U216" s="425">
        <v>2</v>
      </c>
      <c r="V216" s="425">
        <v>2</v>
      </c>
      <c r="W216" s="425">
        <v>2</v>
      </c>
      <c r="X216" s="425">
        <v>7</v>
      </c>
      <c r="Y216" s="425">
        <v>5</v>
      </c>
      <c r="Z216" s="425">
        <v>1</v>
      </c>
      <c r="AA216" s="425">
        <v>2</v>
      </c>
      <c r="AB216" s="425">
        <v>2</v>
      </c>
      <c r="AC216" s="425">
        <v>3</v>
      </c>
      <c r="AD216" s="425"/>
      <c r="AE216" s="425">
        <v>2</v>
      </c>
      <c r="AF216" s="426"/>
      <c r="AG216" s="397">
        <f>SUM(B216:AF216)</f>
        <v>94</v>
      </c>
    </row>
    <row r="217" spans="1:34" ht="18.75" x14ac:dyDescent="0.25">
      <c r="A217" s="69" t="s">
        <v>628</v>
      </c>
      <c r="B217" s="407">
        <v>25</v>
      </c>
      <c r="C217" s="407">
        <v>10</v>
      </c>
      <c r="D217" s="407">
        <v>21</v>
      </c>
      <c r="E217" s="407">
        <v>19</v>
      </c>
      <c r="F217" s="407">
        <v>32</v>
      </c>
      <c r="G217" s="407">
        <v>10</v>
      </c>
      <c r="H217" s="407">
        <v>21</v>
      </c>
      <c r="I217" s="407">
        <v>28</v>
      </c>
      <c r="J217" s="407">
        <v>27</v>
      </c>
      <c r="K217" s="407">
        <v>16</v>
      </c>
      <c r="L217" s="407">
        <v>15</v>
      </c>
      <c r="M217" s="407">
        <v>36</v>
      </c>
      <c r="N217" s="56">
        <v>11</v>
      </c>
      <c r="O217" s="56">
        <v>14</v>
      </c>
      <c r="P217" s="56">
        <v>10</v>
      </c>
      <c r="Q217" s="56">
        <v>16</v>
      </c>
      <c r="R217" s="56">
        <v>16</v>
      </c>
      <c r="S217" s="56">
        <v>8</v>
      </c>
      <c r="T217" s="56">
        <v>17</v>
      </c>
      <c r="U217" s="56">
        <v>22</v>
      </c>
      <c r="V217" s="56">
        <v>20</v>
      </c>
      <c r="W217" s="56">
        <v>14</v>
      </c>
      <c r="X217" s="56">
        <v>28</v>
      </c>
      <c r="Y217" s="56">
        <v>36</v>
      </c>
      <c r="Z217" s="56">
        <v>14</v>
      </c>
      <c r="AA217" s="56">
        <v>20</v>
      </c>
      <c r="AB217" s="56">
        <v>15</v>
      </c>
      <c r="AC217" s="56">
        <v>19</v>
      </c>
      <c r="AD217" s="56">
        <v>13</v>
      </c>
      <c r="AE217" s="56">
        <v>11</v>
      </c>
      <c r="AF217" s="85"/>
      <c r="AG217" s="95">
        <f>SUM(B217:AF217)</f>
        <v>564</v>
      </c>
    </row>
    <row r="218" spans="1:34" ht="19.5" thickBot="1" x14ac:dyDescent="0.3">
      <c r="A218" s="424" t="s">
        <v>629</v>
      </c>
      <c r="B218" s="412">
        <f>+B212-B217</f>
        <v>0</v>
      </c>
      <c r="C218" s="412">
        <f t="shared" ref="C218:AF218" si="35">+C212-C217</f>
        <v>0</v>
      </c>
      <c r="D218" s="412">
        <f t="shared" si="35"/>
        <v>0</v>
      </c>
      <c r="E218" s="412">
        <f t="shared" si="35"/>
        <v>0</v>
      </c>
      <c r="F218" s="412">
        <f t="shared" si="35"/>
        <v>0</v>
      </c>
      <c r="G218" s="412">
        <f t="shared" si="35"/>
        <v>1</v>
      </c>
      <c r="H218" s="412">
        <f t="shared" si="35"/>
        <v>1</v>
      </c>
      <c r="I218" s="412">
        <f t="shared" si="35"/>
        <v>0</v>
      </c>
      <c r="J218" s="412">
        <f t="shared" si="35"/>
        <v>0</v>
      </c>
      <c r="K218" s="412">
        <f t="shared" si="35"/>
        <v>0</v>
      </c>
      <c r="L218" s="412">
        <f t="shared" si="35"/>
        <v>1</v>
      </c>
      <c r="M218" s="412">
        <f t="shared" si="35"/>
        <v>0</v>
      </c>
      <c r="N218" s="425">
        <f t="shared" si="35"/>
        <v>0</v>
      </c>
      <c r="O218" s="425">
        <f t="shared" si="35"/>
        <v>0</v>
      </c>
      <c r="P218" s="425">
        <f t="shared" si="35"/>
        <v>0</v>
      </c>
      <c r="Q218" s="425">
        <f t="shared" si="35"/>
        <v>0</v>
      </c>
      <c r="R218" s="425">
        <f t="shared" si="35"/>
        <v>0</v>
      </c>
      <c r="S218" s="425">
        <f t="shared" si="35"/>
        <v>0</v>
      </c>
      <c r="T218" s="425">
        <f t="shared" si="35"/>
        <v>0</v>
      </c>
      <c r="U218" s="425">
        <f t="shared" si="35"/>
        <v>1</v>
      </c>
      <c r="V218" s="425">
        <f t="shared" si="35"/>
        <v>0</v>
      </c>
      <c r="W218" s="425">
        <f t="shared" si="35"/>
        <v>0</v>
      </c>
      <c r="X218" s="425">
        <f t="shared" si="35"/>
        <v>0</v>
      </c>
      <c r="Y218" s="425">
        <f t="shared" si="35"/>
        <v>0</v>
      </c>
      <c r="Z218" s="425">
        <f t="shared" si="35"/>
        <v>0</v>
      </c>
      <c r="AA218" s="425">
        <f t="shared" si="35"/>
        <v>0</v>
      </c>
      <c r="AB218" s="425">
        <f t="shared" si="35"/>
        <v>0</v>
      </c>
      <c r="AC218" s="425">
        <f t="shared" si="35"/>
        <v>0</v>
      </c>
      <c r="AD218" s="425">
        <f t="shared" si="35"/>
        <v>1</v>
      </c>
      <c r="AE218" s="425">
        <f t="shared" si="35"/>
        <v>0</v>
      </c>
      <c r="AF218" s="428">
        <f t="shared" si="35"/>
        <v>0</v>
      </c>
      <c r="AG218" s="413">
        <f>SUM(B218:AF218)</f>
        <v>5</v>
      </c>
    </row>
    <row r="219" spans="1:34" ht="19.5" thickBot="1" x14ac:dyDescent="0.3">
      <c r="A219" s="60" t="s">
        <v>64</v>
      </c>
      <c r="B219" s="61"/>
      <c r="C219" s="61"/>
      <c r="D219" s="61"/>
      <c r="E219" s="61"/>
      <c r="F219" s="61"/>
      <c r="G219" s="61"/>
      <c r="H219" s="61"/>
      <c r="I219" s="61"/>
      <c r="J219" s="61"/>
      <c r="K219" s="61"/>
      <c r="L219" s="61"/>
      <c r="M219" s="61"/>
      <c r="N219" s="61"/>
      <c r="O219" s="61"/>
      <c r="P219" s="61"/>
      <c r="Q219" s="61"/>
      <c r="R219" s="61"/>
      <c r="S219" s="61"/>
      <c r="T219" s="61"/>
      <c r="U219" s="61"/>
      <c r="V219" s="61"/>
      <c r="W219" s="61"/>
      <c r="X219" s="61"/>
      <c r="Y219" s="61"/>
      <c r="Z219" s="61"/>
      <c r="AA219" s="61"/>
      <c r="AB219" s="61"/>
      <c r="AC219" s="61"/>
      <c r="AD219" s="61"/>
      <c r="AE219" s="61"/>
      <c r="AF219" s="90"/>
      <c r="AG219" s="98"/>
    </row>
    <row r="220" spans="1:34" ht="18.75" x14ac:dyDescent="0.25">
      <c r="A220" s="43" t="s">
        <v>77</v>
      </c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  <c r="AC220" s="19"/>
      <c r="AD220" s="19"/>
      <c r="AE220" s="19"/>
      <c r="AF220" s="25"/>
      <c r="AG220" s="99">
        <f t="shared" si="32"/>
        <v>0</v>
      </c>
      <c r="AH220" s="437" t="s">
        <v>85</v>
      </c>
    </row>
    <row r="221" spans="1:34" ht="18.75" x14ac:dyDescent="0.25">
      <c r="A221" s="53" t="s">
        <v>110</v>
      </c>
      <c r="B221" s="39"/>
      <c r="C221" s="39"/>
      <c r="D221" s="39"/>
      <c r="E221" s="39"/>
      <c r="F221" s="39"/>
      <c r="G221" s="39"/>
      <c r="H221" s="39"/>
      <c r="I221" s="39"/>
      <c r="J221" s="39"/>
      <c r="K221" s="39"/>
      <c r="L221" s="39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  <c r="Y221" s="39"/>
      <c r="Z221" s="39"/>
      <c r="AA221" s="39"/>
      <c r="AB221" s="39"/>
      <c r="AC221" s="39"/>
      <c r="AD221" s="39"/>
      <c r="AE221" s="39"/>
      <c r="AF221" s="91"/>
      <c r="AG221" s="100">
        <f t="shared" si="32"/>
        <v>0</v>
      </c>
      <c r="AH221" s="438"/>
    </row>
    <row r="222" spans="1:34" ht="18.75" x14ac:dyDescent="0.25">
      <c r="A222" s="53" t="s">
        <v>111</v>
      </c>
      <c r="B222" s="39"/>
      <c r="C222" s="39"/>
      <c r="D222" s="39"/>
      <c r="E222" s="39"/>
      <c r="F222" s="39"/>
      <c r="G222" s="39"/>
      <c r="H222" s="39"/>
      <c r="I222" s="39"/>
      <c r="J222" s="39"/>
      <c r="K222" s="39"/>
      <c r="L222" s="39"/>
      <c r="M222" s="39"/>
      <c r="N222" s="39"/>
      <c r="O222" s="39"/>
      <c r="P222" s="39"/>
      <c r="Q222" s="39"/>
      <c r="R222" s="39"/>
      <c r="S222" s="39"/>
      <c r="T222" s="39"/>
      <c r="U222" s="39"/>
      <c r="V222" s="39"/>
      <c r="W222" s="39"/>
      <c r="X222" s="39"/>
      <c r="Y222" s="39"/>
      <c r="Z222" s="39"/>
      <c r="AA222" s="39"/>
      <c r="AB222" s="39"/>
      <c r="AC222" s="39"/>
      <c r="AD222" s="39"/>
      <c r="AE222" s="39"/>
      <c r="AF222" s="91"/>
      <c r="AG222" s="100">
        <f t="shared" si="32"/>
        <v>0</v>
      </c>
      <c r="AH222" s="438"/>
    </row>
    <row r="223" spans="1:34" ht="18.75" x14ac:dyDescent="0.25">
      <c r="A223" s="53" t="s">
        <v>112</v>
      </c>
      <c r="B223" s="39"/>
      <c r="C223" s="39"/>
      <c r="D223" s="39"/>
      <c r="E223" s="39"/>
      <c r="F223" s="39"/>
      <c r="G223" s="39"/>
      <c r="H223" s="39"/>
      <c r="I223" s="39"/>
      <c r="J223" s="39"/>
      <c r="K223" s="39"/>
      <c r="L223" s="39"/>
      <c r="M223" s="39"/>
      <c r="N223" s="39"/>
      <c r="O223" s="39"/>
      <c r="P223" s="39"/>
      <c r="Q223" s="39"/>
      <c r="R223" s="39"/>
      <c r="S223" s="39"/>
      <c r="T223" s="39"/>
      <c r="U223" s="39"/>
      <c r="V223" s="39"/>
      <c r="W223" s="39"/>
      <c r="X223" s="39"/>
      <c r="Y223" s="39"/>
      <c r="Z223" s="39"/>
      <c r="AA223" s="39"/>
      <c r="AB223" s="39"/>
      <c r="AC223" s="39"/>
      <c r="AD223" s="39"/>
      <c r="AE223" s="39"/>
      <c r="AF223" s="91"/>
      <c r="AG223" s="100">
        <f t="shared" si="32"/>
        <v>0</v>
      </c>
      <c r="AH223" s="438"/>
    </row>
    <row r="224" spans="1:34" ht="18.75" x14ac:dyDescent="0.25">
      <c r="A224" s="53" t="s">
        <v>113</v>
      </c>
      <c r="B224" s="39"/>
      <c r="C224" s="39"/>
      <c r="D224" s="39"/>
      <c r="E224" s="39"/>
      <c r="F224" s="39"/>
      <c r="G224" s="39"/>
      <c r="H224" s="39"/>
      <c r="I224" s="39"/>
      <c r="J224" s="39"/>
      <c r="K224" s="39"/>
      <c r="L224" s="39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  <c r="Y224" s="39"/>
      <c r="Z224" s="39"/>
      <c r="AA224" s="39"/>
      <c r="AB224" s="39"/>
      <c r="AC224" s="39"/>
      <c r="AD224" s="39"/>
      <c r="AE224" s="39"/>
      <c r="AF224" s="91"/>
      <c r="AG224" s="100">
        <f t="shared" si="32"/>
        <v>0</v>
      </c>
      <c r="AH224" s="438"/>
    </row>
    <row r="225" spans="1:34" ht="18.75" x14ac:dyDescent="0.25">
      <c r="A225" s="53" t="s">
        <v>114</v>
      </c>
      <c r="B225" s="39"/>
      <c r="C225" s="39"/>
      <c r="D225" s="39"/>
      <c r="E225" s="39"/>
      <c r="F225" s="39"/>
      <c r="G225" s="39"/>
      <c r="H225" s="39"/>
      <c r="I225" s="39"/>
      <c r="J225" s="39"/>
      <c r="K225" s="39"/>
      <c r="L225" s="39"/>
      <c r="M225" s="39"/>
      <c r="N225" s="39"/>
      <c r="O225" s="39"/>
      <c r="P225" s="39"/>
      <c r="Q225" s="39"/>
      <c r="R225" s="39"/>
      <c r="S225" s="39"/>
      <c r="T225" s="39"/>
      <c r="U225" s="39"/>
      <c r="V225" s="39"/>
      <c r="W225" s="39"/>
      <c r="X225" s="39"/>
      <c r="Y225" s="39"/>
      <c r="Z225" s="39"/>
      <c r="AA225" s="39"/>
      <c r="AB225" s="39"/>
      <c r="AC225" s="39"/>
      <c r="AD225" s="39"/>
      <c r="AE225" s="39"/>
      <c r="AF225" s="91"/>
      <c r="AG225" s="100">
        <f t="shared" si="32"/>
        <v>0</v>
      </c>
      <c r="AH225" s="438"/>
    </row>
    <row r="226" spans="1:34" ht="18.75" x14ac:dyDescent="0.25">
      <c r="A226" s="53" t="s">
        <v>115</v>
      </c>
      <c r="B226" s="39"/>
      <c r="C226" s="39"/>
      <c r="D226" s="39"/>
      <c r="E226" s="39"/>
      <c r="F226" s="39"/>
      <c r="G226" s="39"/>
      <c r="H226" s="39"/>
      <c r="I226" s="39"/>
      <c r="J226" s="39"/>
      <c r="K226" s="39"/>
      <c r="L226" s="39"/>
      <c r="M226" s="39"/>
      <c r="N226" s="39"/>
      <c r="O226" s="39"/>
      <c r="P226" s="39"/>
      <c r="Q226" s="39"/>
      <c r="R226" s="39"/>
      <c r="S226" s="39"/>
      <c r="T226" s="39"/>
      <c r="U226" s="39"/>
      <c r="V226" s="39"/>
      <c r="W226" s="39"/>
      <c r="X226" s="39"/>
      <c r="Y226" s="39"/>
      <c r="Z226" s="39"/>
      <c r="AA226" s="39"/>
      <c r="AB226" s="39"/>
      <c r="AC226" s="39"/>
      <c r="AD226" s="39"/>
      <c r="AE226" s="39"/>
      <c r="AF226" s="91"/>
      <c r="AG226" s="100">
        <f t="shared" si="32"/>
        <v>0</v>
      </c>
      <c r="AH226" s="438"/>
    </row>
    <row r="227" spans="1:34" ht="18.75" x14ac:dyDescent="0.25">
      <c r="A227" s="53" t="s">
        <v>116</v>
      </c>
      <c r="B227" s="39"/>
      <c r="C227" s="39"/>
      <c r="D227" s="39"/>
      <c r="E227" s="39"/>
      <c r="F227" s="39"/>
      <c r="G227" s="39"/>
      <c r="H227" s="39"/>
      <c r="I227" s="39"/>
      <c r="J227" s="39"/>
      <c r="K227" s="39"/>
      <c r="L227" s="39"/>
      <c r="M227" s="39"/>
      <c r="N227" s="39"/>
      <c r="O227" s="39"/>
      <c r="P227" s="39"/>
      <c r="Q227" s="39"/>
      <c r="R227" s="39"/>
      <c r="S227" s="39"/>
      <c r="T227" s="39"/>
      <c r="U227" s="39"/>
      <c r="V227" s="39"/>
      <c r="W227" s="39"/>
      <c r="X227" s="39"/>
      <c r="Y227" s="39"/>
      <c r="Z227" s="39"/>
      <c r="AA227" s="39"/>
      <c r="AB227" s="39"/>
      <c r="AC227" s="39"/>
      <c r="AD227" s="39"/>
      <c r="AE227" s="39"/>
      <c r="AF227" s="91"/>
      <c r="AG227" s="100">
        <f t="shared" si="32"/>
        <v>0</v>
      </c>
      <c r="AH227" s="438"/>
    </row>
    <row r="228" spans="1:34" ht="18.75" x14ac:dyDescent="0.25">
      <c r="A228" s="53" t="s">
        <v>117</v>
      </c>
      <c r="B228" s="39"/>
      <c r="C228" s="39"/>
      <c r="D228" s="39"/>
      <c r="E228" s="39"/>
      <c r="F228" s="39"/>
      <c r="G228" s="39"/>
      <c r="H228" s="39"/>
      <c r="I228" s="39"/>
      <c r="J228" s="39"/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39"/>
      <c r="AA228" s="39"/>
      <c r="AB228" s="39"/>
      <c r="AC228" s="39"/>
      <c r="AD228" s="39"/>
      <c r="AE228" s="39"/>
      <c r="AF228" s="91"/>
      <c r="AG228" s="100">
        <f t="shared" si="32"/>
        <v>0</v>
      </c>
      <c r="AH228" s="438"/>
    </row>
    <row r="229" spans="1:34" ht="18.75" x14ac:dyDescent="0.25">
      <c r="A229" s="43" t="s">
        <v>150</v>
      </c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  <c r="AB229" s="19"/>
      <c r="AC229" s="19"/>
      <c r="AD229" s="19"/>
      <c r="AE229" s="19"/>
      <c r="AF229" s="25"/>
      <c r="AG229" s="99">
        <f t="shared" si="32"/>
        <v>0</v>
      </c>
      <c r="AH229" s="438"/>
    </row>
    <row r="230" spans="1:34" ht="18.75" x14ac:dyDescent="0.25">
      <c r="A230" s="43" t="s">
        <v>78</v>
      </c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  <c r="AC230" s="19"/>
      <c r="AD230" s="19"/>
      <c r="AE230" s="19"/>
      <c r="AF230" s="25"/>
      <c r="AG230" s="99">
        <f t="shared" si="32"/>
        <v>0</v>
      </c>
      <c r="AH230" s="438"/>
    </row>
    <row r="231" spans="1:34" ht="19.5" thickBot="1" x14ac:dyDescent="0.3">
      <c r="A231" s="43" t="s">
        <v>79</v>
      </c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19"/>
      <c r="AD231" s="19"/>
      <c r="AE231" s="19"/>
      <c r="AF231" s="25"/>
      <c r="AG231" s="99">
        <f t="shared" si="32"/>
        <v>0</v>
      </c>
      <c r="AH231" s="439"/>
    </row>
    <row r="232" spans="1:34" ht="24" thickBot="1" x14ac:dyDescent="0.3">
      <c r="A232" s="62" t="s">
        <v>118</v>
      </c>
      <c r="B232" s="20">
        <f>+B231+B230+B220+B229</f>
        <v>0</v>
      </c>
      <c r="C232" s="20">
        <f t="shared" ref="C232:AF232" si="36">+C231+C230+C220+C229</f>
        <v>0</v>
      </c>
      <c r="D232" s="20">
        <f t="shared" si="36"/>
        <v>0</v>
      </c>
      <c r="E232" s="20">
        <f t="shared" si="36"/>
        <v>0</v>
      </c>
      <c r="F232" s="20">
        <f t="shared" si="36"/>
        <v>0</v>
      </c>
      <c r="G232" s="20">
        <f t="shared" si="36"/>
        <v>0</v>
      </c>
      <c r="H232" s="20">
        <f t="shared" si="36"/>
        <v>0</v>
      </c>
      <c r="I232" s="20">
        <f t="shared" si="36"/>
        <v>0</v>
      </c>
      <c r="J232" s="20">
        <f t="shared" si="36"/>
        <v>0</v>
      </c>
      <c r="K232" s="20">
        <f t="shared" si="36"/>
        <v>0</v>
      </c>
      <c r="L232" s="20">
        <f t="shared" si="36"/>
        <v>0</v>
      </c>
      <c r="M232" s="20">
        <f t="shared" si="36"/>
        <v>0</v>
      </c>
      <c r="N232" s="20">
        <f t="shared" si="36"/>
        <v>0</v>
      </c>
      <c r="O232" s="20">
        <f t="shared" si="36"/>
        <v>0</v>
      </c>
      <c r="P232" s="20">
        <f t="shared" si="36"/>
        <v>0</v>
      </c>
      <c r="Q232" s="20">
        <f t="shared" si="36"/>
        <v>0</v>
      </c>
      <c r="R232" s="20">
        <f t="shared" si="36"/>
        <v>0</v>
      </c>
      <c r="S232" s="20">
        <f t="shared" si="36"/>
        <v>0</v>
      </c>
      <c r="T232" s="20">
        <f t="shared" si="36"/>
        <v>0</v>
      </c>
      <c r="U232" s="20">
        <f t="shared" si="36"/>
        <v>0</v>
      </c>
      <c r="V232" s="20">
        <f t="shared" si="36"/>
        <v>0</v>
      </c>
      <c r="W232" s="20">
        <f t="shared" si="36"/>
        <v>0</v>
      </c>
      <c r="X232" s="20">
        <f t="shared" si="36"/>
        <v>0</v>
      </c>
      <c r="Y232" s="20">
        <f t="shared" si="36"/>
        <v>0</v>
      </c>
      <c r="Z232" s="20">
        <f t="shared" si="36"/>
        <v>0</v>
      </c>
      <c r="AA232" s="20">
        <f t="shared" si="36"/>
        <v>0</v>
      </c>
      <c r="AB232" s="20">
        <f t="shared" si="36"/>
        <v>0</v>
      </c>
      <c r="AC232" s="20">
        <f t="shared" si="36"/>
        <v>0</v>
      </c>
      <c r="AD232" s="20">
        <f t="shared" si="36"/>
        <v>0</v>
      </c>
      <c r="AE232" s="20">
        <f t="shared" si="36"/>
        <v>0</v>
      </c>
      <c r="AF232" s="26">
        <f t="shared" si="36"/>
        <v>0</v>
      </c>
      <c r="AG232" s="99">
        <f t="shared" si="32"/>
        <v>0</v>
      </c>
      <c r="AH232" s="36"/>
    </row>
    <row r="233" spans="1:34" ht="18.75" x14ac:dyDescent="0.25">
      <c r="A233" s="57" t="s">
        <v>90</v>
      </c>
      <c r="B233" s="27"/>
      <c r="C233" s="27"/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  <c r="AA233" s="27"/>
      <c r="AB233" s="27"/>
      <c r="AC233" s="27"/>
      <c r="AD233" s="27"/>
      <c r="AE233" s="27"/>
      <c r="AF233" s="92"/>
      <c r="AG233" s="31">
        <f t="shared" ref="AG233:AG246" si="37">SUM(B233:AF233)</f>
        <v>0</v>
      </c>
      <c r="AH233" s="440" t="s">
        <v>96</v>
      </c>
    </row>
    <row r="234" spans="1:34" ht="18.75" x14ac:dyDescent="0.25">
      <c r="A234" s="54" t="s">
        <v>91</v>
      </c>
      <c r="B234" s="40"/>
      <c r="C234" s="40"/>
      <c r="D234" s="40"/>
      <c r="E234" s="40"/>
      <c r="F234" s="40"/>
      <c r="G234" s="40"/>
      <c r="H234" s="40"/>
      <c r="I234" s="40"/>
      <c r="J234" s="40"/>
      <c r="K234" s="40"/>
      <c r="L234" s="40"/>
      <c r="M234" s="40"/>
      <c r="N234" s="40"/>
      <c r="O234" s="40"/>
      <c r="P234" s="40"/>
      <c r="Q234" s="40"/>
      <c r="R234" s="40"/>
      <c r="S234" s="40"/>
      <c r="T234" s="40"/>
      <c r="U234" s="40"/>
      <c r="V234" s="40"/>
      <c r="W234" s="40"/>
      <c r="X234" s="40"/>
      <c r="Y234" s="40"/>
      <c r="Z234" s="40"/>
      <c r="AA234" s="40"/>
      <c r="AB234" s="40"/>
      <c r="AC234" s="40"/>
      <c r="AD234" s="40"/>
      <c r="AE234" s="40"/>
      <c r="AF234" s="93"/>
      <c r="AG234" s="99">
        <f t="shared" si="37"/>
        <v>0</v>
      </c>
      <c r="AH234" s="441"/>
    </row>
    <row r="235" spans="1:34" ht="19.5" thickBot="1" x14ac:dyDescent="0.3">
      <c r="A235" s="58" t="s">
        <v>97</v>
      </c>
      <c r="B235" s="59"/>
      <c r="C235" s="59"/>
      <c r="D235" s="59"/>
      <c r="E235" s="59"/>
      <c r="F235" s="59"/>
      <c r="G235" s="59"/>
      <c r="H235" s="59"/>
      <c r="I235" s="59"/>
      <c r="J235" s="59"/>
      <c r="K235" s="59"/>
      <c r="L235" s="59"/>
      <c r="M235" s="59"/>
      <c r="N235" s="59"/>
      <c r="O235" s="59"/>
      <c r="P235" s="59"/>
      <c r="Q235" s="59"/>
      <c r="R235" s="59"/>
      <c r="S235" s="59"/>
      <c r="T235" s="59"/>
      <c r="U235" s="59"/>
      <c r="V235" s="59"/>
      <c r="W235" s="59"/>
      <c r="X235" s="59"/>
      <c r="Y235" s="59"/>
      <c r="Z235" s="59"/>
      <c r="AA235" s="59"/>
      <c r="AB235" s="59"/>
      <c r="AC235" s="59"/>
      <c r="AD235" s="59"/>
      <c r="AE235" s="59"/>
      <c r="AF235" s="94"/>
      <c r="AG235" s="28">
        <f t="shared" si="37"/>
        <v>0</v>
      </c>
      <c r="AH235" s="442"/>
    </row>
    <row r="236" spans="1:34" ht="18.75" x14ac:dyDescent="0.25">
      <c r="A236" s="55" t="s">
        <v>92</v>
      </c>
      <c r="B236" s="118">
        <f>SUM(B237:B239)</f>
        <v>0</v>
      </c>
      <c r="C236" s="118">
        <f t="shared" ref="C236:AF236" si="38">SUM(C237:C239)</f>
        <v>0</v>
      </c>
      <c r="D236" s="118">
        <f t="shared" si="38"/>
        <v>0</v>
      </c>
      <c r="E236" s="118">
        <f t="shared" si="38"/>
        <v>0</v>
      </c>
      <c r="F236" s="118">
        <f t="shared" si="38"/>
        <v>0</v>
      </c>
      <c r="G236" s="118">
        <f t="shared" si="38"/>
        <v>0</v>
      </c>
      <c r="H236" s="118">
        <f t="shared" si="38"/>
        <v>0</v>
      </c>
      <c r="I236" s="118">
        <f t="shared" si="38"/>
        <v>0</v>
      </c>
      <c r="J236" s="118">
        <f t="shared" si="38"/>
        <v>0</v>
      </c>
      <c r="K236" s="118">
        <f t="shared" si="38"/>
        <v>0</v>
      </c>
      <c r="L236" s="118">
        <f t="shared" si="38"/>
        <v>0</v>
      </c>
      <c r="M236" s="118">
        <f t="shared" si="38"/>
        <v>0</v>
      </c>
      <c r="N236" s="118">
        <f t="shared" si="38"/>
        <v>0</v>
      </c>
      <c r="O236" s="118">
        <f t="shared" si="38"/>
        <v>0</v>
      </c>
      <c r="P236" s="118">
        <f t="shared" si="38"/>
        <v>0</v>
      </c>
      <c r="Q236" s="118">
        <f t="shared" si="38"/>
        <v>0</v>
      </c>
      <c r="R236" s="118">
        <f t="shared" si="38"/>
        <v>0</v>
      </c>
      <c r="S236" s="118">
        <f t="shared" si="38"/>
        <v>0</v>
      </c>
      <c r="T236" s="118">
        <f t="shared" si="38"/>
        <v>0</v>
      </c>
      <c r="U236" s="118">
        <f t="shared" si="38"/>
        <v>0</v>
      </c>
      <c r="V236" s="118">
        <f t="shared" si="38"/>
        <v>0</v>
      </c>
      <c r="W236" s="118">
        <f t="shared" si="38"/>
        <v>0</v>
      </c>
      <c r="X236" s="118">
        <f t="shared" si="38"/>
        <v>0</v>
      </c>
      <c r="Y236" s="118">
        <f t="shared" si="38"/>
        <v>0</v>
      </c>
      <c r="Z236" s="118">
        <f t="shared" si="38"/>
        <v>0</v>
      </c>
      <c r="AA236" s="118">
        <f t="shared" si="38"/>
        <v>0</v>
      </c>
      <c r="AB236" s="118">
        <f t="shared" si="38"/>
        <v>0</v>
      </c>
      <c r="AC236" s="118">
        <f t="shared" si="38"/>
        <v>0</v>
      </c>
      <c r="AD236" s="118">
        <f t="shared" si="38"/>
        <v>0</v>
      </c>
      <c r="AE236" s="118">
        <f t="shared" si="38"/>
        <v>0</v>
      </c>
      <c r="AF236" s="118">
        <f t="shared" si="38"/>
        <v>0</v>
      </c>
      <c r="AG236" s="95">
        <f t="shared" si="37"/>
        <v>0</v>
      </c>
      <c r="AH236" s="440" t="s">
        <v>93</v>
      </c>
    </row>
    <row r="237" spans="1:34" ht="18.75" x14ac:dyDescent="0.25">
      <c r="A237" s="139" t="s">
        <v>94</v>
      </c>
      <c r="B237" s="140"/>
      <c r="C237" s="140"/>
      <c r="D237" s="140"/>
      <c r="E237" s="140"/>
      <c r="F237" s="140"/>
      <c r="G237" s="140"/>
      <c r="H237" s="140"/>
      <c r="I237" s="140"/>
      <c r="J237" s="140"/>
      <c r="K237" s="140"/>
      <c r="L237" s="140"/>
      <c r="M237" s="140"/>
      <c r="N237" s="145"/>
      <c r="O237" s="140"/>
      <c r="P237" s="140"/>
      <c r="Q237" s="140"/>
      <c r="R237" s="140"/>
      <c r="S237" s="140"/>
      <c r="T237" s="140"/>
      <c r="U237" s="140"/>
      <c r="V237" s="140"/>
      <c r="W237" s="140"/>
      <c r="X237" s="140"/>
      <c r="Y237" s="140"/>
      <c r="Z237" s="142"/>
      <c r="AA237" s="140"/>
      <c r="AB237" s="140"/>
      <c r="AC237" s="140"/>
      <c r="AD237" s="140"/>
      <c r="AE237" s="140"/>
      <c r="AF237" s="144"/>
      <c r="AG237" s="143">
        <f t="shared" si="37"/>
        <v>0</v>
      </c>
      <c r="AH237" s="441"/>
    </row>
    <row r="238" spans="1:34" ht="18.75" x14ac:dyDescent="0.25">
      <c r="A238" s="139" t="s">
        <v>95</v>
      </c>
      <c r="B238" s="140"/>
      <c r="C238" s="140"/>
      <c r="D238" s="140"/>
      <c r="E238" s="140"/>
      <c r="F238" s="140"/>
      <c r="G238" s="140"/>
      <c r="H238" s="140"/>
      <c r="I238" s="140"/>
      <c r="J238" s="140"/>
      <c r="K238" s="140"/>
      <c r="L238" s="140"/>
      <c r="M238" s="140"/>
      <c r="N238" s="145"/>
      <c r="O238" s="140"/>
      <c r="P238" s="140"/>
      <c r="Q238" s="140"/>
      <c r="R238" s="140"/>
      <c r="S238" s="140"/>
      <c r="T238" s="140"/>
      <c r="U238" s="140"/>
      <c r="V238" s="140"/>
      <c r="W238" s="140"/>
      <c r="X238" s="140"/>
      <c r="Y238" s="140"/>
      <c r="Z238" s="142"/>
      <c r="AA238" s="140"/>
      <c r="AB238" s="140"/>
      <c r="AC238" s="140"/>
      <c r="AD238" s="140"/>
      <c r="AE238" s="140"/>
      <c r="AF238" s="144"/>
      <c r="AG238" s="143">
        <f t="shared" si="37"/>
        <v>0</v>
      </c>
      <c r="AH238" s="441"/>
    </row>
    <row r="239" spans="1:34" ht="19.5" thickBot="1" x14ac:dyDescent="0.3">
      <c r="A239" s="190" t="s">
        <v>106</v>
      </c>
      <c r="B239" s="191"/>
      <c r="C239" s="191"/>
      <c r="D239" s="191"/>
      <c r="E239" s="191"/>
      <c r="F239" s="191"/>
      <c r="G239" s="191"/>
      <c r="H239" s="191"/>
      <c r="I239" s="191"/>
      <c r="J239" s="191"/>
      <c r="K239" s="192"/>
      <c r="L239" s="192"/>
      <c r="M239" s="192"/>
      <c r="N239" s="193"/>
      <c r="O239" s="194"/>
      <c r="P239" s="194"/>
      <c r="Q239" s="194"/>
      <c r="R239" s="194"/>
      <c r="S239" s="194"/>
      <c r="T239" s="194"/>
      <c r="U239" s="194"/>
      <c r="V239" s="194"/>
      <c r="W239" s="194"/>
      <c r="X239" s="194"/>
      <c r="Y239" s="194"/>
      <c r="Z239" s="194"/>
      <c r="AA239" s="194"/>
      <c r="AB239" s="194"/>
      <c r="AC239" s="194"/>
      <c r="AD239" s="194"/>
      <c r="AE239" s="194"/>
      <c r="AF239" s="195"/>
      <c r="AG239" s="108">
        <f t="shared" si="37"/>
        <v>0</v>
      </c>
      <c r="AH239" s="442"/>
    </row>
    <row r="240" spans="1:34" ht="24" hidden="1" thickBot="1" x14ac:dyDescent="0.3">
      <c r="A240" s="198" t="s">
        <v>148</v>
      </c>
      <c r="B240" s="199">
        <f>SUM(B241:B246)</f>
        <v>0</v>
      </c>
      <c r="C240" s="199">
        <f t="shared" ref="C240:AF240" si="39">SUM(C241:C246)</f>
        <v>0</v>
      </c>
      <c r="D240" s="199">
        <f t="shared" si="39"/>
        <v>0</v>
      </c>
      <c r="E240" s="199">
        <f t="shared" si="39"/>
        <v>0</v>
      </c>
      <c r="F240" s="199">
        <f t="shared" si="39"/>
        <v>0</v>
      </c>
      <c r="G240" s="199">
        <f t="shared" si="39"/>
        <v>0</v>
      </c>
      <c r="H240" s="199">
        <f t="shared" si="39"/>
        <v>0</v>
      </c>
      <c r="I240" s="199">
        <f t="shared" si="39"/>
        <v>0</v>
      </c>
      <c r="J240" s="199">
        <f t="shared" si="39"/>
        <v>0</v>
      </c>
      <c r="K240" s="199">
        <f t="shared" si="39"/>
        <v>0</v>
      </c>
      <c r="L240" s="199">
        <f t="shared" si="39"/>
        <v>0</v>
      </c>
      <c r="M240" s="199">
        <f t="shared" si="39"/>
        <v>0</v>
      </c>
      <c r="N240" s="199">
        <f t="shared" si="39"/>
        <v>0</v>
      </c>
      <c r="O240" s="199">
        <f t="shared" si="39"/>
        <v>0</v>
      </c>
      <c r="P240" s="199">
        <f t="shared" si="39"/>
        <v>0</v>
      </c>
      <c r="Q240" s="199">
        <f t="shared" si="39"/>
        <v>0</v>
      </c>
      <c r="R240" s="199">
        <f t="shared" si="39"/>
        <v>0</v>
      </c>
      <c r="S240" s="199">
        <f t="shared" si="39"/>
        <v>0</v>
      </c>
      <c r="T240" s="199">
        <f t="shared" si="39"/>
        <v>0</v>
      </c>
      <c r="U240" s="199">
        <f t="shared" si="39"/>
        <v>0</v>
      </c>
      <c r="V240" s="199">
        <f t="shared" si="39"/>
        <v>0</v>
      </c>
      <c r="W240" s="199">
        <f t="shared" si="39"/>
        <v>0</v>
      </c>
      <c r="X240" s="199">
        <f t="shared" si="39"/>
        <v>0</v>
      </c>
      <c r="Y240" s="199">
        <f t="shared" si="39"/>
        <v>0</v>
      </c>
      <c r="Z240" s="199">
        <f t="shared" si="39"/>
        <v>0</v>
      </c>
      <c r="AA240" s="199">
        <f t="shared" si="39"/>
        <v>0</v>
      </c>
      <c r="AB240" s="199">
        <f t="shared" si="39"/>
        <v>0</v>
      </c>
      <c r="AC240" s="199">
        <f t="shared" si="39"/>
        <v>0</v>
      </c>
      <c r="AD240" s="199">
        <f t="shared" si="39"/>
        <v>0</v>
      </c>
      <c r="AE240" s="199">
        <f t="shared" si="39"/>
        <v>0</v>
      </c>
      <c r="AF240" s="200">
        <f t="shared" si="39"/>
        <v>0</v>
      </c>
      <c r="AG240" s="201">
        <f t="shared" si="37"/>
        <v>0</v>
      </c>
    </row>
    <row r="241" spans="1:33" ht="38.25" hidden="1" customHeight="1" x14ac:dyDescent="0.3">
      <c r="A241" s="227" t="s">
        <v>159</v>
      </c>
      <c r="B241" s="189"/>
      <c r="C241" s="189"/>
      <c r="D241" s="189"/>
      <c r="E241" s="189"/>
      <c r="F241" s="189"/>
      <c r="G241" s="189"/>
      <c r="H241" s="189"/>
      <c r="I241" s="189"/>
      <c r="J241" s="189"/>
      <c r="K241" s="189"/>
      <c r="L241" s="189"/>
      <c r="M241" s="189"/>
      <c r="N241" s="189"/>
      <c r="O241" s="189"/>
      <c r="P241" s="189"/>
      <c r="Q241" s="189"/>
      <c r="R241" s="189"/>
      <c r="S241" s="189"/>
      <c r="T241" s="189"/>
      <c r="U241" s="189"/>
      <c r="V241" s="189"/>
      <c r="W241" s="189"/>
      <c r="X241" s="189"/>
      <c r="Y241" s="189"/>
      <c r="Z241" s="189"/>
      <c r="AA241" s="189"/>
      <c r="AB241" s="189"/>
      <c r="AC241" s="189"/>
      <c r="AD241" s="189"/>
      <c r="AE241" s="189"/>
      <c r="AF241" s="196"/>
      <c r="AG241" s="197">
        <f t="shared" si="37"/>
        <v>0</v>
      </c>
    </row>
    <row r="242" spans="1:33" ht="40.5" hidden="1" customHeight="1" x14ac:dyDescent="0.3">
      <c r="A242" s="227" t="s">
        <v>160</v>
      </c>
      <c r="B242" s="189"/>
      <c r="C242" s="189"/>
      <c r="D242" s="189"/>
      <c r="E242" s="189"/>
      <c r="F242" s="189"/>
      <c r="G242" s="189"/>
      <c r="H242" s="189"/>
      <c r="I242" s="189"/>
      <c r="J242" s="189"/>
      <c r="K242" s="189"/>
      <c r="L242" s="189"/>
      <c r="M242" s="189"/>
      <c r="N242" s="189"/>
      <c r="O242" s="189"/>
      <c r="P242" s="189"/>
      <c r="Q242" s="189"/>
      <c r="R242" s="189"/>
      <c r="S242" s="189"/>
      <c r="T242" s="189"/>
      <c r="U242" s="189"/>
      <c r="V242" s="189"/>
      <c r="W242" s="189"/>
      <c r="X242" s="189"/>
      <c r="Y242" s="189"/>
      <c r="Z242" s="189"/>
      <c r="AA242" s="189"/>
      <c r="AB242" s="189"/>
      <c r="AC242" s="189"/>
      <c r="AD242" s="189"/>
      <c r="AE242" s="189"/>
      <c r="AF242" s="196"/>
      <c r="AG242" s="197"/>
    </row>
    <row r="243" spans="1:33" ht="40.5" hidden="1" customHeight="1" x14ac:dyDescent="0.3">
      <c r="A243" s="227" t="s">
        <v>161</v>
      </c>
      <c r="B243" s="189"/>
      <c r="C243" s="189"/>
      <c r="D243" s="189"/>
      <c r="E243" s="189"/>
      <c r="F243" s="189"/>
      <c r="G243" s="189"/>
      <c r="H243" s="189"/>
      <c r="I243" s="189"/>
      <c r="J243" s="189"/>
      <c r="K243" s="189"/>
      <c r="L243" s="189"/>
      <c r="M243" s="189"/>
      <c r="N243" s="189"/>
      <c r="O243" s="189"/>
      <c r="P243" s="189"/>
      <c r="Q243" s="189"/>
      <c r="R243" s="189"/>
      <c r="S243" s="189"/>
      <c r="T243" s="189"/>
      <c r="U243" s="189"/>
      <c r="V243" s="189"/>
      <c r="W243" s="189"/>
      <c r="X243" s="189"/>
      <c r="Y243" s="189"/>
      <c r="Z243" s="189"/>
      <c r="AA243" s="189"/>
      <c r="AB243" s="189"/>
      <c r="AC243" s="189"/>
      <c r="AD243" s="189"/>
      <c r="AE243" s="189"/>
      <c r="AF243" s="196"/>
      <c r="AG243" s="197"/>
    </row>
    <row r="244" spans="1:33" ht="40.5" hidden="1" customHeight="1" x14ac:dyDescent="0.3">
      <c r="A244" s="227" t="s">
        <v>162</v>
      </c>
      <c r="B244" s="189"/>
      <c r="C244" s="189"/>
      <c r="D244" s="189"/>
      <c r="E244" s="189"/>
      <c r="F244" s="189"/>
      <c r="G244" s="189"/>
      <c r="H244" s="189"/>
      <c r="I244" s="189"/>
      <c r="J244" s="189"/>
      <c r="K244" s="189"/>
      <c r="L244" s="189"/>
      <c r="M244" s="189"/>
      <c r="N244" s="189"/>
      <c r="O244" s="189"/>
      <c r="P244" s="189"/>
      <c r="Q244" s="189"/>
      <c r="R244" s="189"/>
      <c r="S244" s="189"/>
      <c r="T244" s="189"/>
      <c r="U244" s="189"/>
      <c r="V244" s="189"/>
      <c r="W244" s="189"/>
      <c r="X244" s="189"/>
      <c r="Y244" s="189"/>
      <c r="Z244" s="189"/>
      <c r="AA244" s="189"/>
      <c r="AB244" s="189"/>
      <c r="AC244" s="189"/>
      <c r="AD244" s="189"/>
      <c r="AE244" s="189"/>
      <c r="AF244" s="196"/>
      <c r="AG244" s="197"/>
    </row>
    <row r="245" spans="1:33" ht="40.5" hidden="1" customHeight="1" x14ac:dyDescent="0.3">
      <c r="A245" s="228" t="s">
        <v>163</v>
      </c>
      <c r="B245" s="137"/>
      <c r="C245" s="137"/>
      <c r="D245" s="137"/>
      <c r="E245" s="137"/>
      <c r="F245" s="137"/>
      <c r="G245" s="137"/>
      <c r="H245" s="137"/>
      <c r="I245" s="137"/>
      <c r="J245" s="137"/>
      <c r="K245" s="137"/>
      <c r="L245" s="137"/>
      <c r="M245" s="137"/>
      <c r="N245" s="137"/>
      <c r="O245" s="137"/>
      <c r="P245" s="137"/>
      <c r="Q245" s="137"/>
      <c r="R245" s="137"/>
      <c r="S245" s="137"/>
      <c r="T245" s="137"/>
      <c r="U245" s="137"/>
      <c r="V245" s="137"/>
      <c r="W245" s="137"/>
      <c r="X245" s="137"/>
      <c r="Y245" s="137"/>
      <c r="Z245" s="137"/>
      <c r="AA245" s="137"/>
      <c r="AB245" s="137"/>
      <c r="AC245" s="137"/>
      <c r="AD245" s="137"/>
      <c r="AE245" s="137"/>
      <c r="AF245" s="188"/>
      <c r="AG245" s="138">
        <f t="shared" si="37"/>
        <v>0</v>
      </c>
    </row>
    <row r="246" spans="1:33" ht="39.75" hidden="1" customHeight="1" thickBot="1" x14ac:dyDescent="0.3">
      <c r="A246" s="229" t="s">
        <v>164</v>
      </c>
      <c r="B246" s="222"/>
      <c r="C246" s="222"/>
      <c r="D246" s="222"/>
      <c r="E246" s="222"/>
      <c r="F246" s="222"/>
      <c r="G246" s="222"/>
      <c r="H246" s="222"/>
      <c r="I246" s="222"/>
      <c r="J246" s="222"/>
      <c r="K246" s="222"/>
      <c r="L246" s="222"/>
      <c r="M246" s="222"/>
      <c r="N246" s="222"/>
      <c r="O246" s="222"/>
      <c r="P246" s="222"/>
      <c r="Q246" s="222"/>
      <c r="R246" s="222"/>
      <c r="S246" s="222"/>
      <c r="T246" s="222"/>
      <c r="U246" s="222"/>
      <c r="V246" s="222"/>
      <c r="W246" s="222"/>
      <c r="X246" s="222"/>
      <c r="Y246" s="222"/>
      <c r="Z246" s="222"/>
      <c r="AA246" s="222"/>
      <c r="AB246" s="222"/>
      <c r="AC246" s="222"/>
      <c r="AD246" s="222"/>
      <c r="AE246" s="222"/>
      <c r="AF246" s="223"/>
      <c r="AG246" s="224">
        <f t="shared" si="37"/>
        <v>0</v>
      </c>
    </row>
    <row r="247" spans="1:33" ht="21.75" x14ac:dyDescent="0.25">
      <c r="A247" s="225" t="s">
        <v>151</v>
      </c>
      <c r="B247" s="363"/>
      <c r="C247" s="363"/>
      <c r="D247" s="363"/>
      <c r="E247" s="363"/>
      <c r="F247" s="363"/>
      <c r="G247" s="363"/>
      <c r="H247" s="363"/>
      <c r="I247" s="363"/>
      <c r="J247" s="363"/>
      <c r="K247" s="363"/>
      <c r="L247" s="363"/>
      <c r="M247" s="363"/>
      <c r="N247" s="363"/>
      <c r="O247" s="363"/>
      <c r="P247" s="363"/>
      <c r="Q247" s="363"/>
      <c r="R247" s="363"/>
      <c r="S247" s="363"/>
      <c r="T247" s="363"/>
      <c r="U247" s="363"/>
      <c r="V247" s="363"/>
      <c r="W247" s="363"/>
      <c r="X247" s="363"/>
      <c r="Y247" s="363"/>
      <c r="Z247" s="363"/>
      <c r="AA247" s="363"/>
      <c r="AB247" s="363"/>
      <c r="AC247" s="363"/>
      <c r="AD247" s="363"/>
      <c r="AE247" s="363"/>
      <c r="AF247" s="367"/>
      <c r="AG247" s="369">
        <f>SUM(B247:AF247)</f>
        <v>0</v>
      </c>
    </row>
    <row r="248" spans="1:33" ht="22.5" thickBot="1" x14ac:dyDescent="0.3">
      <c r="A248" s="226" t="s">
        <v>152</v>
      </c>
      <c r="B248" s="364"/>
      <c r="C248" s="364"/>
      <c r="D248" s="364"/>
      <c r="E248" s="364"/>
      <c r="F248" s="364"/>
      <c r="G248" s="364"/>
      <c r="H248" s="364"/>
      <c r="I248" s="364"/>
      <c r="J248" s="364"/>
      <c r="K248" s="364"/>
      <c r="L248" s="364"/>
      <c r="M248" s="364"/>
      <c r="N248" s="364"/>
      <c r="O248" s="364"/>
      <c r="P248" s="364"/>
      <c r="Q248" s="364"/>
      <c r="R248" s="364"/>
      <c r="S248" s="364"/>
      <c r="T248" s="364"/>
      <c r="U248" s="364"/>
      <c r="V248" s="364"/>
      <c r="W248" s="364"/>
      <c r="X248" s="364"/>
      <c r="Y248" s="364"/>
      <c r="Z248" s="364"/>
      <c r="AA248" s="364"/>
      <c r="AB248" s="364"/>
      <c r="AC248" s="364"/>
      <c r="AD248" s="364"/>
      <c r="AE248" s="364"/>
      <c r="AF248" s="368"/>
      <c r="AG248" s="370">
        <f>SUM(B248:AF248)</f>
        <v>0</v>
      </c>
    </row>
    <row r="268" ht="18.75" customHeight="1" x14ac:dyDescent="0.25"/>
    <row r="269" ht="18.75" customHeight="1" x14ac:dyDescent="0.25"/>
    <row r="270" ht="18.75" customHeight="1" x14ac:dyDescent="0.25"/>
    <row r="271" ht="18.75" customHeight="1" x14ac:dyDescent="0.25"/>
    <row r="272" ht="18.75" customHeight="1" x14ac:dyDescent="0.25"/>
    <row r="273" ht="18.75" customHeight="1" x14ac:dyDescent="0.25"/>
    <row r="274" ht="18.75" customHeight="1" x14ac:dyDescent="0.25"/>
    <row r="275" ht="18.75" customHeight="1" x14ac:dyDescent="0.25"/>
    <row r="276" ht="18.75" customHeight="1" x14ac:dyDescent="0.25"/>
    <row r="277" ht="18.75" customHeight="1" x14ac:dyDescent="0.25"/>
    <row r="278" ht="18.75" customHeight="1" x14ac:dyDescent="0.25"/>
    <row r="279" ht="19.5" customHeight="1" x14ac:dyDescent="0.25"/>
    <row r="281" ht="18.75" customHeight="1" x14ac:dyDescent="0.25"/>
    <row r="284" ht="18.75" customHeight="1" x14ac:dyDescent="0.25"/>
  </sheetData>
  <dataConsolidate/>
  <mergeCells count="5">
    <mergeCell ref="A1:AG1"/>
    <mergeCell ref="AI84:AI86"/>
    <mergeCell ref="AH220:AH231"/>
    <mergeCell ref="AH233:AH235"/>
    <mergeCell ref="AH236:AH239"/>
  </mergeCells>
  <conditionalFormatting sqref="B29:AF52">
    <cfRule type="cellIs" dxfId="41" priority="7" operator="lessThan">
      <formula>0</formula>
    </cfRule>
  </conditionalFormatting>
  <conditionalFormatting sqref="D54:D77">
    <cfRule type="cellIs" dxfId="40" priority="3" operator="lessThan">
      <formula>0</formula>
    </cfRule>
  </conditionalFormatting>
  <conditionalFormatting sqref="G54:G77">
    <cfRule type="cellIs" dxfId="39" priority="2" operator="lessThan">
      <formula>0</formula>
    </cfRule>
  </conditionalFormatting>
  <conditionalFormatting sqref="AA54:AA77">
    <cfRule type="cellIs" dxfId="38" priority="1" operator="lessThan">
      <formula>0</formula>
    </cfRule>
  </conditionalFormatting>
  <conditionalFormatting sqref="AH81">
    <cfRule type="cellIs" dxfId="37" priority="5" operator="equal">
      <formula>"*"</formula>
    </cfRule>
  </conditionalFormatting>
  <conditionalFormatting sqref="AH84 AH87">
    <cfRule type="cellIs" dxfId="36" priority="6" operator="equal">
      <formula>"*"</formula>
    </cfRule>
  </conditionalFormatting>
  <conditionalFormatting sqref="AH93">
    <cfRule type="cellIs" dxfId="35" priority="11" operator="equal">
      <formula>"*"</formula>
    </cfRule>
  </conditionalFormatting>
  <conditionalFormatting sqref="AH130">
    <cfRule type="cellIs" dxfId="34" priority="9" operator="equal">
      <formula>"*"</formula>
    </cfRule>
  </conditionalFormatting>
  <conditionalFormatting sqref="AH144:AH145">
    <cfRule type="cellIs" dxfId="33" priority="10" operator="equal">
      <formula>"*"</formula>
    </cfRule>
  </conditionalFormatting>
  <conditionalFormatting sqref="AH179">
    <cfRule type="cellIs" dxfId="32" priority="8" operator="equal">
      <formula>"*"</formula>
    </cfRule>
  </conditionalFormatting>
  <conditionalFormatting sqref="AH206">
    <cfRule type="cellIs" dxfId="31" priority="4" operator="equal">
      <formula>"X"</formula>
    </cfRule>
  </conditionalFormatting>
  <dataValidations disablePrompts="1" count="1">
    <dataValidation type="whole" allowBlank="1" showInputMessage="1" showErrorMessage="1" errorTitle="ERROR" error="Por favor ingrese solo Números" sqref="A98:A99 A101:A115" xr:uid="{00000000-0002-0000-0B00-000000000000}">
      <formula1>0</formula1>
      <formula2>1000000000</formula2>
    </dataValidation>
  </dataValidations>
  <pageMargins left="0.7" right="0.7" top="0.75" bottom="0.75" header="0.3" footer="0.3"/>
  <pageSetup orientation="portrait" horizontalDpi="0" verticalDpi="0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285"/>
  <sheetViews>
    <sheetView zoomScale="80" zoomScaleNormal="80" workbookViewId="0">
      <pane xSplit="1" ySplit="3" topLeftCell="I204" activePane="bottomRight" state="frozen"/>
      <selection activeCell="AG3" sqref="AG3"/>
      <selection pane="topRight" activeCell="AG3" sqref="AG3"/>
      <selection pane="bottomLeft" activeCell="AG3" sqref="AG3"/>
      <selection pane="bottomRight" activeCell="AF215" sqref="AF215"/>
    </sheetView>
  </sheetViews>
  <sheetFormatPr baseColWidth="10" defaultRowHeight="15" x14ac:dyDescent="0.25"/>
  <cols>
    <col min="1" max="1" width="34.7109375" customWidth="1"/>
    <col min="2" max="13" width="8.28515625" customWidth="1"/>
    <col min="14" max="14" width="10.140625" customWidth="1"/>
    <col min="15" max="27" width="8.28515625" customWidth="1"/>
    <col min="28" max="28" width="9.7109375" customWidth="1"/>
    <col min="29" max="32" width="8.28515625" customWidth="1"/>
    <col min="33" max="33" width="11.140625" customWidth="1"/>
    <col min="34" max="34" width="12.42578125" customWidth="1"/>
  </cols>
  <sheetData>
    <row r="1" spans="1:33" ht="21.75" thickBot="1" x14ac:dyDescent="0.3">
      <c r="A1" s="431"/>
      <c r="B1" s="432"/>
      <c r="C1" s="432"/>
      <c r="D1" s="432"/>
      <c r="E1" s="432"/>
      <c r="F1" s="432"/>
      <c r="G1" s="432"/>
      <c r="H1" s="432"/>
      <c r="I1" s="432"/>
      <c r="J1" s="432"/>
      <c r="K1" s="432"/>
      <c r="L1" s="432"/>
      <c r="M1" s="432"/>
      <c r="N1" s="432"/>
      <c r="O1" s="432"/>
      <c r="P1" s="432"/>
      <c r="Q1" s="432"/>
      <c r="R1" s="432"/>
      <c r="S1" s="432"/>
      <c r="T1" s="432"/>
      <c r="U1" s="432"/>
      <c r="V1" s="432"/>
      <c r="W1" s="432"/>
      <c r="X1" s="432"/>
      <c r="Y1" s="432"/>
      <c r="Z1" s="432"/>
      <c r="AA1" s="432"/>
      <c r="AB1" s="432"/>
      <c r="AC1" s="432"/>
      <c r="AD1" s="432"/>
      <c r="AE1" s="432"/>
      <c r="AF1" s="432"/>
      <c r="AG1" s="433"/>
    </row>
    <row r="2" spans="1:33" ht="21.75" thickBot="1" x14ac:dyDescent="0.3">
      <c r="A2" s="82" t="s">
        <v>134</v>
      </c>
      <c r="B2" s="230">
        <v>1</v>
      </c>
      <c r="C2" s="230">
        <f t="shared" ref="C2:AA2" si="0">+B2+1</f>
        <v>2</v>
      </c>
      <c r="D2" s="106">
        <f t="shared" si="0"/>
        <v>3</v>
      </c>
      <c r="E2" s="106">
        <f t="shared" si="0"/>
        <v>4</v>
      </c>
      <c r="F2" s="230">
        <f t="shared" si="0"/>
        <v>5</v>
      </c>
      <c r="G2" s="230">
        <f t="shared" si="0"/>
        <v>6</v>
      </c>
      <c r="H2" s="230">
        <f t="shared" si="0"/>
        <v>7</v>
      </c>
      <c r="I2" s="230">
        <f t="shared" si="0"/>
        <v>8</v>
      </c>
      <c r="J2" s="230">
        <f t="shared" si="0"/>
        <v>9</v>
      </c>
      <c r="K2" s="106">
        <f t="shared" si="0"/>
        <v>10</v>
      </c>
      <c r="L2" s="106">
        <f t="shared" si="0"/>
        <v>11</v>
      </c>
      <c r="M2" s="106">
        <f t="shared" si="0"/>
        <v>12</v>
      </c>
      <c r="N2" s="230">
        <f t="shared" si="0"/>
        <v>13</v>
      </c>
      <c r="O2" s="230">
        <f t="shared" si="0"/>
        <v>14</v>
      </c>
      <c r="P2" s="230">
        <f t="shared" si="0"/>
        <v>15</v>
      </c>
      <c r="Q2" s="230">
        <f t="shared" si="0"/>
        <v>16</v>
      </c>
      <c r="R2" s="106">
        <f t="shared" si="0"/>
        <v>17</v>
      </c>
      <c r="S2" s="106">
        <f t="shared" si="0"/>
        <v>18</v>
      </c>
      <c r="T2" s="230">
        <f t="shared" si="0"/>
        <v>19</v>
      </c>
      <c r="U2" s="230">
        <f t="shared" si="0"/>
        <v>20</v>
      </c>
      <c r="V2" s="230">
        <f t="shared" si="0"/>
        <v>21</v>
      </c>
      <c r="W2" s="230">
        <f t="shared" si="0"/>
        <v>22</v>
      </c>
      <c r="X2" s="230">
        <f t="shared" si="0"/>
        <v>23</v>
      </c>
      <c r="Y2" s="106">
        <f t="shared" si="0"/>
        <v>24</v>
      </c>
      <c r="Z2" s="106">
        <f t="shared" si="0"/>
        <v>25</v>
      </c>
      <c r="AA2" s="230">
        <f t="shared" si="0"/>
        <v>26</v>
      </c>
      <c r="AB2" s="230">
        <v>27</v>
      </c>
      <c r="AC2" s="230">
        <f>+AB2+1</f>
        <v>28</v>
      </c>
      <c r="AD2" s="230">
        <v>29</v>
      </c>
      <c r="AE2" s="230">
        <v>30</v>
      </c>
      <c r="AF2" s="106">
        <v>31</v>
      </c>
      <c r="AG2" s="3" t="s">
        <v>80</v>
      </c>
    </row>
    <row r="3" spans="1:33" ht="19.5" thickBot="1" x14ac:dyDescent="0.3">
      <c r="A3" s="136" t="s">
        <v>0</v>
      </c>
      <c r="B3" s="135">
        <f t="shared" ref="B3:AF3" si="1">SUM(B4:B27)</f>
        <v>108</v>
      </c>
      <c r="C3" s="135">
        <f t="shared" si="1"/>
        <v>121</v>
      </c>
      <c r="D3" s="135">
        <f t="shared" si="1"/>
        <v>109</v>
      </c>
      <c r="E3" s="135">
        <f t="shared" si="1"/>
        <v>108</v>
      </c>
      <c r="F3" s="135">
        <f t="shared" si="1"/>
        <v>132</v>
      </c>
      <c r="G3" s="135">
        <f t="shared" si="1"/>
        <v>130</v>
      </c>
      <c r="H3" s="135">
        <f t="shared" si="1"/>
        <v>108</v>
      </c>
      <c r="I3" s="135">
        <f t="shared" si="1"/>
        <v>107</v>
      </c>
      <c r="J3" s="135">
        <f t="shared" si="1"/>
        <v>117</v>
      </c>
      <c r="K3" s="135">
        <f t="shared" si="1"/>
        <v>112</v>
      </c>
      <c r="L3" s="135">
        <f t="shared" si="1"/>
        <v>130</v>
      </c>
      <c r="M3" s="135">
        <f t="shared" si="1"/>
        <v>108</v>
      </c>
      <c r="N3" s="135">
        <f t="shared" si="1"/>
        <v>113</v>
      </c>
      <c r="O3" s="135">
        <f t="shared" si="1"/>
        <v>128</v>
      </c>
      <c r="P3" s="135">
        <f t="shared" si="1"/>
        <v>130</v>
      </c>
      <c r="Q3" s="135">
        <f t="shared" si="1"/>
        <v>122</v>
      </c>
      <c r="R3" s="135">
        <f t="shared" si="1"/>
        <v>103</v>
      </c>
      <c r="S3" s="135">
        <f t="shared" si="1"/>
        <v>117</v>
      </c>
      <c r="T3" s="135">
        <f t="shared" si="1"/>
        <v>160</v>
      </c>
      <c r="U3" s="135">
        <f t="shared" si="1"/>
        <v>117</v>
      </c>
      <c r="V3" s="135">
        <f t="shared" si="1"/>
        <v>123</v>
      </c>
      <c r="W3" s="135">
        <f t="shared" si="1"/>
        <v>156</v>
      </c>
      <c r="X3" s="135">
        <f t="shared" si="1"/>
        <v>152</v>
      </c>
      <c r="Y3" s="135">
        <f t="shared" si="1"/>
        <v>99</v>
      </c>
      <c r="Z3" s="135">
        <f t="shared" si="1"/>
        <v>120</v>
      </c>
      <c r="AA3" s="135">
        <f t="shared" si="1"/>
        <v>146</v>
      </c>
      <c r="AB3" s="135">
        <f t="shared" si="1"/>
        <v>116</v>
      </c>
      <c r="AC3" s="135">
        <f t="shared" si="1"/>
        <v>122</v>
      </c>
      <c r="AD3" s="135">
        <f t="shared" si="1"/>
        <v>141</v>
      </c>
      <c r="AE3" s="135">
        <f t="shared" si="1"/>
        <v>121</v>
      </c>
      <c r="AF3" s="135">
        <f t="shared" si="1"/>
        <v>121</v>
      </c>
      <c r="AG3" s="187">
        <f>SUM(B3:AF3)</f>
        <v>3797</v>
      </c>
    </row>
    <row r="4" spans="1:33" ht="18.75" x14ac:dyDescent="0.25">
      <c r="A4" s="113" t="s">
        <v>54</v>
      </c>
      <c r="B4" s="114">
        <v>7</v>
      </c>
      <c r="C4" s="114">
        <v>8</v>
      </c>
      <c r="D4" s="114">
        <v>2</v>
      </c>
      <c r="E4" s="114">
        <v>1</v>
      </c>
      <c r="F4" s="114">
        <v>11</v>
      </c>
      <c r="G4" s="114">
        <v>6</v>
      </c>
      <c r="H4" s="114">
        <v>8</v>
      </c>
      <c r="I4" s="114">
        <v>4</v>
      </c>
      <c r="J4" s="114">
        <v>6</v>
      </c>
      <c r="K4" s="114">
        <v>6</v>
      </c>
      <c r="L4" s="114">
        <v>6</v>
      </c>
      <c r="M4" s="114">
        <v>1</v>
      </c>
      <c r="N4" s="114">
        <v>2</v>
      </c>
      <c r="O4" s="114">
        <v>4</v>
      </c>
      <c r="P4" s="114">
        <v>2</v>
      </c>
      <c r="Q4" s="114">
        <v>3</v>
      </c>
      <c r="R4" s="114">
        <v>2</v>
      </c>
      <c r="S4" s="114">
        <v>5</v>
      </c>
      <c r="T4" s="114">
        <v>4</v>
      </c>
      <c r="U4" s="114">
        <v>5</v>
      </c>
      <c r="V4" s="114">
        <v>3</v>
      </c>
      <c r="W4" s="114">
        <v>6</v>
      </c>
      <c r="X4" s="114">
        <v>11</v>
      </c>
      <c r="Y4" s="114"/>
      <c r="Z4" s="114"/>
      <c r="AA4" s="114">
        <v>4</v>
      </c>
      <c r="AB4" s="114">
        <v>2</v>
      </c>
      <c r="AC4" s="114">
        <v>4</v>
      </c>
      <c r="AD4" s="114">
        <v>6</v>
      </c>
      <c r="AE4" s="114">
        <v>7</v>
      </c>
      <c r="AF4" s="115">
        <v>5</v>
      </c>
      <c r="AG4" s="132">
        <f t="shared" ref="AG4:AG83" si="2">SUM(B4:AF4)</f>
        <v>141</v>
      </c>
    </row>
    <row r="5" spans="1:33" ht="18.75" x14ac:dyDescent="0.25">
      <c r="A5" s="41" t="s">
        <v>55</v>
      </c>
      <c r="B5" s="7">
        <v>7</v>
      </c>
      <c r="C5" s="7">
        <v>5</v>
      </c>
      <c r="D5" s="7">
        <v>4</v>
      </c>
      <c r="E5" s="7">
        <v>3</v>
      </c>
      <c r="F5" s="7">
        <v>6</v>
      </c>
      <c r="G5" s="7">
        <v>5</v>
      </c>
      <c r="H5" s="7">
        <v>9</v>
      </c>
      <c r="I5" s="7">
        <v>6</v>
      </c>
      <c r="J5" s="7">
        <v>7</v>
      </c>
      <c r="K5" s="7">
        <v>9</v>
      </c>
      <c r="L5" s="7">
        <v>3</v>
      </c>
      <c r="M5" s="7">
        <v>2</v>
      </c>
      <c r="N5" s="7">
        <v>11</v>
      </c>
      <c r="O5" s="7">
        <v>9</v>
      </c>
      <c r="P5" s="7">
        <v>8</v>
      </c>
      <c r="Q5" s="7">
        <v>4</v>
      </c>
      <c r="R5" s="7">
        <v>4</v>
      </c>
      <c r="S5" s="7">
        <v>1</v>
      </c>
      <c r="T5" s="7">
        <v>6</v>
      </c>
      <c r="U5" s="7">
        <v>1</v>
      </c>
      <c r="V5" s="7">
        <v>4</v>
      </c>
      <c r="W5" s="7">
        <v>6</v>
      </c>
      <c r="X5" s="7">
        <v>11</v>
      </c>
      <c r="Y5" s="7">
        <v>6</v>
      </c>
      <c r="Z5" s="7">
        <v>1</v>
      </c>
      <c r="AA5" s="7">
        <v>5</v>
      </c>
      <c r="AB5" s="7">
        <v>4</v>
      </c>
      <c r="AC5" s="7">
        <v>4</v>
      </c>
      <c r="AD5" s="7">
        <v>9</v>
      </c>
      <c r="AE5" s="7">
        <v>4</v>
      </c>
      <c r="AF5" s="8">
        <v>2</v>
      </c>
      <c r="AG5" s="4">
        <f t="shared" si="2"/>
        <v>166</v>
      </c>
    </row>
    <row r="6" spans="1:33" ht="18.75" x14ac:dyDescent="0.25">
      <c r="A6" s="41" t="s">
        <v>56</v>
      </c>
      <c r="B6" s="7">
        <v>9</v>
      </c>
      <c r="C6" s="7">
        <v>4</v>
      </c>
      <c r="D6" s="7">
        <v>8</v>
      </c>
      <c r="E6" s="7">
        <v>6</v>
      </c>
      <c r="F6" s="7">
        <v>4</v>
      </c>
      <c r="G6" s="7">
        <v>5</v>
      </c>
      <c r="H6" s="7">
        <v>4</v>
      </c>
      <c r="I6" s="7">
        <v>8</v>
      </c>
      <c r="J6" s="7">
        <v>7</v>
      </c>
      <c r="K6" s="7">
        <v>5</v>
      </c>
      <c r="L6" s="7">
        <v>6</v>
      </c>
      <c r="M6" s="7">
        <v>10</v>
      </c>
      <c r="N6" s="7">
        <v>8</v>
      </c>
      <c r="O6" s="7">
        <v>3</v>
      </c>
      <c r="P6" s="7">
        <v>7</v>
      </c>
      <c r="Q6" s="7">
        <v>3</v>
      </c>
      <c r="R6" s="7">
        <v>8</v>
      </c>
      <c r="S6" s="7">
        <v>4</v>
      </c>
      <c r="T6" s="7">
        <v>5</v>
      </c>
      <c r="U6" s="7">
        <v>3</v>
      </c>
      <c r="V6" s="7">
        <v>7</v>
      </c>
      <c r="W6" s="7">
        <v>8</v>
      </c>
      <c r="X6" s="7">
        <v>6</v>
      </c>
      <c r="Y6" s="7">
        <v>12</v>
      </c>
      <c r="Z6" s="7">
        <v>7</v>
      </c>
      <c r="AA6" s="7">
        <v>9</v>
      </c>
      <c r="AB6" s="7">
        <v>4</v>
      </c>
      <c r="AC6" s="7">
        <v>9</v>
      </c>
      <c r="AD6" s="7">
        <v>5</v>
      </c>
      <c r="AE6" s="7">
        <v>4</v>
      </c>
      <c r="AF6" s="8">
        <v>11</v>
      </c>
      <c r="AG6" s="4">
        <f t="shared" si="2"/>
        <v>199</v>
      </c>
    </row>
    <row r="7" spans="1:33" ht="18.75" x14ac:dyDescent="0.25">
      <c r="A7" s="41" t="s">
        <v>38</v>
      </c>
      <c r="B7" s="7">
        <v>10</v>
      </c>
      <c r="C7" s="7">
        <v>9</v>
      </c>
      <c r="D7" s="7">
        <v>13</v>
      </c>
      <c r="E7" s="7">
        <v>7</v>
      </c>
      <c r="F7" s="7">
        <v>7</v>
      </c>
      <c r="G7" s="7">
        <v>8</v>
      </c>
      <c r="H7" s="7">
        <v>2</v>
      </c>
      <c r="I7" s="7">
        <v>5</v>
      </c>
      <c r="J7" s="7">
        <v>5</v>
      </c>
      <c r="K7" s="7">
        <v>4</v>
      </c>
      <c r="L7" s="7">
        <v>9</v>
      </c>
      <c r="M7" s="7">
        <v>8</v>
      </c>
      <c r="N7" s="7">
        <v>6</v>
      </c>
      <c r="O7" s="7">
        <v>6</v>
      </c>
      <c r="P7" s="7">
        <v>7</v>
      </c>
      <c r="Q7" s="7">
        <v>10</v>
      </c>
      <c r="R7" s="7">
        <v>7</v>
      </c>
      <c r="S7" s="7">
        <v>5</v>
      </c>
      <c r="T7" s="7">
        <v>6</v>
      </c>
      <c r="U7" s="7">
        <v>8</v>
      </c>
      <c r="V7" s="7">
        <v>8</v>
      </c>
      <c r="W7" s="7">
        <v>9</v>
      </c>
      <c r="X7" s="7">
        <v>12</v>
      </c>
      <c r="Y7" s="7">
        <v>8</v>
      </c>
      <c r="Z7" s="7">
        <v>13</v>
      </c>
      <c r="AA7" s="7">
        <v>9</v>
      </c>
      <c r="AB7" s="7">
        <v>5</v>
      </c>
      <c r="AC7" s="7">
        <v>7</v>
      </c>
      <c r="AD7" s="7">
        <v>10</v>
      </c>
      <c r="AE7" s="7">
        <v>7</v>
      </c>
      <c r="AF7" s="8">
        <v>6</v>
      </c>
      <c r="AG7" s="4">
        <f t="shared" si="2"/>
        <v>236</v>
      </c>
    </row>
    <row r="8" spans="1:33" ht="18.75" x14ac:dyDescent="0.25">
      <c r="A8" s="41" t="s">
        <v>39</v>
      </c>
      <c r="B8" s="7">
        <v>6</v>
      </c>
      <c r="C8" s="7">
        <v>7</v>
      </c>
      <c r="D8" s="7">
        <v>9</v>
      </c>
      <c r="E8" s="7">
        <v>9</v>
      </c>
      <c r="F8" s="7">
        <v>11</v>
      </c>
      <c r="G8" s="7">
        <v>8</v>
      </c>
      <c r="H8" s="7">
        <v>10</v>
      </c>
      <c r="I8" s="7">
        <v>9</v>
      </c>
      <c r="J8" s="7">
        <v>5</v>
      </c>
      <c r="K8" s="7">
        <v>8</v>
      </c>
      <c r="L8" s="7">
        <v>6</v>
      </c>
      <c r="M8" s="7">
        <v>8</v>
      </c>
      <c r="N8" s="7">
        <v>2</v>
      </c>
      <c r="O8" s="7">
        <v>5</v>
      </c>
      <c r="P8" s="7">
        <v>7</v>
      </c>
      <c r="Q8" s="7">
        <v>10</v>
      </c>
      <c r="R8" s="7">
        <v>10</v>
      </c>
      <c r="S8" s="7">
        <v>12</v>
      </c>
      <c r="T8" s="7">
        <v>11</v>
      </c>
      <c r="U8" s="7">
        <v>4</v>
      </c>
      <c r="V8" s="7">
        <v>7</v>
      </c>
      <c r="W8" s="7">
        <v>10</v>
      </c>
      <c r="X8" s="7">
        <v>12</v>
      </c>
      <c r="Y8" s="7">
        <v>7</v>
      </c>
      <c r="Z8" s="7">
        <v>1</v>
      </c>
      <c r="AA8" s="7">
        <v>6</v>
      </c>
      <c r="AB8" s="7">
        <v>9</v>
      </c>
      <c r="AC8" s="7">
        <v>9</v>
      </c>
      <c r="AD8" s="7">
        <v>9</v>
      </c>
      <c r="AE8" s="7">
        <v>5</v>
      </c>
      <c r="AF8" s="8">
        <v>11</v>
      </c>
      <c r="AG8" s="4">
        <f t="shared" si="2"/>
        <v>243</v>
      </c>
    </row>
    <row r="9" spans="1:33" ht="18.75" x14ac:dyDescent="0.25">
      <c r="A9" s="41" t="s">
        <v>40</v>
      </c>
      <c r="B9" s="7">
        <v>3</v>
      </c>
      <c r="C9" s="7">
        <v>10</v>
      </c>
      <c r="D9" s="7">
        <v>4</v>
      </c>
      <c r="E9" s="7">
        <v>11</v>
      </c>
      <c r="F9" s="7">
        <v>2</v>
      </c>
      <c r="G9" s="7">
        <v>10</v>
      </c>
      <c r="H9" s="7">
        <v>5</v>
      </c>
      <c r="I9" s="7">
        <v>4</v>
      </c>
      <c r="J9" s="7">
        <v>6</v>
      </c>
      <c r="K9" s="7">
        <v>4</v>
      </c>
      <c r="L9" s="7">
        <v>6</v>
      </c>
      <c r="M9" s="7">
        <v>8</v>
      </c>
      <c r="N9" s="7">
        <v>3</v>
      </c>
      <c r="O9" s="7">
        <v>5</v>
      </c>
      <c r="P9" s="7">
        <v>9</v>
      </c>
      <c r="Q9" s="7">
        <v>9</v>
      </c>
      <c r="R9" s="7">
        <v>7</v>
      </c>
      <c r="S9" s="7">
        <v>4</v>
      </c>
      <c r="T9" s="7">
        <v>8</v>
      </c>
      <c r="U9" s="7">
        <v>9</v>
      </c>
      <c r="V9" s="7">
        <v>4</v>
      </c>
      <c r="W9" s="7">
        <v>6</v>
      </c>
      <c r="X9" s="7">
        <v>18</v>
      </c>
      <c r="Y9" s="7">
        <v>4</v>
      </c>
      <c r="Z9" s="7">
        <v>11</v>
      </c>
      <c r="AA9" s="7">
        <v>7</v>
      </c>
      <c r="AB9" s="7">
        <v>7</v>
      </c>
      <c r="AC9" s="7">
        <v>2</v>
      </c>
      <c r="AD9" s="7">
        <v>4</v>
      </c>
      <c r="AE9" s="7">
        <v>9</v>
      </c>
      <c r="AF9" s="8">
        <v>2</v>
      </c>
      <c r="AG9" s="4">
        <f t="shared" si="2"/>
        <v>201</v>
      </c>
    </row>
    <row r="10" spans="1:33" ht="18.75" x14ac:dyDescent="0.25">
      <c r="A10" s="41" t="s">
        <v>41</v>
      </c>
      <c r="B10" s="7">
        <v>4</v>
      </c>
      <c r="C10" s="7">
        <v>8</v>
      </c>
      <c r="D10" s="7">
        <v>14</v>
      </c>
      <c r="E10" s="7">
        <v>6</v>
      </c>
      <c r="F10" s="7">
        <v>5</v>
      </c>
      <c r="G10" s="7">
        <v>11</v>
      </c>
      <c r="H10" s="7">
        <v>5</v>
      </c>
      <c r="I10" s="7">
        <v>4</v>
      </c>
      <c r="J10" s="7">
        <v>5</v>
      </c>
      <c r="K10" s="7">
        <v>5</v>
      </c>
      <c r="L10" s="7">
        <v>11</v>
      </c>
      <c r="M10" s="7">
        <v>8</v>
      </c>
      <c r="N10" s="7">
        <v>9</v>
      </c>
      <c r="O10" s="7">
        <v>9</v>
      </c>
      <c r="P10" s="7">
        <v>5</v>
      </c>
      <c r="Q10" s="7">
        <v>6</v>
      </c>
      <c r="R10" s="7">
        <v>7</v>
      </c>
      <c r="S10" s="7">
        <v>7</v>
      </c>
      <c r="T10" s="7">
        <v>8</v>
      </c>
      <c r="U10" s="7">
        <v>3</v>
      </c>
      <c r="V10" s="7">
        <v>10</v>
      </c>
      <c r="W10" s="7">
        <v>9</v>
      </c>
      <c r="X10" s="7">
        <v>8</v>
      </c>
      <c r="Y10" s="7">
        <v>6</v>
      </c>
      <c r="Z10" s="7">
        <v>12</v>
      </c>
      <c r="AA10" s="7">
        <v>9</v>
      </c>
      <c r="AB10" s="7">
        <v>3</v>
      </c>
      <c r="AC10" s="7">
        <v>8</v>
      </c>
      <c r="AD10" s="7">
        <v>7</v>
      </c>
      <c r="AE10" s="7">
        <v>4</v>
      </c>
      <c r="AF10" s="8">
        <v>9</v>
      </c>
      <c r="AG10" s="4">
        <f t="shared" si="2"/>
        <v>225</v>
      </c>
    </row>
    <row r="11" spans="1:33" ht="18.75" x14ac:dyDescent="0.25">
      <c r="A11" s="41" t="s">
        <v>42</v>
      </c>
      <c r="B11" s="7">
        <v>6</v>
      </c>
      <c r="C11" s="7">
        <v>5</v>
      </c>
      <c r="D11" s="7">
        <v>5</v>
      </c>
      <c r="E11" s="7">
        <v>7</v>
      </c>
      <c r="F11" s="7">
        <v>5</v>
      </c>
      <c r="G11" s="7">
        <v>6</v>
      </c>
      <c r="H11" s="7">
        <v>3</v>
      </c>
      <c r="I11" s="7">
        <v>9</v>
      </c>
      <c r="J11" s="7">
        <v>6</v>
      </c>
      <c r="K11" s="7">
        <v>17</v>
      </c>
      <c r="L11" s="7">
        <v>8</v>
      </c>
      <c r="M11" s="7">
        <v>4</v>
      </c>
      <c r="N11" s="7">
        <v>13</v>
      </c>
      <c r="O11" s="7">
        <v>11</v>
      </c>
      <c r="P11" s="7">
        <v>12</v>
      </c>
      <c r="Q11" s="7">
        <v>5</v>
      </c>
      <c r="R11" s="7">
        <v>6</v>
      </c>
      <c r="S11" s="7">
        <v>12</v>
      </c>
      <c r="T11" s="7">
        <v>11</v>
      </c>
      <c r="U11" s="7">
        <v>8</v>
      </c>
      <c r="V11" s="7">
        <v>12</v>
      </c>
      <c r="W11" s="7">
        <v>12</v>
      </c>
      <c r="X11" s="7">
        <v>14</v>
      </c>
      <c r="Y11" s="7">
        <v>8</v>
      </c>
      <c r="Z11" s="7">
        <v>11</v>
      </c>
      <c r="AA11" s="7">
        <v>9</v>
      </c>
      <c r="AB11" s="7">
        <v>5</v>
      </c>
      <c r="AC11" s="7">
        <v>5</v>
      </c>
      <c r="AD11" s="7">
        <v>8</v>
      </c>
      <c r="AE11" s="7">
        <v>6</v>
      </c>
      <c r="AF11" s="8">
        <v>4</v>
      </c>
      <c r="AG11" s="4">
        <f t="shared" si="2"/>
        <v>253</v>
      </c>
    </row>
    <row r="12" spans="1:33" ht="18.75" x14ac:dyDescent="0.25">
      <c r="A12" s="41" t="s">
        <v>43</v>
      </c>
      <c r="B12" s="7">
        <v>14</v>
      </c>
      <c r="C12" s="7">
        <v>10</v>
      </c>
      <c r="D12" s="7">
        <v>5</v>
      </c>
      <c r="E12" s="7">
        <v>8</v>
      </c>
      <c r="F12" s="7">
        <v>12</v>
      </c>
      <c r="G12" s="7">
        <v>8</v>
      </c>
      <c r="H12" s="7">
        <v>4</v>
      </c>
      <c r="I12" s="7">
        <v>4</v>
      </c>
      <c r="J12" s="7">
        <v>13</v>
      </c>
      <c r="K12" s="7">
        <v>7</v>
      </c>
      <c r="L12" s="7">
        <v>13</v>
      </c>
      <c r="M12" s="7">
        <v>12</v>
      </c>
      <c r="N12" s="7">
        <v>6</v>
      </c>
      <c r="O12" s="7">
        <v>8</v>
      </c>
      <c r="P12" s="7">
        <v>11</v>
      </c>
      <c r="Q12" s="7">
        <v>6</v>
      </c>
      <c r="R12" s="7">
        <v>13</v>
      </c>
      <c r="S12" s="7">
        <v>6</v>
      </c>
      <c r="T12" s="7">
        <v>17</v>
      </c>
      <c r="U12" s="7">
        <v>8</v>
      </c>
      <c r="V12" s="7">
        <v>8</v>
      </c>
      <c r="W12" s="7">
        <v>20</v>
      </c>
      <c r="X12" s="7">
        <v>7</v>
      </c>
      <c r="Y12" s="7">
        <v>4</v>
      </c>
      <c r="Z12" s="7">
        <v>6</v>
      </c>
      <c r="AA12" s="7">
        <v>14</v>
      </c>
      <c r="AB12" s="7">
        <v>16</v>
      </c>
      <c r="AC12" s="7">
        <v>3</v>
      </c>
      <c r="AD12" s="7">
        <v>15</v>
      </c>
      <c r="AE12" s="7">
        <v>11</v>
      </c>
      <c r="AF12" s="8">
        <v>9</v>
      </c>
      <c r="AG12" s="4">
        <f t="shared" si="2"/>
        <v>298</v>
      </c>
    </row>
    <row r="13" spans="1:33" ht="18.75" x14ac:dyDescent="0.25">
      <c r="A13" s="41" t="s">
        <v>44</v>
      </c>
      <c r="B13" s="7">
        <v>15</v>
      </c>
      <c r="C13" s="7">
        <v>14</v>
      </c>
      <c r="D13" s="7">
        <v>8</v>
      </c>
      <c r="E13" s="7">
        <v>5</v>
      </c>
      <c r="F13" s="7">
        <v>13</v>
      </c>
      <c r="G13" s="7">
        <v>6</v>
      </c>
      <c r="H13" s="7">
        <v>20</v>
      </c>
      <c r="I13" s="7">
        <v>13</v>
      </c>
      <c r="J13" s="7">
        <v>9</v>
      </c>
      <c r="K13" s="7">
        <v>4</v>
      </c>
      <c r="L13" s="7">
        <v>11</v>
      </c>
      <c r="M13" s="7">
        <v>8</v>
      </c>
      <c r="N13" s="7">
        <v>12</v>
      </c>
      <c r="O13" s="7">
        <v>6</v>
      </c>
      <c r="P13" s="7">
        <v>7</v>
      </c>
      <c r="Q13" s="7">
        <v>15</v>
      </c>
      <c r="R13" s="7">
        <v>7</v>
      </c>
      <c r="S13" s="7">
        <v>12</v>
      </c>
      <c r="T13" s="7">
        <v>21</v>
      </c>
      <c r="U13" s="7">
        <v>14</v>
      </c>
      <c r="V13" s="7">
        <v>12</v>
      </c>
      <c r="W13" s="7">
        <v>14</v>
      </c>
      <c r="X13" s="7">
        <v>8</v>
      </c>
      <c r="Y13" s="7">
        <v>9</v>
      </c>
      <c r="Z13" s="7">
        <v>6</v>
      </c>
      <c r="AA13" s="7">
        <v>25</v>
      </c>
      <c r="AB13" s="7">
        <v>18</v>
      </c>
      <c r="AC13" s="7">
        <v>18</v>
      </c>
      <c r="AD13" s="7">
        <v>16</v>
      </c>
      <c r="AE13" s="7">
        <v>15</v>
      </c>
      <c r="AF13" s="8">
        <v>11</v>
      </c>
      <c r="AG13" s="4">
        <f t="shared" si="2"/>
        <v>372</v>
      </c>
    </row>
    <row r="14" spans="1:33" ht="18.75" x14ac:dyDescent="0.25">
      <c r="A14" s="41" t="s">
        <v>45</v>
      </c>
      <c r="B14" s="7">
        <v>9</v>
      </c>
      <c r="C14" s="7">
        <v>7</v>
      </c>
      <c r="D14" s="7">
        <v>6</v>
      </c>
      <c r="E14" s="7">
        <v>7</v>
      </c>
      <c r="F14" s="7">
        <v>13</v>
      </c>
      <c r="G14" s="7">
        <v>13</v>
      </c>
      <c r="H14" s="7">
        <v>6</v>
      </c>
      <c r="I14" s="7">
        <v>9</v>
      </c>
      <c r="J14" s="7">
        <v>13</v>
      </c>
      <c r="K14" s="7">
        <v>4</v>
      </c>
      <c r="L14" s="7">
        <v>11</v>
      </c>
      <c r="M14" s="7">
        <v>9</v>
      </c>
      <c r="N14" s="7">
        <v>9</v>
      </c>
      <c r="O14" s="7">
        <v>11</v>
      </c>
      <c r="P14" s="7">
        <v>11</v>
      </c>
      <c r="Q14" s="7">
        <v>13</v>
      </c>
      <c r="R14" s="7">
        <v>8</v>
      </c>
      <c r="S14" s="7">
        <v>7</v>
      </c>
      <c r="T14" s="7">
        <v>15</v>
      </c>
      <c r="U14" s="7">
        <v>10</v>
      </c>
      <c r="V14" s="7">
        <v>9</v>
      </c>
      <c r="W14" s="7">
        <v>15</v>
      </c>
      <c r="X14" s="7">
        <v>12</v>
      </c>
      <c r="Y14" s="7">
        <v>12</v>
      </c>
      <c r="Z14" s="7">
        <v>7</v>
      </c>
      <c r="AA14" s="7">
        <v>14</v>
      </c>
      <c r="AB14" s="7">
        <v>7</v>
      </c>
      <c r="AC14" s="7">
        <v>14</v>
      </c>
      <c r="AD14" s="7">
        <v>13</v>
      </c>
      <c r="AE14" s="7">
        <v>7</v>
      </c>
      <c r="AF14" s="8">
        <v>6</v>
      </c>
      <c r="AG14" s="4">
        <f t="shared" si="2"/>
        <v>307</v>
      </c>
    </row>
    <row r="15" spans="1:33" ht="18.75" x14ac:dyDescent="0.25">
      <c r="A15" s="41" t="s">
        <v>46</v>
      </c>
      <c r="B15" s="7">
        <v>4</v>
      </c>
      <c r="C15" s="7">
        <v>5</v>
      </c>
      <c r="D15" s="7">
        <v>5</v>
      </c>
      <c r="E15" s="7">
        <v>5</v>
      </c>
      <c r="F15" s="7">
        <v>12</v>
      </c>
      <c r="G15" s="7">
        <v>12</v>
      </c>
      <c r="H15" s="7">
        <v>5</v>
      </c>
      <c r="I15" s="7">
        <v>4</v>
      </c>
      <c r="J15" s="7">
        <v>7</v>
      </c>
      <c r="K15" s="7">
        <v>8</v>
      </c>
      <c r="L15" s="7">
        <v>6</v>
      </c>
      <c r="M15" s="7">
        <v>3</v>
      </c>
      <c r="N15" s="7">
        <v>7</v>
      </c>
      <c r="O15" s="7">
        <v>7</v>
      </c>
      <c r="P15" s="7">
        <v>16</v>
      </c>
      <c r="Q15" s="7">
        <v>9</v>
      </c>
      <c r="R15" s="7">
        <v>4</v>
      </c>
      <c r="S15" s="7">
        <v>8</v>
      </c>
      <c r="T15" s="7">
        <v>12</v>
      </c>
      <c r="U15" s="7">
        <v>11</v>
      </c>
      <c r="V15" s="7">
        <v>9</v>
      </c>
      <c r="W15" s="7">
        <v>8</v>
      </c>
      <c r="X15" s="7">
        <v>4</v>
      </c>
      <c r="Y15" s="7">
        <v>5</v>
      </c>
      <c r="Z15" s="7">
        <v>6</v>
      </c>
      <c r="AA15" s="7">
        <v>15</v>
      </c>
      <c r="AB15" s="7">
        <v>8</v>
      </c>
      <c r="AC15" s="7">
        <v>9</v>
      </c>
      <c r="AD15" s="7">
        <v>10</v>
      </c>
      <c r="AE15" s="7">
        <v>10</v>
      </c>
      <c r="AF15" s="8">
        <v>4</v>
      </c>
      <c r="AG15" s="4">
        <f t="shared" si="2"/>
        <v>238</v>
      </c>
    </row>
    <row r="16" spans="1:33" ht="18.75" x14ac:dyDescent="0.25">
      <c r="A16" s="41" t="s">
        <v>47</v>
      </c>
      <c r="B16" s="7">
        <v>2</v>
      </c>
      <c r="C16" s="7">
        <v>3</v>
      </c>
      <c r="D16" s="7">
        <v>2</v>
      </c>
      <c r="E16" s="7">
        <v>4</v>
      </c>
      <c r="F16" s="7">
        <v>7</v>
      </c>
      <c r="G16" s="7">
        <v>13</v>
      </c>
      <c r="H16" s="7">
        <v>2</v>
      </c>
      <c r="I16" s="7">
        <v>6</v>
      </c>
      <c r="J16" s="7">
        <v>11</v>
      </c>
      <c r="K16" s="7">
        <v>8</v>
      </c>
      <c r="L16" s="7">
        <v>6</v>
      </c>
      <c r="M16" s="7">
        <v>6</v>
      </c>
      <c r="N16" s="7">
        <v>3</v>
      </c>
      <c r="O16" s="7">
        <v>8</v>
      </c>
      <c r="P16" s="7">
        <v>1</v>
      </c>
      <c r="Q16" s="7">
        <v>4</v>
      </c>
      <c r="R16" s="7">
        <v>7</v>
      </c>
      <c r="S16" s="7">
        <v>3</v>
      </c>
      <c r="T16" s="7">
        <v>4</v>
      </c>
      <c r="U16" s="7">
        <v>6</v>
      </c>
      <c r="V16" s="7">
        <v>5</v>
      </c>
      <c r="W16" s="7">
        <v>15</v>
      </c>
      <c r="X16" s="7">
        <v>3</v>
      </c>
      <c r="Y16" s="7">
        <v>3</v>
      </c>
      <c r="Z16" s="7">
        <v>7</v>
      </c>
      <c r="AA16" s="7">
        <v>5</v>
      </c>
      <c r="AB16" s="7">
        <v>7</v>
      </c>
      <c r="AC16" s="7">
        <v>5</v>
      </c>
      <c r="AD16" s="7">
        <v>8</v>
      </c>
      <c r="AE16" s="7">
        <v>8</v>
      </c>
      <c r="AF16" s="8">
        <v>7</v>
      </c>
      <c r="AG16" s="4">
        <f t="shared" si="2"/>
        <v>179</v>
      </c>
    </row>
    <row r="17" spans="1:33" ht="18.75" x14ac:dyDescent="0.25">
      <c r="A17" s="41" t="s">
        <v>48</v>
      </c>
      <c r="B17" s="7">
        <v>3</v>
      </c>
      <c r="C17" s="7">
        <v>7</v>
      </c>
      <c r="D17" s="7">
        <v>10</v>
      </c>
      <c r="E17" s="7">
        <v>8</v>
      </c>
      <c r="F17" s="7">
        <v>8</v>
      </c>
      <c r="G17" s="7">
        <v>8</v>
      </c>
      <c r="H17" s="7">
        <v>6</v>
      </c>
      <c r="I17" s="7">
        <v>11</v>
      </c>
      <c r="J17" s="7">
        <v>9</v>
      </c>
      <c r="K17" s="7">
        <v>1</v>
      </c>
      <c r="L17" s="7">
        <v>14</v>
      </c>
      <c r="M17" s="7">
        <v>6</v>
      </c>
      <c r="N17" s="7">
        <v>5</v>
      </c>
      <c r="O17" s="7">
        <v>15</v>
      </c>
      <c r="P17" s="7">
        <v>13</v>
      </c>
      <c r="Q17" s="7">
        <v>8</v>
      </c>
      <c r="R17" s="7">
        <v>2</v>
      </c>
      <c r="S17" s="7">
        <v>7</v>
      </c>
      <c r="T17" s="7">
        <v>11</v>
      </c>
      <c r="U17" s="7">
        <v>12</v>
      </c>
      <c r="V17" s="7">
        <v>9</v>
      </c>
      <c r="W17" s="7">
        <v>3</v>
      </c>
      <c r="X17" s="7">
        <v>7</v>
      </c>
      <c r="Y17" s="7">
        <v>2</v>
      </c>
      <c r="Z17" s="7">
        <v>8</v>
      </c>
      <c r="AA17" s="7">
        <v>3</v>
      </c>
      <c r="AB17" s="7">
        <v>7</v>
      </c>
      <c r="AC17" s="7">
        <v>5</v>
      </c>
      <c r="AD17" s="7">
        <v>5</v>
      </c>
      <c r="AE17" s="7">
        <v>6</v>
      </c>
      <c r="AF17" s="8">
        <v>6</v>
      </c>
      <c r="AG17" s="4">
        <f t="shared" si="2"/>
        <v>225</v>
      </c>
    </row>
    <row r="18" spans="1:33" ht="18.75" x14ac:dyDescent="0.25">
      <c r="A18" s="41" t="s">
        <v>49</v>
      </c>
      <c r="B18" s="7">
        <v>2</v>
      </c>
      <c r="C18" s="7">
        <v>6</v>
      </c>
      <c r="D18" s="7">
        <v>4</v>
      </c>
      <c r="E18" s="7">
        <v>6</v>
      </c>
      <c r="F18" s="7">
        <v>6</v>
      </c>
      <c r="G18" s="7">
        <v>2</v>
      </c>
      <c r="H18" s="7">
        <v>12</v>
      </c>
      <c r="I18" s="7">
        <v>4</v>
      </c>
      <c r="J18" s="7">
        <v>5</v>
      </c>
      <c r="K18" s="7">
        <v>12</v>
      </c>
      <c r="L18" s="7">
        <v>4</v>
      </c>
      <c r="M18" s="7">
        <v>2</v>
      </c>
      <c r="N18" s="7">
        <v>7</v>
      </c>
      <c r="O18" s="7">
        <v>11</v>
      </c>
      <c r="P18" s="7">
        <v>5</v>
      </c>
      <c r="Q18" s="7">
        <v>6</v>
      </c>
      <c r="R18" s="7"/>
      <c r="S18" s="7">
        <v>6</v>
      </c>
      <c r="T18" s="7">
        <v>6</v>
      </c>
      <c r="U18" s="7">
        <v>7</v>
      </c>
      <c r="V18" s="7">
        <v>6</v>
      </c>
      <c r="W18" s="7">
        <v>7</v>
      </c>
      <c r="X18" s="7">
        <v>7</v>
      </c>
      <c r="Y18" s="7">
        <v>2</v>
      </c>
      <c r="Z18" s="7">
        <v>3</v>
      </c>
      <c r="AA18" s="7">
        <v>4</v>
      </c>
      <c r="AB18" s="7">
        <v>4</v>
      </c>
      <c r="AC18" s="7">
        <v>7</v>
      </c>
      <c r="AD18" s="7">
        <v>4</v>
      </c>
      <c r="AE18" s="7">
        <v>6</v>
      </c>
      <c r="AF18" s="8">
        <v>11</v>
      </c>
      <c r="AG18" s="4">
        <f t="shared" si="2"/>
        <v>174</v>
      </c>
    </row>
    <row r="19" spans="1:33" ht="18.75" x14ac:dyDescent="0.25">
      <c r="A19" s="41" t="s">
        <v>50</v>
      </c>
      <c r="B19" s="7"/>
      <c r="C19" s="7">
        <v>4</v>
      </c>
      <c r="D19" s="7">
        <v>2</v>
      </c>
      <c r="E19" s="7">
        <v>5</v>
      </c>
      <c r="F19" s="7">
        <v>5</v>
      </c>
      <c r="G19" s="7">
        <v>4</v>
      </c>
      <c r="H19" s="7">
        <v>1</v>
      </c>
      <c r="I19" s="7">
        <v>1</v>
      </c>
      <c r="J19" s="7">
        <v>2</v>
      </c>
      <c r="K19" s="7">
        <v>2</v>
      </c>
      <c r="L19" s="7">
        <v>5</v>
      </c>
      <c r="M19" s="7">
        <v>6</v>
      </c>
      <c r="N19" s="7">
        <v>2</v>
      </c>
      <c r="O19" s="7">
        <v>3</v>
      </c>
      <c r="P19" s="7">
        <v>1</v>
      </c>
      <c r="Q19" s="7">
        <v>4</v>
      </c>
      <c r="R19" s="7">
        <v>2</v>
      </c>
      <c r="S19" s="7">
        <v>3</v>
      </c>
      <c r="T19" s="7">
        <v>3</v>
      </c>
      <c r="U19" s="7">
        <v>3</v>
      </c>
      <c r="V19" s="7">
        <v>3</v>
      </c>
      <c r="W19" s="7">
        <v>3</v>
      </c>
      <c r="X19" s="7">
        <v>8</v>
      </c>
      <c r="Y19" s="7">
        <v>1</v>
      </c>
      <c r="Z19" s="7">
        <v>4</v>
      </c>
      <c r="AA19" s="7">
        <v>3</v>
      </c>
      <c r="AB19" s="7">
        <v>6</v>
      </c>
      <c r="AC19" s="7">
        <v>5</v>
      </c>
      <c r="AD19" s="7">
        <v>3</v>
      </c>
      <c r="AE19" s="7">
        <v>1</v>
      </c>
      <c r="AF19" s="8">
        <v>5</v>
      </c>
      <c r="AG19" s="4">
        <f t="shared" si="2"/>
        <v>100</v>
      </c>
    </row>
    <row r="20" spans="1:33" ht="18.75" x14ac:dyDescent="0.25">
      <c r="A20" s="41" t="s">
        <v>33</v>
      </c>
      <c r="B20" s="7">
        <v>1</v>
      </c>
      <c r="C20" s="7">
        <v>5</v>
      </c>
      <c r="D20" s="7"/>
      <c r="E20" s="7">
        <v>2</v>
      </c>
      <c r="F20" s="7">
        <v>3</v>
      </c>
      <c r="G20" s="7"/>
      <c r="H20" s="7"/>
      <c r="I20" s="7">
        <v>4</v>
      </c>
      <c r="J20" s="7"/>
      <c r="K20" s="7">
        <v>3</v>
      </c>
      <c r="L20" s="7">
        <v>3</v>
      </c>
      <c r="M20" s="7"/>
      <c r="N20" s="7">
        <v>2</v>
      </c>
      <c r="O20" s="7">
        <v>1</v>
      </c>
      <c r="P20" s="7">
        <v>1</v>
      </c>
      <c r="Q20" s="7">
        <v>2</v>
      </c>
      <c r="R20" s="7">
        <v>4</v>
      </c>
      <c r="S20" s="7">
        <v>1</v>
      </c>
      <c r="T20" s="7">
        <v>4</v>
      </c>
      <c r="U20" s="7"/>
      <c r="V20" s="7">
        <v>2</v>
      </c>
      <c r="W20" s="7">
        <v>2</v>
      </c>
      <c r="X20" s="7">
        <v>1</v>
      </c>
      <c r="Y20" s="7">
        <v>2</v>
      </c>
      <c r="Z20" s="7">
        <v>7</v>
      </c>
      <c r="AA20" s="7">
        <v>2</v>
      </c>
      <c r="AB20" s="7">
        <v>3</v>
      </c>
      <c r="AC20" s="7">
        <v>3</v>
      </c>
      <c r="AD20" s="7">
        <v>4</v>
      </c>
      <c r="AE20" s="7">
        <v>3</v>
      </c>
      <c r="AF20" s="8">
        <v>4</v>
      </c>
      <c r="AG20" s="4">
        <f t="shared" si="2"/>
        <v>69</v>
      </c>
    </row>
    <row r="21" spans="1:33" ht="18.75" x14ac:dyDescent="0.25">
      <c r="A21" s="41" t="s">
        <v>34</v>
      </c>
      <c r="B21" s="7">
        <v>1</v>
      </c>
      <c r="C21" s="7"/>
      <c r="D21" s="7">
        <v>2</v>
      </c>
      <c r="E21" s="7"/>
      <c r="F21" s="7">
        <v>1</v>
      </c>
      <c r="G21" s="7">
        <v>1</v>
      </c>
      <c r="H21" s="7"/>
      <c r="I21" s="7">
        <v>1</v>
      </c>
      <c r="J21" s="7"/>
      <c r="K21" s="7">
        <v>3</v>
      </c>
      <c r="L21" s="7"/>
      <c r="M21" s="7">
        <v>1</v>
      </c>
      <c r="N21" s="7">
        <v>1</v>
      </c>
      <c r="O21" s="7">
        <v>2</v>
      </c>
      <c r="P21" s="7">
        <v>3</v>
      </c>
      <c r="Q21" s="7"/>
      <c r="R21" s="7">
        <v>2</v>
      </c>
      <c r="S21" s="7">
        <v>7</v>
      </c>
      <c r="T21" s="7">
        <v>1</v>
      </c>
      <c r="U21" s="7">
        <v>2</v>
      </c>
      <c r="V21" s="7">
        <v>1</v>
      </c>
      <c r="W21" s="7"/>
      <c r="X21" s="7"/>
      <c r="Y21" s="7">
        <v>3</v>
      </c>
      <c r="Z21" s="7">
        <v>2</v>
      </c>
      <c r="AA21" s="7">
        <v>1</v>
      </c>
      <c r="AB21" s="7">
        <v>1</v>
      </c>
      <c r="AC21" s="7">
        <v>1</v>
      </c>
      <c r="AD21" s="7">
        <v>2</v>
      </c>
      <c r="AE21" s="7">
        <v>2</v>
      </c>
      <c r="AF21" s="8">
        <v>3</v>
      </c>
      <c r="AG21" s="4">
        <f t="shared" si="2"/>
        <v>44</v>
      </c>
    </row>
    <row r="22" spans="1:33" ht="18.75" x14ac:dyDescent="0.25">
      <c r="A22" s="41" t="s">
        <v>35</v>
      </c>
      <c r="B22" s="7">
        <v>3</v>
      </c>
      <c r="C22" s="7">
        <v>1</v>
      </c>
      <c r="D22" s="7">
        <v>1</v>
      </c>
      <c r="E22" s="7"/>
      <c r="F22" s="7"/>
      <c r="G22" s="7"/>
      <c r="H22" s="7">
        <v>2</v>
      </c>
      <c r="I22" s="7">
        <v>1</v>
      </c>
      <c r="J22" s="7"/>
      <c r="K22" s="7"/>
      <c r="L22" s="7">
        <v>1</v>
      </c>
      <c r="M22" s="7"/>
      <c r="N22" s="7"/>
      <c r="O22" s="7"/>
      <c r="P22" s="7">
        <v>1</v>
      </c>
      <c r="Q22" s="7"/>
      <c r="R22" s="7">
        <v>1</v>
      </c>
      <c r="S22" s="7">
        <v>3</v>
      </c>
      <c r="T22" s="7">
        <v>1</v>
      </c>
      <c r="U22" s="7"/>
      <c r="V22" s="7">
        <v>2</v>
      </c>
      <c r="W22" s="7"/>
      <c r="X22" s="7">
        <v>2</v>
      </c>
      <c r="Y22" s="7"/>
      <c r="Z22" s="7">
        <v>5</v>
      </c>
      <c r="AA22" s="7"/>
      <c r="AB22" s="7"/>
      <c r="AC22" s="7">
        <v>1</v>
      </c>
      <c r="AD22" s="7">
        <v>1</v>
      </c>
      <c r="AE22" s="7">
        <v>2</v>
      </c>
      <c r="AF22" s="8"/>
      <c r="AG22" s="4">
        <f t="shared" si="2"/>
        <v>28</v>
      </c>
    </row>
    <row r="23" spans="1:33" ht="18.75" x14ac:dyDescent="0.25">
      <c r="A23" s="41" t="s">
        <v>36</v>
      </c>
      <c r="B23" s="7">
        <v>1</v>
      </c>
      <c r="C23" s="7"/>
      <c r="D23" s="7">
        <v>2</v>
      </c>
      <c r="E23" s="7">
        <v>5</v>
      </c>
      <c r="F23" s="7"/>
      <c r="G23" s="7">
        <v>1</v>
      </c>
      <c r="H23" s="7">
        <v>1</v>
      </c>
      <c r="I23" s="7"/>
      <c r="J23" s="7"/>
      <c r="K23" s="7">
        <v>1</v>
      </c>
      <c r="L23" s="7"/>
      <c r="M23" s="7">
        <v>1</v>
      </c>
      <c r="N23" s="7">
        <v>1</v>
      </c>
      <c r="O23" s="7">
        <v>2</v>
      </c>
      <c r="P23" s="7">
        <v>1</v>
      </c>
      <c r="Q23" s="7"/>
      <c r="R23" s="7">
        <v>1</v>
      </c>
      <c r="S23" s="7">
        <v>1</v>
      </c>
      <c r="T23" s="7"/>
      <c r="U23" s="7"/>
      <c r="V23" s="7">
        <v>1</v>
      </c>
      <c r="W23" s="7"/>
      <c r="X23" s="7"/>
      <c r="Y23" s="7">
        <v>2</v>
      </c>
      <c r="Z23" s="7">
        <v>1</v>
      </c>
      <c r="AA23" s="7"/>
      <c r="AB23" s="7"/>
      <c r="AC23" s="7"/>
      <c r="AD23" s="7"/>
      <c r="AE23" s="7"/>
      <c r="AF23" s="8">
        <v>2</v>
      </c>
      <c r="AG23" s="4">
        <f t="shared" si="2"/>
        <v>24</v>
      </c>
    </row>
    <row r="24" spans="1:33" ht="18.75" x14ac:dyDescent="0.25">
      <c r="A24" s="41" t="s">
        <v>51</v>
      </c>
      <c r="B24" s="7"/>
      <c r="C24" s="7">
        <v>1</v>
      </c>
      <c r="D24" s="7">
        <v>1</v>
      </c>
      <c r="E24" s="7"/>
      <c r="F24" s="7"/>
      <c r="G24" s="7"/>
      <c r="H24" s="7"/>
      <c r="I24" s="7"/>
      <c r="J24" s="7"/>
      <c r="K24" s="7">
        <v>1</v>
      </c>
      <c r="L24" s="7"/>
      <c r="M24" s="7">
        <v>1</v>
      </c>
      <c r="N24" s="7">
        <v>1</v>
      </c>
      <c r="O24" s="7"/>
      <c r="P24" s="7">
        <v>1</v>
      </c>
      <c r="Q24" s="7">
        <v>2</v>
      </c>
      <c r="R24" s="7"/>
      <c r="S24" s="7"/>
      <c r="T24" s="7">
        <v>1</v>
      </c>
      <c r="U24" s="7"/>
      <c r="V24" s="7"/>
      <c r="W24" s="7"/>
      <c r="X24" s="7">
        <v>1</v>
      </c>
      <c r="Y24" s="7">
        <v>2</v>
      </c>
      <c r="Z24" s="7">
        <v>1</v>
      </c>
      <c r="AA24" s="7"/>
      <c r="AB24" s="7"/>
      <c r="AC24" s="7">
        <v>1</v>
      </c>
      <c r="AD24" s="7"/>
      <c r="AE24" s="7">
        <v>1</v>
      </c>
      <c r="AF24" s="8">
        <v>2</v>
      </c>
      <c r="AG24" s="4">
        <f t="shared" si="2"/>
        <v>17</v>
      </c>
    </row>
    <row r="25" spans="1:33" ht="18.75" x14ac:dyDescent="0.25">
      <c r="A25" s="41" t="s">
        <v>52</v>
      </c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>
        <v>2</v>
      </c>
      <c r="R25" s="7"/>
      <c r="S25" s="7">
        <v>1</v>
      </c>
      <c r="T25" s="7">
        <v>1</v>
      </c>
      <c r="U25" s="7">
        <v>1</v>
      </c>
      <c r="V25" s="7">
        <v>1</v>
      </c>
      <c r="W25" s="7">
        <v>2</v>
      </c>
      <c r="X25" s="7"/>
      <c r="Y25" s="7"/>
      <c r="Z25" s="7"/>
      <c r="AA25" s="7">
        <v>2</v>
      </c>
      <c r="AB25" s="7"/>
      <c r="AC25" s="7">
        <v>1</v>
      </c>
      <c r="AD25" s="7">
        <v>1</v>
      </c>
      <c r="AE25" s="7"/>
      <c r="AF25" s="8">
        <v>1</v>
      </c>
      <c r="AG25" s="4">
        <f t="shared" si="2"/>
        <v>13</v>
      </c>
    </row>
    <row r="26" spans="1:33" ht="18.75" x14ac:dyDescent="0.25">
      <c r="A26" s="41" t="s">
        <v>37</v>
      </c>
      <c r="B26" s="7"/>
      <c r="C26" s="7">
        <v>1</v>
      </c>
      <c r="D26" s="7">
        <v>1</v>
      </c>
      <c r="E26" s="7">
        <v>1</v>
      </c>
      <c r="F26" s="7"/>
      <c r="G26" s="7">
        <v>1</v>
      </c>
      <c r="H26" s="7">
        <v>2</v>
      </c>
      <c r="I26" s="7"/>
      <c r="J26" s="7">
        <v>1</v>
      </c>
      <c r="K26" s="7"/>
      <c r="L26" s="7"/>
      <c r="M26" s="7"/>
      <c r="N26" s="7">
        <v>1</v>
      </c>
      <c r="O26" s="7"/>
      <c r="P26" s="7">
        <v>1</v>
      </c>
      <c r="Q26" s="7"/>
      <c r="R26" s="7">
        <v>1</v>
      </c>
      <c r="S26" s="7">
        <v>1</v>
      </c>
      <c r="T26" s="7">
        <v>1</v>
      </c>
      <c r="U26" s="7"/>
      <c r="V26" s="7"/>
      <c r="W26" s="7"/>
      <c r="X26" s="7"/>
      <c r="Y26" s="7">
        <v>1</v>
      </c>
      <c r="Z26" s="7"/>
      <c r="AA26" s="7"/>
      <c r="AB26" s="7"/>
      <c r="AC26" s="7">
        <v>1</v>
      </c>
      <c r="AD26" s="7"/>
      <c r="AE26" s="7"/>
      <c r="AF26" s="8"/>
      <c r="AG26" s="4">
        <f t="shared" si="2"/>
        <v>14</v>
      </c>
    </row>
    <row r="27" spans="1:33" ht="19.5" thickBot="1" x14ac:dyDescent="0.3">
      <c r="A27" s="81" t="s">
        <v>53</v>
      </c>
      <c r="B27" s="78">
        <v>1</v>
      </c>
      <c r="C27" s="78">
        <v>1</v>
      </c>
      <c r="D27" s="78">
        <v>1</v>
      </c>
      <c r="E27" s="78">
        <v>2</v>
      </c>
      <c r="F27" s="78">
        <v>1</v>
      </c>
      <c r="G27" s="78">
        <v>2</v>
      </c>
      <c r="H27" s="78">
        <v>1</v>
      </c>
      <c r="I27" s="78"/>
      <c r="J27" s="78"/>
      <c r="K27" s="78"/>
      <c r="L27" s="78">
        <v>1</v>
      </c>
      <c r="M27" s="78">
        <v>4</v>
      </c>
      <c r="N27" s="78">
        <v>2</v>
      </c>
      <c r="O27" s="78">
        <v>2</v>
      </c>
      <c r="P27" s="78"/>
      <c r="Q27" s="78">
        <v>1</v>
      </c>
      <c r="R27" s="78"/>
      <c r="S27" s="78">
        <v>1</v>
      </c>
      <c r="T27" s="78">
        <v>3</v>
      </c>
      <c r="U27" s="78">
        <v>2</v>
      </c>
      <c r="V27" s="78"/>
      <c r="W27" s="78">
        <v>1</v>
      </c>
      <c r="X27" s="78"/>
      <c r="Y27" s="78"/>
      <c r="Z27" s="78">
        <v>1</v>
      </c>
      <c r="AA27" s="78"/>
      <c r="AB27" s="78"/>
      <c r="AC27" s="78"/>
      <c r="AD27" s="78">
        <v>1</v>
      </c>
      <c r="AE27" s="78">
        <v>3</v>
      </c>
      <c r="AF27" s="83"/>
      <c r="AG27" s="4">
        <f t="shared" si="2"/>
        <v>31</v>
      </c>
    </row>
    <row r="28" spans="1:33" ht="18.75" x14ac:dyDescent="0.25">
      <c r="A28" s="79" t="s">
        <v>107</v>
      </c>
      <c r="B28" s="80">
        <f>SUM(B29:B52)</f>
        <v>104</v>
      </c>
      <c r="C28" s="80">
        <f t="shared" ref="C28:AF28" si="3">SUM(C29:C52)</f>
        <v>118</v>
      </c>
      <c r="D28" s="80">
        <f t="shared" si="3"/>
        <v>105</v>
      </c>
      <c r="E28" s="80">
        <f t="shared" si="3"/>
        <v>104</v>
      </c>
      <c r="F28" s="80">
        <f t="shared" si="3"/>
        <v>124</v>
      </c>
      <c r="G28" s="80">
        <f t="shared" si="3"/>
        <v>125</v>
      </c>
      <c r="H28" s="80">
        <f t="shared" si="3"/>
        <v>104</v>
      </c>
      <c r="I28" s="80">
        <f t="shared" si="3"/>
        <v>104</v>
      </c>
      <c r="J28" s="80">
        <f t="shared" si="3"/>
        <v>109</v>
      </c>
      <c r="K28" s="80">
        <f t="shared" si="3"/>
        <v>105</v>
      </c>
      <c r="L28" s="80">
        <f t="shared" si="3"/>
        <v>126</v>
      </c>
      <c r="M28" s="80">
        <f t="shared" si="3"/>
        <v>106</v>
      </c>
      <c r="N28" s="80">
        <f t="shared" si="3"/>
        <v>109</v>
      </c>
      <c r="O28" s="80">
        <f t="shared" si="3"/>
        <v>122</v>
      </c>
      <c r="P28" s="80">
        <f t="shared" si="3"/>
        <v>123</v>
      </c>
      <c r="Q28" s="80">
        <f t="shared" si="3"/>
        <v>119</v>
      </c>
      <c r="R28" s="80">
        <f t="shared" si="3"/>
        <v>97</v>
      </c>
      <c r="S28" s="80">
        <f t="shared" si="3"/>
        <v>115</v>
      </c>
      <c r="T28" s="80">
        <f t="shared" si="3"/>
        <v>150</v>
      </c>
      <c r="U28" s="80">
        <f t="shared" si="3"/>
        <v>111</v>
      </c>
      <c r="V28" s="80">
        <f t="shared" si="3"/>
        <v>118</v>
      </c>
      <c r="W28" s="80">
        <f t="shared" si="3"/>
        <v>152</v>
      </c>
      <c r="X28" s="80">
        <f t="shared" si="3"/>
        <v>145</v>
      </c>
      <c r="Y28" s="80">
        <f t="shared" si="3"/>
        <v>95</v>
      </c>
      <c r="Z28" s="80">
        <f t="shared" si="3"/>
        <v>117</v>
      </c>
      <c r="AA28" s="80">
        <f t="shared" si="3"/>
        <v>133</v>
      </c>
      <c r="AB28" s="80">
        <f t="shared" si="3"/>
        <v>110</v>
      </c>
      <c r="AC28" s="80">
        <f t="shared" si="3"/>
        <v>110</v>
      </c>
      <c r="AD28" s="80">
        <f t="shared" si="3"/>
        <v>132</v>
      </c>
      <c r="AE28" s="80">
        <f>SUM(AE29:AE52)</f>
        <v>115</v>
      </c>
      <c r="AF28" s="80">
        <f t="shared" si="3"/>
        <v>117</v>
      </c>
      <c r="AG28" s="150">
        <f t="shared" si="2"/>
        <v>3624</v>
      </c>
    </row>
    <row r="29" spans="1:33" ht="18.75" x14ac:dyDescent="0.25">
      <c r="A29" s="41" t="s">
        <v>54</v>
      </c>
      <c r="B29" s="7">
        <v>1</v>
      </c>
      <c r="C29" s="7">
        <v>1</v>
      </c>
      <c r="D29" s="7">
        <v>2</v>
      </c>
      <c r="E29" s="7">
        <v>2</v>
      </c>
      <c r="F29" s="7">
        <v>2</v>
      </c>
      <c r="G29" s="7">
        <v>4</v>
      </c>
      <c r="H29" s="7">
        <v>2</v>
      </c>
      <c r="I29" s="7">
        <v>2</v>
      </c>
      <c r="J29" s="7">
        <v>3</v>
      </c>
      <c r="K29" s="7">
        <v>1</v>
      </c>
      <c r="L29" s="7">
        <v>1</v>
      </c>
      <c r="M29" s="7">
        <v>2</v>
      </c>
      <c r="N29" s="7"/>
      <c r="O29" s="7">
        <v>3</v>
      </c>
      <c r="P29" s="7"/>
      <c r="Q29" s="7">
        <v>1</v>
      </c>
      <c r="R29" s="7">
        <v>1</v>
      </c>
      <c r="S29" s="7">
        <v>2</v>
      </c>
      <c r="T29" s="7">
        <v>2</v>
      </c>
      <c r="U29" s="7">
        <v>2</v>
      </c>
      <c r="V29" s="7">
        <v>2</v>
      </c>
      <c r="W29" s="7">
        <v>3</v>
      </c>
      <c r="X29" s="7">
        <v>5</v>
      </c>
      <c r="Y29" s="7"/>
      <c r="Z29" s="7"/>
      <c r="AA29" s="7">
        <v>2</v>
      </c>
      <c r="AB29" s="7">
        <v>1</v>
      </c>
      <c r="AC29" s="7">
        <v>3</v>
      </c>
      <c r="AD29" s="7">
        <v>1</v>
      </c>
      <c r="AE29" s="7">
        <v>2</v>
      </c>
      <c r="AF29" s="8"/>
      <c r="AG29" s="4">
        <f t="shared" si="2"/>
        <v>53</v>
      </c>
    </row>
    <row r="30" spans="1:33" ht="18.75" x14ac:dyDescent="0.25">
      <c r="A30" s="41" t="s">
        <v>55</v>
      </c>
      <c r="B30" s="7">
        <v>9</v>
      </c>
      <c r="C30" s="7">
        <v>9</v>
      </c>
      <c r="D30" s="7">
        <v>2</v>
      </c>
      <c r="E30" s="7">
        <v>3</v>
      </c>
      <c r="F30" s="7">
        <v>10</v>
      </c>
      <c r="G30" s="7">
        <v>5</v>
      </c>
      <c r="H30" s="7">
        <v>7</v>
      </c>
      <c r="I30" s="7">
        <v>5</v>
      </c>
      <c r="J30" s="7">
        <v>7</v>
      </c>
      <c r="K30" s="7">
        <v>8</v>
      </c>
      <c r="L30" s="7">
        <v>7</v>
      </c>
      <c r="M30" s="7">
        <v>2</v>
      </c>
      <c r="N30" s="7">
        <v>4</v>
      </c>
      <c r="O30" s="7">
        <v>5</v>
      </c>
      <c r="P30" s="7">
        <v>7</v>
      </c>
      <c r="Q30" s="7">
        <v>2</v>
      </c>
      <c r="R30" s="7">
        <v>5</v>
      </c>
      <c r="S30" s="7">
        <v>4</v>
      </c>
      <c r="T30" s="7">
        <v>5</v>
      </c>
      <c r="U30" s="7">
        <v>3</v>
      </c>
      <c r="V30" s="7">
        <v>4</v>
      </c>
      <c r="W30" s="7">
        <v>7</v>
      </c>
      <c r="X30" s="7">
        <v>7</v>
      </c>
      <c r="Y30" s="7">
        <v>2</v>
      </c>
      <c r="Z30" s="7">
        <v>2</v>
      </c>
      <c r="AA30" s="7">
        <v>5</v>
      </c>
      <c r="AB30" s="7">
        <v>1</v>
      </c>
      <c r="AC30" s="7">
        <v>3</v>
      </c>
      <c r="AD30" s="7">
        <v>7</v>
      </c>
      <c r="AE30" s="7">
        <v>5</v>
      </c>
      <c r="AF30" s="8">
        <v>6</v>
      </c>
      <c r="AG30" s="4">
        <f t="shared" si="2"/>
        <v>158</v>
      </c>
    </row>
    <row r="31" spans="1:33" ht="18.75" x14ac:dyDescent="0.25">
      <c r="A31" s="41" t="s">
        <v>56</v>
      </c>
      <c r="B31" s="7">
        <v>5</v>
      </c>
      <c r="C31" s="7">
        <v>5</v>
      </c>
      <c r="D31" s="7">
        <v>7</v>
      </c>
      <c r="E31" s="7">
        <v>3</v>
      </c>
      <c r="F31" s="7">
        <v>6</v>
      </c>
      <c r="G31" s="7">
        <v>5</v>
      </c>
      <c r="H31" s="7">
        <v>10</v>
      </c>
      <c r="I31" s="7">
        <v>6</v>
      </c>
      <c r="J31" s="7">
        <v>7</v>
      </c>
      <c r="K31" s="7">
        <v>7</v>
      </c>
      <c r="L31" s="7">
        <v>4</v>
      </c>
      <c r="M31" s="7">
        <v>7</v>
      </c>
      <c r="N31" s="7">
        <v>16</v>
      </c>
      <c r="O31" s="7">
        <v>6</v>
      </c>
      <c r="P31" s="7">
        <v>8</v>
      </c>
      <c r="Q31" s="7">
        <v>5</v>
      </c>
      <c r="R31" s="7">
        <v>1</v>
      </c>
      <c r="S31" s="7">
        <v>3</v>
      </c>
      <c r="T31" s="7">
        <v>7</v>
      </c>
      <c r="U31" s="7">
        <v>2</v>
      </c>
      <c r="V31" s="7">
        <v>4</v>
      </c>
      <c r="W31" s="7">
        <v>3</v>
      </c>
      <c r="X31" s="7">
        <v>11</v>
      </c>
      <c r="Y31" s="7">
        <v>8</v>
      </c>
      <c r="Z31" s="7">
        <v>4</v>
      </c>
      <c r="AA31" s="7">
        <v>4</v>
      </c>
      <c r="AB31" s="7">
        <v>6</v>
      </c>
      <c r="AC31" s="7">
        <v>5</v>
      </c>
      <c r="AD31" s="7">
        <v>9</v>
      </c>
      <c r="AE31" s="7">
        <v>2</v>
      </c>
      <c r="AF31" s="8">
        <v>4</v>
      </c>
      <c r="AG31" s="4">
        <f t="shared" si="2"/>
        <v>180</v>
      </c>
    </row>
    <row r="32" spans="1:33" ht="18.75" x14ac:dyDescent="0.25">
      <c r="A32" s="41" t="s">
        <v>38</v>
      </c>
      <c r="B32" s="7">
        <v>13</v>
      </c>
      <c r="C32" s="7">
        <v>3</v>
      </c>
      <c r="D32" s="7">
        <v>8</v>
      </c>
      <c r="E32" s="7">
        <v>7</v>
      </c>
      <c r="F32" s="7">
        <v>5</v>
      </c>
      <c r="G32" s="7">
        <v>7</v>
      </c>
      <c r="H32" s="7">
        <v>4</v>
      </c>
      <c r="I32" s="7">
        <v>6</v>
      </c>
      <c r="J32" s="7">
        <v>6</v>
      </c>
      <c r="K32" s="7">
        <v>3</v>
      </c>
      <c r="L32" s="7">
        <v>8</v>
      </c>
      <c r="M32" s="7">
        <v>8</v>
      </c>
      <c r="N32" s="7">
        <v>6</v>
      </c>
      <c r="O32" s="7">
        <v>7</v>
      </c>
      <c r="P32" s="7">
        <v>2</v>
      </c>
      <c r="Q32" s="7">
        <v>9</v>
      </c>
      <c r="R32" s="7">
        <v>8</v>
      </c>
      <c r="S32" s="7">
        <v>6</v>
      </c>
      <c r="T32" s="7">
        <v>6</v>
      </c>
      <c r="U32" s="7">
        <v>5</v>
      </c>
      <c r="V32" s="7">
        <v>5</v>
      </c>
      <c r="W32" s="7">
        <v>13</v>
      </c>
      <c r="X32" s="7">
        <v>9</v>
      </c>
      <c r="Y32" s="7">
        <v>7</v>
      </c>
      <c r="Z32" s="7">
        <v>6</v>
      </c>
      <c r="AA32" s="7">
        <v>9</v>
      </c>
      <c r="AB32" s="7">
        <v>4</v>
      </c>
      <c r="AC32" s="7">
        <v>6</v>
      </c>
      <c r="AD32" s="7">
        <v>4</v>
      </c>
      <c r="AE32" s="7">
        <v>6</v>
      </c>
      <c r="AF32" s="8">
        <v>4</v>
      </c>
      <c r="AG32" s="4">
        <f t="shared" si="2"/>
        <v>200</v>
      </c>
    </row>
    <row r="33" spans="1:33" ht="18.75" x14ac:dyDescent="0.25">
      <c r="A33" s="41" t="s">
        <v>39</v>
      </c>
      <c r="B33" s="7">
        <v>9</v>
      </c>
      <c r="C33" s="7">
        <v>10</v>
      </c>
      <c r="D33" s="7">
        <v>9</v>
      </c>
      <c r="E33" s="7">
        <v>8</v>
      </c>
      <c r="F33" s="7">
        <v>11</v>
      </c>
      <c r="G33" s="7">
        <v>5</v>
      </c>
      <c r="H33" s="7">
        <v>5</v>
      </c>
      <c r="I33" s="7">
        <v>8</v>
      </c>
      <c r="J33" s="7">
        <v>4</v>
      </c>
      <c r="K33" s="7">
        <v>6</v>
      </c>
      <c r="L33" s="7">
        <v>6</v>
      </c>
      <c r="M33" s="7">
        <v>8</v>
      </c>
      <c r="N33" s="7">
        <v>1</v>
      </c>
      <c r="O33" s="7">
        <v>5</v>
      </c>
      <c r="P33" s="7">
        <v>6</v>
      </c>
      <c r="Q33" s="7">
        <v>8</v>
      </c>
      <c r="R33" s="7">
        <v>5</v>
      </c>
      <c r="S33" s="7">
        <v>11</v>
      </c>
      <c r="T33" s="7">
        <v>8</v>
      </c>
      <c r="U33" s="7">
        <v>4</v>
      </c>
      <c r="V33" s="7">
        <v>9</v>
      </c>
      <c r="W33" s="7">
        <v>7</v>
      </c>
      <c r="X33" s="7">
        <v>14</v>
      </c>
      <c r="Y33" s="7">
        <v>11</v>
      </c>
      <c r="Z33" s="7">
        <v>7</v>
      </c>
      <c r="AA33" s="7">
        <v>7</v>
      </c>
      <c r="AB33" s="7">
        <v>5</v>
      </c>
      <c r="AC33" s="7">
        <v>6</v>
      </c>
      <c r="AD33" s="7">
        <v>8</v>
      </c>
      <c r="AE33" s="7">
        <v>4</v>
      </c>
      <c r="AF33" s="8">
        <v>8</v>
      </c>
      <c r="AG33" s="4">
        <f t="shared" si="2"/>
        <v>223</v>
      </c>
    </row>
    <row r="34" spans="1:33" ht="18.75" x14ac:dyDescent="0.25">
      <c r="A34" s="41" t="s">
        <v>40</v>
      </c>
      <c r="B34" s="7">
        <v>2</v>
      </c>
      <c r="C34" s="7">
        <v>5</v>
      </c>
      <c r="D34" s="7">
        <v>6</v>
      </c>
      <c r="E34" s="7">
        <v>7</v>
      </c>
      <c r="F34" s="7">
        <v>7</v>
      </c>
      <c r="G34" s="7">
        <v>12</v>
      </c>
      <c r="H34" s="7">
        <v>4</v>
      </c>
      <c r="I34" s="7">
        <v>6</v>
      </c>
      <c r="J34" s="7">
        <v>4</v>
      </c>
      <c r="K34" s="7">
        <v>4</v>
      </c>
      <c r="L34" s="7">
        <v>8</v>
      </c>
      <c r="M34" s="7">
        <v>9</v>
      </c>
      <c r="N34" s="7">
        <v>3</v>
      </c>
      <c r="O34" s="7">
        <v>3</v>
      </c>
      <c r="P34" s="7">
        <v>6</v>
      </c>
      <c r="Q34" s="7">
        <v>7</v>
      </c>
      <c r="R34" s="7">
        <v>5</v>
      </c>
      <c r="S34" s="7">
        <v>4</v>
      </c>
      <c r="T34" s="7">
        <v>7</v>
      </c>
      <c r="U34" s="7">
        <v>5</v>
      </c>
      <c r="V34" s="7">
        <v>6</v>
      </c>
      <c r="W34" s="7">
        <v>7</v>
      </c>
      <c r="X34" s="7">
        <v>7</v>
      </c>
      <c r="Y34" s="7">
        <v>6</v>
      </c>
      <c r="Z34" s="7">
        <v>6</v>
      </c>
      <c r="AA34" s="7">
        <v>4</v>
      </c>
      <c r="AB34" s="7">
        <v>6</v>
      </c>
      <c r="AC34" s="7">
        <v>8</v>
      </c>
      <c r="AD34" s="7">
        <v>9</v>
      </c>
      <c r="AE34" s="7">
        <v>9</v>
      </c>
      <c r="AF34" s="8">
        <v>5</v>
      </c>
      <c r="AG34" s="4">
        <f t="shared" si="2"/>
        <v>187</v>
      </c>
    </row>
    <row r="35" spans="1:33" ht="18.75" x14ac:dyDescent="0.25">
      <c r="A35" s="41" t="s">
        <v>41</v>
      </c>
      <c r="B35" s="7">
        <v>4</v>
      </c>
      <c r="C35" s="7">
        <v>6</v>
      </c>
      <c r="D35" s="7">
        <v>9</v>
      </c>
      <c r="E35" s="7">
        <v>9</v>
      </c>
      <c r="F35" s="7">
        <v>2</v>
      </c>
      <c r="G35" s="7">
        <v>6</v>
      </c>
      <c r="H35" s="7">
        <v>7</v>
      </c>
      <c r="I35" s="7">
        <v>4</v>
      </c>
      <c r="J35" s="7">
        <v>5</v>
      </c>
      <c r="K35" s="7">
        <v>7</v>
      </c>
      <c r="L35" s="7">
        <v>5</v>
      </c>
      <c r="M35" s="7">
        <v>4</v>
      </c>
      <c r="N35" s="7">
        <v>5</v>
      </c>
      <c r="O35" s="7">
        <v>5</v>
      </c>
      <c r="P35" s="7">
        <v>7</v>
      </c>
      <c r="Q35" s="7">
        <v>5</v>
      </c>
      <c r="R35" s="7">
        <v>11</v>
      </c>
      <c r="S35" s="7">
        <v>6</v>
      </c>
      <c r="T35" s="7">
        <v>5</v>
      </c>
      <c r="U35" s="7">
        <v>7</v>
      </c>
      <c r="V35" s="7">
        <v>5</v>
      </c>
      <c r="W35" s="7">
        <v>8</v>
      </c>
      <c r="X35" s="7">
        <v>13</v>
      </c>
      <c r="Y35" s="7">
        <v>3</v>
      </c>
      <c r="Z35" s="7">
        <v>11</v>
      </c>
      <c r="AA35" s="7">
        <v>7</v>
      </c>
      <c r="AB35" s="7">
        <v>7</v>
      </c>
      <c r="AC35" s="7">
        <v>4</v>
      </c>
      <c r="AD35" s="7">
        <v>7</v>
      </c>
      <c r="AE35" s="7">
        <v>8</v>
      </c>
      <c r="AF35" s="8">
        <v>9</v>
      </c>
      <c r="AG35" s="4">
        <f t="shared" si="2"/>
        <v>201</v>
      </c>
    </row>
    <row r="36" spans="1:33" ht="18.75" x14ac:dyDescent="0.25">
      <c r="A36" s="41" t="s">
        <v>42</v>
      </c>
      <c r="B36" s="7">
        <v>4</v>
      </c>
      <c r="C36" s="7">
        <v>11</v>
      </c>
      <c r="D36" s="7">
        <v>9</v>
      </c>
      <c r="E36" s="7">
        <v>5</v>
      </c>
      <c r="F36" s="7">
        <v>8</v>
      </c>
      <c r="G36" s="7">
        <v>11</v>
      </c>
      <c r="H36" s="7">
        <v>5</v>
      </c>
      <c r="I36" s="7">
        <v>6</v>
      </c>
      <c r="J36" s="7">
        <v>8</v>
      </c>
      <c r="K36" s="7">
        <v>8</v>
      </c>
      <c r="L36" s="7">
        <v>12</v>
      </c>
      <c r="M36" s="7">
        <v>7</v>
      </c>
      <c r="N36" s="7">
        <v>8</v>
      </c>
      <c r="O36" s="7">
        <v>12</v>
      </c>
      <c r="P36" s="7">
        <v>9</v>
      </c>
      <c r="Q36" s="7">
        <v>7</v>
      </c>
      <c r="R36" s="7">
        <v>7</v>
      </c>
      <c r="S36" s="7">
        <v>12</v>
      </c>
      <c r="T36" s="7">
        <v>13</v>
      </c>
      <c r="U36" s="7">
        <v>5</v>
      </c>
      <c r="V36" s="7">
        <v>11</v>
      </c>
      <c r="W36" s="7">
        <v>9</v>
      </c>
      <c r="X36" s="7">
        <v>14</v>
      </c>
      <c r="Y36" s="7">
        <v>6</v>
      </c>
      <c r="Z36" s="7">
        <v>12</v>
      </c>
      <c r="AA36" s="7">
        <v>11</v>
      </c>
      <c r="AB36" s="7">
        <v>3</v>
      </c>
      <c r="AC36" s="7">
        <v>6</v>
      </c>
      <c r="AD36" s="7">
        <v>3</v>
      </c>
      <c r="AE36" s="7">
        <v>5</v>
      </c>
      <c r="AF36" s="8">
        <v>4</v>
      </c>
      <c r="AG36" s="4">
        <f t="shared" si="2"/>
        <v>251</v>
      </c>
    </row>
    <row r="37" spans="1:33" ht="18.75" x14ac:dyDescent="0.25">
      <c r="A37" s="41" t="s">
        <v>43</v>
      </c>
      <c r="B37" s="7">
        <v>8</v>
      </c>
      <c r="C37" s="7">
        <v>9</v>
      </c>
      <c r="D37" s="7">
        <v>5</v>
      </c>
      <c r="E37" s="7">
        <v>10</v>
      </c>
      <c r="F37" s="7">
        <v>3</v>
      </c>
      <c r="G37" s="7">
        <v>3</v>
      </c>
      <c r="H37" s="7">
        <v>4</v>
      </c>
      <c r="I37" s="7">
        <v>7</v>
      </c>
      <c r="J37" s="7">
        <v>5</v>
      </c>
      <c r="K37" s="7">
        <v>8</v>
      </c>
      <c r="L37" s="7">
        <v>10</v>
      </c>
      <c r="M37" s="7">
        <v>8</v>
      </c>
      <c r="N37" s="7">
        <v>10</v>
      </c>
      <c r="O37" s="7">
        <v>7</v>
      </c>
      <c r="P37" s="7">
        <v>15</v>
      </c>
      <c r="Q37" s="7">
        <v>7</v>
      </c>
      <c r="R37" s="7">
        <v>6</v>
      </c>
      <c r="S37" s="7">
        <v>5</v>
      </c>
      <c r="T37" s="7">
        <v>12</v>
      </c>
      <c r="U37" s="7">
        <v>9</v>
      </c>
      <c r="V37" s="7">
        <v>10</v>
      </c>
      <c r="W37" s="7">
        <v>15</v>
      </c>
      <c r="X37" s="7">
        <v>8</v>
      </c>
      <c r="Y37" s="7">
        <v>8</v>
      </c>
      <c r="Z37" s="7">
        <v>7</v>
      </c>
      <c r="AA37" s="7">
        <v>9</v>
      </c>
      <c r="AB37" s="7">
        <v>9</v>
      </c>
      <c r="AC37" s="7">
        <v>3</v>
      </c>
      <c r="AD37" s="7">
        <v>9</v>
      </c>
      <c r="AE37" s="7">
        <v>6</v>
      </c>
      <c r="AF37" s="8">
        <v>8</v>
      </c>
      <c r="AG37" s="4">
        <f t="shared" si="2"/>
        <v>243</v>
      </c>
    </row>
    <row r="38" spans="1:33" ht="18.75" x14ac:dyDescent="0.25">
      <c r="A38" s="41" t="s">
        <v>44</v>
      </c>
      <c r="B38" s="7">
        <v>3</v>
      </c>
      <c r="C38" s="7">
        <v>4</v>
      </c>
      <c r="D38" s="7">
        <v>7</v>
      </c>
      <c r="E38" s="7">
        <v>6</v>
      </c>
      <c r="F38" s="7">
        <v>6</v>
      </c>
      <c r="G38" s="7">
        <v>7</v>
      </c>
      <c r="H38" s="7">
        <v>5</v>
      </c>
      <c r="I38" s="7">
        <v>3</v>
      </c>
      <c r="J38" s="7">
        <v>5</v>
      </c>
      <c r="K38" s="7">
        <v>5</v>
      </c>
      <c r="L38" s="7">
        <v>8</v>
      </c>
      <c r="M38" s="7">
        <v>9</v>
      </c>
      <c r="N38" s="7">
        <v>3</v>
      </c>
      <c r="O38" s="7">
        <v>4</v>
      </c>
      <c r="P38" s="7">
        <v>4</v>
      </c>
      <c r="Q38" s="7">
        <v>7</v>
      </c>
      <c r="R38" s="7">
        <v>9</v>
      </c>
      <c r="S38" s="7">
        <v>5</v>
      </c>
      <c r="T38" s="7">
        <v>12</v>
      </c>
      <c r="U38" s="7">
        <v>3</v>
      </c>
      <c r="V38" s="7">
        <v>6</v>
      </c>
      <c r="W38" s="7">
        <v>8</v>
      </c>
      <c r="X38" s="7">
        <v>6</v>
      </c>
      <c r="Y38" s="7">
        <v>2</v>
      </c>
      <c r="Z38" s="7">
        <v>6</v>
      </c>
      <c r="AA38" s="7">
        <v>5</v>
      </c>
      <c r="AB38" s="7">
        <v>4</v>
      </c>
      <c r="AC38" s="7">
        <v>7</v>
      </c>
      <c r="AD38" s="7">
        <v>4</v>
      </c>
      <c r="AE38" s="7">
        <v>7</v>
      </c>
      <c r="AF38" s="8">
        <v>9</v>
      </c>
      <c r="AG38" s="4">
        <f t="shared" si="2"/>
        <v>179</v>
      </c>
    </row>
    <row r="39" spans="1:33" ht="18.75" x14ac:dyDescent="0.25">
      <c r="A39" s="41" t="s">
        <v>45</v>
      </c>
      <c r="B39" s="7">
        <v>14</v>
      </c>
      <c r="C39" s="7">
        <v>10</v>
      </c>
      <c r="D39" s="7">
        <v>9</v>
      </c>
      <c r="E39" s="7">
        <v>8</v>
      </c>
      <c r="F39" s="7">
        <v>12</v>
      </c>
      <c r="G39" s="7">
        <v>13</v>
      </c>
      <c r="H39" s="7">
        <v>10</v>
      </c>
      <c r="I39" s="7">
        <v>9</v>
      </c>
      <c r="J39" s="7">
        <v>12</v>
      </c>
      <c r="K39" s="7">
        <v>6</v>
      </c>
      <c r="L39" s="7">
        <v>11</v>
      </c>
      <c r="M39" s="7">
        <v>13</v>
      </c>
      <c r="N39" s="7">
        <v>8</v>
      </c>
      <c r="O39" s="7">
        <v>14</v>
      </c>
      <c r="P39" s="7">
        <v>7</v>
      </c>
      <c r="Q39" s="7">
        <v>12</v>
      </c>
      <c r="R39" s="7">
        <v>10</v>
      </c>
      <c r="S39" s="7">
        <v>15</v>
      </c>
      <c r="T39" s="7">
        <v>10</v>
      </c>
      <c r="U39" s="7">
        <v>11</v>
      </c>
      <c r="V39" s="7">
        <v>9</v>
      </c>
      <c r="W39" s="7">
        <v>17</v>
      </c>
      <c r="X39" s="7">
        <v>4</v>
      </c>
      <c r="Y39" s="7">
        <v>8</v>
      </c>
      <c r="Z39" s="7">
        <v>7</v>
      </c>
      <c r="AA39" s="7">
        <v>9</v>
      </c>
      <c r="AB39" s="7">
        <v>9</v>
      </c>
      <c r="AC39" s="7">
        <v>14</v>
      </c>
      <c r="AD39" s="7">
        <v>11</v>
      </c>
      <c r="AE39" s="7">
        <v>12</v>
      </c>
      <c r="AF39" s="8">
        <v>9</v>
      </c>
      <c r="AG39" s="4">
        <f t="shared" si="2"/>
        <v>323</v>
      </c>
    </row>
    <row r="40" spans="1:33" ht="18.75" x14ac:dyDescent="0.25">
      <c r="A40" s="41" t="s">
        <v>46</v>
      </c>
      <c r="B40" s="7">
        <v>14</v>
      </c>
      <c r="C40" s="7">
        <v>10</v>
      </c>
      <c r="D40" s="7">
        <v>3</v>
      </c>
      <c r="E40" s="7">
        <v>4</v>
      </c>
      <c r="F40" s="7">
        <v>10</v>
      </c>
      <c r="G40" s="7">
        <v>13</v>
      </c>
      <c r="H40" s="7">
        <v>6</v>
      </c>
      <c r="I40" s="7">
        <v>7</v>
      </c>
      <c r="J40" s="7">
        <v>11</v>
      </c>
      <c r="K40" s="7">
        <v>8</v>
      </c>
      <c r="L40" s="7">
        <v>10</v>
      </c>
      <c r="M40" s="7">
        <v>3</v>
      </c>
      <c r="N40" s="7">
        <v>11</v>
      </c>
      <c r="O40" s="7">
        <v>7</v>
      </c>
      <c r="P40" s="7">
        <v>7</v>
      </c>
      <c r="Q40" s="7">
        <v>10</v>
      </c>
      <c r="R40" s="7">
        <v>7</v>
      </c>
      <c r="S40" s="7">
        <v>8</v>
      </c>
      <c r="T40" s="7">
        <v>11</v>
      </c>
      <c r="U40" s="7">
        <v>8</v>
      </c>
      <c r="V40" s="7">
        <v>11</v>
      </c>
      <c r="W40" s="7">
        <v>14</v>
      </c>
      <c r="X40" s="7">
        <v>7</v>
      </c>
      <c r="Y40" s="7">
        <v>11</v>
      </c>
      <c r="Z40" s="7">
        <v>5</v>
      </c>
      <c r="AA40" s="7">
        <v>12</v>
      </c>
      <c r="AB40" s="7">
        <v>12</v>
      </c>
      <c r="AC40" s="7">
        <v>10</v>
      </c>
      <c r="AD40" s="7">
        <v>10</v>
      </c>
      <c r="AE40" s="7">
        <v>10</v>
      </c>
      <c r="AF40" s="8">
        <v>6</v>
      </c>
      <c r="AG40" s="4">
        <f t="shared" si="2"/>
        <v>276</v>
      </c>
    </row>
    <row r="41" spans="1:33" ht="18.75" x14ac:dyDescent="0.25">
      <c r="A41" s="41" t="s">
        <v>47</v>
      </c>
      <c r="B41" s="7">
        <v>5</v>
      </c>
      <c r="C41" s="7">
        <v>7</v>
      </c>
      <c r="D41" s="7">
        <v>4</v>
      </c>
      <c r="E41" s="7">
        <v>6</v>
      </c>
      <c r="F41" s="7">
        <v>15</v>
      </c>
      <c r="G41" s="7">
        <v>9</v>
      </c>
      <c r="H41" s="7">
        <v>6</v>
      </c>
      <c r="I41" s="7">
        <v>10</v>
      </c>
      <c r="J41" s="7">
        <v>9</v>
      </c>
      <c r="K41" s="7">
        <v>5</v>
      </c>
      <c r="L41" s="7">
        <v>6</v>
      </c>
      <c r="M41" s="7">
        <v>6</v>
      </c>
      <c r="N41" s="7">
        <v>9</v>
      </c>
      <c r="O41" s="7">
        <v>8</v>
      </c>
      <c r="P41" s="7">
        <v>8</v>
      </c>
      <c r="Q41" s="7">
        <v>9</v>
      </c>
      <c r="R41" s="7">
        <v>6</v>
      </c>
      <c r="S41" s="7">
        <v>4</v>
      </c>
      <c r="T41" s="7">
        <v>12</v>
      </c>
      <c r="U41" s="7">
        <v>10</v>
      </c>
      <c r="V41" s="7">
        <v>8</v>
      </c>
      <c r="W41" s="7">
        <v>19</v>
      </c>
      <c r="X41" s="7">
        <v>10</v>
      </c>
      <c r="Y41" s="7">
        <v>6</v>
      </c>
      <c r="Z41" s="7">
        <v>13</v>
      </c>
      <c r="AA41" s="7">
        <v>12</v>
      </c>
      <c r="AB41" s="7">
        <v>12</v>
      </c>
      <c r="AC41" s="7">
        <v>8</v>
      </c>
      <c r="AD41" s="7">
        <v>11</v>
      </c>
      <c r="AE41" s="7">
        <v>11</v>
      </c>
      <c r="AF41" s="8">
        <v>6</v>
      </c>
      <c r="AG41" s="4">
        <f t="shared" si="2"/>
        <v>270</v>
      </c>
    </row>
    <row r="42" spans="1:33" ht="18.75" x14ac:dyDescent="0.25">
      <c r="A42" s="41" t="s">
        <v>48</v>
      </c>
      <c r="B42" s="7">
        <v>2</v>
      </c>
      <c r="C42" s="7">
        <v>6</v>
      </c>
      <c r="D42" s="7">
        <v>7</v>
      </c>
      <c r="E42" s="7">
        <v>4</v>
      </c>
      <c r="F42" s="7">
        <v>6</v>
      </c>
      <c r="G42" s="7">
        <v>10</v>
      </c>
      <c r="H42" s="7">
        <v>8</v>
      </c>
      <c r="I42" s="7">
        <v>9</v>
      </c>
      <c r="J42" s="7">
        <v>8</v>
      </c>
      <c r="K42" s="7">
        <v>7</v>
      </c>
      <c r="L42" s="7">
        <v>12</v>
      </c>
      <c r="M42" s="7">
        <v>4</v>
      </c>
      <c r="N42" s="7">
        <v>4</v>
      </c>
      <c r="O42" s="7">
        <v>8</v>
      </c>
      <c r="P42" s="7">
        <v>10</v>
      </c>
      <c r="Q42" s="7">
        <v>10</v>
      </c>
      <c r="R42" s="7">
        <v>4</v>
      </c>
      <c r="S42" s="7">
        <v>6</v>
      </c>
      <c r="T42" s="7">
        <v>15</v>
      </c>
      <c r="U42" s="7">
        <v>6</v>
      </c>
      <c r="V42" s="7">
        <v>6</v>
      </c>
      <c r="W42" s="7">
        <v>7</v>
      </c>
      <c r="X42" s="7">
        <v>5</v>
      </c>
      <c r="Y42" s="7">
        <v>1</v>
      </c>
      <c r="Z42" s="7">
        <v>5</v>
      </c>
      <c r="AA42" s="7">
        <v>11</v>
      </c>
      <c r="AB42" s="7">
        <v>11</v>
      </c>
      <c r="AC42" s="7">
        <v>4</v>
      </c>
      <c r="AD42" s="7">
        <v>8</v>
      </c>
      <c r="AE42" s="7">
        <v>7</v>
      </c>
      <c r="AF42" s="8">
        <v>9</v>
      </c>
      <c r="AG42" s="4">
        <f t="shared" si="2"/>
        <v>220</v>
      </c>
    </row>
    <row r="43" spans="1:33" ht="18.75" x14ac:dyDescent="0.25">
      <c r="A43" s="41" t="s">
        <v>49</v>
      </c>
      <c r="B43" s="7">
        <v>4</v>
      </c>
      <c r="C43" s="7">
        <v>8</v>
      </c>
      <c r="D43" s="7">
        <v>4</v>
      </c>
      <c r="E43" s="7">
        <v>7</v>
      </c>
      <c r="F43" s="7">
        <v>7</v>
      </c>
      <c r="G43" s="7">
        <v>6</v>
      </c>
      <c r="H43" s="7">
        <v>10</v>
      </c>
      <c r="I43" s="7">
        <v>8</v>
      </c>
      <c r="J43" s="7">
        <v>10</v>
      </c>
      <c r="K43" s="7">
        <v>5</v>
      </c>
      <c r="L43" s="7">
        <v>8</v>
      </c>
      <c r="M43" s="7">
        <v>6</v>
      </c>
      <c r="N43" s="7">
        <v>8</v>
      </c>
      <c r="O43" s="7">
        <v>17</v>
      </c>
      <c r="P43" s="7">
        <v>12</v>
      </c>
      <c r="Q43" s="7">
        <v>8</v>
      </c>
      <c r="R43" s="7">
        <v>2</v>
      </c>
      <c r="S43" s="7">
        <v>4</v>
      </c>
      <c r="T43" s="7">
        <v>9</v>
      </c>
      <c r="U43" s="7">
        <v>15</v>
      </c>
      <c r="V43" s="7">
        <v>8</v>
      </c>
      <c r="W43" s="7">
        <v>6</v>
      </c>
      <c r="X43" s="7">
        <v>5</v>
      </c>
      <c r="Y43" s="7">
        <v>4</v>
      </c>
      <c r="Z43" s="7">
        <v>5</v>
      </c>
      <c r="AA43" s="7">
        <v>13</v>
      </c>
      <c r="AB43" s="7">
        <v>8</v>
      </c>
      <c r="AC43" s="7">
        <v>9</v>
      </c>
      <c r="AD43" s="7">
        <v>11</v>
      </c>
      <c r="AE43" s="7">
        <v>7</v>
      </c>
      <c r="AF43" s="8">
        <v>7</v>
      </c>
      <c r="AG43" s="4">
        <f t="shared" si="2"/>
        <v>241</v>
      </c>
    </row>
    <row r="44" spans="1:33" ht="18.75" x14ac:dyDescent="0.25">
      <c r="A44" s="41" t="s">
        <v>50</v>
      </c>
      <c r="B44" s="7"/>
      <c r="C44" s="7">
        <v>4</v>
      </c>
      <c r="D44" s="7">
        <v>4</v>
      </c>
      <c r="E44" s="7">
        <v>6</v>
      </c>
      <c r="F44" s="7">
        <v>8</v>
      </c>
      <c r="G44" s="7">
        <v>5</v>
      </c>
      <c r="H44" s="7">
        <v>4</v>
      </c>
      <c r="I44" s="7">
        <v>2</v>
      </c>
      <c r="J44" s="7">
        <v>4</v>
      </c>
      <c r="K44" s="7">
        <v>6</v>
      </c>
      <c r="L44" s="7">
        <v>4</v>
      </c>
      <c r="M44" s="7">
        <v>1</v>
      </c>
      <c r="N44" s="7">
        <v>5</v>
      </c>
      <c r="O44" s="7">
        <v>4</v>
      </c>
      <c r="P44" s="7">
        <v>7</v>
      </c>
      <c r="Q44" s="7">
        <v>4</v>
      </c>
      <c r="R44" s="7">
        <v>2</v>
      </c>
      <c r="S44" s="7">
        <v>7</v>
      </c>
      <c r="T44" s="7">
        <v>4</v>
      </c>
      <c r="U44" s="7">
        <v>10</v>
      </c>
      <c r="V44" s="7">
        <v>6</v>
      </c>
      <c r="W44" s="7">
        <v>4</v>
      </c>
      <c r="X44" s="7">
        <v>8</v>
      </c>
      <c r="Y44" s="7">
        <v>1</v>
      </c>
      <c r="Z44" s="7">
        <v>4</v>
      </c>
      <c r="AA44" s="7">
        <v>6</v>
      </c>
      <c r="AB44" s="7">
        <v>7</v>
      </c>
      <c r="AC44" s="7">
        <v>5</v>
      </c>
      <c r="AD44" s="7">
        <v>9</v>
      </c>
      <c r="AE44" s="7">
        <v>3</v>
      </c>
      <c r="AF44" s="8">
        <v>7</v>
      </c>
      <c r="AG44" s="4">
        <f t="shared" si="2"/>
        <v>151</v>
      </c>
    </row>
    <row r="45" spans="1:33" ht="18.75" x14ac:dyDescent="0.25">
      <c r="A45" s="41" t="s">
        <v>33</v>
      </c>
      <c r="B45" s="7">
        <v>1</v>
      </c>
      <c r="C45" s="7">
        <v>2</v>
      </c>
      <c r="D45" s="7">
        <v>3</v>
      </c>
      <c r="E45" s="7">
        <v>2</v>
      </c>
      <c r="F45" s="7">
        <v>4</v>
      </c>
      <c r="G45" s="7"/>
      <c r="H45" s="7">
        <v>1</v>
      </c>
      <c r="I45" s="7">
        <v>4</v>
      </c>
      <c r="J45" s="7"/>
      <c r="K45" s="7">
        <v>5</v>
      </c>
      <c r="L45" s="7">
        <v>3</v>
      </c>
      <c r="M45" s="7">
        <v>5</v>
      </c>
      <c r="N45" s="7">
        <v>1</v>
      </c>
      <c r="O45" s="7">
        <v>1</v>
      </c>
      <c r="P45" s="7">
        <v>1</v>
      </c>
      <c r="Q45" s="7">
        <v>3</v>
      </c>
      <c r="R45" s="7">
        <v>3</v>
      </c>
      <c r="S45" s="7">
        <v>1</v>
      </c>
      <c r="T45" s="7">
        <v>4</v>
      </c>
      <c r="U45" s="7">
        <v>1</v>
      </c>
      <c r="V45" s="7">
        <v>3</v>
      </c>
      <c r="W45" s="7">
        <v>2</v>
      </c>
      <c r="X45" s="7">
        <v>8</v>
      </c>
      <c r="Y45" s="7">
        <v>2</v>
      </c>
      <c r="Z45" s="7">
        <v>3</v>
      </c>
      <c r="AA45" s="7">
        <v>3</v>
      </c>
      <c r="AB45" s="7">
        <v>2</v>
      </c>
      <c r="AC45" s="7">
        <v>4</v>
      </c>
      <c r="AD45" s="7">
        <v>4</v>
      </c>
      <c r="AE45" s="7">
        <v>2</v>
      </c>
      <c r="AF45" s="8">
        <v>4</v>
      </c>
      <c r="AG45" s="4">
        <f t="shared" si="2"/>
        <v>82</v>
      </c>
    </row>
    <row r="46" spans="1:33" ht="18.75" x14ac:dyDescent="0.25">
      <c r="A46" s="41" t="s">
        <v>34</v>
      </c>
      <c r="B46" s="7">
        <v>1</v>
      </c>
      <c r="C46" s="7">
        <v>4</v>
      </c>
      <c r="D46" s="7">
        <v>1</v>
      </c>
      <c r="E46" s="7">
        <v>1</v>
      </c>
      <c r="F46" s="7">
        <v>2</v>
      </c>
      <c r="G46" s="7">
        <v>2</v>
      </c>
      <c r="H46" s="7"/>
      <c r="I46" s="7"/>
      <c r="J46" s="7"/>
      <c r="K46" s="7">
        <v>4</v>
      </c>
      <c r="L46" s="7">
        <v>1</v>
      </c>
      <c r="M46" s="7"/>
      <c r="N46" s="7">
        <v>2</v>
      </c>
      <c r="O46" s="7">
        <v>2</v>
      </c>
      <c r="P46" s="7">
        <v>3</v>
      </c>
      <c r="Q46" s="7"/>
      <c r="R46" s="7">
        <v>1</v>
      </c>
      <c r="S46" s="7">
        <v>7</v>
      </c>
      <c r="T46" s="7">
        <v>3</v>
      </c>
      <c r="U46" s="7">
        <v>2</v>
      </c>
      <c r="V46" s="7">
        <v>1</v>
      </c>
      <c r="W46" s="7"/>
      <c r="X46" s="7">
        <v>1</v>
      </c>
      <c r="Y46" s="7">
        <v>3</v>
      </c>
      <c r="Z46" s="7">
        <v>5</v>
      </c>
      <c r="AA46" s="7">
        <v>1</v>
      </c>
      <c r="AB46" s="7">
        <v>3</v>
      </c>
      <c r="AC46" s="7">
        <v>1</v>
      </c>
      <c r="AD46" s="7">
        <v>4</v>
      </c>
      <c r="AE46" s="7">
        <v>2</v>
      </c>
      <c r="AF46" s="8"/>
      <c r="AG46" s="4">
        <f t="shared" si="2"/>
        <v>57</v>
      </c>
    </row>
    <row r="47" spans="1:33" ht="18.75" x14ac:dyDescent="0.25">
      <c r="A47" s="41" t="s">
        <v>35</v>
      </c>
      <c r="B47" s="7">
        <v>3</v>
      </c>
      <c r="C47" s="7">
        <v>1</v>
      </c>
      <c r="D47" s="7">
        <v>2</v>
      </c>
      <c r="E47" s="7"/>
      <c r="F47" s="7"/>
      <c r="G47" s="7"/>
      <c r="H47" s="7">
        <v>1</v>
      </c>
      <c r="I47" s="7">
        <v>2</v>
      </c>
      <c r="J47" s="7"/>
      <c r="K47" s="7"/>
      <c r="L47" s="7"/>
      <c r="M47" s="7">
        <v>1</v>
      </c>
      <c r="N47" s="7"/>
      <c r="O47" s="7">
        <v>1</v>
      </c>
      <c r="P47" s="7">
        <v>1</v>
      </c>
      <c r="Q47" s="7"/>
      <c r="R47" s="7">
        <v>2</v>
      </c>
      <c r="S47" s="7">
        <v>2</v>
      </c>
      <c r="T47" s="7">
        <v>1</v>
      </c>
      <c r="U47" s="7"/>
      <c r="V47" s="7">
        <v>2</v>
      </c>
      <c r="W47" s="7"/>
      <c r="X47" s="7">
        <v>2</v>
      </c>
      <c r="Y47" s="7">
        <v>1</v>
      </c>
      <c r="Z47" s="7">
        <v>6</v>
      </c>
      <c r="AA47" s="7">
        <v>1</v>
      </c>
      <c r="AB47" s="7"/>
      <c r="AC47" s="7">
        <v>1</v>
      </c>
      <c r="AD47" s="7">
        <v>1</v>
      </c>
      <c r="AE47" s="7">
        <v>3</v>
      </c>
      <c r="AF47" s="8">
        <v>7</v>
      </c>
      <c r="AG47" s="4">
        <f t="shared" si="2"/>
        <v>41</v>
      </c>
    </row>
    <row r="48" spans="1:33" ht="18.75" x14ac:dyDescent="0.25">
      <c r="A48" s="41" t="s">
        <v>36</v>
      </c>
      <c r="B48" s="7"/>
      <c r="C48" s="7"/>
      <c r="D48" s="7">
        <v>2</v>
      </c>
      <c r="E48" s="7">
        <v>3</v>
      </c>
      <c r="F48" s="7"/>
      <c r="G48" s="7">
        <v>1</v>
      </c>
      <c r="H48" s="7">
        <v>1</v>
      </c>
      <c r="I48" s="7"/>
      <c r="J48" s="7"/>
      <c r="K48" s="7"/>
      <c r="L48" s="7">
        <v>1</v>
      </c>
      <c r="M48" s="7">
        <v>1</v>
      </c>
      <c r="N48" s="7">
        <v>1</v>
      </c>
      <c r="O48" s="7">
        <v>1</v>
      </c>
      <c r="P48" s="7">
        <v>1</v>
      </c>
      <c r="Q48" s="7"/>
      <c r="R48" s="7">
        <v>1</v>
      </c>
      <c r="S48" s="7"/>
      <c r="T48" s="7"/>
      <c r="U48" s="7"/>
      <c r="V48" s="7">
        <v>1</v>
      </c>
      <c r="W48" s="7"/>
      <c r="X48" s="7"/>
      <c r="Y48" s="7">
        <v>2</v>
      </c>
      <c r="Z48" s="7">
        <v>2</v>
      </c>
      <c r="AA48" s="7"/>
      <c r="AB48" s="7"/>
      <c r="AC48" s="7"/>
      <c r="AD48" s="7"/>
      <c r="AE48" s="7"/>
      <c r="AF48" s="8">
        <v>2</v>
      </c>
      <c r="AG48" s="4">
        <f t="shared" si="2"/>
        <v>20</v>
      </c>
    </row>
    <row r="49" spans="1:33" ht="18.75" x14ac:dyDescent="0.25">
      <c r="A49" s="41" t="s">
        <v>51</v>
      </c>
      <c r="B49" s="7">
        <v>1</v>
      </c>
      <c r="C49" s="7">
        <v>1</v>
      </c>
      <c r="D49" s="7"/>
      <c r="E49" s="7">
        <v>2</v>
      </c>
      <c r="F49" s="7"/>
      <c r="G49" s="7"/>
      <c r="H49" s="7">
        <v>1</v>
      </c>
      <c r="I49" s="7"/>
      <c r="J49" s="7"/>
      <c r="K49" s="7">
        <v>1</v>
      </c>
      <c r="L49" s="7"/>
      <c r="M49" s="7"/>
      <c r="N49" s="7"/>
      <c r="O49" s="7">
        <v>1</v>
      </c>
      <c r="P49" s="7">
        <v>1</v>
      </c>
      <c r="Q49" s="7">
        <v>2</v>
      </c>
      <c r="R49" s="7"/>
      <c r="S49" s="7">
        <v>1</v>
      </c>
      <c r="T49" s="7"/>
      <c r="U49" s="7"/>
      <c r="V49" s="7"/>
      <c r="W49" s="7"/>
      <c r="X49" s="7">
        <v>1</v>
      </c>
      <c r="Y49" s="7">
        <v>1</v>
      </c>
      <c r="Z49" s="7"/>
      <c r="AA49" s="7"/>
      <c r="AB49" s="7"/>
      <c r="AC49" s="7"/>
      <c r="AD49" s="7"/>
      <c r="AE49" s="7"/>
      <c r="AF49" s="8">
        <v>1</v>
      </c>
      <c r="AG49" s="4">
        <f t="shared" si="2"/>
        <v>14</v>
      </c>
    </row>
    <row r="50" spans="1:33" ht="18.75" x14ac:dyDescent="0.25">
      <c r="A50" s="41" t="s">
        <v>52</v>
      </c>
      <c r="B50" s="7"/>
      <c r="C50" s="7"/>
      <c r="D50" s="7">
        <v>1</v>
      </c>
      <c r="E50" s="7"/>
      <c r="F50" s="7"/>
      <c r="G50" s="7"/>
      <c r="H50" s="7"/>
      <c r="I50" s="7"/>
      <c r="J50" s="7"/>
      <c r="K50" s="7">
        <v>1</v>
      </c>
      <c r="L50" s="7"/>
      <c r="M50" s="7"/>
      <c r="N50" s="7">
        <v>1</v>
      </c>
      <c r="O50" s="7"/>
      <c r="P50" s="7"/>
      <c r="Q50" s="7">
        <v>2</v>
      </c>
      <c r="R50" s="7"/>
      <c r="S50" s="7"/>
      <c r="T50" s="7">
        <v>1</v>
      </c>
      <c r="U50" s="7">
        <v>1</v>
      </c>
      <c r="V50" s="7">
        <v>1</v>
      </c>
      <c r="W50" s="7">
        <v>1</v>
      </c>
      <c r="X50" s="7"/>
      <c r="Y50" s="7">
        <v>1</v>
      </c>
      <c r="Z50" s="7">
        <v>1</v>
      </c>
      <c r="AA50" s="7">
        <v>2</v>
      </c>
      <c r="AB50" s="7"/>
      <c r="AC50" s="7">
        <v>2</v>
      </c>
      <c r="AD50" s="7"/>
      <c r="AE50" s="7">
        <v>1</v>
      </c>
      <c r="AF50" s="8">
        <v>2</v>
      </c>
      <c r="AG50" s="4">
        <f t="shared" si="2"/>
        <v>18</v>
      </c>
    </row>
    <row r="51" spans="1:33" ht="18.75" x14ac:dyDescent="0.25">
      <c r="A51" s="41" t="s">
        <v>37</v>
      </c>
      <c r="B51" s="7"/>
      <c r="C51" s="7">
        <v>1</v>
      </c>
      <c r="D51" s="7"/>
      <c r="E51" s="7">
        <v>1</v>
      </c>
      <c r="F51" s="7"/>
      <c r="G51" s="7"/>
      <c r="H51" s="7">
        <v>1</v>
      </c>
      <c r="I51" s="7"/>
      <c r="J51" s="7"/>
      <c r="K51" s="7"/>
      <c r="L51" s="7"/>
      <c r="M51" s="7"/>
      <c r="N51" s="7">
        <v>1</v>
      </c>
      <c r="O51" s="7"/>
      <c r="P51" s="7">
        <v>1</v>
      </c>
      <c r="Q51" s="7"/>
      <c r="R51" s="7"/>
      <c r="S51" s="7">
        <v>2</v>
      </c>
      <c r="T51" s="7">
        <v>2</v>
      </c>
      <c r="U51" s="7"/>
      <c r="V51" s="7"/>
      <c r="W51" s="7">
        <v>1</v>
      </c>
      <c r="X51" s="7"/>
      <c r="Y51" s="7"/>
      <c r="Z51" s="7"/>
      <c r="AA51" s="7"/>
      <c r="AB51" s="7"/>
      <c r="AC51" s="7">
        <v>1</v>
      </c>
      <c r="AD51" s="7"/>
      <c r="AE51" s="7"/>
      <c r="AF51" s="8"/>
      <c r="AG51" s="4">
        <f t="shared" si="2"/>
        <v>11</v>
      </c>
    </row>
    <row r="52" spans="1:33" ht="19.5" thickBot="1" x14ac:dyDescent="0.3">
      <c r="A52" s="77" t="s">
        <v>53</v>
      </c>
      <c r="B52" s="9">
        <v>1</v>
      </c>
      <c r="C52" s="9">
        <v>1</v>
      </c>
      <c r="D52" s="9">
        <v>1</v>
      </c>
      <c r="E52" s="9"/>
      <c r="F52" s="9"/>
      <c r="G52" s="9">
        <v>1</v>
      </c>
      <c r="H52" s="9">
        <v>2</v>
      </c>
      <c r="I52" s="9"/>
      <c r="J52" s="9">
        <v>1</v>
      </c>
      <c r="K52" s="9"/>
      <c r="L52" s="9">
        <v>1</v>
      </c>
      <c r="M52" s="9">
        <v>2</v>
      </c>
      <c r="N52" s="9">
        <v>2</v>
      </c>
      <c r="O52" s="9">
        <v>1</v>
      </c>
      <c r="P52" s="9"/>
      <c r="Q52" s="9">
        <v>1</v>
      </c>
      <c r="R52" s="9">
        <v>1</v>
      </c>
      <c r="S52" s="9"/>
      <c r="T52" s="9">
        <v>1</v>
      </c>
      <c r="U52" s="9">
        <v>2</v>
      </c>
      <c r="V52" s="9"/>
      <c r="W52" s="9">
        <v>1</v>
      </c>
      <c r="X52" s="9"/>
      <c r="Y52" s="9">
        <v>1</v>
      </c>
      <c r="Z52" s="9"/>
      <c r="AA52" s="9"/>
      <c r="AB52" s="9"/>
      <c r="AC52" s="9"/>
      <c r="AD52" s="9">
        <v>2</v>
      </c>
      <c r="AE52" s="9">
        <v>3</v>
      </c>
      <c r="AF52" s="10"/>
      <c r="AG52" s="108">
        <f t="shared" si="2"/>
        <v>25</v>
      </c>
    </row>
    <row r="53" spans="1:33" ht="19.5" thickBot="1" x14ac:dyDescent="0.3">
      <c r="A53" s="136" t="s">
        <v>108</v>
      </c>
      <c r="B53" s="135">
        <f t="shared" ref="B53:AF53" si="4">SUM(B54:B77)</f>
        <v>4</v>
      </c>
      <c r="C53" s="135">
        <f t="shared" si="4"/>
        <v>3</v>
      </c>
      <c r="D53" s="135">
        <f t="shared" si="4"/>
        <v>4</v>
      </c>
      <c r="E53" s="135">
        <f t="shared" si="4"/>
        <v>4</v>
      </c>
      <c r="F53" s="135">
        <f t="shared" si="4"/>
        <v>8</v>
      </c>
      <c r="G53" s="135">
        <f t="shared" si="4"/>
        <v>5</v>
      </c>
      <c r="H53" s="135">
        <f t="shared" si="4"/>
        <v>4</v>
      </c>
      <c r="I53" s="135">
        <f t="shared" si="4"/>
        <v>3</v>
      </c>
      <c r="J53" s="135">
        <f t="shared" si="4"/>
        <v>8</v>
      </c>
      <c r="K53" s="135">
        <f t="shared" si="4"/>
        <v>7</v>
      </c>
      <c r="L53" s="135">
        <f t="shared" si="4"/>
        <v>4</v>
      </c>
      <c r="M53" s="135">
        <f t="shared" si="4"/>
        <v>2</v>
      </c>
      <c r="N53" s="135">
        <f t="shared" si="4"/>
        <v>4</v>
      </c>
      <c r="O53" s="135">
        <f t="shared" si="4"/>
        <v>6</v>
      </c>
      <c r="P53" s="135">
        <f t="shared" si="4"/>
        <v>7</v>
      </c>
      <c r="Q53" s="135">
        <f t="shared" si="4"/>
        <v>3</v>
      </c>
      <c r="R53" s="135">
        <f t="shared" si="4"/>
        <v>6</v>
      </c>
      <c r="S53" s="135">
        <f t="shared" si="4"/>
        <v>2</v>
      </c>
      <c r="T53" s="135">
        <f t="shared" si="4"/>
        <v>10</v>
      </c>
      <c r="U53" s="135">
        <f t="shared" si="4"/>
        <v>6</v>
      </c>
      <c r="V53" s="135">
        <f t="shared" si="4"/>
        <v>5</v>
      </c>
      <c r="W53" s="135">
        <f t="shared" si="4"/>
        <v>4</v>
      </c>
      <c r="X53" s="135">
        <f t="shared" si="4"/>
        <v>7</v>
      </c>
      <c r="Y53" s="135">
        <f t="shared" si="4"/>
        <v>4</v>
      </c>
      <c r="Z53" s="135">
        <f t="shared" si="4"/>
        <v>3</v>
      </c>
      <c r="AA53" s="135">
        <f t="shared" si="4"/>
        <v>13</v>
      </c>
      <c r="AB53" s="135">
        <f t="shared" si="4"/>
        <v>6</v>
      </c>
      <c r="AC53" s="135">
        <f t="shared" si="4"/>
        <v>12</v>
      </c>
      <c r="AD53" s="135">
        <f t="shared" si="4"/>
        <v>9</v>
      </c>
      <c r="AE53" s="135">
        <f t="shared" si="4"/>
        <v>6</v>
      </c>
      <c r="AF53" s="135">
        <f t="shared" si="4"/>
        <v>4</v>
      </c>
      <c r="AG53" s="116">
        <f t="shared" si="2"/>
        <v>173</v>
      </c>
    </row>
    <row r="54" spans="1:33" ht="18.75" x14ac:dyDescent="0.25">
      <c r="A54" s="113" t="s">
        <v>54</v>
      </c>
      <c r="B54" s="114"/>
      <c r="C54" s="114">
        <v>1</v>
      </c>
      <c r="D54" s="7"/>
      <c r="E54" s="114"/>
      <c r="F54" s="114"/>
      <c r="G54" s="7"/>
      <c r="H54" s="114"/>
      <c r="I54" s="114"/>
      <c r="J54" s="114"/>
      <c r="K54" s="114"/>
      <c r="L54" s="114"/>
      <c r="M54" s="114"/>
      <c r="N54" s="114"/>
      <c r="O54" s="114"/>
      <c r="P54" s="114"/>
      <c r="Q54" s="114"/>
      <c r="R54" s="114"/>
      <c r="S54" s="114"/>
      <c r="T54" s="114">
        <v>1</v>
      </c>
      <c r="U54" s="114"/>
      <c r="V54" s="114"/>
      <c r="W54" s="114"/>
      <c r="X54" s="114">
        <v>1</v>
      </c>
      <c r="Y54" s="114"/>
      <c r="Z54" s="114"/>
      <c r="AA54" s="114"/>
      <c r="AB54" s="114"/>
      <c r="AC54" s="114"/>
      <c r="AD54" s="114">
        <v>2</v>
      </c>
      <c r="AE54" s="114">
        <v>1</v>
      </c>
      <c r="AF54" s="115"/>
      <c r="AG54" s="132">
        <f t="shared" si="2"/>
        <v>6</v>
      </c>
    </row>
    <row r="55" spans="1:33" ht="18.75" x14ac:dyDescent="0.25">
      <c r="A55" s="41" t="s">
        <v>55</v>
      </c>
      <c r="B55" s="7">
        <v>1</v>
      </c>
      <c r="C55" s="7"/>
      <c r="D55" s="7"/>
      <c r="E55" s="7"/>
      <c r="F55" s="7"/>
      <c r="G55" s="7"/>
      <c r="H55" s="7"/>
      <c r="I55" s="7">
        <v>1</v>
      </c>
      <c r="J55" s="7"/>
      <c r="K55" s="7">
        <v>2</v>
      </c>
      <c r="L55" s="7"/>
      <c r="M55" s="7"/>
      <c r="N55" s="7"/>
      <c r="O55" s="7"/>
      <c r="P55" s="7"/>
      <c r="Q55" s="7"/>
      <c r="R55" s="7"/>
      <c r="S55" s="7"/>
      <c r="T55" s="7"/>
      <c r="U55" s="7">
        <v>1</v>
      </c>
      <c r="V55" s="7">
        <v>1</v>
      </c>
      <c r="W55" s="7">
        <v>1</v>
      </c>
      <c r="X55" s="7"/>
      <c r="Y55" s="7">
        <v>1</v>
      </c>
      <c r="Z55" s="7"/>
      <c r="AA55" s="7"/>
      <c r="AB55" s="7"/>
      <c r="AC55" s="7"/>
      <c r="AD55" s="7"/>
      <c r="AE55" s="7"/>
      <c r="AF55" s="8"/>
      <c r="AG55" s="4">
        <f t="shared" si="2"/>
        <v>8</v>
      </c>
    </row>
    <row r="56" spans="1:33" ht="18.75" x14ac:dyDescent="0.25">
      <c r="A56" s="41" t="s">
        <v>56</v>
      </c>
      <c r="B56" s="7">
        <v>1</v>
      </c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>
        <v>2</v>
      </c>
      <c r="Q56" s="7">
        <v>1</v>
      </c>
      <c r="R56" s="7"/>
      <c r="S56" s="7"/>
      <c r="T56" s="7"/>
      <c r="U56" s="7"/>
      <c r="V56" s="7"/>
      <c r="W56" s="7"/>
      <c r="X56" s="7"/>
      <c r="Y56" s="7">
        <v>1</v>
      </c>
      <c r="Z56" s="7">
        <v>1</v>
      </c>
      <c r="AA56" s="7">
        <v>1</v>
      </c>
      <c r="AB56" s="7"/>
      <c r="AC56" s="7">
        <v>2</v>
      </c>
      <c r="AD56" s="7"/>
      <c r="AE56" s="7"/>
      <c r="AF56" s="8"/>
      <c r="AG56" s="4">
        <f t="shared" si="2"/>
        <v>9</v>
      </c>
    </row>
    <row r="57" spans="1:33" ht="18.75" x14ac:dyDescent="0.25">
      <c r="A57" s="41" t="s">
        <v>38</v>
      </c>
      <c r="B57" s="7"/>
      <c r="C57" s="7"/>
      <c r="D57" s="7">
        <v>1</v>
      </c>
      <c r="E57" s="7"/>
      <c r="F57" s="7"/>
      <c r="G57" s="7">
        <v>1</v>
      </c>
      <c r="H57" s="7"/>
      <c r="I57" s="7"/>
      <c r="J57" s="7"/>
      <c r="K57" s="7"/>
      <c r="L57" s="7"/>
      <c r="M57" s="7"/>
      <c r="N57" s="7"/>
      <c r="O57" s="7">
        <v>1</v>
      </c>
      <c r="P57" s="7"/>
      <c r="Q57" s="7"/>
      <c r="R57" s="7"/>
      <c r="S57" s="7"/>
      <c r="T57" s="7"/>
      <c r="U57" s="7"/>
      <c r="V57" s="7"/>
      <c r="W57" s="7"/>
      <c r="X57" s="7"/>
      <c r="Y57" s="7"/>
      <c r="Z57" s="7">
        <v>1</v>
      </c>
      <c r="AA57" s="7">
        <v>1</v>
      </c>
      <c r="AB57" s="7"/>
      <c r="AC57" s="7"/>
      <c r="AD57" s="7">
        <v>1</v>
      </c>
      <c r="AE57" s="7"/>
      <c r="AF57" s="8"/>
      <c r="AG57" s="4">
        <f t="shared" si="2"/>
        <v>6</v>
      </c>
    </row>
    <row r="58" spans="1:33" ht="18.75" x14ac:dyDescent="0.25">
      <c r="A58" s="41" t="s">
        <v>39</v>
      </c>
      <c r="B58" s="7"/>
      <c r="C58" s="7">
        <v>2</v>
      </c>
      <c r="D58" s="7"/>
      <c r="E58" s="7"/>
      <c r="F58" s="7">
        <v>1</v>
      </c>
      <c r="G58" s="7"/>
      <c r="H58" s="7"/>
      <c r="I58" s="7"/>
      <c r="J58" s="7"/>
      <c r="K58" s="7">
        <v>1</v>
      </c>
      <c r="L58" s="7"/>
      <c r="M58" s="7"/>
      <c r="N58" s="7"/>
      <c r="O58" s="7"/>
      <c r="P58" s="7">
        <v>2</v>
      </c>
      <c r="Q58" s="7"/>
      <c r="R58" s="7"/>
      <c r="S58" s="7"/>
      <c r="T58" s="7"/>
      <c r="U58" s="7">
        <v>1</v>
      </c>
      <c r="V58" s="7"/>
      <c r="W58" s="7"/>
      <c r="X58" s="7"/>
      <c r="Y58" s="7"/>
      <c r="Z58" s="7"/>
      <c r="AA58" s="7"/>
      <c r="AB58" s="7">
        <v>2</v>
      </c>
      <c r="AC58" s="7"/>
      <c r="AD58" s="7"/>
      <c r="AE58" s="7">
        <v>1</v>
      </c>
      <c r="AF58" s="8">
        <v>2</v>
      </c>
      <c r="AG58" s="4">
        <f t="shared" si="2"/>
        <v>12</v>
      </c>
    </row>
    <row r="59" spans="1:33" ht="18.75" x14ac:dyDescent="0.25">
      <c r="A59" s="41" t="s">
        <v>40</v>
      </c>
      <c r="B59" s="7"/>
      <c r="C59" s="7"/>
      <c r="D59" s="7">
        <v>1</v>
      </c>
      <c r="E59" s="7">
        <v>1</v>
      </c>
      <c r="F59" s="7"/>
      <c r="G59" s="7"/>
      <c r="H59" s="7"/>
      <c r="I59" s="7"/>
      <c r="J59" s="7">
        <v>2</v>
      </c>
      <c r="K59" s="7"/>
      <c r="L59" s="7"/>
      <c r="M59" s="7"/>
      <c r="N59" s="7"/>
      <c r="O59" s="7"/>
      <c r="P59" s="7">
        <v>1</v>
      </c>
      <c r="Q59" s="7"/>
      <c r="R59" s="7"/>
      <c r="S59" s="7"/>
      <c r="T59" s="7">
        <v>1</v>
      </c>
      <c r="U59" s="7"/>
      <c r="V59" s="7"/>
      <c r="W59" s="7"/>
      <c r="X59" s="7"/>
      <c r="Y59" s="7">
        <v>1</v>
      </c>
      <c r="Z59" s="7"/>
      <c r="AA59" s="7">
        <v>1</v>
      </c>
      <c r="AB59" s="7"/>
      <c r="AC59" s="7"/>
      <c r="AD59" s="7"/>
      <c r="AE59" s="7"/>
      <c r="AF59" s="8"/>
      <c r="AG59" s="4">
        <f t="shared" si="2"/>
        <v>8</v>
      </c>
    </row>
    <row r="60" spans="1:33" ht="18.75" x14ac:dyDescent="0.25">
      <c r="A60" s="41" t="s">
        <v>41</v>
      </c>
      <c r="B60" s="7"/>
      <c r="C60" s="7"/>
      <c r="D60" s="7">
        <v>2</v>
      </c>
      <c r="E60" s="7"/>
      <c r="F60" s="7"/>
      <c r="G60" s="7"/>
      <c r="H60" s="7"/>
      <c r="I60" s="7"/>
      <c r="J60" s="7"/>
      <c r="K60" s="7"/>
      <c r="L60" s="7"/>
      <c r="M60" s="7"/>
      <c r="N60" s="7"/>
      <c r="O60" s="7">
        <v>1</v>
      </c>
      <c r="P60" s="7"/>
      <c r="Q60" s="7"/>
      <c r="R60" s="7"/>
      <c r="S60" s="7"/>
      <c r="T60" s="7">
        <v>3</v>
      </c>
      <c r="U60" s="7"/>
      <c r="V60" s="7"/>
      <c r="W60" s="7"/>
      <c r="X60" s="7">
        <v>1</v>
      </c>
      <c r="Y60" s="7"/>
      <c r="Z60" s="7"/>
      <c r="AA60" s="7">
        <v>1</v>
      </c>
      <c r="AB60" s="7"/>
      <c r="AC60" s="7">
        <v>3</v>
      </c>
      <c r="AD60" s="7">
        <v>1</v>
      </c>
      <c r="AE60" s="7"/>
      <c r="AF60" s="8"/>
      <c r="AG60" s="4">
        <f t="shared" si="2"/>
        <v>12</v>
      </c>
    </row>
    <row r="61" spans="1:33" ht="18.75" x14ac:dyDescent="0.25">
      <c r="A61" s="41" t="s">
        <v>42</v>
      </c>
      <c r="B61" s="7"/>
      <c r="C61" s="7"/>
      <c r="D61" s="7"/>
      <c r="E61" s="7"/>
      <c r="F61" s="7"/>
      <c r="G61" s="7">
        <v>1</v>
      </c>
      <c r="H61" s="7"/>
      <c r="I61" s="7"/>
      <c r="J61" s="7">
        <v>1</v>
      </c>
      <c r="K61" s="7"/>
      <c r="L61" s="7"/>
      <c r="M61" s="7"/>
      <c r="N61" s="7"/>
      <c r="O61" s="7"/>
      <c r="P61" s="7"/>
      <c r="Q61" s="7"/>
      <c r="R61" s="7">
        <v>3</v>
      </c>
      <c r="S61" s="7"/>
      <c r="T61" s="7"/>
      <c r="U61" s="7"/>
      <c r="V61" s="7"/>
      <c r="W61" s="7">
        <v>1</v>
      </c>
      <c r="X61" s="7">
        <v>2</v>
      </c>
      <c r="Y61" s="7">
        <v>1</v>
      </c>
      <c r="Z61" s="7">
        <v>1</v>
      </c>
      <c r="AA61" s="7">
        <v>2</v>
      </c>
      <c r="AB61" s="7">
        <v>1</v>
      </c>
      <c r="AC61" s="7">
        <v>1</v>
      </c>
      <c r="AD61" s="7">
        <v>1</v>
      </c>
      <c r="AE61" s="7"/>
      <c r="AF61" s="8"/>
      <c r="AG61" s="4">
        <f t="shared" si="2"/>
        <v>15</v>
      </c>
    </row>
    <row r="62" spans="1:33" ht="18.75" x14ac:dyDescent="0.25">
      <c r="A62" s="41" t="s">
        <v>43</v>
      </c>
      <c r="B62" s="7"/>
      <c r="C62" s="7"/>
      <c r="D62" s="7"/>
      <c r="E62" s="7"/>
      <c r="F62" s="7"/>
      <c r="G62" s="7"/>
      <c r="H62" s="7"/>
      <c r="I62" s="7"/>
      <c r="J62" s="7"/>
      <c r="K62" s="7">
        <v>1</v>
      </c>
      <c r="L62" s="7">
        <v>1</v>
      </c>
      <c r="M62" s="7">
        <v>1</v>
      </c>
      <c r="N62" s="7"/>
      <c r="O62" s="7"/>
      <c r="P62" s="7"/>
      <c r="Q62" s="7"/>
      <c r="R62" s="7"/>
      <c r="S62" s="7"/>
      <c r="T62" s="7"/>
      <c r="U62" s="7"/>
      <c r="V62" s="7"/>
      <c r="W62" s="7"/>
      <c r="X62" s="7">
        <v>1</v>
      </c>
      <c r="Y62" s="7"/>
      <c r="Z62" s="7"/>
      <c r="AA62" s="7"/>
      <c r="AB62" s="7"/>
      <c r="AC62" s="7"/>
      <c r="AD62" s="7"/>
      <c r="AE62" s="7"/>
      <c r="AF62" s="8"/>
      <c r="AG62" s="4">
        <f t="shared" si="2"/>
        <v>4</v>
      </c>
    </row>
    <row r="63" spans="1:33" ht="18.75" x14ac:dyDescent="0.25">
      <c r="A63" s="41" t="s">
        <v>44</v>
      </c>
      <c r="B63" s="7">
        <v>1</v>
      </c>
      <c r="C63" s="7"/>
      <c r="D63" s="7"/>
      <c r="E63" s="7">
        <v>1</v>
      </c>
      <c r="F63" s="7">
        <v>1</v>
      </c>
      <c r="G63" s="7"/>
      <c r="H63" s="7">
        <v>2</v>
      </c>
      <c r="I63" s="7"/>
      <c r="J63" s="7"/>
      <c r="K63" s="7">
        <v>1</v>
      </c>
      <c r="L63" s="7">
        <v>1</v>
      </c>
      <c r="M63" s="7"/>
      <c r="N63" s="7">
        <v>1</v>
      </c>
      <c r="O63" s="7"/>
      <c r="P63" s="7"/>
      <c r="Q63" s="7"/>
      <c r="R63" s="7">
        <v>1</v>
      </c>
      <c r="S63" s="7"/>
      <c r="T63" s="7"/>
      <c r="U63" s="7">
        <v>1</v>
      </c>
      <c r="V63" s="7"/>
      <c r="W63" s="7"/>
      <c r="X63" s="7"/>
      <c r="Y63" s="7"/>
      <c r="Z63" s="7"/>
      <c r="AA63" s="7"/>
      <c r="AB63" s="7">
        <v>1</v>
      </c>
      <c r="AC63" s="7">
        <v>1</v>
      </c>
      <c r="AD63" s="7"/>
      <c r="AE63" s="7"/>
      <c r="AF63" s="8"/>
      <c r="AG63" s="4">
        <f t="shared" si="2"/>
        <v>12</v>
      </c>
    </row>
    <row r="64" spans="1:33" ht="18.75" x14ac:dyDescent="0.25">
      <c r="A64" s="41" t="s">
        <v>45</v>
      </c>
      <c r="B64" s="7">
        <v>1</v>
      </c>
      <c r="C64" s="7"/>
      <c r="D64" s="7"/>
      <c r="E64" s="7">
        <v>1</v>
      </c>
      <c r="F64" s="7">
        <v>2</v>
      </c>
      <c r="G64" s="7"/>
      <c r="H64" s="7">
        <v>1</v>
      </c>
      <c r="I64" s="7">
        <v>1</v>
      </c>
      <c r="J64" s="7">
        <v>1</v>
      </c>
      <c r="K64" s="7"/>
      <c r="L64" s="7"/>
      <c r="M64" s="7"/>
      <c r="N64" s="7">
        <v>3</v>
      </c>
      <c r="O64" s="7">
        <v>1</v>
      </c>
      <c r="P64" s="7"/>
      <c r="Q64" s="7">
        <v>1</v>
      </c>
      <c r="R64" s="7">
        <v>1</v>
      </c>
      <c r="S64" s="7">
        <v>1</v>
      </c>
      <c r="T64" s="7">
        <v>1</v>
      </c>
      <c r="U64" s="7">
        <v>1</v>
      </c>
      <c r="V64" s="7">
        <v>2</v>
      </c>
      <c r="W64" s="7"/>
      <c r="X64" s="7">
        <v>1</v>
      </c>
      <c r="Y64" s="7"/>
      <c r="Z64" s="7"/>
      <c r="AA64" s="7">
        <v>1</v>
      </c>
      <c r="AB64" s="7">
        <v>1</v>
      </c>
      <c r="AC64" s="7">
        <v>3</v>
      </c>
      <c r="AD64" s="7"/>
      <c r="AE64" s="7">
        <v>2</v>
      </c>
      <c r="AF64" s="8">
        <v>1</v>
      </c>
      <c r="AG64" s="4">
        <f t="shared" si="2"/>
        <v>27</v>
      </c>
    </row>
    <row r="65" spans="1:33" ht="18.75" x14ac:dyDescent="0.25">
      <c r="A65" s="41" t="s">
        <v>46</v>
      </c>
      <c r="B65" s="7"/>
      <c r="C65" s="7"/>
      <c r="D65" s="7"/>
      <c r="E65" s="7"/>
      <c r="F65" s="7"/>
      <c r="G65" s="7"/>
      <c r="H65" s="7"/>
      <c r="I65" s="7"/>
      <c r="J65" s="7">
        <v>1</v>
      </c>
      <c r="K65" s="7"/>
      <c r="L65" s="7">
        <v>1</v>
      </c>
      <c r="M65" s="7"/>
      <c r="N65" s="7"/>
      <c r="O65" s="7">
        <v>2</v>
      </c>
      <c r="P65" s="7"/>
      <c r="Q65" s="7"/>
      <c r="R65" s="7"/>
      <c r="S65" s="7"/>
      <c r="T65" s="7">
        <v>3</v>
      </c>
      <c r="U65" s="7">
        <v>1</v>
      </c>
      <c r="V65" s="7">
        <v>1</v>
      </c>
      <c r="W65" s="7">
        <v>1</v>
      </c>
      <c r="X65" s="7">
        <v>1</v>
      </c>
      <c r="Y65" s="7"/>
      <c r="Z65" s="7"/>
      <c r="AA65" s="7">
        <v>1</v>
      </c>
      <c r="AB65" s="7"/>
      <c r="AC65" s="7">
        <v>1</v>
      </c>
      <c r="AD65" s="7">
        <v>1</v>
      </c>
      <c r="AE65" s="7">
        <v>2</v>
      </c>
      <c r="AF65" s="8"/>
      <c r="AG65" s="4">
        <f t="shared" si="2"/>
        <v>16</v>
      </c>
    </row>
    <row r="66" spans="1:33" ht="18.75" x14ac:dyDescent="0.25">
      <c r="A66" s="41" t="s">
        <v>47</v>
      </c>
      <c r="B66" s="7"/>
      <c r="C66" s="7"/>
      <c r="D66" s="7"/>
      <c r="E66" s="7"/>
      <c r="F66" s="7">
        <v>3</v>
      </c>
      <c r="G66" s="7"/>
      <c r="H66" s="7"/>
      <c r="I66" s="7"/>
      <c r="J66" s="7">
        <v>1</v>
      </c>
      <c r="K66" s="7"/>
      <c r="L66" s="7"/>
      <c r="M66" s="7"/>
      <c r="N66" s="7"/>
      <c r="O66" s="7">
        <v>1</v>
      </c>
      <c r="P66" s="7"/>
      <c r="Q66" s="7"/>
      <c r="R66" s="7"/>
      <c r="S66" s="7"/>
      <c r="T66" s="7">
        <v>1</v>
      </c>
      <c r="U66" s="7">
        <v>1</v>
      </c>
      <c r="V66" s="7"/>
      <c r="W66" s="7">
        <v>1</v>
      </c>
      <c r="X66" s="7"/>
      <c r="Y66" s="7"/>
      <c r="Z66" s="7"/>
      <c r="AA66" s="7">
        <v>1</v>
      </c>
      <c r="AB66" s="7">
        <v>1</v>
      </c>
      <c r="AC66" s="7">
        <v>1</v>
      </c>
      <c r="AD66" s="7">
        <v>1</v>
      </c>
      <c r="AE66" s="7"/>
      <c r="AF66" s="8"/>
      <c r="AG66" s="4">
        <f t="shared" si="2"/>
        <v>12</v>
      </c>
    </row>
    <row r="67" spans="1:33" ht="18.75" x14ac:dyDescent="0.25">
      <c r="A67" s="41" t="s">
        <v>48</v>
      </c>
      <c r="B67" s="7"/>
      <c r="C67" s="7"/>
      <c r="D67" s="7"/>
      <c r="E67" s="7"/>
      <c r="F67" s="7"/>
      <c r="G67" s="7">
        <v>2</v>
      </c>
      <c r="H67" s="7"/>
      <c r="I67" s="7"/>
      <c r="J67" s="7">
        <v>2</v>
      </c>
      <c r="K67" s="7"/>
      <c r="L67" s="7"/>
      <c r="M67" s="7"/>
      <c r="N67" s="7"/>
      <c r="O67" s="7"/>
      <c r="P67" s="7">
        <v>1</v>
      </c>
      <c r="Q67" s="7"/>
      <c r="R67" s="7"/>
      <c r="S67" s="7"/>
      <c r="T67" s="7"/>
      <c r="U67" s="7"/>
      <c r="V67" s="7"/>
      <c r="W67" s="7"/>
      <c r="X67" s="7"/>
      <c r="Y67" s="7"/>
      <c r="Z67" s="7"/>
      <c r="AA67" s="7">
        <v>2</v>
      </c>
      <c r="AB67" s="7"/>
      <c r="AC67" s="7"/>
      <c r="AD67" s="7">
        <v>1</v>
      </c>
      <c r="AE67" s="7"/>
      <c r="AF67" s="8"/>
      <c r="AG67" s="4">
        <f t="shared" si="2"/>
        <v>8</v>
      </c>
    </row>
    <row r="68" spans="1:33" ht="18.75" x14ac:dyDescent="0.25">
      <c r="A68" s="41" t="s">
        <v>49</v>
      </c>
      <c r="B68" s="7"/>
      <c r="C68" s="7"/>
      <c r="D68" s="7"/>
      <c r="E68" s="7"/>
      <c r="F68" s="7">
        <v>1</v>
      </c>
      <c r="G68" s="7"/>
      <c r="H68" s="7">
        <v>1</v>
      </c>
      <c r="I68" s="7"/>
      <c r="J68" s="7"/>
      <c r="K68" s="7">
        <v>1</v>
      </c>
      <c r="L68" s="7"/>
      <c r="M68" s="7"/>
      <c r="N68" s="7"/>
      <c r="O68" s="7"/>
      <c r="P68" s="7">
        <v>1</v>
      </c>
      <c r="Q68" s="7"/>
      <c r="R68" s="7"/>
      <c r="S68" s="7"/>
      <c r="T68" s="7"/>
      <c r="U68" s="7"/>
      <c r="V68" s="7">
        <v>1</v>
      </c>
      <c r="W68" s="7"/>
      <c r="X68" s="7"/>
      <c r="Y68" s="7"/>
      <c r="Z68" s="7"/>
      <c r="AA68" s="7">
        <v>2</v>
      </c>
      <c r="AB68" s="7"/>
      <c r="AC68" s="7"/>
      <c r="AD68" s="7">
        <v>1</v>
      </c>
      <c r="AE68" s="7"/>
      <c r="AF68" s="8">
        <v>1</v>
      </c>
      <c r="AG68" s="4">
        <f t="shared" si="2"/>
        <v>9</v>
      </c>
    </row>
    <row r="69" spans="1:33" ht="18.75" x14ac:dyDescent="0.25">
      <c r="A69" s="41" t="s">
        <v>50</v>
      </c>
      <c r="B69" s="7"/>
      <c r="C69" s="7"/>
      <c r="D69" s="7"/>
      <c r="E69" s="7">
        <v>1</v>
      </c>
      <c r="F69" s="7"/>
      <c r="G69" s="7"/>
      <c r="H69" s="7"/>
      <c r="I69" s="7"/>
      <c r="J69" s="7"/>
      <c r="K69" s="7">
        <v>1</v>
      </c>
      <c r="L69" s="7">
        <v>1</v>
      </c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8"/>
      <c r="AG69" s="4">
        <f t="shared" si="2"/>
        <v>3</v>
      </c>
    </row>
    <row r="70" spans="1:33" ht="18.75" x14ac:dyDescent="0.25">
      <c r="A70" s="41" t="s">
        <v>33</v>
      </c>
      <c r="B70" s="114"/>
      <c r="C70" s="114"/>
      <c r="D70" s="7"/>
      <c r="E70" s="114"/>
      <c r="F70" s="114"/>
      <c r="G70" s="7"/>
      <c r="H70" s="114"/>
      <c r="I70" s="7">
        <v>1</v>
      </c>
      <c r="J70" s="114"/>
      <c r="K70" s="114"/>
      <c r="L70" s="114"/>
      <c r="M70" s="114"/>
      <c r="N70" s="114"/>
      <c r="O70" s="114"/>
      <c r="P70" s="114"/>
      <c r="Q70" s="114">
        <v>1</v>
      </c>
      <c r="R70" s="114">
        <v>1</v>
      </c>
      <c r="S70" s="114"/>
      <c r="T70" s="114"/>
      <c r="U70" s="114"/>
      <c r="V70" s="114"/>
      <c r="W70" s="114"/>
      <c r="X70" s="114"/>
      <c r="Y70" s="114"/>
      <c r="Z70" s="114"/>
      <c r="AA70" s="114"/>
      <c r="AB70" s="114"/>
      <c r="AC70" s="114"/>
      <c r="AD70" s="114"/>
      <c r="AE70" s="114"/>
      <c r="AF70" s="115"/>
      <c r="AG70" s="4">
        <f t="shared" si="2"/>
        <v>3</v>
      </c>
    </row>
    <row r="71" spans="1:33" ht="18.75" x14ac:dyDescent="0.25">
      <c r="A71" s="41" t="s">
        <v>34</v>
      </c>
      <c r="B71" s="114"/>
      <c r="C71" s="114"/>
      <c r="D71" s="7"/>
      <c r="E71" s="114"/>
      <c r="F71" s="114"/>
      <c r="G71" s="7"/>
      <c r="H71" s="114"/>
      <c r="I71" s="7"/>
      <c r="J71" s="114"/>
      <c r="K71" s="114"/>
      <c r="L71" s="114"/>
      <c r="M71" s="114"/>
      <c r="N71" s="114"/>
      <c r="O71" s="114"/>
      <c r="P71" s="114"/>
      <c r="Q71" s="114"/>
      <c r="R71" s="114"/>
      <c r="S71" s="114"/>
      <c r="T71" s="114"/>
      <c r="U71" s="114"/>
      <c r="V71" s="114"/>
      <c r="W71" s="114"/>
      <c r="X71" s="114"/>
      <c r="Y71" s="114"/>
      <c r="Z71" s="114"/>
      <c r="AA71" s="114"/>
      <c r="AB71" s="114"/>
      <c r="AC71" s="114"/>
      <c r="AD71" s="114"/>
      <c r="AE71" s="114"/>
      <c r="AF71" s="115"/>
      <c r="AG71" s="4">
        <f t="shared" si="2"/>
        <v>0</v>
      </c>
    </row>
    <row r="72" spans="1:33" ht="18.75" x14ac:dyDescent="0.25">
      <c r="A72" s="41" t="s">
        <v>35</v>
      </c>
      <c r="B72" s="114"/>
      <c r="C72" s="114"/>
      <c r="D72" s="7"/>
      <c r="E72" s="114"/>
      <c r="F72" s="114"/>
      <c r="G72" s="7"/>
      <c r="H72" s="114"/>
      <c r="I72" s="7"/>
      <c r="J72" s="114"/>
      <c r="K72" s="114"/>
      <c r="L72" s="114"/>
      <c r="M72" s="114"/>
      <c r="N72" s="114"/>
      <c r="O72" s="114"/>
      <c r="P72" s="114"/>
      <c r="Q72" s="114"/>
      <c r="R72" s="114"/>
      <c r="S72" s="114">
        <v>1</v>
      </c>
      <c r="T72" s="114"/>
      <c r="U72" s="114"/>
      <c r="V72" s="114"/>
      <c r="W72" s="114"/>
      <c r="X72" s="114"/>
      <c r="Y72" s="114"/>
      <c r="Z72" s="114"/>
      <c r="AA72" s="114"/>
      <c r="AB72" s="114"/>
      <c r="AC72" s="114"/>
      <c r="AD72" s="114"/>
      <c r="AE72" s="114"/>
      <c r="AF72" s="115"/>
      <c r="AG72" s="4">
        <f t="shared" si="2"/>
        <v>1</v>
      </c>
    </row>
    <row r="73" spans="1:33" ht="18.75" x14ac:dyDescent="0.25">
      <c r="A73" s="41" t="s">
        <v>36</v>
      </c>
      <c r="B73" s="114"/>
      <c r="C73" s="114"/>
      <c r="D73" s="7"/>
      <c r="E73" s="114"/>
      <c r="F73" s="114"/>
      <c r="G73" s="7"/>
      <c r="H73" s="114"/>
      <c r="I73" s="7"/>
      <c r="J73" s="114"/>
      <c r="K73" s="114"/>
      <c r="L73" s="114"/>
      <c r="M73" s="114"/>
      <c r="N73" s="114"/>
      <c r="O73" s="114"/>
      <c r="P73" s="114"/>
      <c r="Q73" s="114"/>
      <c r="R73" s="114"/>
      <c r="S73" s="114"/>
      <c r="T73" s="114"/>
      <c r="U73" s="114"/>
      <c r="V73" s="114"/>
      <c r="W73" s="114"/>
      <c r="X73" s="114"/>
      <c r="Y73" s="114"/>
      <c r="Z73" s="114"/>
      <c r="AA73" s="114"/>
      <c r="AB73" s="114"/>
      <c r="AC73" s="114"/>
      <c r="AD73" s="114"/>
      <c r="AE73" s="114"/>
      <c r="AF73" s="115"/>
      <c r="AG73" s="4">
        <f t="shared" si="2"/>
        <v>0</v>
      </c>
    </row>
    <row r="74" spans="1:33" ht="18.75" x14ac:dyDescent="0.25">
      <c r="A74" s="41" t="s">
        <v>51</v>
      </c>
      <c r="B74" s="114"/>
      <c r="C74" s="114"/>
      <c r="D74" s="7"/>
      <c r="E74" s="114"/>
      <c r="F74" s="114"/>
      <c r="G74" s="7"/>
      <c r="H74" s="114"/>
      <c r="I74" s="7"/>
      <c r="J74" s="114"/>
      <c r="K74" s="114"/>
      <c r="L74" s="114"/>
      <c r="M74" s="114">
        <v>1</v>
      </c>
      <c r="N74" s="114"/>
      <c r="O74" s="114"/>
      <c r="P74" s="114"/>
      <c r="Q74" s="114"/>
      <c r="R74" s="114"/>
      <c r="S74" s="114"/>
      <c r="T74" s="114"/>
      <c r="U74" s="114"/>
      <c r="V74" s="114"/>
      <c r="W74" s="114"/>
      <c r="X74" s="114"/>
      <c r="Y74" s="114"/>
      <c r="Z74" s="114"/>
      <c r="AA74" s="114"/>
      <c r="AB74" s="114"/>
      <c r="AC74" s="114"/>
      <c r="AD74" s="114"/>
      <c r="AE74" s="114"/>
      <c r="AF74" s="115"/>
      <c r="AG74" s="4">
        <f t="shared" si="2"/>
        <v>1</v>
      </c>
    </row>
    <row r="75" spans="1:33" ht="18.75" x14ac:dyDescent="0.25">
      <c r="A75" s="41" t="s">
        <v>52</v>
      </c>
      <c r="B75" s="114"/>
      <c r="C75" s="114"/>
      <c r="D75" s="7"/>
      <c r="E75" s="114"/>
      <c r="F75" s="114"/>
      <c r="G75" s="7"/>
      <c r="H75" s="114"/>
      <c r="I75" s="7"/>
      <c r="J75" s="114"/>
      <c r="K75" s="114"/>
      <c r="L75" s="114"/>
      <c r="M75" s="114"/>
      <c r="N75" s="114"/>
      <c r="O75" s="114"/>
      <c r="P75" s="114"/>
      <c r="Q75" s="114"/>
      <c r="R75" s="114"/>
      <c r="S75" s="114"/>
      <c r="T75" s="114"/>
      <c r="U75" s="114"/>
      <c r="V75" s="114"/>
      <c r="W75" s="114"/>
      <c r="X75" s="114"/>
      <c r="Y75" s="114"/>
      <c r="Z75" s="114"/>
      <c r="AA75" s="114"/>
      <c r="AB75" s="114"/>
      <c r="AC75" s="114"/>
      <c r="AD75" s="114"/>
      <c r="AE75" s="114"/>
      <c r="AF75" s="115"/>
      <c r="AG75" s="4">
        <f t="shared" si="2"/>
        <v>0</v>
      </c>
    </row>
    <row r="76" spans="1:33" ht="18.75" x14ac:dyDescent="0.25">
      <c r="A76" s="41" t="s">
        <v>37</v>
      </c>
      <c r="B76" s="114"/>
      <c r="C76" s="114"/>
      <c r="D76" s="7"/>
      <c r="E76" s="114"/>
      <c r="F76" s="114"/>
      <c r="G76" s="7">
        <v>1</v>
      </c>
      <c r="H76" s="114"/>
      <c r="I76" s="7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X76" s="114"/>
      <c r="Y76" s="114"/>
      <c r="Z76" s="114"/>
      <c r="AA76" s="114"/>
      <c r="AB76" s="114"/>
      <c r="AC76" s="114"/>
      <c r="AD76" s="114"/>
      <c r="AE76" s="114"/>
      <c r="AF76" s="115"/>
      <c r="AG76" s="4">
        <f t="shared" si="2"/>
        <v>1</v>
      </c>
    </row>
    <row r="77" spans="1:33" ht="19.5" thickBot="1" x14ac:dyDescent="0.3">
      <c r="A77" s="134" t="s">
        <v>53</v>
      </c>
      <c r="B77" s="166"/>
      <c r="C77" s="166"/>
      <c r="D77" s="9"/>
      <c r="E77" s="166"/>
      <c r="F77" s="166"/>
      <c r="G77" s="9"/>
      <c r="H77" s="166"/>
      <c r="I77" s="9"/>
      <c r="J77" s="166"/>
      <c r="K77" s="166"/>
      <c r="L77" s="166"/>
      <c r="M77" s="166"/>
      <c r="N77" s="166"/>
      <c r="O77" s="166"/>
      <c r="P77" s="166"/>
      <c r="Q77" s="166"/>
      <c r="R77" s="166"/>
      <c r="S77" s="166"/>
      <c r="T77" s="166"/>
      <c r="U77" s="166"/>
      <c r="V77" s="166"/>
      <c r="W77" s="166"/>
      <c r="X77" s="166"/>
      <c r="Y77" s="166"/>
      <c r="Z77" s="166"/>
      <c r="AA77" s="166"/>
      <c r="AB77" s="166"/>
      <c r="AC77" s="166"/>
      <c r="AD77" s="166"/>
      <c r="AE77" s="166"/>
      <c r="AF77" s="167"/>
      <c r="AG77" s="108">
        <f t="shared" si="2"/>
        <v>0</v>
      </c>
    </row>
    <row r="78" spans="1:33" ht="19.5" hidden="1" customHeight="1" thickBot="1" x14ac:dyDescent="0.3">
      <c r="A78" s="183" t="s">
        <v>99</v>
      </c>
      <c r="B78" s="185">
        <f t="shared" ref="B78:AF78" si="5">SUM(B79:B80)</f>
        <v>108</v>
      </c>
      <c r="C78" s="185">
        <f t="shared" si="5"/>
        <v>121</v>
      </c>
      <c r="D78" s="185">
        <f t="shared" si="5"/>
        <v>109</v>
      </c>
      <c r="E78" s="184">
        <f t="shared" si="5"/>
        <v>108</v>
      </c>
      <c r="F78" s="184">
        <f t="shared" si="5"/>
        <v>132</v>
      </c>
      <c r="G78" s="184">
        <f t="shared" si="5"/>
        <v>130</v>
      </c>
      <c r="H78" s="184">
        <f t="shared" si="5"/>
        <v>108</v>
      </c>
      <c r="I78" s="184">
        <f t="shared" si="5"/>
        <v>107</v>
      </c>
      <c r="J78" s="184">
        <f t="shared" si="5"/>
        <v>117</v>
      </c>
      <c r="K78" s="184">
        <f t="shared" si="5"/>
        <v>112</v>
      </c>
      <c r="L78" s="184">
        <f t="shared" si="5"/>
        <v>130</v>
      </c>
      <c r="M78" s="184">
        <f t="shared" si="5"/>
        <v>108</v>
      </c>
      <c r="N78" s="184">
        <f t="shared" si="5"/>
        <v>113</v>
      </c>
      <c r="O78" s="184">
        <f>SUM(O79:O80)</f>
        <v>128</v>
      </c>
      <c r="P78" s="184">
        <f t="shared" si="5"/>
        <v>130</v>
      </c>
      <c r="Q78" s="184">
        <f t="shared" si="5"/>
        <v>122</v>
      </c>
      <c r="R78" s="184">
        <f t="shared" si="5"/>
        <v>103</v>
      </c>
      <c r="S78" s="184">
        <f t="shared" si="5"/>
        <v>117</v>
      </c>
      <c r="T78" s="184">
        <f t="shared" si="5"/>
        <v>160</v>
      </c>
      <c r="U78" s="184">
        <f t="shared" si="5"/>
        <v>117</v>
      </c>
      <c r="V78" s="184">
        <f t="shared" si="5"/>
        <v>123</v>
      </c>
      <c r="W78" s="184">
        <f t="shared" si="5"/>
        <v>156</v>
      </c>
      <c r="X78" s="184">
        <f t="shared" si="5"/>
        <v>152</v>
      </c>
      <c r="Y78" s="184">
        <f t="shared" si="5"/>
        <v>99</v>
      </c>
      <c r="Z78" s="184">
        <f t="shared" si="5"/>
        <v>120</v>
      </c>
      <c r="AA78" s="184">
        <f t="shared" si="5"/>
        <v>146</v>
      </c>
      <c r="AB78" s="184">
        <f t="shared" si="5"/>
        <v>116</v>
      </c>
      <c r="AC78" s="184">
        <f t="shared" si="5"/>
        <v>122</v>
      </c>
      <c r="AD78" s="184">
        <f t="shared" si="5"/>
        <v>141</v>
      </c>
      <c r="AE78" s="184">
        <f t="shared" si="5"/>
        <v>121</v>
      </c>
      <c r="AF78" s="186">
        <f t="shared" si="5"/>
        <v>121</v>
      </c>
      <c r="AG78" s="116">
        <f t="shared" si="2"/>
        <v>3797</v>
      </c>
    </row>
    <row r="79" spans="1:33" ht="19.5" hidden="1" customHeight="1" thickBot="1" x14ac:dyDescent="0.3">
      <c r="A79" s="181" t="s">
        <v>58</v>
      </c>
      <c r="B79" s="114">
        <f t="shared" ref="B79:AF79" si="6">SUM(B4:B27)-B80</f>
        <v>108</v>
      </c>
      <c r="C79" s="114">
        <f t="shared" si="6"/>
        <v>121</v>
      </c>
      <c r="D79" s="114">
        <f t="shared" si="6"/>
        <v>109</v>
      </c>
      <c r="E79" s="114">
        <f t="shared" si="6"/>
        <v>108</v>
      </c>
      <c r="F79" s="114">
        <f t="shared" si="6"/>
        <v>69</v>
      </c>
      <c r="G79" s="114">
        <f t="shared" si="6"/>
        <v>63</v>
      </c>
      <c r="H79" s="114">
        <f t="shared" si="6"/>
        <v>58</v>
      </c>
      <c r="I79" s="114">
        <f t="shared" si="6"/>
        <v>107</v>
      </c>
      <c r="J79" s="114">
        <f t="shared" si="6"/>
        <v>117</v>
      </c>
      <c r="K79" s="114">
        <f t="shared" si="6"/>
        <v>112</v>
      </c>
      <c r="L79" s="114">
        <f t="shared" si="6"/>
        <v>130</v>
      </c>
      <c r="M79" s="114">
        <f t="shared" si="6"/>
        <v>47</v>
      </c>
      <c r="N79" s="114">
        <f t="shared" si="6"/>
        <v>53</v>
      </c>
      <c r="O79" s="114">
        <f t="shared" si="6"/>
        <v>68</v>
      </c>
      <c r="P79" s="114">
        <f t="shared" si="6"/>
        <v>130</v>
      </c>
      <c r="Q79" s="114">
        <f t="shared" si="6"/>
        <v>122</v>
      </c>
      <c r="R79" s="114">
        <f t="shared" si="6"/>
        <v>39</v>
      </c>
      <c r="S79" s="114">
        <f t="shared" si="6"/>
        <v>61</v>
      </c>
      <c r="T79" s="114">
        <f t="shared" si="6"/>
        <v>84</v>
      </c>
      <c r="U79" s="114">
        <f t="shared" si="6"/>
        <v>68</v>
      </c>
      <c r="V79" s="114">
        <f t="shared" si="6"/>
        <v>60</v>
      </c>
      <c r="W79" s="114">
        <f t="shared" si="6"/>
        <v>156</v>
      </c>
      <c r="X79" s="114">
        <f t="shared" si="6"/>
        <v>152</v>
      </c>
      <c r="Y79" s="114">
        <f t="shared" si="6"/>
        <v>44</v>
      </c>
      <c r="Z79" s="114">
        <f t="shared" si="6"/>
        <v>120</v>
      </c>
      <c r="AA79" s="114">
        <f t="shared" si="6"/>
        <v>74</v>
      </c>
      <c r="AB79" s="114">
        <f t="shared" si="6"/>
        <v>61</v>
      </c>
      <c r="AC79" s="114">
        <f t="shared" si="6"/>
        <v>71</v>
      </c>
      <c r="AD79" s="114">
        <f t="shared" si="6"/>
        <v>141</v>
      </c>
      <c r="AE79" s="114">
        <f t="shared" si="6"/>
        <v>121</v>
      </c>
      <c r="AF79" s="114">
        <f t="shared" si="6"/>
        <v>62</v>
      </c>
      <c r="AG79" s="132">
        <f t="shared" si="2"/>
        <v>2836</v>
      </c>
    </row>
    <row r="80" spans="1:33" ht="19.5" hidden="1" customHeight="1" thickBot="1" x14ac:dyDescent="0.3">
      <c r="A80" s="107" t="s">
        <v>57</v>
      </c>
      <c r="B80" s="11"/>
      <c r="C80" s="11"/>
      <c r="D80" s="9">
        <v>0</v>
      </c>
      <c r="E80" s="9">
        <v>0</v>
      </c>
      <c r="F80" s="9">
        <f>SUM(F4:F12)</f>
        <v>63</v>
      </c>
      <c r="G80" s="9">
        <f>SUM(G4:G12)</f>
        <v>67</v>
      </c>
      <c r="H80" s="9">
        <f>SUM(H4:H12)</f>
        <v>50</v>
      </c>
      <c r="I80" s="11"/>
      <c r="J80" s="11"/>
      <c r="K80" s="9">
        <v>0</v>
      </c>
      <c r="L80" s="9">
        <v>0</v>
      </c>
      <c r="M80" s="9">
        <f>SUM(M4:M12)</f>
        <v>61</v>
      </c>
      <c r="N80" s="9">
        <f>SUM(N4:N12)</f>
        <v>60</v>
      </c>
      <c r="O80" s="9">
        <f>SUM(O4:O12)</f>
        <v>60</v>
      </c>
      <c r="P80" s="11"/>
      <c r="Q80" s="11"/>
      <c r="R80" s="9">
        <f>SUM(R4:R12)</f>
        <v>64</v>
      </c>
      <c r="S80" s="9">
        <f>SUM(S4:S12)</f>
        <v>56</v>
      </c>
      <c r="T80" s="9">
        <f>SUM(T4:T12)</f>
        <v>76</v>
      </c>
      <c r="U80" s="9">
        <f>SUM(U4:U12)</f>
        <v>49</v>
      </c>
      <c r="V80" s="9">
        <f>SUM(V4:V12)</f>
        <v>63</v>
      </c>
      <c r="W80" s="11"/>
      <c r="X80" s="11"/>
      <c r="Y80" s="9">
        <f>SUM(Y4:Y12)</f>
        <v>55</v>
      </c>
      <c r="Z80" s="11"/>
      <c r="AA80" s="9">
        <f>SUM(AA4:AA12)</f>
        <v>72</v>
      </c>
      <c r="AB80" s="9">
        <f>SUM(AB4:AB12)</f>
        <v>55</v>
      </c>
      <c r="AC80" s="9">
        <f>SUM(AC4:AC12)</f>
        <v>51</v>
      </c>
      <c r="AD80" s="11"/>
      <c r="AE80" s="11"/>
      <c r="AF80" s="9">
        <f>SUM(AF4:AF12)</f>
        <v>59</v>
      </c>
      <c r="AG80" s="108">
        <f t="shared" si="2"/>
        <v>961</v>
      </c>
    </row>
    <row r="81" spans="1:35" ht="19.5" thickBot="1" x14ac:dyDescent="0.3">
      <c r="A81" s="183" t="s">
        <v>98</v>
      </c>
      <c r="B81" s="184">
        <f t="shared" ref="B81:AF81" si="7">SUM(B82:B83)</f>
        <v>4</v>
      </c>
      <c r="C81" s="184">
        <f t="shared" si="7"/>
        <v>3</v>
      </c>
      <c r="D81" s="184">
        <f t="shared" si="7"/>
        <v>4</v>
      </c>
      <c r="E81" s="184">
        <f t="shared" si="7"/>
        <v>4</v>
      </c>
      <c r="F81" s="184">
        <f t="shared" si="7"/>
        <v>8</v>
      </c>
      <c r="G81" s="184">
        <f t="shared" si="7"/>
        <v>5</v>
      </c>
      <c r="H81" s="184">
        <f t="shared" si="7"/>
        <v>4</v>
      </c>
      <c r="I81" s="184">
        <f t="shared" si="7"/>
        <v>3</v>
      </c>
      <c r="J81" s="184">
        <f t="shared" si="7"/>
        <v>8</v>
      </c>
      <c r="K81" s="184">
        <f t="shared" si="7"/>
        <v>7</v>
      </c>
      <c r="L81" s="184">
        <f t="shared" si="7"/>
        <v>4</v>
      </c>
      <c r="M81" s="184">
        <f t="shared" si="7"/>
        <v>2</v>
      </c>
      <c r="N81" s="184">
        <f t="shared" si="7"/>
        <v>4</v>
      </c>
      <c r="O81" s="184">
        <f t="shared" si="7"/>
        <v>6</v>
      </c>
      <c r="P81" s="184">
        <f t="shared" si="7"/>
        <v>7</v>
      </c>
      <c r="Q81" s="184">
        <f t="shared" si="7"/>
        <v>3</v>
      </c>
      <c r="R81" s="184">
        <f t="shared" si="7"/>
        <v>6</v>
      </c>
      <c r="S81" s="184">
        <f t="shared" si="7"/>
        <v>2</v>
      </c>
      <c r="T81" s="184">
        <f t="shared" si="7"/>
        <v>10</v>
      </c>
      <c r="U81" s="184">
        <f t="shared" si="7"/>
        <v>6</v>
      </c>
      <c r="V81" s="184">
        <f t="shared" si="7"/>
        <v>5</v>
      </c>
      <c r="W81" s="184">
        <f t="shared" si="7"/>
        <v>4</v>
      </c>
      <c r="X81" s="184">
        <f t="shared" si="7"/>
        <v>7</v>
      </c>
      <c r="Y81" s="184">
        <f t="shared" si="7"/>
        <v>4</v>
      </c>
      <c r="Z81" s="184">
        <f>SUM(Z82:Z83)</f>
        <v>3</v>
      </c>
      <c r="AA81" s="184">
        <f t="shared" si="7"/>
        <v>13</v>
      </c>
      <c r="AB81" s="184">
        <f t="shared" si="7"/>
        <v>6</v>
      </c>
      <c r="AC81" s="184">
        <f t="shared" si="7"/>
        <v>12</v>
      </c>
      <c r="AD81" s="184">
        <f t="shared" si="7"/>
        <v>9</v>
      </c>
      <c r="AE81" s="184">
        <f t="shared" si="7"/>
        <v>6</v>
      </c>
      <c r="AF81" s="184">
        <f t="shared" si="7"/>
        <v>4</v>
      </c>
      <c r="AG81" s="116">
        <f t="shared" si="2"/>
        <v>173</v>
      </c>
      <c r="AH81" s="180" t="str">
        <f>IF(AG81&lt;&gt;AG53,"*","")</f>
        <v/>
      </c>
    </row>
    <row r="82" spans="1:35" ht="18.75" x14ac:dyDescent="0.25">
      <c r="A82" s="181" t="s">
        <v>57</v>
      </c>
      <c r="B82" s="114">
        <f t="shared" ref="B82:AE82" si="8">SUM(B54:B62)</f>
        <v>2</v>
      </c>
      <c r="C82" s="114">
        <f t="shared" si="8"/>
        <v>3</v>
      </c>
      <c r="D82" s="182"/>
      <c r="E82" s="182"/>
      <c r="F82" s="114">
        <f t="shared" si="8"/>
        <v>1</v>
      </c>
      <c r="G82" s="114">
        <f t="shared" si="8"/>
        <v>2</v>
      </c>
      <c r="H82" s="114">
        <f t="shared" si="8"/>
        <v>0</v>
      </c>
      <c r="I82" s="114">
        <f t="shared" si="8"/>
        <v>1</v>
      </c>
      <c r="J82" s="114">
        <f t="shared" si="8"/>
        <v>3</v>
      </c>
      <c r="K82" s="182"/>
      <c r="L82" s="182"/>
      <c r="M82" s="182"/>
      <c r="N82" s="114">
        <f t="shared" si="8"/>
        <v>0</v>
      </c>
      <c r="O82" s="114">
        <f t="shared" si="8"/>
        <v>2</v>
      </c>
      <c r="P82" s="114">
        <f t="shared" si="8"/>
        <v>5</v>
      </c>
      <c r="Q82" s="114">
        <f t="shared" si="8"/>
        <v>1</v>
      </c>
      <c r="R82" s="182"/>
      <c r="S82" s="182"/>
      <c r="T82" s="114">
        <f t="shared" si="8"/>
        <v>5</v>
      </c>
      <c r="U82" s="114">
        <f t="shared" si="8"/>
        <v>2</v>
      </c>
      <c r="V82" s="114">
        <f t="shared" si="8"/>
        <v>1</v>
      </c>
      <c r="W82" s="114">
        <f t="shared" si="8"/>
        <v>2</v>
      </c>
      <c r="X82" s="114">
        <f t="shared" si="8"/>
        <v>5</v>
      </c>
      <c r="Y82" s="182"/>
      <c r="Z82" s="182"/>
      <c r="AA82" s="114">
        <f t="shared" si="8"/>
        <v>6</v>
      </c>
      <c r="AB82" s="114">
        <f t="shared" si="8"/>
        <v>3</v>
      </c>
      <c r="AC82" s="114">
        <f t="shared" si="8"/>
        <v>6</v>
      </c>
      <c r="AD82" s="114">
        <f t="shared" si="8"/>
        <v>5</v>
      </c>
      <c r="AE82" s="114">
        <f t="shared" si="8"/>
        <v>2</v>
      </c>
      <c r="AF82" s="182"/>
      <c r="AG82" s="132">
        <f t="shared" si="2"/>
        <v>57</v>
      </c>
    </row>
    <row r="83" spans="1:35" ht="19.5" thickBot="1" x14ac:dyDescent="0.3">
      <c r="A83" s="107" t="s">
        <v>58</v>
      </c>
      <c r="B83" s="9">
        <f t="shared" ref="B83" si="9">SUM(B54:B77)-B82</f>
        <v>2</v>
      </c>
      <c r="C83" s="9">
        <f t="shared" ref="C83" si="10">SUM(C54:C77)-C82</f>
        <v>0</v>
      </c>
      <c r="D83" s="9">
        <f t="shared" ref="D83:AF83" si="11">SUM(D54:D77)-D82</f>
        <v>4</v>
      </c>
      <c r="E83" s="9">
        <f t="shared" si="11"/>
        <v>4</v>
      </c>
      <c r="F83" s="9">
        <f t="shared" si="11"/>
        <v>7</v>
      </c>
      <c r="G83" s="9">
        <f t="shared" si="11"/>
        <v>3</v>
      </c>
      <c r="H83" s="9">
        <f t="shared" si="11"/>
        <v>4</v>
      </c>
      <c r="I83" s="9">
        <f t="shared" si="11"/>
        <v>2</v>
      </c>
      <c r="J83" s="9">
        <f t="shared" si="11"/>
        <v>5</v>
      </c>
      <c r="K83" s="9">
        <f t="shared" si="11"/>
        <v>7</v>
      </c>
      <c r="L83" s="9">
        <f t="shared" si="11"/>
        <v>4</v>
      </c>
      <c r="M83" s="9">
        <f t="shared" si="11"/>
        <v>2</v>
      </c>
      <c r="N83" s="9">
        <f t="shared" si="11"/>
        <v>4</v>
      </c>
      <c r="O83" s="9">
        <f t="shared" si="11"/>
        <v>4</v>
      </c>
      <c r="P83" s="9">
        <f t="shared" si="11"/>
        <v>2</v>
      </c>
      <c r="Q83" s="9">
        <f t="shared" si="11"/>
        <v>2</v>
      </c>
      <c r="R83" s="9">
        <f t="shared" si="11"/>
        <v>6</v>
      </c>
      <c r="S83" s="9">
        <f t="shared" si="11"/>
        <v>2</v>
      </c>
      <c r="T83" s="9">
        <f t="shared" si="11"/>
        <v>5</v>
      </c>
      <c r="U83" s="9">
        <f t="shared" si="11"/>
        <v>4</v>
      </c>
      <c r="V83" s="9">
        <f t="shared" si="11"/>
        <v>4</v>
      </c>
      <c r="W83" s="9">
        <f t="shared" si="11"/>
        <v>2</v>
      </c>
      <c r="X83" s="9">
        <f t="shared" si="11"/>
        <v>2</v>
      </c>
      <c r="Y83" s="9">
        <f t="shared" si="11"/>
        <v>4</v>
      </c>
      <c r="Z83" s="9">
        <f t="shared" si="11"/>
        <v>3</v>
      </c>
      <c r="AA83" s="9">
        <f t="shared" si="11"/>
        <v>7</v>
      </c>
      <c r="AB83" s="9">
        <f t="shared" si="11"/>
        <v>3</v>
      </c>
      <c r="AC83" s="9">
        <f t="shared" si="11"/>
        <v>6</v>
      </c>
      <c r="AD83" s="9">
        <f t="shared" si="11"/>
        <v>4</v>
      </c>
      <c r="AE83" s="9">
        <f t="shared" si="11"/>
        <v>4</v>
      </c>
      <c r="AF83" s="9">
        <f t="shared" si="11"/>
        <v>4</v>
      </c>
      <c r="AG83" s="4">
        <f t="shared" si="2"/>
        <v>116</v>
      </c>
    </row>
    <row r="84" spans="1:35" ht="19.5" thickBot="1" x14ac:dyDescent="0.3">
      <c r="A84" s="164" t="s">
        <v>146</v>
      </c>
      <c r="B84" s="165">
        <f>SUM(B85:B86)</f>
        <v>4</v>
      </c>
      <c r="C84" s="165">
        <f t="shared" ref="C84:AF84" si="12">SUM(C85:C86)</f>
        <v>3</v>
      </c>
      <c r="D84" s="165">
        <f t="shared" si="12"/>
        <v>4</v>
      </c>
      <c r="E84" s="165">
        <f t="shared" si="12"/>
        <v>4</v>
      </c>
      <c r="F84" s="165">
        <f t="shared" si="12"/>
        <v>8</v>
      </c>
      <c r="G84" s="165">
        <f t="shared" si="12"/>
        <v>5</v>
      </c>
      <c r="H84" s="165">
        <f t="shared" si="12"/>
        <v>4</v>
      </c>
      <c r="I84" s="165">
        <f t="shared" si="12"/>
        <v>3</v>
      </c>
      <c r="J84" s="165">
        <f t="shared" si="12"/>
        <v>8</v>
      </c>
      <c r="K84" s="165">
        <f t="shared" si="12"/>
        <v>7</v>
      </c>
      <c r="L84" s="165">
        <f t="shared" si="12"/>
        <v>4</v>
      </c>
      <c r="M84" s="165">
        <f t="shared" si="12"/>
        <v>2</v>
      </c>
      <c r="N84" s="165">
        <f t="shared" si="12"/>
        <v>4</v>
      </c>
      <c r="O84" s="165">
        <f t="shared" si="12"/>
        <v>6</v>
      </c>
      <c r="P84" s="165">
        <f t="shared" si="12"/>
        <v>7</v>
      </c>
      <c r="Q84" s="165">
        <f t="shared" si="12"/>
        <v>3</v>
      </c>
      <c r="R84" s="165">
        <f t="shared" si="12"/>
        <v>6</v>
      </c>
      <c r="S84" s="165">
        <f t="shared" si="12"/>
        <v>2</v>
      </c>
      <c r="T84" s="165">
        <f t="shared" si="12"/>
        <v>10</v>
      </c>
      <c r="U84" s="165">
        <f t="shared" si="12"/>
        <v>6</v>
      </c>
      <c r="V84" s="165">
        <f t="shared" si="12"/>
        <v>5</v>
      </c>
      <c r="W84" s="165">
        <f t="shared" si="12"/>
        <v>4</v>
      </c>
      <c r="X84" s="165">
        <f t="shared" si="12"/>
        <v>7</v>
      </c>
      <c r="Y84" s="165">
        <f t="shared" si="12"/>
        <v>4</v>
      </c>
      <c r="Z84" s="165">
        <f t="shared" si="12"/>
        <v>3</v>
      </c>
      <c r="AA84" s="165">
        <f t="shared" si="12"/>
        <v>13</v>
      </c>
      <c r="AB84" s="165">
        <f t="shared" si="12"/>
        <v>6</v>
      </c>
      <c r="AC84" s="165">
        <f t="shared" si="12"/>
        <v>12</v>
      </c>
      <c r="AD84" s="165">
        <f t="shared" si="12"/>
        <v>9</v>
      </c>
      <c r="AE84" s="165">
        <f t="shared" si="12"/>
        <v>6</v>
      </c>
      <c r="AF84" s="165">
        <f t="shared" si="12"/>
        <v>4</v>
      </c>
      <c r="AG84" s="171">
        <f t="shared" ref="AG84:AG126" si="13">SUM(B84:AF84)</f>
        <v>173</v>
      </c>
      <c r="AH84" s="180" t="str">
        <f>IF(AG84&lt;&gt;AG82+AG83,"*","")</f>
        <v/>
      </c>
      <c r="AI84" s="434" t="s">
        <v>1</v>
      </c>
    </row>
    <row r="85" spans="1:35" ht="18.75" x14ac:dyDescent="0.25">
      <c r="A85" s="72" t="s">
        <v>144</v>
      </c>
      <c r="B85" s="169">
        <v>0</v>
      </c>
      <c r="C85" s="169">
        <v>1</v>
      </c>
      <c r="D85" s="169">
        <v>0</v>
      </c>
      <c r="E85" s="169">
        <v>1</v>
      </c>
      <c r="F85" s="169">
        <v>2</v>
      </c>
      <c r="G85" s="169">
        <v>1</v>
      </c>
      <c r="H85" s="169">
        <v>0</v>
      </c>
      <c r="I85" s="169">
        <v>0</v>
      </c>
      <c r="J85" s="169">
        <v>0</v>
      </c>
      <c r="K85" s="169">
        <v>1</v>
      </c>
      <c r="L85" s="169">
        <v>0</v>
      </c>
      <c r="M85" s="169">
        <v>0</v>
      </c>
      <c r="N85" s="169">
        <v>0</v>
      </c>
      <c r="O85" s="169">
        <v>0</v>
      </c>
      <c r="P85" s="169">
        <v>1</v>
      </c>
      <c r="Q85" s="169">
        <v>1</v>
      </c>
      <c r="R85" s="169">
        <v>0</v>
      </c>
      <c r="S85" s="169">
        <v>0</v>
      </c>
      <c r="T85" s="169">
        <v>1</v>
      </c>
      <c r="U85" s="169">
        <v>1</v>
      </c>
      <c r="V85" s="169">
        <v>1</v>
      </c>
      <c r="W85" s="169">
        <v>1</v>
      </c>
      <c r="X85" s="169">
        <v>0</v>
      </c>
      <c r="Y85" s="169">
        <v>0</v>
      </c>
      <c r="Z85" s="169">
        <v>0</v>
      </c>
      <c r="AA85" s="169">
        <v>1</v>
      </c>
      <c r="AB85" s="169">
        <v>1</v>
      </c>
      <c r="AC85" s="169">
        <v>1</v>
      </c>
      <c r="AD85" s="169">
        <v>3</v>
      </c>
      <c r="AE85" s="169">
        <v>0</v>
      </c>
      <c r="AF85" s="170">
        <v>1</v>
      </c>
      <c r="AG85" s="168">
        <f t="shared" si="13"/>
        <v>19</v>
      </c>
      <c r="AI85" s="435"/>
    </row>
    <row r="86" spans="1:35" ht="19.5" thickBot="1" x14ac:dyDescent="0.3">
      <c r="A86" s="172" t="s">
        <v>145</v>
      </c>
      <c r="B86" s="173">
        <v>4</v>
      </c>
      <c r="C86" s="173">
        <v>2</v>
      </c>
      <c r="D86" s="173">
        <v>4</v>
      </c>
      <c r="E86" s="173">
        <v>3</v>
      </c>
      <c r="F86" s="173">
        <v>6</v>
      </c>
      <c r="G86" s="173">
        <v>4</v>
      </c>
      <c r="H86" s="173">
        <v>4</v>
      </c>
      <c r="I86" s="173">
        <v>3</v>
      </c>
      <c r="J86" s="173">
        <v>8</v>
      </c>
      <c r="K86" s="173">
        <v>6</v>
      </c>
      <c r="L86" s="173">
        <v>4</v>
      </c>
      <c r="M86" s="173">
        <v>2</v>
      </c>
      <c r="N86" s="173">
        <v>4</v>
      </c>
      <c r="O86" s="173">
        <v>6</v>
      </c>
      <c r="P86" s="173">
        <v>6</v>
      </c>
      <c r="Q86" s="173">
        <v>2</v>
      </c>
      <c r="R86" s="173">
        <v>6</v>
      </c>
      <c r="S86" s="173">
        <v>2</v>
      </c>
      <c r="T86" s="173">
        <v>9</v>
      </c>
      <c r="U86" s="173">
        <v>5</v>
      </c>
      <c r="V86" s="173">
        <v>4</v>
      </c>
      <c r="W86" s="173">
        <v>3</v>
      </c>
      <c r="X86" s="173">
        <v>7</v>
      </c>
      <c r="Y86" s="173">
        <v>4</v>
      </c>
      <c r="Z86" s="173">
        <v>3</v>
      </c>
      <c r="AA86" s="173">
        <v>12</v>
      </c>
      <c r="AB86" s="173">
        <v>5</v>
      </c>
      <c r="AC86" s="173">
        <v>11</v>
      </c>
      <c r="AD86" s="173">
        <v>6</v>
      </c>
      <c r="AE86" s="173">
        <v>6</v>
      </c>
      <c r="AF86" s="174">
        <v>3</v>
      </c>
      <c r="AG86" s="176">
        <f t="shared" si="13"/>
        <v>154</v>
      </c>
      <c r="AI86" s="436"/>
    </row>
    <row r="87" spans="1:35" ht="19.5" thickBot="1" x14ac:dyDescent="0.3">
      <c r="A87" s="177" t="s">
        <v>147</v>
      </c>
      <c r="B87" s="178">
        <f>SUM(B88:B92)</f>
        <v>4</v>
      </c>
      <c r="C87" s="178">
        <f t="shared" ref="C87:AF87" si="14">SUM(C88:C92)</f>
        <v>3</v>
      </c>
      <c r="D87" s="178">
        <f t="shared" si="14"/>
        <v>4</v>
      </c>
      <c r="E87" s="178">
        <f t="shared" si="14"/>
        <v>4</v>
      </c>
      <c r="F87" s="178">
        <f t="shared" si="14"/>
        <v>8</v>
      </c>
      <c r="G87" s="178">
        <f t="shared" si="14"/>
        <v>5</v>
      </c>
      <c r="H87" s="178">
        <f t="shared" si="14"/>
        <v>4</v>
      </c>
      <c r="I87" s="178">
        <f t="shared" si="14"/>
        <v>3</v>
      </c>
      <c r="J87" s="178">
        <f t="shared" si="14"/>
        <v>8</v>
      </c>
      <c r="K87" s="178">
        <f t="shared" si="14"/>
        <v>7</v>
      </c>
      <c r="L87" s="178">
        <f t="shared" si="14"/>
        <v>4</v>
      </c>
      <c r="M87" s="178">
        <f t="shared" si="14"/>
        <v>2</v>
      </c>
      <c r="N87" s="178">
        <f t="shared" si="14"/>
        <v>4</v>
      </c>
      <c r="O87" s="178">
        <f t="shared" si="14"/>
        <v>6</v>
      </c>
      <c r="P87" s="178">
        <f t="shared" si="14"/>
        <v>7</v>
      </c>
      <c r="Q87" s="178">
        <f t="shared" si="14"/>
        <v>3</v>
      </c>
      <c r="R87" s="178">
        <f t="shared" si="14"/>
        <v>6</v>
      </c>
      <c r="S87" s="178">
        <f t="shared" si="14"/>
        <v>2</v>
      </c>
      <c r="T87" s="178">
        <f t="shared" si="14"/>
        <v>10</v>
      </c>
      <c r="U87" s="178">
        <f t="shared" si="14"/>
        <v>6</v>
      </c>
      <c r="V87" s="178">
        <f t="shared" si="14"/>
        <v>5</v>
      </c>
      <c r="W87" s="178">
        <f t="shared" si="14"/>
        <v>4</v>
      </c>
      <c r="X87" s="178">
        <f t="shared" si="14"/>
        <v>7</v>
      </c>
      <c r="Y87" s="178">
        <f t="shared" si="14"/>
        <v>4</v>
      </c>
      <c r="Z87" s="178">
        <f t="shared" si="14"/>
        <v>3</v>
      </c>
      <c r="AA87" s="178">
        <f t="shared" si="14"/>
        <v>13</v>
      </c>
      <c r="AB87" s="178">
        <f t="shared" si="14"/>
        <v>6</v>
      </c>
      <c r="AC87" s="178">
        <f t="shared" si="14"/>
        <v>12</v>
      </c>
      <c r="AD87" s="178">
        <f t="shared" si="14"/>
        <v>9</v>
      </c>
      <c r="AE87" s="178">
        <f t="shared" si="14"/>
        <v>6</v>
      </c>
      <c r="AF87" s="178">
        <f t="shared" si="14"/>
        <v>4</v>
      </c>
      <c r="AG87" s="179">
        <f t="shared" si="13"/>
        <v>173</v>
      </c>
      <c r="AH87" s="175" t="str">
        <f>IF(AG87&lt;&gt;AG84,"*","")</f>
        <v/>
      </c>
    </row>
    <row r="88" spans="1:35" ht="18.75" x14ac:dyDescent="0.25">
      <c r="A88" s="104" t="s">
        <v>127</v>
      </c>
      <c r="B88" s="166">
        <v>2</v>
      </c>
      <c r="C88" s="166">
        <v>2</v>
      </c>
      <c r="D88" s="166">
        <v>2</v>
      </c>
      <c r="E88" s="166">
        <v>2</v>
      </c>
      <c r="F88" s="166">
        <v>6</v>
      </c>
      <c r="G88" s="166">
        <v>5</v>
      </c>
      <c r="H88" s="166">
        <v>4</v>
      </c>
      <c r="I88" s="166">
        <v>3</v>
      </c>
      <c r="J88" s="166">
        <v>5</v>
      </c>
      <c r="K88" s="166">
        <v>5</v>
      </c>
      <c r="L88" s="166">
        <v>3</v>
      </c>
      <c r="M88" s="166"/>
      <c r="N88" s="166">
        <v>1</v>
      </c>
      <c r="O88" s="166">
        <v>6</v>
      </c>
      <c r="P88" s="166">
        <v>3</v>
      </c>
      <c r="Q88" s="166">
        <v>3</v>
      </c>
      <c r="R88" s="166">
        <v>5</v>
      </c>
      <c r="S88" s="166">
        <v>1</v>
      </c>
      <c r="T88" s="166">
        <v>3</v>
      </c>
      <c r="U88" s="166">
        <v>3</v>
      </c>
      <c r="V88" s="166">
        <v>3</v>
      </c>
      <c r="W88" s="166">
        <v>4</v>
      </c>
      <c r="X88" s="166">
        <v>4</v>
      </c>
      <c r="Y88" s="166">
        <v>3</v>
      </c>
      <c r="Z88" s="166">
        <v>2</v>
      </c>
      <c r="AA88" s="166">
        <v>3</v>
      </c>
      <c r="AB88" s="166">
        <v>2</v>
      </c>
      <c r="AC88" s="166">
        <v>10</v>
      </c>
      <c r="AD88" s="166">
        <v>6</v>
      </c>
      <c r="AE88" s="166">
        <v>5</v>
      </c>
      <c r="AF88" s="167">
        <v>2</v>
      </c>
      <c r="AG88" s="132">
        <f t="shared" si="13"/>
        <v>108</v>
      </c>
    </row>
    <row r="89" spans="1:35" ht="18.75" x14ac:dyDescent="0.25">
      <c r="A89" s="105" t="s">
        <v>73</v>
      </c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10"/>
      <c r="AG89" s="4">
        <f t="shared" si="13"/>
        <v>0</v>
      </c>
    </row>
    <row r="90" spans="1:35" ht="18.75" x14ac:dyDescent="0.25">
      <c r="A90" s="105" t="s">
        <v>74</v>
      </c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>
        <v>1</v>
      </c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>
        <v>1</v>
      </c>
      <c r="AB90" s="9"/>
      <c r="AC90" s="9"/>
      <c r="AD90" s="9"/>
      <c r="AE90" s="9"/>
      <c r="AF90" s="10"/>
      <c r="AG90" s="4">
        <f t="shared" si="13"/>
        <v>2</v>
      </c>
    </row>
    <row r="91" spans="1:35" ht="18.75" x14ac:dyDescent="0.25">
      <c r="A91" s="105" t="s">
        <v>75</v>
      </c>
      <c r="B91" s="9"/>
      <c r="C91" s="9">
        <v>1</v>
      </c>
      <c r="D91" s="9">
        <v>2</v>
      </c>
      <c r="E91" s="9">
        <v>1</v>
      </c>
      <c r="F91" s="9">
        <v>2</v>
      </c>
      <c r="G91" s="9"/>
      <c r="H91" s="9"/>
      <c r="I91" s="9"/>
      <c r="J91" s="9"/>
      <c r="K91" s="9"/>
      <c r="L91" s="9"/>
      <c r="M91" s="9"/>
      <c r="N91" s="9"/>
      <c r="O91" s="9"/>
      <c r="P91" s="9">
        <v>1</v>
      </c>
      <c r="Q91" s="9"/>
      <c r="R91" s="9"/>
      <c r="S91" s="9">
        <v>1</v>
      </c>
      <c r="T91" s="9">
        <v>1</v>
      </c>
      <c r="U91" s="9">
        <v>1</v>
      </c>
      <c r="V91" s="9"/>
      <c r="W91" s="9"/>
      <c r="X91" s="9">
        <v>1</v>
      </c>
      <c r="Y91" s="9"/>
      <c r="Z91" s="9">
        <v>1</v>
      </c>
      <c r="AA91" s="9">
        <v>4</v>
      </c>
      <c r="AB91" s="9">
        <v>1</v>
      </c>
      <c r="AC91" s="9"/>
      <c r="AD91" s="9"/>
      <c r="AE91" s="9"/>
      <c r="AF91" s="10"/>
      <c r="AG91" s="4">
        <f t="shared" si="13"/>
        <v>17</v>
      </c>
    </row>
    <row r="92" spans="1:35" ht="19.5" thickBot="1" x14ac:dyDescent="0.3">
      <c r="A92" s="105" t="s">
        <v>76</v>
      </c>
      <c r="B92" s="9">
        <v>2</v>
      </c>
      <c r="C92" s="9"/>
      <c r="D92" s="9"/>
      <c r="E92" s="9">
        <v>1</v>
      </c>
      <c r="F92" s="9"/>
      <c r="G92" s="9"/>
      <c r="H92" s="9"/>
      <c r="I92" s="9"/>
      <c r="J92" s="9">
        <v>3</v>
      </c>
      <c r="K92" s="9">
        <v>2</v>
      </c>
      <c r="L92" s="9">
        <v>1</v>
      </c>
      <c r="M92" s="9">
        <v>1</v>
      </c>
      <c r="N92" s="9">
        <v>3</v>
      </c>
      <c r="O92" s="9"/>
      <c r="P92" s="9">
        <v>3</v>
      </c>
      <c r="Q92" s="9"/>
      <c r="R92" s="9">
        <v>1</v>
      </c>
      <c r="S92" s="9"/>
      <c r="T92" s="9">
        <v>6</v>
      </c>
      <c r="U92" s="9">
        <v>2</v>
      </c>
      <c r="V92" s="9">
        <v>2</v>
      </c>
      <c r="W92" s="9"/>
      <c r="X92" s="9">
        <v>2</v>
      </c>
      <c r="Y92" s="9">
        <v>1</v>
      </c>
      <c r="Z92" s="9"/>
      <c r="AA92" s="9">
        <v>5</v>
      </c>
      <c r="AB92" s="9">
        <v>3</v>
      </c>
      <c r="AC92" s="9">
        <v>2</v>
      </c>
      <c r="AD92" s="9">
        <v>3</v>
      </c>
      <c r="AE92" s="9">
        <v>1</v>
      </c>
      <c r="AF92" s="10">
        <v>2</v>
      </c>
      <c r="AG92" s="4">
        <f t="shared" si="13"/>
        <v>46</v>
      </c>
    </row>
    <row r="93" spans="1:35" ht="18.75" x14ac:dyDescent="0.25">
      <c r="A93" s="73" t="s">
        <v>615</v>
      </c>
      <c r="B93" s="74">
        <f t="shared" ref="B93:AF93" si="15">+B94+B100</f>
        <v>104</v>
      </c>
      <c r="C93" s="74">
        <f t="shared" si="15"/>
        <v>118</v>
      </c>
      <c r="D93" s="74">
        <f t="shared" si="15"/>
        <v>105</v>
      </c>
      <c r="E93" s="74">
        <f t="shared" si="15"/>
        <v>104</v>
      </c>
      <c r="F93" s="74">
        <f t="shared" si="15"/>
        <v>124</v>
      </c>
      <c r="G93" s="74">
        <f t="shared" si="15"/>
        <v>125</v>
      </c>
      <c r="H93" s="74">
        <f t="shared" si="15"/>
        <v>104</v>
      </c>
      <c r="I93" s="74">
        <f t="shared" si="15"/>
        <v>104</v>
      </c>
      <c r="J93" s="74">
        <f t="shared" si="15"/>
        <v>109</v>
      </c>
      <c r="K93" s="74">
        <f t="shared" si="15"/>
        <v>105</v>
      </c>
      <c r="L93" s="74">
        <f t="shared" si="15"/>
        <v>126</v>
      </c>
      <c r="M93" s="74">
        <f t="shared" si="15"/>
        <v>106</v>
      </c>
      <c r="N93" s="74">
        <f t="shared" si="15"/>
        <v>109</v>
      </c>
      <c r="O93" s="74">
        <f t="shared" si="15"/>
        <v>122</v>
      </c>
      <c r="P93" s="74">
        <f t="shared" si="15"/>
        <v>123</v>
      </c>
      <c r="Q93" s="74">
        <f t="shared" si="15"/>
        <v>119</v>
      </c>
      <c r="R93" s="74">
        <f t="shared" si="15"/>
        <v>97</v>
      </c>
      <c r="S93" s="74">
        <f t="shared" si="15"/>
        <v>115</v>
      </c>
      <c r="T93" s="74">
        <f t="shared" si="15"/>
        <v>150</v>
      </c>
      <c r="U93" s="74">
        <f t="shared" si="15"/>
        <v>111</v>
      </c>
      <c r="V93" s="74">
        <f t="shared" si="15"/>
        <v>118</v>
      </c>
      <c r="W93" s="74">
        <f t="shared" si="15"/>
        <v>152</v>
      </c>
      <c r="X93" s="74">
        <f t="shared" si="15"/>
        <v>145</v>
      </c>
      <c r="Y93" s="74">
        <f t="shared" si="15"/>
        <v>95</v>
      </c>
      <c r="Z93" s="74">
        <f t="shared" si="15"/>
        <v>117</v>
      </c>
      <c r="AA93" s="74">
        <f t="shared" si="15"/>
        <v>133</v>
      </c>
      <c r="AB93" s="74">
        <f t="shared" si="15"/>
        <v>110</v>
      </c>
      <c r="AC93" s="74">
        <f t="shared" si="15"/>
        <v>110</v>
      </c>
      <c r="AD93" s="74">
        <f t="shared" si="15"/>
        <v>132</v>
      </c>
      <c r="AE93" s="74">
        <f t="shared" si="15"/>
        <v>115</v>
      </c>
      <c r="AF93" s="84">
        <f t="shared" si="15"/>
        <v>117</v>
      </c>
      <c r="AG93" s="150">
        <f t="shared" si="13"/>
        <v>3624</v>
      </c>
      <c r="AH93" s="37" t="str">
        <f>IF(AG93&lt;&gt;AG28,"*","")</f>
        <v/>
      </c>
    </row>
    <row r="94" spans="1:35" ht="18.75" x14ac:dyDescent="0.25">
      <c r="A94" s="42" t="s">
        <v>65</v>
      </c>
      <c r="B94" s="17">
        <f t="shared" ref="B94:AF94" si="16">SUM(B95:B99)</f>
        <v>5</v>
      </c>
      <c r="C94" s="17">
        <f t="shared" si="16"/>
        <v>8</v>
      </c>
      <c r="D94" s="17">
        <f t="shared" si="16"/>
        <v>6</v>
      </c>
      <c r="E94" s="17">
        <f t="shared" si="16"/>
        <v>7</v>
      </c>
      <c r="F94" s="17">
        <f t="shared" si="16"/>
        <v>6</v>
      </c>
      <c r="G94" s="17">
        <f t="shared" si="16"/>
        <v>8</v>
      </c>
      <c r="H94" s="17">
        <f t="shared" si="16"/>
        <v>5</v>
      </c>
      <c r="I94" s="17">
        <f t="shared" si="16"/>
        <v>6</v>
      </c>
      <c r="J94" s="17">
        <f t="shared" si="16"/>
        <v>7</v>
      </c>
      <c r="K94" s="17">
        <f t="shared" si="16"/>
        <v>11</v>
      </c>
      <c r="L94" s="17">
        <f t="shared" si="16"/>
        <v>12</v>
      </c>
      <c r="M94" s="17">
        <f t="shared" si="16"/>
        <v>4</v>
      </c>
      <c r="N94" s="17">
        <f t="shared" si="16"/>
        <v>3</v>
      </c>
      <c r="O94" s="17">
        <f t="shared" si="16"/>
        <v>9</v>
      </c>
      <c r="P94" s="17">
        <f t="shared" si="16"/>
        <v>6</v>
      </c>
      <c r="Q94" s="17">
        <f t="shared" si="16"/>
        <v>18</v>
      </c>
      <c r="R94" s="17">
        <f t="shared" si="16"/>
        <v>10</v>
      </c>
      <c r="S94" s="17">
        <f t="shared" si="16"/>
        <v>16</v>
      </c>
      <c r="T94" s="17">
        <f t="shared" si="16"/>
        <v>11</v>
      </c>
      <c r="U94" s="17">
        <f t="shared" si="16"/>
        <v>13</v>
      </c>
      <c r="V94" s="17">
        <f t="shared" si="16"/>
        <v>13</v>
      </c>
      <c r="W94" s="17">
        <f t="shared" si="16"/>
        <v>15</v>
      </c>
      <c r="X94" s="17">
        <f t="shared" si="16"/>
        <v>9</v>
      </c>
      <c r="Y94" s="17">
        <f t="shared" si="16"/>
        <v>15</v>
      </c>
      <c r="Z94" s="17">
        <f t="shared" si="16"/>
        <v>14</v>
      </c>
      <c r="AA94" s="17">
        <f t="shared" si="16"/>
        <v>9</v>
      </c>
      <c r="AB94" s="17">
        <f t="shared" si="16"/>
        <v>16</v>
      </c>
      <c r="AC94" s="17">
        <f t="shared" si="16"/>
        <v>10</v>
      </c>
      <c r="AD94" s="17">
        <f t="shared" si="16"/>
        <v>7</v>
      </c>
      <c r="AE94" s="17">
        <f t="shared" si="16"/>
        <v>9</v>
      </c>
      <c r="AF94" s="18">
        <f t="shared" si="16"/>
        <v>8</v>
      </c>
      <c r="AG94" s="4">
        <f t="shared" si="13"/>
        <v>296</v>
      </c>
    </row>
    <row r="95" spans="1:35" ht="18.75" x14ac:dyDescent="0.25">
      <c r="A95" s="44" t="s">
        <v>81</v>
      </c>
      <c r="B95" s="7"/>
      <c r="C95" s="7"/>
      <c r="D95" s="7"/>
      <c r="E95" s="7"/>
      <c r="F95" s="7"/>
      <c r="G95" s="7">
        <v>1</v>
      </c>
      <c r="H95" s="7"/>
      <c r="I95" s="7"/>
      <c r="J95" s="7"/>
      <c r="K95" s="7"/>
      <c r="L95" s="7"/>
      <c r="M95" s="7"/>
      <c r="N95" s="7"/>
      <c r="O95" s="7">
        <v>1</v>
      </c>
      <c r="P95" s="7"/>
      <c r="Q95" s="7">
        <v>3</v>
      </c>
      <c r="R95" s="7"/>
      <c r="S95" s="7">
        <v>1</v>
      </c>
      <c r="T95" s="7">
        <v>1</v>
      </c>
      <c r="U95" s="7">
        <v>1</v>
      </c>
      <c r="V95" s="7">
        <v>1</v>
      </c>
      <c r="W95" s="7">
        <v>2</v>
      </c>
      <c r="X95" s="7">
        <v>1</v>
      </c>
      <c r="Y95" s="7">
        <v>2</v>
      </c>
      <c r="Z95" s="7"/>
      <c r="AA95" s="7"/>
      <c r="AB95" s="7"/>
      <c r="AC95" s="7">
        <v>1</v>
      </c>
      <c r="AD95" s="7">
        <v>1</v>
      </c>
      <c r="AE95" s="7"/>
      <c r="AF95" s="8"/>
      <c r="AG95" s="4">
        <f t="shared" si="13"/>
        <v>16</v>
      </c>
    </row>
    <row r="96" spans="1:35" ht="18.75" x14ac:dyDescent="0.25">
      <c r="A96" s="45" t="s">
        <v>82</v>
      </c>
      <c r="B96" s="7"/>
      <c r="C96" s="7"/>
      <c r="D96" s="7"/>
      <c r="E96" s="7"/>
      <c r="F96" s="7"/>
      <c r="G96" s="7">
        <v>1</v>
      </c>
      <c r="H96" s="7"/>
      <c r="I96" s="7"/>
      <c r="J96" s="7"/>
      <c r="K96" s="7">
        <v>1</v>
      </c>
      <c r="L96" s="7"/>
      <c r="M96" s="7"/>
      <c r="N96" s="7"/>
      <c r="O96" s="7">
        <v>1</v>
      </c>
      <c r="P96" s="7">
        <v>2</v>
      </c>
      <c r="Q96" s="7">
        <v>1</v>
      </c>
      <c r="R96" s="7"/>
      <c r="S96" s="141">
        <v>2</v>
      </c>
      <c r="T96" s="7"/>
      <c r="U96" s="7"/>
      <c r="V96" s="7">
        <v>2</v>
      </c>
      <c r="W96" s="7">
        <v>1</v>
      </c>
      <c r="X96" s="7"/>
      <c r="Y96" s="7"/>
      <c r="Z96" s="7">
        <v>2</v>
      </c>
      <c r="AA96" s="7"/>
      <c r="AB96" s="7">
        <v>2</v>
      </c>
      <c r="AC96" s="7">
        <v>1</v>
      </c>
      <c r="AD96" s="7">
        <v>2</v>
      </c>
      <c r="AE96" s="7"/>
      <c r="AF96" s="8">
        <v>2</v>
      </c>
      <c r="AG96" s="4">
        <f t="shared" si="13"/>
        <v>20</v>
      </c>
    </row>
    <row r="97" spans="1:33" ht="18.75" x14ac:dyDescent="0.25">
      <c r="A97" s="46" t="s">
        <v>70</v>
      </c>
      <c r="B97" s="7">
        <v>2</v>
      </c>
      <c r="C97" s="7">
        <v>2</v>
      </c>
      <c r="D97" s="7">
        <v>2</v>
      </c>
      <c r="E97" s="7">
        <v>2</v>
      </c>
      <c r="F97" s="7">
        <v>3</v>
      </c>
      <c r="G97" s="7"/>
      <c r="H97" s="7"/>
      <c r="I97" s="7">
        <v>1</v>
      </c>
      <c r="J97" s="7">
        <v>2</v>
      </c>
      <c r="K97" s="7"/>
      <c r="L97" s="7">
        <v>3</v>
      </c>
      <c r="M97" s="7">
        <v>1</v>
      </c>
      <c r="N97" s="7"/>
      <c r="O97" s="7">
        <v>4</v>
      </c>
      <c r="P97" s="7">
        <v>2</v>
      </c>
      <c r="Q97" s="7">
        <v>4</v>
      </c>
      <c r="R97" s="7">
        <v>3</v>
      </c>
      <c r="S97" s="7">
        <v>4</v>
      </c>
      <c r="T97" s="7">
        <v>3</v>
      </c>
      <c r="U97" s="7">
        <v>3</v>
      </c>
      <c r="V97" s="7">
        <v>2</v>
      </c>
      <c r="W97" s="7">
        <v>5</v>
      </c>
      <c r="X97" s="7">
        <v>5</v>
      </c>
      <c r="Y97" s="7">
        <v>6</v>
      </c>
      <c r="Z97" s="7">
        <v>6</v>
      </c>
      <c r="AA97" s="7">
        <v>1</v>
      </c>
      <c r="AB97" s="7">
        <v>4</v>
      </c>
      <c r="AC97" s="7">
        <v>5</v>
      </c>
      <c r="AD97" s="7"/>
      <c r="AE97" s="7">
        <v>3</v>
      </c>
      <c r="AF97" s="8"/>
      <c r="AG97" s="4">
        <f t="shared" si="13"/>
        <v>78</v>
      </c>
    </row>
    <row r="98" spans="1:33" ht="18.75" x14ac:dyDescent="0.25">
      <c r="A98" s="47" t="s">
        <v>6</v>
      </c>
      <c r="B98" s="7">
        <v>1</v>
      </c>
      <c r="C98" s="7">
        <v>3</v>
      </c>
      <c r="D98" s="7">
        <v>4</v>
      </c>
      <c r="E98" s="7">
        <v>5</v>
      </c>
      <c r="F98" s="7">
        <v>1</v>
      </c>
      <c r="G98" s="7">
        <v>4</v>
      </c>
      <c r="H98" s="7">
        <v>1</v>
      </c>
      <c r="I98" s="7">
        <v>1</v>
      </c>
      <c r="J98" s="7">
        <v>1</v>
      </c>
      <c r="K98" s="7">
        <v>4</v>
      </c>
      <c r="L98" s="7">
        <v>3</v>
      </c>
      <c r="M98" s="7">
        <v>1</v>
      </c>
      <c r="N98" s="7">
        <v>1</v>
      </c>
      <c r="O98" s="7">
        <v>3</v>
      </c>
      <c r="P98" s="7">
        <v>1</v>
      </c>
      <c r="Q98" s="7">
        <v>4</v>
      </c>
      <c r="R98" s="7">
        <v>4</v>
      </c>
      <c r="S98" s="7">
        <v>2</v>
      </c>
      <c r="T98" s="7">
        <v>6</v>
      </c>
      <c r="U98" s="7">
        <v>2</v>
      </c>
      <c r="V98" s="7">
        <v>7</v>
      </c>
      <c r="W98" s="7">
        <v>5</v>
      </c>
      <c r="X98" s="7">
        <v>1</v>
      </c>
      <c r="Y98" s="7">
        <v>6</v>
      </c>
      <c r="Z98" s="7">
        <v>1</v>
      </c>
      <c r="AA98" s="7">
        <v>4</v>
      </c>
      <c r="AB98" s="7">
        <v>4</v>
      </c>
      <c r="AC98" s="7">
        <v>2</v>
      </c>
      <c r="AD98" s="7">
        <v>4</v>
      </c>
      <c r="AE98" s="7">
        <v>1</v>
      </c>
      <c r="AF98" s="8">
        <v>3</v>
      </c>
      <c r="AG98" s="4">
        <f t="shared" si="13"/>
        <v>90</v>
      </c>
    </row>
    <row r="99" spans="1:33" ht="18.75" x14ac:dyDescent="0.25">
      <c r="A99" s="48" t="s">
        <v>7</v>
      </c>
      <c r="B99" s="7">
        <v>2</v>
      </c>
      <c r="C99" s="7">
        <v>3</v>
      </c>
      <c r="D99" s="7"/>
      <c r="E99" s="7"/>
      <c r="F99" s="7">
        <v>2</v>
      </c>
      <c r="G99" s="7">
        <v>2</v>
      </c>
      <c r="H99" s="7">
        <v>4</v>
      </c>
      <c r="I99" s="7">
        <v>4</v>
      </c>
      <c r="J99" s="7">
        <v>4</v>
      </c>
      <c r="K99" s="7">
        <v>6</v>
      </c>
      <c r="L99" s="7">
        <v>6</v>
      </c>
      <c r="M99" s="7">
        <v>2</v>
      </c>
      <c r="N99" s="7">
        <v>2</v>
      </c>
      <c r="O99" s="7"/>
      <c r="P99" s="7">
        <v>1</v>
      </c>
      <c r="Q99" s="7">
        <v>6</v>
      </c>
      <c r="R99" s="7">
        <v>3</v>
      </c>
      <c r="S99" s="7">
        <v>7</v>
      </c>
      <c r="T99" s="7">
        <v>1</v>
      </c>
      <c r="U99" s="7">
        <v>7</v>
      </c>
      <c r="V99" s="7">
        <v>1</v>
      </c>
      <c r="W99" s="7">
        <v>2</v>
      </c>
      <c r="X99" s="7">
        <v>2</v>
      </c>
      <c r="Y99" s="7">
        <v>1</v>
      </c>
      <c r="Z99" s="7">
        <v>5</v>
      </c>
      <c r="AA99" s="7">
        <v>4</v>
      </c>
      <c r="AB99" s="7">
        <v>6</v>
      </c>
      <c r="AC99" s="7">
        <v>1</v>
      </c>
      <c r="AD99" s="7"/>
      <c r="AE99" s="7">
        <v>5</v>
      </c>
      <c r="AF99" s="8">
        <v>3</v>
      </c>
      <c r="AG99" s="4">
        <f t="shared" si="13"/>
        <v>92</v>
      </c>
    </row>
    <row r="100" spans="1:33" ht="18.75" x14ac:dyDescent="0.25">
      <c r="A100" s="42" t="s">
        <v>66</v>
      </c>
      <c r="B100" s="17">
        <f t="shared" ref="B100:AF100" si="17">SUM(B101:B115)</f>
        <v>99</v>
      </c>
      <c r="C100" s="17">
        <f t="shared" si="17"/>
        <v>110</v>
      </c>
      <c r="D100" s="17">
        <f t="shared" si="17"/>
        <v>99</v>
      </c>
      <c r="E100" s="17">
        <f t="shared" si="17"/>
        <v>97</v>
      </c>
      <c r="F100" s="17">
        <f t="shared" si="17"/>
        <v>118</v>
      </c>
      <c r="G100" s="17">
        <f t="shared" si="17"/>
        <v>117</v>
      </c>
      <c r="H100" s="17">
        <f t="shared" si="17"/>
        <v>99</v>
      </c>
      <c r="I100" s="17">
        <f t="shared" si="17"/>
        <v>98</v>
      </c>
      <c r="J100" s="17">
        <f t="shared" si="17"/>
        <v>102</v>
      </c>
      <c r="K100" s="17">
        <f t="shared" si="17"/>
        <v>94</v>
      </c>
      <c r="L100" s="17">
        <f t="shared" si="17"/>
        <v>114</v>
      </c>
      <c r="M100" s="17">
        <f t="shared" si="17"/>
        <v>102</v>
      </c>
      <c r="N100" s="17">
        <f t="shared" si="17"/>
        <v>106</v>
      </c>
      <c r="O100" s="17">
        <f t="shared" si="17"/>
        <v>113</v>
      </c>
      <c r="P100" s="17">
        <f t="shared" si="17"/>
        <v>117</v>
      </c>
      <c r="Q100" s="17">
        <f t="shared" si="17"/>
        <v>101</v>
      </c>
      <c r="R100" s="17">
        <f t="shared" si="17"/>
        <v>87</v>
      </c>
      <c r="S100" s="17">
        <f t="shared" si="17"/>
        <v>99</v>
      </c>
      <c r="T100" s="17">
        <f t="shared" si="17"/>
        <v>139</v>
      </c>
      <c r="U100" s="17">
        <f t="shared" si="17"/>
        <v>98</v>
      </c>
      <c r="V100" s="17">
        <f t="shared" si="17"/>
        <v>105</v>
      </c>
      <c r="W100" s="17">
        <f t="shared" si="17"/>
        <v>137</v>
      </c>
      <c r="X100" s="17">
        <f t="shared" si="17"/>
        <v>136</v>
      </c>
      <c r="Y100" s="17">
        <f t="shared" si="17"/>
        <v>80</v>
      </c>
      <c r="Z100" s="17">
        <f t="shared" si="17"/>
        <v>103</v>
      </c>
      <c r="AA100" s="17">
        <f t="shared" si="17"/>
        <v>124</v>
      </c>
      <c r="AB100" s="17">
        <f t="shared" si="17"/>
        <v>94</v>
      </c>
      <c r="AC100" s="17">
        <f t="shared" si="17"/>
        <v>100</v>
      </c>
      <c r="AD100" s="17">
        <f t="shared" si="17"/>
        <v>125</v>
      </c>
      <c r="AE100" s="17">
        <f t="shared" si="17"/>
        <v>106</v>
      </c>
      <c r="AF100" s="18">
        <f t="shared" si="17"/>
        <v>109</v>
      </c>
      <c r="AG100" s="4">
        <f t="shared" si="13"/>
        <v>3328</v>
      </c>
    </row>
    <row r="101" spans="1:33" ht="18.75" x14ac:dyDescent="0.25">
      <c r="A101" s="48" t="s">
        <v>8</v>
      </c>
      <c r="B101" s="7">
        <v>10</v>
      </c>
      <c r="C101" s="7">
        <v>10</v>
      </c>
      <c r="D101" s="7">
        <v>3</v>
      </c>
      <c r="E101" s="7">
        <v>6</v>
      </c>
      <c r="F101" s="7">
        <v>6</v>
      </c>
      <c r="G101" s="7">
        <v>8</v>
      </c>
      <c r="H101" s="7">
        <v>3</v>
      </c>
      <c r="I101" s="7">
        <v>7</v>
      </c>
      <c r="J101" s="7">
        <v>15</v>
      </c>
      <c r="K101" s="7">
        <v>4</v>
      </c>
      <c r="L101" s="7">
        <v>8</v>
      </c>
      <c r="M101" s="7">
        <v>9</v>
      </c>
      <c r="N101" s="7">
        <v>6</v>
      </c>
      <c r="O101" s="7">
        <v>14</v>
      </c>
      <c r="P101" s="7">
        <v>12</v>
      </c>
      <c r="Q101" s="7">
        <v>6</v>
      </c>
      <c r="R101" s="7">
        <v>9</v>
      </c>
      <c r="S101" s="7">
        <v>2</v>
      </c>
      <c r="T101" s="7">
        <v>9</v>
      </c>
      <c r="U101" s="7">
        <v>8</v>
      </c>
      <c r="V101" s="7">
        <v>7</v>
      </c>
      <c r="W101" s="7">
        <v>8</v>
      </c>
      <c r="X101" s="7">
        <v>5</v>
      </c>
      <c r="Y101" s="7">
        <v>6</v>
      </c>
      <c r="Z101" s="7">
        <v>10</v>
      </c>
      <c r="AA101" s="7">
        <v>9</v>
      </c>
      <c r="AB101" s="7">
        <v>4</v>
      </c>
      <c r="AC101" s="7">
        <v>6</v>
      </c>
      <c r="AD101" s="7">
        <v>9</v>
      </c>
      <c r="AE101" s="7">
        <v>10</v>
      </c>
      <c r="AF101" s="8">
        <v>11</v>
      </c>
      <c r="AG101" s="4">
        <f t="shared" si="13"/>
        <v>240</v>
      </c>
    </row>
    <row r="102" spans="1:33" ht="18.75" x14ac:dyDescent="0.25">
      <c r="A102" s="48" t="s">
        <v>9</v>
      </c>
      <c r="B102" s="7">
        <v>6</v>
      </c>
      <c r="C102" s="7">
        <v>12</v>
      </c>
      <c r="D102" s="7">
        <v>8</v>
      </c>
      <c r="E102" s="7">
        <v>4</v>
      </c>
      <c r="F102" s="7">
        <v>5</v>
      </c>
      <c r="G102" s="7">
        <v>10</v>
      </c>
      <c r="H102" s="7">
        <v>10</v>
      </c>
      <c r="I102" s="7">
        <v>10</v>
      </c>
      <c r="J102" s="7">
        <v>7</v>
      </c>
      <c r="K102" s="7">
        <v>13</v>
      </c>
      <c r="L102" s="7">
        <v>12</v>
      </c>
      <c r="M102" s="7">
        <v>7</v>
      </c>
      <c r="N102" s="7">
        <v>7</v>
      </c>
      <c r="O102" s="7">
        <v>12</v>
      </c>
      <c r="P102" s="7">
        <v>11</v>
      </c>
      <c r="Q102" s="7">
        <v>9</v>
      </c>
      <c r="R102" s="7">
        <v>12</v>
      </c>
      <c r="S102" s="7">
        <v>10</v>
      </c>
      <c r="T102" s="7">
        <v>14</v>
      </c>
      <c r="U102" s="7">
        <v>9</v>
      </c>
      <c r="V102" s="7">
        <v>8</v>
      </c>
      <c r="W102" s="7">
        <v>11</v>
      </c>
      <c r="X102" s="7">
        <v>22</v>
      </c>
      <c r="Y102" s="7">
        <v>9</v>
      </c>
      <c r="Z102" s="7">
        <v>10</v>
      </c>
      <c r="AA102" s="7">
        <v>13</v>
      </c>
      <c r="AB102" s="7">
        <v>18</v>
      </c>
      <c r="AC102" s="7">
        <v>16</v>
      </c>
      <c r="AD102" s="7">
        <v>18</v>
      </c>
      <c r="AE102" s="7">
        <v>8</v>
      </c>
      <c r="AF102" s="8">
        <v>11</v>
      </c>
      <c r="AG102" s="4">
        <f t="shared" si="13"/>
        <v>332</v>
      </c>
    </row>
    <row r="103" spans="1:33" ht="18.75" x14ac:dyDescent="0.25">
      <c r="A103" s="49" t="s">
        <v>10</v>
      </c>
      <c r="B103" s="7">
        <v>12</v>
      </c>
      <c r="C103" s="7">
        <v>14</v>
      </c>
      <c r="D103" s="7">
        <v>6</v>
      </c>
      <c r="E103" s="7">
        <v>11</v>
      </c>
      <c r="F103" s="7">
        <v>14</v>
      </c>
      <c r="G103" s="7">
        <v>7</v>
      </c>
      <c r="H103" s="7">
        <v>10</v>
      </c>
      <c r="I103" s="7">
        <v>8</v>
      </c>
      <c r="J103" s="7">
        <v>5</v>
      </c>
      <c r="K103" s="7">
        <v>10</v>
      </c>
      <c r="L103" s="7">
        <v>9</v>
      </c>
      <c r="M103" s="7">
        <v>9</v>
      </c>
      <c r="N103" s="7">
        <v>5</v>
      </c>
      <c r="O103" s="7">
        <v>9</v>
      </c>
      <c r="P103" s="7">
        <v>11</v>
      </c>
      <c r="Q103" s="7">
        <v>7</v>
      </c>
      <c r="R103" s="7">
        <v>5</v>
      </c>
      <c r="S103" s="7">
        <v>13</v>
      </c>
      <c r="T103" s="7">
        <v>19</v>
      </c>
      <c r="U103" s="7">
        <v>15</v>
      </c>
      <c r="V103" s="7">
        <v>12</v>
      </c>
      <c r="W103" s="7">
        <v>20</v>
      </c>
      <c r="X103" s="7">
        <v>19</v>
      </c>
      <c r="Y103" s="7">
        <v>10</v>
      </c>
      <c r="Z103" s="7">
        <v>14</v>
      </c>
      <c r="AA103" s="7">
        <v>16</v>
      </c>
      <c r="AB103" s="7">
        <v>10</v>
      </c>
      <c r="AC103" s="7">
        <v>11</v>
      </c>
      <c r="AD103" s="7">
        <v>8</v>
      </c>
      <c r="AE103" s="7">
        <v>15</v>
      </c>
      <c r="AF103" s="8">
        <v>9</v>
      </c>
      <c r="AG103" s="4">
        <f t="shared" si="13"/>
        <v>343</v>
      </c>
    </row>
    <row r="104" spans="1:33" ht="18.75" x14ac:dyDescent="0.25">
      <c r="A104" s="49" t="s">
        <v>11</v>
      </c>
      <c r="B104" s="7">
        <v>6</v>
      </c>
      <c r="C104" s="7">
        <v>9</v>
      </c>
      <c r="D104" s="7">
        <v>10</v>
      </c>
      <c r="E104" s="7">
        <v>5</v>
      </c>
      <c r="F104" s="7">
        <v>6</v>
      </c>
      <c r="G104" s="7">
        <v>15</v>
      </c>
      <c r="H104" s="7">
        <v>5</v>
      </c>
      <c r="I104" s="7">
        <v>8</v>
      </c>
      <c r="J104" s="7">
        <v>11</v>
      </c>
      <c r="K104" s="7">
        <v>10</v>
      </c>
      <c r="L104" s="7">
        <v>6</v>
      </c>
      <c r="M104" s="7">
        <v>10</v>
      </c>
      <c r="N104" s="7">
        <v>14</v>
      </c>
      <c r="O104" s="7">
        <v>8</v>
      </c>
      <c r="P104" s="7">
        <v>11</v>
      </c>
      <c r="Q104" s="7">
        <v>17</v>
      </c>
      <c r="R104" s="7">
        <v>6</v>
      </c>
      <c r="S104" s="7">
        <v>9</v>
      </c>
      <c r="T104" s="7">
        <v>16</v>
      </c>
      <c r="U104" s="7">
        <v>14</v>
      </c>
      <c r="V104" s="7">
        <v>15</v>
      </c>
      <c r="W104" s="7">
        <v>10</v>
      </c>
      <c r="X104" s="7">
        <v>10</v>
      </c>
      <c r="Y104" s="7">
        <v>3</v>
      </c>
      <c r="Z104" s="7">
        <v>10</v>
      </c>
      <c r="AA104" s="7">
        <v>13</v>
      </c>
      <c r="AB104" s="7">
        <v>7</v>
      </c>
      <c r="AC104" s="7">
        <v>9</v>
      </c>
      <c r="AD104" s="7">
        <v>14</v>
      </c>
      <c r="AE104" s="7">
        <v>13</v>
      </c>
      <c r="AF104" s="8">
        <v>12</v>
      </c>
      <c r="AG104" s="4">
        <f t="shared" si="13"/>
        <v>312</v>
      </c>
    </row>
    <row r="105" spans="1:33" ht="18.75" x14ac:dyDescent="0.25">
      <c r="A105" s="49" t="s">
        <v>12</v>
      </c>
      <c r="B105" s="7">
        <v>7</v>
      </c>
      <c r="C105" s="7">
        <v>7</v>
      </c>
      <c r="D105" s="7">
        <v>11</v>
      </c>
      <c r="E105" s="7">
        <v>12</v>
      </c>
      <c r="F105" s="7">
        <v>9</v>
      </c>
      <c r="G105" s="7">
        <v>14</v>
      </c>
      <c r="H105" s="7">
        <v>11</v>
      </c>
      <c r="I105" s="7">
        <v>9</v>
      </c>
      <c r="J105" s="7">
        <v>4</v>
      </c>
      <c r="K105" s="7">
        <v>6</v>
      </c>
      <c r="L105" s="7">
        <v>11</v>
      </c>
      <c r="M105" s="7">
        <v>16</v>
      </c>
      <c r="N105" s="7">
        <v>9</v>
      </c>
      <c r="O105" s="7">
        <v>5</v>
      </c>
      <c r="P105" s="7">
        <v>7</v>
      </c>
      <c r="Q105" s="7">
        <v>10</v>
      </c>
      <c r="R105" s="7">
        <v>3</v>
      </c>
      <c r="S105" s="7">
        <v>9</v>
      </c>
      <c r="T105" s="7">
        <v>12</v>
      </c>
      <c r="U105" s="7">
        <v>5</v>
      </c>
      <c r="V105" s="7">
        <v>8</v>
      </c>
      <c r="W105" s="7">
        <v>11</v>
      </c>
      <c r="X105" s="7">
        <v>14</v>
      </c>
      <c r="Y105" s="7">
        <v>5</v>
      </c>
      <c r="Z105" s="7">
        <v>9</v>
      </c>
      <c r="AA105" s="7">
        <v>7</v>
      </c>
      <c r="AB105" s="7">
        <v>11</v>
      </c>
      <c r="AC105" s="7">
        <v>8</v>
      </c>
      <c r="AD105" s="7">
        <v>9</v>
      </c>
      <c r="AE105" s="7">
        <v>6</v>
      </c>
      <c r="AF105" s="8">
        <v>8</v>
      </c>
      <c r="AG105" s="4">
        <f t="shared" si="13"/>
        <v>273</v>
      </c>
    </row>
    <row r="106" spans="1:33" ht="18.75" x14ac:dyDescent="0.25">
      <c r="A106" s="49" t="s">
        <v>13</v>
      </c>
      <c r="B106" s="7">
        <v>8</v>
      </c>
      <c r="C106" s="7">
        <v>9</v>
      </c>
      <c r="D106" s="7">
        <v>7</v>
      </c>
      <c r="E106" s="7">
        <v>9</v>
      </c>
      <c r="F106" s="7">
        <v>9</v>
      </c>
      <c r="G106" s="7">
        <v>4</v>
      </c>
      <c r="H106" s="7">
        <v>10</v>
      </c>
      <c r="I106" s="7">
        <v>9</v>
      </c>
      <c r="J106" s="7">
        <v>6</v>
      </c>
      <c r="K106" s="7">
        <v>11</v>
      </c>
      <c r="L106" s="7">
        <v>10</v>
      </c>
      <c r="M106" s="7">
        <v>9</v>
      </c>
      <c r="N106" s="7">
        <v>4</v>
      </c>
      <c r="O106" s="7">
        <v>5</v>
      </c>
      <c r="P106" s="7">
        <v>10</v>
      </c>
      <c r="Q106" s="7">
        <v>11</v>
      </c>
      <c r="R106" s="7">
        <v>2</v>
      </c>
      <c r="S106" s="7">
        <v>13</v>
      </c>
      <c r="T106" s="7">
        <v>10</v>
      </c>
      <c r="U106" s="7">
        <v>6</v>
      </c>
      <c r="V106" s="7">
        <v>5</v>
      </c>
      <c r="W106" s="7">
        <v>10</v>
      </c>
      <c r="X106" s="7">
        <v>8</v>
      </c>
      <c r="Y106" s="7">
        <v>3</v>
      </c>
      <c r="Z106" s="7">
        <v>9</v>
      </c>
      <c r="AA106" s="7">
        <v>8</v>
      </c>
      <c r="AB106" s="7">
        <v>6</v>
      </c>
      <c r="AC106" s="7">
        <v>7</v>
      </c>
      <c r="AD106" s="7">
        <v>8</v>
      </c>
      <c r="AE106" s="7">
        <v>3</v>
      </c>
      <c r="AF106" s="8">
        <v>10</v>
      </c>
      <c r="AG106" s="4">
        <f t="shared" si="13"/>
        <v>239</v>
      </c>
    </row>
    <row r="107" spans="1:33" ht="18.75" x14ac:dyDescent="0.25">
      <c r="A107" s="49" t="s">
        <v>14</v>
      </c>
      <c r="B107" s="7">
        <v>4</v>
      </c>
      <c r="C107" s="7">
        <v>4</v>
      </c>
      <c r="D107" s="7">
        <v>7</v>
      </c>
      <c r="E107" s="7">
        <v>10</v>
      </c>
      <c r="F107" s="7">
        <v>7</v>
      </c>
      <c r="G107" s="7">
        <v>9</v>
      </c>
      <c r="H107" s="7">
        <v>11</v>
      </c>
      <c r="I107" s="7">
        <v>5</v>
      </c>
      <c r="J107" s="7">
        <v>8</v>
      </c>
      <c r="K107" s="7">
        <v>5</v>
      </c>
      <c r="L107" s="7">
        <v>16</v>
      </c>
      <c r="M107" s="7">
        <v>5</v>
      </c>
      <c r="N107" s="7">
        <v>11</v>
      </c>
      <c r="O107" s="7">
        <v>12</v>
      </c>
      <c r="P107" s="7">
        <v>6</v>
      </c>
      <c r="Q107" s="7">
        <v>6</v>
      </c>
      <c r="R107" s="7">
        <v>6</v>
      </c>
      <c r="S107" s="7">
        <v>4</v>
      </c>
      <c r="T107" s="7">
        <v>9</v>
      </c>
      <c r="U107" s="7">
        <v>8</v>
      </c>
      <c r="V107" s="7">
        <v>8</v>
      </c>
      <c r="W107" s="7">
        <v>12</v>
      </c>
      <c r="X107" s="7">
        <v>14</v>
      </c>
      <c r="Y107" s="7">
        <v>11</v>
      </c>
      <c r="Z107" s="7">
        <v>4</v>
      </c>
      <c r="AA107" s="7">
        <v>12</v>
      </c>
      <c r="AB107" s="7">
        <v>8</v>
      </c>
      <c r="AC107" s="7">
        <v>8</v>
      </c>
      <c r="AD107" s="7">
        <v>4</v>
      </c>
      <c r="AE107" s="7">
        <v>12</v>
      </c>
      <c r="AF107" s="8">
        <v>10</v>
      </c>
      <c r="AG107" s="4">
        <f t="shared" si="13"/>
        <v>256</v>
      </c>
    </row>
    <row r="108" spans="1:33" ht="18.75" x14ac:dyDescent="0.25">
      <c r="A108" s="49" t="s">
        <v>15</v>
      </c>
      <c r="B108" s="7">
        <v>10</v>
      </c>
      <c r="C108" s="7">
        <v>9</v>
      </c>
      <c r="D108" s="7">
        <v>10</v>
      </c>
      <c r="E108" s="7">
        <v>11</v>
      </c>
      <c r="F108" s="7">
        <v>9</v>
      </c>
      <c r="G108" s="7">
        <v>6</v>
      </c>
      <c r="H108" s="7">
        <v>5</v>
      </c>
      <c r="I108" s="7">
        <v>5</v>
      </c>
      <c r="J108" s="7">
        <v>9</v>
      </c>
      <c r="K108" s="7">
        <v>6</v>
      </c>
      <c r="L108" s="7">
        <v>9</v>
      </c>
      <c r="M108" s="7">
        <v>6</v>
      </c>
      <c r="N108" s="7">
        <v>6</v>
      </c>
      <c r="O108" s="7">
        <v>3</v>
      </c>
      <c r="P108" s="7">
        <v>10</v>
      </c>
      <c r="Q108" s="7">
        <v>11</v>
      </c>
      <c r="R108" s="7">
        <v>8</v>
      </c>
      <c r="S108" s="7">
        <v>9</v>
      </c>
      <c r="T108" s="7">
        <v>13</v>
      </c>
      <c r="U108" s="7">
        <v>6</v>
      </c>
      <c r="V108" s="7">
        <v>6</v>
      </c>
      <c r="W108" s="7">
        <v>11</v>
      </c>
      <c r="X108" s="7">
        <v>11</v>
      </c>
      <c r="Y108" s="7">
        <v>7</v>
      </c>
      <c r="Z108" s="7">
        <v>7</v>
      </c>
      <c r="AA108" s="7">
        <v>7</v>
      </c>
      <c r="AB108" s="7">
        <v>10</v>
      </c>
      <c r="AC108" s="7">
        <v>11</v>
      </c>
      <c r="AD108" s="7">
        <v>13</v>
      </c>
      <c r="AE108" s="7">
        <v>7</v>
      </c>
      <c r="AF108" s="8">
        <v>7</v>
      </c>
      <c r="AG108" s="4">
        <f t="shared" si="13"/>
        <v>258</v>
      </c>
    </row>
    <row r="109" spans="1:33" ht="18.75" x14ac:dyDescent="0.25">
      <c r="A109" s="49" t="s">
        <v>16</v>
      </c>
      <c r="B109" s="7">
        <v>3</v>
      </c>
      <c r="C109" s="7">
        <v>11</v>
      </c>
      <c r="D109" s="7">
        <v>11</v>
      </c>
      <c r="E109" s="7">
        <v>7</v>
      </c>
      <c r="F109" s="7">
        <v>13</v>
      </c>
      <c r="G109" s="7">
        <v>16</v>
      </c>
      <c r="H109" s="7">
        <v>7</v>
      </c>
      <c r="I109" s="7">
        <v>7</v>
      </c>
      <c r="J109" s="7">
        <v>7</v>
      </c>
      <c r="K109" s="7">
        <v>7</v>
      </c>
      <c r="L109" s="7">
        <v>5</v>
      </c>
      <c r="M109" s="7">
        <v>6</v>
      </c>
      <c r="N109" s="7">
        <v>9</v>
      </c>
      <c r="O109" s="7">
        <v>13</v>
      </c>
      <c r="P109" s="7">
        <v>7</v>
      </c>
      <c r="Q109" s="7">
        <v>3</v>
      </c>
      <c r="R109" s="7">
        <v>8</v>
      </c>
      <c r="S109" s="7">
        <v>8</v>
      </c>
      <c r="T109" s="7">
        <v>10</v>
      </c>
      <c r="U109" s="7">
        <v>5</v>
      </c>
      <c r="V109" s="7">
        <v>9</v>
      </c>
      <c r="W109" s="7">
        <v>10</v>
      </c>
      <c r="X109" s="7">
        <v>7</v>
      </c>
      <c r="Y109" s="7">
        <v>5</v>
      </c>
      <c r="Z109" s="7">
        <v>13</v>
      </c>
      <c r="AA109" s="7">
        <v>9</v>
      </c>
      <c r="AB109" s="7">
        <v>5</v>
      </c>
      <c r="AC109" s="7">
        <v>5</v>
      </c>
      <c r="AD109" s="7">
        <v>8</v>
      </c>
      <c r="AE109" s="7">
        <v>9</v>
      </c>
      <c r="AF109" s="8">
        <v>8</v>
      </c>
      <c r="AG109" s="4">
        <f t="shared" si="13"/>
        <v>251</v>
      </c>
    </row>
    <row r="110" spans="1:33" ht="18.75" x14ac:dyDescent="0.25">
      <c r="A110" s="49" t="s">
        <v>17</v>
      </c>
      <c r="B110" s="7">
        <v>12</v>
      </c>
      <c r="C110" s="7">
        <v>4</v>
      </c>
      <c r="D110" s="7">
        <v>6</v>
      </c>
      <c r="E110" s="7">
        <v>3</v>
      </c>
      <c r="F110" s="7">
        <v>12</v>
      </c>
      <c r="G110" s="7">
        <v>10</v>
      </c>
      <c r="H110" s="7">
        <v>8</v>
      </c>
      <c r="I110" s="7">
        <v>11</v>
      </c>
      <c r="J110" s="7">
        <v>9</v>
      </c>
      <c r="K110" s="7">
        <v>3</v>
      </c>
      <c r="L110" s="7">
        <v>6</v>
      </c>
      <c r="M110" s="7">
        <v>2</v>
      </c>
      <c r="N110" s="7">
        <v>11</v>
      </c>
      <c r="O110" s="7">
        <v>5</v>
      </c>
      <c r="P110" s="7">
        <v>5</v>
      </c>
      <c r="Q110" s="7">
        <v>7</v>
      </c>
      <c r="R110" s="7">
        <v>5</v>
      </c>
      <c r="S110" s="7">
        <v>4</v>
      </c>
      <c r="T110" s="7">
        <v>7</v>
      </c>
      <c r="U110" s="7">
        <v>3</v>
      </c>
      <c r="V110" s="7">
        <v>9</v>
      </c>
      <c r="W110" s="7">
        <v>11</v>
      </c>
      <c r="X110" s="7">
        <v>7</v>
      </c>
      <c r="Y110" s="7">
        <v>9</v>
      </c>
      <c r="Z110" s="7">
        <v>5</v>
      </c>
      <c r="AA110" s="7">
        <v>8</v>
      </c>
      <c r="AB110" s="7">
        <v>7</v>
      </c>
      <c r="AC110" s="7">
        <v>2</v>
      </c>
      <c r="AD110" s="7">
        <v>8</v>
      </c>
      <c r="AE110" s="7">
        <v>9</v>
      </c>
      <c r="AF110" s="8">
        <v>8</v>
      </c>
      <c r="AG110" s="4">
        <f t="shared" si="13"/>
        <v>216</v>
      </c>
    </row>
    <row r="111" spans="1:33" ht="18.75" x14ac:dyDescent="0.25">
      <c r="A111" s="49" t="s">
        <v>18</v>
      </c>
      <c r="B111" s="7">
        <v>8</v>
      </c>
      <c r="C111" s="7">
        <v>7</v>
      </c>
      <c r="D111" s="7">
        <v>6</v>
      </c>
      <c r="E111" s="7">
        <v>5</v>
      </c>
      <c r="F111" s="7">
        <v>6</v>
      </c>
      <c r="G111" s="7">
        <v>4</v>
      </c>
      <c r="H111" s="7">
        <v>6</v>
      </c>
      <c r="I111" s="7">
        <v>5</v>
      </c>
      <c r="J111" s="7">
        <v>8</v>
      </c>
      <c r="K111" s="7">
        <v>6</v>
      </c>
      <c r="L111" s="7">
        <v>7</v>
      </c>
      <c r="M111" s="7">
        <v>6</v>
      </c>
      <c r="N111" s="7">
        <v>9</v>
      </c>
      <c r="O111" s="7">
        <v>9</v>
      </c>
      <c r="P111" s="7">
        <v>10</v>
      </c>
      <c r="Q111" s="7">
        <v>6</v>
      </c>
      <c r="R111" s="7">
        <v>6</v>
      </c>
      <c r="S111" s="7">
        <v>5</v>
      </c>
      <c r="T111" s="7">
        <v>5</v>
      </c>
      <c r="U111" s="7">
        <v>4</v>
      </c>
      <c r="V111" s="7">
        <v>5</v>
      </c>
      <c r="W111" s="7">
        <v>5</v>
      </c>
      <c r="X111" s="7">
        <v>7</v>
      </c>
      <c r="Y111" s="7">
        <v>5</v>
      </c>
      <c r="Z111" s="7">
        <v>3</v>
      </c>
      <c r="AA111" s="7">
        <v>7</v>
      </c>
      <c r="AB111" s="7">
        <v>3</v>
      </c>
      <c r="AC111" s="7">
        <v>6</v>
      </c>
      <c r="AD111" s="7">
        <v>8</v>
      </c>
      <c r="AE111" s="7">
        <v>4</v>
      </c>
      <c r="AF111" s="8">
        <v>1</v>
      </c>
      <c r="AG111" s="4">
        <f t="shared" si="13"/>
        <v>182</v>
      </c>
    </row>
    <row r="112" spans="1:33" ht="18.75" x14ac:dyDescent="0.25">
      <c r="A112" s="49" t="s">
        <v>19</v>
      </c>
      <c r="B112" s="7">
        <v>7</v>
      </c>
      <c r="C112" s="7">
        <v>7</v>
      </c>
      <c r="D112" s="7">
        <v>4</v>
      </c>
      <c r="E112" s="7">
        <v>7</v>
      </c>
      <c r="F112" s="7">
        <v>13</v>
      </c>
      <c r="G112" s="7">
        <v>4</v>
      </c>
      <c r="H112" s="7">
        <v>2</v>
      </c>
      <c r="I112" s="7">
        <v>6</v>
      </c>
      <c r="J112" s="7">
        <v>6</v>
      </c>
      <c r="K112" s="7">
        <v>4</v>
      </c>
      <c r="L112" s="7">
        <v>4</v>
      </c>
      <c r="M112" s="7">
        <v>5</v>
      </c>
      <c r="N112" s="7">
        <v>7</v>
      </c>
      <c r="O112" s="7">
        <v>7</v>
      </c>
      <c r="P112" s="7">
        <v>6</v>
      </c>
      <c r="Q112" s="7">
        <v>1</v>
      </c>
      <c r="R112" s="7">
        <v>5</v>
      </c>
      <c r="S112" s="7">
        <v>2</v>
      </c>
      <c r="T112" s="7">
        <v>6</v>
      </c>
      <c r="U112" s="7">
        <v>6</v>
      </c>
      <c r="V112" s="7">
        <v>3</v>
      </c>
      <c r="W112" s="7">
        <v>5</v>
      </c>
      <c r="X112" s="7">
        <v>2</v>
      </c>
      <c r="Y112" s="7">
        <v>3</v>
      </c>
      <c r="Z112" s="7">
        <v>5</v>
      </c>
      <c r="AA112" s="7">
        <v>6</v>
      </c>
      <c r="AB112" s="7">
        <v>1</v>
      </c>
      <c r="AC112" s="7">
        <v>5</v>
      </c>
      <c r="AD112" s="7">
        <v>8</v>
      </c>
      <c r="AE112" s="7">
        <v>3</v>
      </c>
      <c r="AF112" s="8">
        <v>5</v>
      </c>
      <c r="AG112" s="4">
        <f>SUM(B112:AF112)</f>
        <v>155</v>
      </c>
    </row>
    <row r="113" spans="1:33" ht="18.75" x14ac:dyDescent="0.25">
      <c r="A113" s="49" t="s">
        <v>20</v>
      </c>
      <c r="B113" s="7">
        <v>4</v>
      </c>
      <c r="C113" s="7">
        <v>2</v>
      </c>
      <c r="D113" s="7">
        <v>2</v>
      </c>
      <c r="E113" s="7">
        <v>2</v>
      </c>
      <c r="F113" s="7">
        <v>2</v>
      </c>
      <c r="G113" s="7">
        <v>3</v>
      </c>
      <c r="H113" s="7">
        <v>4</v>
      </c>
      <c r="I113" s="7">
        <v>2</v>
      </c>
      <c r="J113" s="7">
        <v>2</v>
      </c>
      <c r="K113" s="7">
        <v>4</v>
      </c>
      <c r="L113" s="7">
        <v>4</v>
      </c>
      <c r="M113" s="7">
        <v>4</v>
      </c>
      <c r="N113" s="7">
        <v>2</v>
      </c>
      <c r="O113" s="7">
        <v>4</v>
      </c>
      <c r="P113" s="7">
        <v>5</v>
      </c>
      <c r="Q113" s="7">
        <v>5</v>
      </c>
      <c r="R113" s="7">
        <v>4</v>
      </c>
      <c r="S113" s="7">
        <v>6</v>
      </c>
      <c r="T113" s="7">
        <v>6</v>
      </c>
      <c r="U113" s="7">
        <v>6</v>
      </c>
      <c r="V113" s="7">
        <v>3</v>
      </c>
      <c r="W113" s="7">
        <v>6</v>
      </c>
      <c r="X113" s="7">
        <v>3</v>
      </c>
      <c r="Y113" s="7">
        <v>2</v>
      </c>
      <c r="Z113" s="7"/>
      <c r="AA113" s="7">
        <v>6</v>
      </c>
      <c r="AB113" s="7">
        <v>2</v>
      </c>
      <c r="AC113" s="7">
        <v>1</v>
      </c>
      <c r="AD113" s="7">
        <v>4</v>
      </c>
      <c r="AE113" s="7">
        <v>6</v>
      </c>
      <c r="AF113" s="8">
        <v>5</v>
      </c>
      <c r="AG113" s="4">
        <f t="shared" si="13"/>
        <v>111</v>
      </c>
    </row>
    <row r="114" spans="1:33" ht="18.75" x14ac:dyDescent="0.25">
      <c r="A114" s="49" t="s">
        <v>21</v>
      </c>
      <c r="B114" s="7">
        <v>2</v>
      </c>
      <c r="C114" s="7">
        <v>5</v>
      </c>
      <c r="D114" s="7">
        <v>8</v>
      </c>
      <c r="E114" s="7">
        <v>5</v>
      </c>
      <c r="F114" s="7">
        <v>7</v>
      </c>
      <c r="G114" s="7">
        <v>7</v>
      </c>
      <c r="H114" s="7">
        <v>7</v>
      </c>
      <c r="I114" s="7">
        <v>6</v>
      </c>
      <c r="J114" s="7">
        <v>5</v>
      </c>
      <c r="K114" s="7">
        <v>5</v>
      </c>
      <c r="L114" s="7">
        <v>7</v>
      </c>
      <c r="M114" s="7">
        <v>8</v>
      </c>
      <c r="N114" s="7">
        <v>6</v>
      </c>
      <c r="O114" s="7">
        <v>7</v>
      </c>
      <c r="P114" s="7">
        <v>6</v>
      </c>
      <c r="Q114" s="7">
        <v>2</v>
      </c>
      <c r="R114" s="7">
        <v>8</v>
      </c>
      <c r="S114" s="7">
        <v>5</v>
      </c>
      <c r="T114" s="7">
        <v>3</v>
      </c>
      <c r="U114" s="7">
        <v>3</v>
      </c>
      <c r="V114" s="7">
        <v>7</v>
      </c>
      <c r="W114" s="7">
        <v>7</v>
      </c>
      <c r="X114" s="7">
        <v>7</v>
      </c>
      <c r="Y114" s="7">
        <v>2</v>
      </c>
      <c r="Z114" s="7">
        <v>4</v>
      </c>
      <c r="AA114" s="7">
        <v>3</v>
      </c>
      <c r="AB114" s="7">
        <v>2</v>
      </c>
      <c r="AC114" s="7">
        <v>5</v>
      </c>
      <c r="AD114" s="7">
        <v>6</v>
      </c>
      <c r="AE114" s="7">
        <v>1</v>
      </c>
      <c r="AF114" s="8">
        <v>4</v>
      </c>
      <c r="AG114" s="4">
        <f t="shared" si="13"/>
        <v>160</v>
      </c>
    </row>
    <row r="115" spans="1:33" ht="19.5" thickBot="1" x14ac:dyDescent="0.3">
      <c r="A115" s="76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2"/>
      <c r="AG115" s="4">
        <f t="shared" si="13"/>
        <v>0</v>
      </c>
    </row>
    <row r="116" spans="1:33" ht="18.75" x14ac:dyDescent="0.25">
      <c r="A116" s="73" t="s">
        <v>61</v>
      </c>
      <c r="B116" s="74">
        <f t="shared" ref="B116:AF116" si="18">SUM(B117:B129)</f>
        <v>60</v>
      </c>
      <c r="C116" s="74">
        <f t="shared" si="18"/>
        <v>70</v>
      </c>
      <c r="D116" s="74">
        <f t="shared" si="18"/>
        <v>56</v>
      </c>
      <c r="E116" s="74">
        <f t="shared" si="18"/>
        <v>50</v>
      </c>
      <c r="F116" s="74">
        <f t="shared" si="18"/>
        <v>84</v>
      </c>
      <c r="G116" s="74">
        <f t="shared" si="18"/>
        <v>68</v>
      </c>
      <c r="H116" s="74">
        <f t="shared" si="18"/>
        <v>53</v>
      </c>
      <c r="I116" s="74">
        <f t="shared" si="18"/>
        <v>64</v>
      </c>
      <c r="J116" s="74">
        <f t="shared" si="18"/>
        <v>62</v>
      </c>
      <c r="K116" s="74">
        <f t="shared" si="18"/>
        <v>52</v>
      </c>
      <c r="L116" s="74">
        <f t="shared" si="18"/>
        <v>59</v>
      </c>
      <c r="M116" s="74">
        <f t="shared" si="18"/>
        <v>57</v>
      </c>
      <c r="N116" s="74">
        <f t="shared" si="18"/>
        <v>56</v>
      </c>
      <c r="O116" s="74">
        <f t="shared" si="18"/>
        <v>51</v>
      </c>
      <c r="P116" s="74">
        <f t="shared" si="18"/>
        <v>56</v>
      </c>
      <c r="Q116" s="74">
        <f t="shared" si="18"/>
        <v>68</v>
      </c>
      <c r="R116" s="74">
        <f t="shared" si="18"/>
        <v>47</v>
      </c>
      <c r="S116" s="74">
        <f t="shared" si="18"/>
        <v>53</v>
      </c>
      <c r="T116" s="74">
        <f t="shared" si="18"/>
        <v>90</v>
      </c>
      <c r="U116" s="74">
        <f t="shared" si="18"/>
        <v>56</v>
      </c>
      <c r="V116" s="74">
        <f t="shared" si="18"/>
        <v>65</v>
      </c>
      <c r="W116" s="74">
        <f t="shared" si="18"/>
        <v>86</v>
      </c>
      <c r="X116" s="74">
        <f t="shared" si="18"/>
        <v>85</v>
      </c>
      <c r="Y116" s="74">
        <f t="shared" si="18"/>
        <v>44</v>
      </c>
      <c r="Z116" s="74">
        <f t="shared" si="18"/>
        <v>50</v>
      </c>
      <c r="AA116" s="74">
        <f t="shared" si="18"/>
        <v>90</v>
      </c>
      <c r="AB116" s="74">
        <f t="shared" si="18"/>
        <v>52</v>
      </c>
      <c r="AC116" s="74">
        <f t="shared" si="18"/>
        <v>64</v>
      </c>
      <c r="AD116" s="74">
        <f t="shared" si="18"/>
        <v>88</v>
      </c>
      <c r="AE116" s="74">
        <f t="shared" si="18"/>
        <v>64</v>
      </c>
      <c r="AF116" s="84">
        <f t="shared" si="18"/>
        <v>61</v>
      </c>
      <c r="AG116" s="4">
        <f t="shared" si="13"/>
        <v>1961</v>
      </c>
    </row>
    <row r="117" spans="1:33" ht="18.75" x14ac:dyDescent="0.25">
      <c r="A117" s="43" t="s">
        <v>59</v>
      </c>
      <c r="B117" s="7">
        <v>45</v>
      </c>
      <c r="C117" s="7">
        <v>57</v>
      </c>
      <c r="D117" s="7">
        <v>46</v>
      </c>
      <c r="E117" s="7">
        <v>34</v>
      </c>
      <c r="F117" s="7">
        <v>65</v>
      </c>
      <c r="G117" s="7">
        <v>51</v>
      </c>
      <c r="H117" s="7">
        <v>38</v>
      </c>
      <c r="I117" s="7">
        <v>52</v>
      </c>
      <c r="J117" s="7">
        <v>50</v>
      </c>
      <c r="K117" s="7">
        <v>35</v>
      </c>
      <c r="L117" s="7">
        <v>39</v>
      </c>
      <c r="M117" s="7">
        <v>42</v>
      </c>
      <c r="N117" s="7">
        <v>43</v>
      </c>
      <c r="O117" s="7">
        <v>37</v>
      </c>
      <c r="P117" s="7">
        <v>40</v>
      </c>
      <c r="Q117" s="7">
        <v>47</v>
      </c>
      <c r="R117" s="7">
        <v>41</v>
      </c>
      <c r="S117" s="7">
        <v>35</v>
      </c>
      <c r="T117" s="7">
        <v>65</v>
      </c>
      <c r="U117" s="7">
        <v>38</v>
      </c>
      <c r="V117" s="7">
        <v>44</v>
      </c>
      <c r="W117" s="7">
        <v>62</v>
      </c>
      <c r="X117" s="7">
        <v>65</v>
      </c>
      <c r="Y117" s="7">
        <v>32</v>
      </c>
      <c r="Z117" s="7">
        <v>40</v>
      </c>
      <c r="AA117" s="7">
        <v>68</v>
      </c>
      <c r="AB117" s="7">
        <v>38</v>
      </c>
      <c r="AC117" s="7">
        <v>39</v>
      </c>
      <c r="AD117" s="7">
        <f>11+7</f>
        <v>18</v>
      </c>
      <c r="AE117" s="7">
        <v>53</v>
      </c>
      <c r="AF117" s="8">
        <v>45</v>
      </c>
      <c r="AG117" s="4">
        <f t="shared" si="13"/>
        <v>1404</v>
      </c>
    </row>
    <row r="118" spans="1:33" ht="19.5" hidden="1" customHeight="1" thickBot="1" x14ac:dyDescent="0.25">
      <c r="A118" s="43" t="s">
        <v>23</v>
      </c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8"/>
      <c r="AG118" s="4">
        <f t="shared" si="13"/>
        <v>0</v>
      </c>
    </row>
    <row r="119" spans="1:33" ht="19.5" hidden="1" customHeight="1" thickBot="1" x14ac:dyDescent="0.25">
      <c r="A119" s="43" t="s">
        <v>24</v>
      </c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8"/>
      <c r="AG119" s="4">
        <f t="shared" si="13"/>
        <v>0</v>
      </c>
    </row>
    <row r="120" spans="1:33" ht="19.5" hidden="1" customHeight="1" thickBot="1" x14ac:dyDescent="0.25">
      <c r="A120" s="43" t="s">
        <v>25</v>
      </c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8"/>
      <c r="AG120" s="4">
        <f t="shared" si="13"/>
        <v>0</v>
      </c>
    </row>
    <row r="121" spans="1:33" ht="19.5" hidden="1" customHeight="1" thickBot="1" x14ac:dyDescent="0.25">
      <c r="A121" s="43" t="s">
        <v>26</v>
      </c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8"/>
      <c r="AG121" s="4">
        <f t="shared" si="13"/>
        <v>0</v>
      </c>
    </row>
    <row r="122" spans="1:33" ht="19.5" hidden="1" customHeight="1" thickBot="1" x14ac:dyDescent="0.25">
      <c r="A122" s="43" t="s">
        <v>27</v>
      </c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8"/>
      <c r="AG122" s="4">
        <f t="shared" si="13"/>
        <v>0</v>
      </c>
    </row>
    <row r="123" spans="1:33" ht="19.5" hidden="1" customHeight="1" thickBot="1" x14ac:dyDescent="0.25">
      <c r="A123" s="43" t="s">
        <v>28</v>
      </c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8"/>
      <c r="AG123" s="4">
        <f t="shared" si="13"/>
        <v>0</v>
      </c>
    </row>
    <row r="124" spans="1:33" ht="19.5" hidden="1" customHeight="1" thickBot="1" x14ac:dyDescent="0.25">
      <c r="A124" s="43" t="s">
        <v>29</v>
      </c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8"/>
      <c r="AG124" s="4">
        <f t="shared" si="13"/>
        <v>0</v>
      </c>
    </row>
    <row r="125" spans="1:33" ht="19.5" hidden="1" customHeight="1" thickBot="1" x14ac:dyDescent="0.25">
      <c r="A125" s="41" t="s">
        <v>30</v>
      </c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8"/>
      <c r="AG125" s="4">
        <f t="shared" si="13"/>
        <v>0</v>
      </c>
    </row>
    <row r="126" spans="1:33" ht="19.5" hidden="1" customHeight="1" thickBot="1" x14ac:dyDescent="0.25">
      <c r="A126" s="41" t="s">
        <v>31</v>
      </c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8"/>
      <c r="AG126" s="4">
        <f t="shared" si="13"/>
        <v>0</v>
      </c>
    </row>
    <row r="127" spans="1:33" ht="19.5" hidden="1" customHeight="1" thickBot="1" x14ac:dyDescent="0.25">
      <c r="A127" s="41" t="s">
        <v>32</v>
      </c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8"/>
      <c r="AG127" s="4">
        <f t="shared" ref="AG127:AG133" si="19">SUM(B127:AF127)</f>
        <v>0</v>
      </c>
    </row>
    <row r="128" spans="1:33" ht="19.5" hidden="1" customHeight="1" thickBot="1" x14ac:dyDescent="0.25">
      <c r="A128" s="43" t="s">
        <v>60</v>
      </c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8"/>
      <c r="AG128" s="4">
        <f t="shared" si="19"/>
        <v>0</v>
      </c>
    </row>
    <row r="129" spans="1:35" ht="19.5" thickBot="1" x14ac:dyDescent="0.3">
      <c r="A129" s="75" t="s">
        <v>86</v>
      </c>
      <c r="B129" s="13">
        <f>7+8</f>
        <v>15</v>
      </c>
      <c r="C129" s="13">
        <f>8+5</f>
        <v>13</v>
      </c>
      <c r="D129" s="13">
        <f>4+6</f>
        <v>10</v>
      </c>
      <c r="E129" s="13">
        <f>7+9</f>
        <v>16</v>
      </c>
      <c r="F129" s="13">
        <f>10+9</f>
        <v>19</v>
      </c>
      <c r="G129" s="13">
        <f>8+9</f>
        <v>17</v>
      </c>
      <c r="H129" s="13">
        <f>6+9</f>
        <v>15</v>
      </c>
      <c r="I129" s="13">
        <f>5+7</f>
        <v>12</v>
      </c>
      <c r="J129" s="13">
        <f>6+6</f>
        <v>12</v>
      </c>
      <c r="K129" s="13">
        <f>7+1+9</f>
        <v>17</v>
      </c>
      <c r="L129" s="13">
        <f>10+10</f>
        <v>20</v>
      </c>
      <c r="M129" s="13">
        <f>5+1+9</f>
        <v>15</v>
      </c>
      <c r="N129" s="13">
        <f>7+6</f>
        <v>13</v>
      </c>
      <c r="O129" s="13">
        <f>5+9</f>
        <v>14</v>
      </c>
      <c r="P129" s="13">
        <f>9+1+6</f>
        <v>16</v>
      </c>
      <c r="Q129" s="13">
        <f>11+2+8</f>
        <v>21</v>
      </c>
      <c r="R129" s="13">
        <f>1+1+4</f>
        <v>6</v>
      </c>
      <c r="S129" s="13">
        <f>11+7</f>
        <v>18</v>
      </c>
      <c r="T129" s="13">
        <f>14+11</f>
        <v>25</v>
      </c>
      <c r="U129" s="13">
        <f>9+1+8</f>
        <v>18</v>
      </c>
      <c r="V129" s="13">
        <f>9+12</f>
        <v>21</v>
      </c>
      <c r="W129" s="13">
        <f>12+12</f>
        <v>24</v>
      </c>
      <c r="X129" s="13">
        <f>5+1+14</f>
        <v>20</v>
      </c>
      <c r="Y129" s="13">
        <f>5+7</f>
        <v>12</v>
      </c>
      <c r="Z129" s="13">
        <f>2+8</f>
        <v>10</v>
      </c>
      <c r="AA129" s="13">
        <f>8+1+13</f>
        <v>22</v>
      </c>
      <c r="AB129" s="13">
        <f>5+9</f>
        <v>14</v>
      </c>
      <c r="AC129" s="13">
        <f>19+6</f>
        <v>25</v>
      </c>
      <c r="AD129" s="13">
        <v>70</v>
      </c>
      <c r="AE129" s="13">
        <f>4+7</f>
        <v>11</v>
      </c>
      <c r="AF129" s="14">
        <f>7+9</f>
        <v>16</v>
      </c>
      <c r="AG129" s="4">
        <f t="shared" si="19"/>
        <v>557</v>
      </c>
    </row>
    <row r="130" spans="1:35" ht="18.75" x14ac:dyDescent="0.25">
      <c r="A130" s="73" t="s">
        <v>109</v>
      </c>
      <c r="B130" s="74">
        <f t="shared" ref="B130:AF130" si="20">SUM(B131:B143)</f>
        <v>104</v>
      </c>
      <c r="C130" s="74">
        <f t="shared" si="20"/>
        <v>118</v>
      </c>
      <c r="D130" s="74">
        <f t="shared" si="20"/>
        <v>105</v>
      </c>
      <c r="E130" s="74">
        <f t="shared" si="20"/>
        <v>104</v>
      </c>
      <c r="F130" s="74">
        <f t="shared" si="20"/>
        <v>124</v>
      </c>
      <c r="G130" s="74">
        <f t="shared" si="20"/>
        <v>125</v>
      </c>
      <c r="H130" s="74">
        <f t="shared" si="20"/>
        <v>104</v>
      </c>
      <c r="I130" s="74">
        <f t="shared" si="20"/>
        <v>104</v>
      </c>
      <c r="J130" s="74">
        <f t="shared" si="20"/>
        <v>109</v>
      </c>
      <c r="K130" s="74">
        <f t="shared" si="20"/>
        <v>105</v>
      </c>
      <c r="L130" s="74">
        <f t="shared" si="20"/>
        <v>126</v>
      </c>
      <c r="M130" s="74">
        <f t="shared" si="20"/>
        <v>106</v>
      </c>
      <c r="N130" s="74">
        <f t="shared" si="20"/>
        <v>109</v>
      </c>
      <c r="O130" s="74">
        <f t="shared" si="20"/>
        <v>122</v>
      </c>
      <c r="P130" s="74">
        <f t="shared" si="20"/>
        <v>123</v>
      </c>
      <c r="Q130" s="74">
        <f t="shared" si="20"/>
        <v>119</v>
      </c>
      <c r="R130" s="74">
        <f t="shared" si="20"/>
        <v>97</v>
      </c>
      <c r="S130" s="74">
        <f t="shared" si="20"/>
        <v>115</v>
      </c>
      <c r="T130" s="74">
        <f t="shared" si="20"/>
        <v>150</v>
      </c>
      <c r="U130" s="74">
        <f t="shared" si="20"/>
        <v>111</v>
      </c>
      <c r="V130" s="74">
        <f t="shared" si="20"/>
        <v>118</v>
      </c>
      <c r="W130" s="74">
        <f t="shared" si="20"/>
        <v>152</v>
      </c>
      <c r="X130" s="74">
        <f t="shared" si="20"/>
        <v>145</v>
      </c>
      <c r="Y130" s="74">
        <f t="shared" si="20"/>
        <v>95</v>
      </c>
      <c r="Z130" s="74">
        <f t="shared" si="20"/>
        <v>117</v>
      </c>
      <c r="AA130" s="74">
        <f t="shared" si="20"/>
        <v>133</v>
      </c>
      <c r="AB130" s="74">
        <f t="shared" si="20"/>
        <v>110</v>
      </c>
      <c r="AC130" s="74">
        <f t="shared" si="20"/>
        <v>110</v>
      </c>
      <c r="AD130" s="74">
        <f t="shared" si="20"/>
        <v>132</v>
      </c>
      <c r="AE130" s="74">
        <f t="shared" si="20"/>
        <v>115</v>
      </c>
      <c r="AF130" s="84">
        <f t="shared" si="20"/>
        <v>117</v>
      </c>
      <c r="AG130" s="150">
        <f t="shared" si="19"/>
        <v>3624</v>
      </c>
      <c r="AH130" s="1" t="str">
        <f>IF(AG130&lt;&gt;AG93,"*","")</f>
        <v/>
      </c>
    </row>
    <row r="131" spans="1:35" ht="18.75" x14ac:dyDescent="0.25">
      <c r="A131" s="43" t="s">
        <v>59</v>
      </c>
      <c r="B131" s="7">
        <v>43</v>
      </c>
      <c r="C131" s="7">
        <v>57</v>
      </c>
      <c r="D131" s="7">
        <v>44</v>
      </c>
      <c r="E131" s="7">
        <v>32</v>
      </c>
      <c r="F131" s="7">
        <v>62</v>
      </c>
      <c r="G131" s="7">
        <v>49</v>
      </c>
      <c r="H131" s="7">
        <v>37</v>
      </c>
      <c r="I131" s="7">
        <v>51</v>
      </c>
      <c r="J131" s="7">
        <v>50</v>
      </c>
      <c r="K131" s="7">
        <v>34</v>
      </c>
      <c r="L131" s="7">
        <v>38</v>
      </c>
      <c r="M131" s="7">
        <v>41</v>
      </c>
      <c r="N131" s="7">
        <v>40</v>
      </c>
      <c r="O131" s="7">
        <v>35</v>
      </c>
      <c r="P131" s="7">
        <v>36</v>
      </c>
      <c r="Q131" s="7">
        <v>47</v>
      </c>
      <c r="R131" s="7">
        <v>39</v>
      </c>
      <c r="S131" s="7">
        <v>33</v>
      </c>
      <c r="T131" s="7">
        <v>60</v>
      </c>
      <c r="U131" s="7">
        <v>36</v>
      </c>
      <c r="V131" s="7">
        <v>43</v>
      </c>
      <c r="W131" s="7">
        <v>59</v>
      </c>
      <c r="X131" s="7">
        <v>60</v>
      </c>
      <c r="Y131" s="7">
        <v>31</v>
      </c>
      <c r="Z131" s="7">
        <v>39</v>
      </c>
      <c r="AA131" s="7">
        <v>61</v>
      </c>
      <c r="AB131" s="7">
        <v>37</v>
      </c>
      <c r="AC131" s="7">
        <v>36</v>
      </c>
      <c r="AD131" s="7">
        <v>66</v>
      </c>
      <c r="AE131" s="7">
        <v>50</v>
      </c>
      <c r="AF131" s="8">
        <v>44</v>
      </c>
      <c r="AG131" s="4">
        <f t="shared" si="19"/>
        <v>1390</v>
      </c>
    </row>
    <row r="132" spans="1:35" ht="18.75" x14ac:dyDescent="0.25">
      <c r="A132" s="43" t="s">
        <v>23</v>
      </c>
      <c r="B132" s="7">
        <v>3</v>
      </c>
      <c r="C132" s="7">
        <v>5</v>
      </c>
      <c r="D132" s="7">
        <v>5</v>
      </c>
      <c r="E132" s="7">
        <v>6</v>
      </c>
      <c r="F132" s="7">
        <v>9</v>
      </c>
      <c r="G132" s="7">
        <v>4</v>
      </c>
      <c r="H132" s="7">
        <v>6</v>
      </c>
      <c r="I132" s="7">
        <v>8</v>
      </c>
      <c r="J132" s="7">
        <v>2</v>
      </c>
      <c r="K132" s="7">
        <v>8</v>
      </c>
      <c r="L132" s="7">
        <v>7</v>
      </c>
      <c r="M132" s="7">
        <v>9</v>
      </c>
      <c r="N132" s="7">
        <v>9</v>
      </c>
      <c r="O132" s="7">
        <v>9</v>
      </c>
      <c r="P132" s="7">
        <v>8</v>
      </c>
      <c r="Q132" s="7">
        <v>6</v>
      </c>
      <c r="R132" s="7">
        <v>3</v>
      </c>
      <c r="S132" s="7">
        <v>5</v>
      </c>
      <c r="T132" s="7">
        <v>7</v>
      </c>
      <c r="U132" s="7">
        <v>7</v>
      </c>
      <c r="V132" s="7">
        <v>6</v>
      </c>
      <c r="W132" s="7">
        <v>4</v>
      </c>
      <c r="X132" s="7">
        <v>6</v>
      </c>
      <c r="Y132" s="7">
        <v>5</v>
      </c>
      <c r="Z132" s="7">
        <v>4</v>
      </c>
      <c r="AA132" s="7">
        <v>9</v>
      </c>
      <c r="AB132" s="7">
        <v>7</v>
      </c>
      <c r="AC132" s="7">
        <v>6</v>
      </c>
      <c r="AD132" s="7">
        <v>4</v>
      </c>
      <c r="AE132" s="7">
        <v>10</v>
      </c>
      <c r="AF132" s="8">
        <v>7</v>
      </c>
      <c r="AG132" s="4">
        <f t="shared" si="19"/>
        <v>194</v>
      </c>
    </row>
    <row r="133" spans="1:35" ht="18.75" x14ac:dyDescent="0.25">
      <c r="A133" s="43" t="s">
        <v>24</v>
      </c>
      <c r="B133" s="7">
        <v>11</v>
      </c>
      <c r="C133" s="7">
        <v>6</v>
      </c>
      <c r="D133" s="7">
        <v>10</v>
      </c>
      <c r="E133" s="7">
        <v>5</v>
      </c>
      <c r="F133" s="7">
        <v>5</v>
      </c>
      <c r="G133" s="7">
        <v>9</v>
      </c>
      <c r="H133" s="7">
        <v>7</v>
      </c>
      <c r="I133" s="7">
        <v>5</v>
      </c>
      <c r="J133" s="7">
        <v>9</v>
      </c>
      <c r="K133" s="7">
        <v>5</v>
      </c>
      <c r="L133" s="7">
        <v>5</v>
      </c>
      <c r="M133" s="7">
        <v>8</v>
      </c>
      <c r="N133" s="7">
        <v>7</v>
      </c>
      <c r="O133" s="7">
        <v>10</v>
      </c>
      <c r="P133" s="7">
        <v>10</v>
      </c>
      <c r="Q133" s="7">
        <v>7</v>
      </c>
      <c r="R133" s="7">
        <v>5</v>
      </c>
      <c r="S133" s="7">
        <v>13</v>
      </c>
      <c r="T133" s="7">
        <v>11</v>
      </c>
      <c r="U133" s="7">
        <v>8</v>
      </c>
      <c r="V133" s="7">
        <v>10</v>
      </c>
      <c r="W133" s="7">
        <v>11</v>
      </c>
      <c r="X133" s="7">
        <v>11</v>
      </c>
      <c r="Y133" s="7">
        <v>6</v>
      </c>
      <c r="Z133" s="7">
        <v>8</v>
      </c>
      <c r="AA133" s="7">
        <v>7</v>
      </c>
      <c r="AB133" s="7">
        <v>11</v>
      </c>
      <c r="AC133" s="7">
        <v>9</v>
      </c>
      <c r="AD133" s="7">
        <v>4</v>
      </c>
      <c r="AE133" s="7">
        <v>9</v>
      </c>
      <c r="AF133" s="8">
        <v>9</v>
      </c>
      <c r="AG133" s="4">
        <f t="shared" si="19"/>
        <v>251</v>
      </c>
    </row>
    <row r="134" spans="1:35" ht="18.75" x14ac:dyDescent="0.25">
      <c r="A134" s="43" t="s">
        <v>25</v>
      </c>
      <c r="B134" s="7">
        <v>6</v>
      </c>
      <c r="C134" s="7">
        <f>2+8</f>
        <v>10</v>
      </c>
      <c r="D134" s="7">
        <v>7</v>
      </c>
      <c r="E134" s="7">
        <f>1+9</f>
        <v>10</v>
      </c>
      <c r="F134" s="7">
        <v>2</v>
      </c>
      <c r="G134" s="7">
        <f>1+6</f>
        <v>7</v>
      </c>
      <c r="H134" s="7">
        <v>2</v>
      </c>
      <c r="I134" s="7">
        <v>4</v>
      </c>
      <c r="J134" s="7">
        <f>1+3</f>
        <v>4</v>
      </c>
      <c r="K134" s="7">
        <v>5</v>
      </c>
      <c r="L134" s="7">
        <f>7+1</f>
        <v>8</v>
      </c>
      <c r="M134" s="7">
        <v>5</v>
      </c>
      <c r="N134" s="7">
        <v>3</v>
      </c>
      <c r="O134" s="7">
        <v>2</v>
      </c>
      <c r="P134" s="7">
        <f>1+13</f>
        <v>14</v>
      </c>
      <c r="Q134" s="7">
        <v>5</v>
      </c>
      <c r="R134" s="7">
        <v>8</v>
      </c>
      <c r="S134" s="7">
        <v>6</v>
      </c>
      <c r="T134" s="7">
        <v>10</v>
      </c>
      <c r="U134" s="7">
        <v>4</v>
      </c>
      <c r="V134" s="7">
        <f>3+1</f>
        <v>4</v>
      </c>
      <c r="W134" s="7">
        <v>6</v>
      </c>
      <c r="X134" s="7">
        <v>7</v>
      </c>
      <c r="Y134" s="7">
        <v>7</v>
      </c>
      <c r="Z134" s="7">
        <v>5</v>
      </c>
      <c r="AA134" s="7">
        <v>5</v>
      </c>
      <c r="AB134" s="7">
        <f>1+4</f>
        <v>5</v>
      </c>
      <c r="AC134" s="7">
        <v>7</v>
      </c>
      <c r="AD134" s="7">
        <v>6</v>
      </c>
      <c r="AE134" s="7">
        <v>3</v>
      </c>
      <c r="AF134" s="8">
        <v>4</v>
      </c>
      <c r="AG134" s="4">
        <f t="shared" ref="AG134:AG147" si="21">SUM(B134:AF134)</f>
        <v>181</v>
      </c>
    </row>
    <row r="135" spans="1:35" ht="18.75" x14ac:dyDescent="0.25">
      <c r="A135" s="43" t="s">
        <v>26</v>
      </c>
      <c r="B135" s="7">
        <v>6</v>
      </c>
      <c r="C135" s="7">
        <v>6</v>
      </c>
      <c r="D135" s="7">
        <v>6</v>
      </c>
      <c r="E135" s="7">
        <v>9</v>
      </c>
      <c r="F135" s="7">
        <v>7</v>
      </c>
      <c r="G135" s="7">
        <v>7</v>
      </c>
      <c r="H135" s="7">
        <v>6</v>
      </c>
      <c r="I135" s="7">
        <v>5</v>
      </c>
      <c r="J135" s="7">
        <v>8</v>
      </c>
      <c r="K135" s="7">
        <v>11</v>
      </c>
      <c r="L135" s="7">
        <v>11</v>
      </c>
      <c r="M135" s="7">
        <v>6</v>
      </c>
      <c r="N135" s="7">
        <v>5</v>
      </c>
      <c r="O135" s="7">
        <v>13</v>
      </c>
      <c r="P135" s="7">
        <v>8</v>
      </c>
      <c r="Q135" s="7">
        <v>11</v>
      </c>
      <c r="R135" s="7">
        <v>6</v>
      </c>
      <c r="S135" s="7">
        <v>7</v>
      </c>
      <c r="T135" s="7">
        <v>7</v>
      </c>
      <c r="U135" s="7">
        <v>7</v>
      </c>
      <c r="V135" s="7">
        <v>7</v>
      </c>
      <c r="W135" s="7">
        <v>6</v>
      </c>
      <c r="X135" s="7">
        <v>5</v>
      </c>
      <c r="Y135" s="7">
        <v>12</v>
      </c>
      <c r="Z135" s="7">
        <v>10</v>
      </c>
      <c r="AA135" s="7">
        <v>5</v>
      </c>
      <c r="AB135" s="7">
        <v>9</v>
      </c>
      <c r="AC135" s="7"/>
      <c r="AD135" s="7">
        <v>5</v>
      </c>
      <c r="AE135" s="7">
        <v>7</v>
      </c>
      <c r="AF135" s="8">
        <v>8</v>
      </c>
      <c r="AG135" s="4">
        <f t="shared" si="21"/>
        <v>226</v>
      </c>
    </row>
    <row r="136" spans="1:35" ht="18.75" x14ac:dyDescent="0.25">
      <c r="A136" s="43" t="s">
        <v>27</v>
      </c>
      <c r="B136" s="7">
        <v>12</v>
      </c>
      <c r="C136" s="7">
        <v>10</v>
      </c>
      <c r="D136" s="7">
        <v>14</v>
      </c>
      <c r="E136" s="7">
        <v>16</v>
      </c>
      <c r="F136" s="7">
        <v>11</v>
      </c>
      <c r="G136" s="7">
        <v>18</v>
      </c>
      <c r="H136" s="7">
        <v>21</v>
      </c>
      <c r="I136" s="7">
        <v>10</v>
      </c>
      <c r="J136" s="7">
        <v>18</v>
      </c>
      <c r="K136" s="7">
        <v>13</v>
      </c>
      <c r="L136" s="7">
        <v>17</v>
      </c>
      <c r="M136" s="7">
        <v>12</v>
      </c>
      <c r="N136" s="7">
        <v>20</v>
      </c>
      <c r="O136" s="7">
        <v>24</v>
      </c>
      <c r="P136" s="7">
        <v>18</v>
      </c>
      <c r="Q136" s="7">
        <v>17</v>
      </c>
      <c r="R136" s="7">
        <v>23</v>
      </c>
      <c r="S136" s="7">
        <v>23</v>
      </c>
      <c r="T136" s="7">
        <v>23</v>
      </c>
      <c r="U136" s="7">
        <v>19</v>
      </c>
      <c r="V136" s="7">
        <v>14</v>
      </c>
      <c r="W136" s="7">
        <v>26</v>
      </c>
      <c r="X136" s="7">
        <v>15</v>
      </c>
      <c r="Y136" s="7">
        <v>12</v>
      </c>
      <c r="Z136" s="7">
        <v>24</v>
      </c>
      <c r="AA136" s="7">
        <v>15</v>
      </c>
      <c r="AB136" s="7">
        <v>16</v>
      </c>
      <c r="AC136" s="7">
        <v>19</v>
      </c>
      <c r="AD136" s="7">
        <v>19</v>
      </c>
      <c r="AE136" s="7">
        <v>12</v>
      </c>
      <c r="AF136" s="8">
        <v>15</v>
      </c>
      <c r="AG136" s="4">
        <f t="shared" si="21"/>
        <v>526</v>
      </c>
    </row>
    <row r="137" spans="1:35" ht="18.75" x14ac:dyDescent="0.25">
      <c r="A137" s="43" t="s">
        <v>28</v>
      </c>
      <c r="B137" s="7">
        <v>4</v>
      </c>
      <c r="C137" s="7">
        <f>3+1</f>
        <v>4</v>
      </c>
      <c r="D137" s="7">
        <f>3+1</f>
        <v>4</v>
      </c>
      <c r="E137" s="7">
        <f>5+1</f>
        <v>6</v>
      </c>
      <c r="F137" s="7">
        <v>5</v>
      </c>
      <c r="G137" s="7">
        <f>7+2</f>
        <v>9</v>
      </c>
      <c r="H137" s="7">
        <f>5+2</f>
        <v>7</v>
      </c>
      <c r="I137" s="7">
        <v>2</v>
      </c>
      <c r="J137" s="7">
        <v>5</v>
      </c>
      <c r="K137" s="7">
        <v>2</v>
      </c>
      <c r="L137" s="7">
        <f>6+3</f>
        <v>9</v>
      </c>
      <c r="M137" s="7">
        <v>5</v>
      </c>
      <c r="N137" s="7">
        <f>4+1</f>
        <v>5</v>
      </c>
      <c r="O137" s="7">
        <f>5+2</f>
        <v>7</v>
      </c>
      <c r="P137" s="7">
        <f>7+1</f>
        <v>8</v>
      </c>
      <c r="Q137" s="7">
        <f>1+1</f>
        <v>2</v>
      </c>
      <c r="R137" s="7">
        <v>1</v>
      </c>
      <c r="S137" s="7">
        <v>6</v>
      </c>
      <c r="T137" s="7">
        <f>3+1</f>
        <v>4</v>
      </c>
      <c r="U137" s="7">
        <f>3+1</f>
        <v>4</v>
      </c>
      <c r="V137" s="7">
        <f>1+1</f>
        <v>2</v>
      </c>
      <c r="W137" s="7">
        <f>6+1</f>
        <v>7</v>
      </c>
      <c r="X137" s="7">
        <f>4+3</f>
        <v>7</v>
      </c>
      <c r="Y137" s="7">
        <f>3+1</f>
        <v>4</v>
      </c>
      <c r="Z137" s="7">
        <v>9</v>
      </c>
      <c r="AA137" s="7">
        <f>3+1</f>
        <v>4</v>
      </c>
      <c r="AB137" s="7">
        <v>7</v>
      </c>
      <c r="AC137" s="7">
        <v>2</v>
      </c>
      <c r="AD137" s="7">
        <v>2</v>
      </c>
      <c r="AE137" s="7">
        <f>2+3</f>
        <v>5</v>
      </c>
      <c r="AF137" s="8">
        <v>1</v>
      </c>
      <c r="AG137" s="4">
        <f t="shared" si="21"/>
        <v>149</v>
      </c>
    </row>
    <row r="138" spans="1:35" ht="18.75" x14ac:dyDescent="0.25">
      <c r="A138" s="43" t="s">
        <v>29</v>
      </c>
      <c r="B138" s="7"/>
      <c r="C138" s="7">
        <v>2</v>
      </c>
      <c r="D138" s="7">
        <v>2</v>
      </c>
      <c r="E138" s="7">
        <v>2</v>
      </c>
      <c r="F138" s="7">
        <v>3</v>
      </c>
      <c r="G138" s="7">
        <v>3</v>
      </c>
      <c r="H138" s="7">
        <v>1</v>
      </c>
      <c r="I138" s="7">
        <v>1</v>
      </c>
      <c r="J138" s="7">
        <v>1</v>
      </c>
      <c r="K138" s="7"/>
      <c r="L138" s="7">
        <v>5</v>
      </c>
      <c r="M138" s="7">
        <v>2</v>
      </c>
      <c r="N138" s="7">
        <v>2</v>
      </c>
      <c r="O138" s="7">
        <v>3</v>
      </c>
      <c r="P138" s="7">
        <v>1</v>
      </c>
      <c r="Q138" s="7">
        <v>1</v>
      </c>
      <c r="R138" s="7">
        <v>2</v>
      </c>
      <c r="S138" s="7"/>
      <c r="T138" s="7"/>
      <c r="U138" s="7">
        <v>1</v>
      </c>
      <c r="V138" s="7">
        <v>3</v>
      </c>
      <c r="W138" s="7">
        <v>2</v>
      </c>
      <c r="X138" s="7">
        <v>1</v>
      </c>
      <c r="Y138" s="7"/>
      <c r="Z138" s="7">
        <v>2</v>
      </c>
      <c r="AA138" s="7"/>
      <c r="AB138" s="7"/>
      <c r="AC138" s="7">
        <v>3</v>
      </c>
      <c r="AD138" s="7">
        <v>1</v>
      </c>
      <c r="AE138" s="7">
        <v>3</v>
      </c>
      <c r="AF138" s="8">
        <v>2</v>
      </c>
      <c r="AG138" s="4">
        <f t="shared" si="21"/>
        <v>49</v>
      </c>
    </row>
    <row r="139" spans="1:35" ht="18.75" x14ac:dyDescent="0.25">
      <c r="A139" s="41" t="s">
        <v>30</v>
      </c>
      <c r="B139" s="7">
        <v>2</v>
      </c>
      <c r="C139" s="7"/>
      <c r="D139" s="7"/>
      <c r="E139" s="7">
        <v>1</v>
      </c>
      <c r="F139" s="7"/>
      <c r="G139" s="7"/>
      <c r="H139" s="7"/>
      <c r="I139" s="7">
        <v>1</v>
      </c>
      <c r="J139" s="7"/>
      <c r="K139" s="7">
        <v>4</v>
      </c>
      <c r="L139" s="7">
        <v>1</v>
      </c>
      <c r="M139" s="7"/>
      <c r="N139" s="7"/>
      <c r="O139" s="7">
        <v>1</v>
      </c>
      <c r="P139" s="7">
        <v>2</v>
      </c>
      <c r="Q139" s="7">
        <v>1</v>
      </c>
      <c r="R139" s="7">
        <v>1</v>
      </c>
      <c r="S139" s="7"/>
      <c r="T139" s="7"/>
      <c r="U139" s="7">
        <v>1</v>
      </c>
      <c r="V139" s="7"/>
      <c r="W139" s="7">
        <v>4</v>
      </c>
      <c r="X139" s="7">
        <v>2</v>
      </c>
      <c r="Y139" s="7">
        <v>2</v>
      </c>
      <c r="Z139" s="7">
        <v>1</v>
      </c>
      <c r="AA139" s="7">
        <v>1</v>
      </c>
      <c r="AB139" s="7"/>
      <c r="AC139" s="7">
        <v>1</v>
      </c>
      <c r="AD139" s="7"/>
      <c r="AE139" s="7">
        <v>1</v>
      </c>
      <c r="AF139" s="8"/>
      <c r="AG139" s="4">
        <f t="shared" si="21"/>
        <v>27</v>
      </c>
    </row>
    <row r="140" spans="1:35" ht="18.75" x14ac:dyDescent="0.25">
      <c r="A140" s="41" t="s">
        <v>31</v>
      </c>
      <c r="B140" s="7"/>
      <c r="C140" s="7">
        <v>2</v>
      </c>
      <c r="D140" s="7">
        <v>1</v>
      </c>
      <c r="E140" s="7"/>
      <c r="F140" s="7"/>
      <c r="G140" s="7">
        <v>1</v>
      </c>
      <c r="H140" s="7">
        <v>1</v>
      </c>
      <c r="I140" s="7"/>
      <c r="J140" s="7"/>
      <c r="K140" s="7">
        <v>1</v>
      </c>
      <c r="L140" s="7">
        <v>2</v>
      </c>
      <c r="M140" s="7">
        <v>1</v>
      </c>
      <c r="N140" s="7">
        <v>1</v>
      </c>
      <c r="O140" s="7"/>
      <c r="P140" s="7">
        <v>2</v>
      </c>
      <c r="Q140" s="7"/>
      <c r="R140" s="7"/>
      <c r="S140" s="7">
        <v>1</v>
      </c>
      <c r="T140" s="7">
        <v>2</v>
      </c>
      <c r="U140" s="7">
        <v>1</v>
      </c>
      <c r="V140" s="7">
        <v>1</v>
      </c>
      <c r="W140" s="7"/>
      <c r="X140" s="7">
        <v>5</v>
      </c>
      <c r="Y140" s="7">
        <v>1</v>
      </c>
      <c r="Z140" s="7">
        <v>1</v>
      </c>
      <c r="AA140" s="7"/>
      <c r="AB140" s="7">
        <v>1</v>
      </c>
      <c r="AC140" s="7">
        <v>3</v>
      </c>
      <c r="AD140" s="7">
        <v>3</v>
      </c>
      <c r="AE140" s="7"/>
      <c r="AF140" s="8">
        <v>5</v>
      </c>
      <c r="AG140" s="4">
        <f t="shared" si="21"/>
        <v>36</v>
      </c>
    </row>
    <row r="141" spans="1:35" ht="18.75" x14ac:dyDescent="0.25">
      <c r="A141" s="41" t="s">
        <v>32</v>
      </c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>
        <v>1</v>
      </c>
      <c r="M141" s="7"/>
      <c r="N141" s="7"/>
      <c r="O141" s="7"/>
      <c r="P141" s="7"/>
      <c r="Q141" s="7">
        <v>1</v>
      </c>
      <c r="R141" s="7"/>
      <c r="S141" s="7"/>
      <c r="T141" s="7"/>
      <c r="U141" s="7"/>
      <c r="V141" s="7"/>
      <c r="W141" s="7">
        <v>2</v>
      </c>
      <c r="X141" s="7"/>
      <c r="Y141" s="7"/>
      <c r="Z141" s="7"/>
      <c r="AA141" s="7"/>
      <c r="AB141" s="7"/>
      <c r="AC141" s="7"/>
      <c r="AD141" s="7"/>
      <c r="AE141" s="7"/>
      <c r="AF141" s="8"/>
      <c r="AG141" s="4">
        <f t="shared" si="21"/>
        <v>4</v>
      </c>
    </row>
    <row r="142" spans="1:35" ht="18.75" x14ac:dyDescent="0.25">
      <c r="A142" s="43" t="s">
        <v>60</v>
      </c>
      <c r="B142" s="7">
        <f>1+1+1</f>
        <v>3</v>
      </c>
      <c r="C142" s="7">
        <f>1+1+1</f>
        <v>3</v>
      </c>
      <c r="D142" s="7">
        <f>2+1+5</f>
        <v>8</v>
      </c>
      <c r="E142" s="7">
        <f>1+1</f>
        <v>2</v>
      </c>
      <c r="F142" s="7">
        <f>1+1+1</f>
        <v>3</v>
      </c>
      <c r="G142" s="7">
        <f>1+1+1</f>
        <v>3</v>
      </c>
      <c r="H142" s="7">
        <f>1+1</f>
        <v>2</v>
      </c>
      <c r="I142" s="7">
        <f>3+2+1</f>
        <v>6</v>
      </c>
      <c r="J142" s="7">
        <f>1</f>
        <v>1</v>
      </c>
      <c r="K142" s="7">
        <f>1+1+4</f>
        <v>6</v>
      </c>
      <c r="L142" s="7">
        <f>1+1+1</f>
        <v>3</v>
      </c>
      <c r="M142" s="7">
        <f>1+1</f>
        <v>2</v>
      </c>
      <c r="N142" s="7">
        <f>2+2</f>
        <v>4</v>
      </c>
      <c r="O142" s="7">
        <f>1+2+1</f>
        <v>4</v>
      </c>
      <c r="P142" s="7">
        <f>1</f>
        <v>1</v>
      </c>
      <c r="Q142" s="7">
        <f>1+1</f>
        <v>2</v>
      </c>
      <c r="R142" s="7">
        <f>1+1+1</f>
        <v>3</v>
      </c>
      <c r="S142" s="7">
        <f>1+1+1</f>
        <v>3</v>
      </c>
      <c r="T142" s="7">
        <f>1+1+1</f>
        <v>3</v>
      </c>
      <c r="U142" s="7">
        <f>2+1+2</f>
        <v>5</v>
      </c>
      <c r="V142" s="7">
        <f>1+1+1+1+2+1</f>
        <v>7</v>
      </c>
      <c r="W142" s="7">
        <f>1</f>
        <v>1</v>
      </c>
      <c r="X142" s="7">
        <f>2+1+1+1+1</f>
        <v>6</v>
      </c>
      <c r="Y142" s="7">
        <f>2+1</f>
        <v>3</v>
      </c>
      <c r="Z142" s="7">
        <f>3+1</f>
        <v>4</v>
      </c>
      <c r="AA142" s="7">
        <f>1+1+2+1</f>
        <v>5</v>
      </c>
      <c r="AB142" s="7">
        <f>1+1+1+1</f>
        <v>4</v>
      </c>
      <c r="AC142" s="7">
        <f>1+1</f>
        <v>2</v>
      </c>
      <c r="AD142" s="7">
        <f>1+1+1+1+1+1</f>
        <v>6</v>
      </c>
      <c r="AE142" s="7">
        <f>1+1+1+1</f>
        <v>4</v>
      </c>
      <c r="AF142" s="8">
        <f>2+2+2+1</f>
        <v>7</v>
      </c>
      <c r="AG142" s="4">
        <f t="shared" si="21"/>
        <v>116</v>
      </c>
    </row>
    <row r="143" spans="1:35" ht="19.5" thickBot="1" x14ac:dyDescent="0.3">
      <c r="A143" s="75" t="s">
        <v>86</v>
      </c>
      <c r="B143" s="13">
        <f>6+8</f>
        <v>14</v>
      </c>
      <c r="C143" s="13">
        <f>8+5</f>
        <v>13</v>
      </c>
      <c r="D143" s="13">
        <v>4</v>
      </c>
      <c r="E143" s="13">
        <f>6+9</f>
        <v>15</v>
      </c>
      <c r="F143" s="13">
        <f>8+9</f>
        <v>17</v>
      </c>
      <c r="G143" s="13">
        <f>7+8</f>
        <v>15</v>
      </c>
      <c r="H143" s="13">
        <f>5+9</f>
        <v>14</v>
      </c>
      <c r="I143" s="13">
        <f>5+6</f>
        <v>11</v>
      </c>
      <c r="J143" s="13">
        <f>5+6</f>
        <v>11</v>
      </c>
      <c r="K143" s="13">
        <f>7+1+8</f>
        <v>16</v>
      </c>
      <c r="L143" s="13">
        <f>9+10</f>
        <v>19</v>
      </c>
      <c r="M143" s="13">
        <f>5+1+9</f>
        <v>15</v>
      </c>
      <c r="N143" s="13">
        <f>7+6</f>
        <v>13</v>
      </c>
      <c r="O143" s="13">
        <f>5+9</f>
        <v>14</v>
      </c>
      <c r="P143" s="13">
        <f>9+1+5</f>
        <v>15</v>
      </c>
      <c r="Q143" s="13">
        <f>10+2+7</f>
        <v>19</v>
      </c>
      <c r="R143" s="13">
        <f>1+1+4</f>
        <v>6</v>
      </c>
      <c r="S143" s="13">
        <f>11+7</f>
        <v>18</v>
      </c>
      <c r="T143" s="13">
        <f>13+10</f>
        <v>23</v>
      </c>
      <c r="U143" s="13">
        <f>9+1+8</f>
        <v>18</v>
      </c>
      <c r="V143" s="13">
        <f>9+12</f>
        <v>21</v>
      </c>
      <c r="W143" s="13">
        <f>12+12</f>
        <v>24</v>
      </c>
      <c r="X143" s="13">
        <f>5+1+14</f>
        <v>20</v>
      </c>
      <c r="Y143" s="13">
        <f>5+7</f>
        <v>12</v>
      </c>
      <c r="Z143" s="13">
        <f>2+8</f>
        <v>10</v>
      </c>
      <c r="AA143" s="13">
        <f>8+1+12</f>
        <v>21</v>
      </c>
      <c r="AB143" s="13">
        <f>4+9</f>
        <v>13</v>
      </c>
      <c r="AC143" s="13">
        <f>16+6</f>
        <v>22</v>
      </c>
      <c r="AD143" s="13">
        <f>9+7</f>
        <v>16</v>
      </c>
      <c r="AE143" s="13">
        <f>4+1+6</f>
        <v>11</v>
      </c>
      <c r="AF143" s="14">
        <f>7+8</f>
        <v>15</v>
      </c>
      <c r="AG143" s="108">
        <f t="shared" si="21"/>
        <v>475</v>
      </c>
    </row>
    <row r="144" spans="1:35" ht="19.5" thickBot="1" x14ac:dyDescent="0.3">
      <c r="A144" s="164" t="s">
        <v>89</v>
      </c>
      <c r="B144" s="165">
        <f t="shared" ref="B144:AD144" si="22">+B146+B156+B158+B167</f>
        <v>104</v>
      </c>
      <c r="C144" s="165">
        <f t="shared" si="22"/>
        <v>118</v>
      </c>
      <c r="D144" s="165">
        <f t="shared" si="22"/>
        <v>105</v>
      </c>
      <c r="E144" s="165">
        <f t="shared" si="22"/>
        <v>104</v>
      </c>
      <c r="F144" s="165">
        <f t="shared" si="22"/>
        <v>124</v>
      </c>
      <c r="G144" s="165">
        <f t="shared" si="22"/>
        <v>125</v>
      </c>
      <c r="H144" s="165">
        <f t="shared" si="22"/>
        <v>104</v>
      </c>
      <c r="I144" s="165">
        <f t="shared" si="22"/>
        <v>104</v>
      </c>
      <c r="J144" s="165">
        <f t="shared" si="22"/>
        <v>109</v>
      </c>
      <c r="K144" s="165">
        <f t="shared" si="22"/>
        <v>105</v>
      </c>
      <c r="L144" s="165">
        <f t="shared" si="22"/>
        <v>126</v>
      </c>
      <c r="M144" s="165">
        <f t="shared" si="22"/>
        <v>106</v>
      </c>
      <c r="N144" s="165">
        <f t="shared" si="22"/>
        <v>109</v>
      </c>
      <c r="O144" s="165">
        <f t="shared" si="22"/>
        <v>122</v>
      </c>
      <c r="P144" s="165">
        <f t="shared" si="22"/>
        <v>123</v>
      </c>
      <c r="Q144" s="165">
        <f t="shared" si="22"/>
        <v>119</v>
      </c>
      <c r="R144" s="165">
        <f t="shared" si="22"/>
        <v>97</v>
      </c>
      <c r="S144" s="165">
        <f t="shared" si="22"/>
        <v>115</v>
      </c>
      <c r="T144" s="165">
        <f t="shared" si="22"/>
        <v>150</v>
      </c>
      <c r="U144" s="165">
        <f t="shared" si="22"/>
        <v>111</v>
      </c>
      <c r="V144" s="165">
        <f t="shared" si="22"/>
        <v>118</v>
      </c>
      <c r="W144" s="165">
        <f t="shared" si="22"/>
        <v>152</v>
      </c>
      <c r="X144" s="165">
        <f t="shared" si="22"/>
        <v>145</v>
      </c>
      <c r="Y144" s="165">
        <f t="shared" si="22"/>
        <v>95</v>
      </c>
      <c r="Z144" s="165">
        <f t="shared" si="22"/>
        <v>117</v>
      </c>
      <c r="AA144" s="165">
        <f t="shared" si="22"/>
        <v>133</v>
      </c>
      <c r="AB144" s="165">
        <f t="shared" si="22"/>
        <v>110</v>
      </c>
      <c r="AC144" s="165">
        <f t="shared" si="22"/>
        <v>110</v>
      </c>
      <c r="AD144" s="165">
        <f t="shared" si="22"/>
        <v>132</v>
      </c>
      <c r="AE144" s="165">
        <f>+AE146+AE156+AE158+AE167</f>
        <v>115</v>
      </c>
      <c r="AF144" s="165">
        <f t="shared" ref="AF144" si="23">+AF146+AF156+AF158+AF167</f>
        <v>117</v>
      </c>
      <c r="AG144" s="116">
        <f t="shared" si="21"/>
        <v>3624</v>
      </c>
      <c r="AH144" s="38" t="str">
        <f>IF(AG144&lt;&gt;AG93,"*","")</f>
        <v/>
      </c>
      <c r="AI144" t="s">
        <v>140</v>
      </c>
    </row>
    <row r="145" spans="1:34" ht="19.5" thickBot="1" x14ac:dyDescent="0.3">
      <c r="A145" s="160" t="s">
        <v>98</v>
      </c>
      <c r="B145" s="161">
        <f t="shared" ref="B145:AD145" si="24">+B149+B155+B157+B172</f>
        <v>4</v>
      </c>
      <c r="C145" s="161">
        <f t="shared" si="24"/>
        <v>3</v>
      </c>
      <c r="D145" s="161">
        <f t="shared" si="24"/>
        <v>4</v>
      </c>
      <c r="E145" s="161">
        <f t="shared" si="24"/>
        <v>4</v>
      </c>
      <c r="F145" s="161">
        <f t="shared" si="24"/>
        <v>8</v>
      </c>
      <c r="G145" s="161">
        <f t="shared" si="24"/>
        <v>5</v>
      </c>
      <c r="H145" s="161">
        <f t="shared" si="24"/>
        <v>4</v>
      </c>
      <c r="I145" s="161">
        <f t="shared" si="24"/>
        <v>3</v>
      </c>
      <c r="J145" s="161">
        <f t="shared" si="24"/>
        <v>8</v>
      </c>
      <c r="K145" s="161">
        <f t="shared" si="24"/>
        <v>7</v>
      </c>
      <c r="L145" s="161">
        <f t="shared" si="24"/>
        <v>4</v>
      </c>
      <c r="M145" s="161">
        <f t="shared" si="24"/>
        <v>2</v>
      </c>
      <c r="N145" s="161">
        <f t="shared" si="24"/>
        <v>4</v>
      </c>
      <c r="O145" s="161">
        <f t="shared" si="24"/>
        <v>6</v>
      </c>
      <c r="P145" s="161">
        <f t="shared" si="24"/>
        <v>7</v>
      </c>
      <c r="Q145" s="161">
        <f t="shared" si="24"/>
        <v>3</v>
      </c>
      <c r="R145" s="161">
        <f t="shared" si="24"/>
        <v>6</v>
      </c>
      <c r="S145" s="161">
        <f t="shared" si="24"/>
        <v>2</v>
      </c>
      <c r="T145" s="161">
        <f t="shared" si="24"/>
        <v>10</v>
      </c>
      <c r="U145" s="161">
        <f t="shared" si="24"/>
        <v>6</v>
      </c>
      <c r="V145" s="161">
        <f t="shared" si="24"/>
        <v>5</v>
      </c>
      <c r="W145" s="161">
        <f t="shared" si="24"/>
        <v>4</v>
      </c>
      <c r="X145" s="161">
        <f t="shared" si="24"/>
        <v>7</v>
      </c>
      <c r="Y145" s="161">
        <f t="shared" si="24"/>
        <v>4</v>
      </c>
      <c r="Z145" s="161">
        <f t="shared" si="24"/>
        <v>3</v>
      </c>
      <c r="AA145" s="161">
        <f t="shared" si="24"/>
        <v>13</v>
      </c>
      <c r="AB145" s="161">
        <f t="shared" si="24"/>
        <v>6</v>
      </c>
      <c r="AC145" s="161">
        <f t="shared" si="24"/>
        <v>12</v>
      </c>
      <c r="AD145" s="161">
        <f t="shared" si="24"/>
        <v>9</v>
      </c>
      <c r="AE145" s="161">
        <f>+AE149+AE155+AE157+AE172</f>
        <v>6</v>
      </c>
      <c r="AF145" s="162">
        <f t="shared" ref="AF145" si="25">+AF149+AF155+AF157+AF172</f>
        <v>4</v>
      </c>
      <c r="AG145" s="163">
        <f t="shared" si="21"/>
        <v>173</v>
      </c>
      <c r="AH145" s="1"/>
    </row>
    <row r="146" spans="1:34" ht="19.5" thickBot="1" x14ac:dyDescent="0.3">
      <c r="A146" s="117" t="s">
        <v>69</v>
      </c>
      <c r="B146" s="118">
        <f t="shared" ref="B146:AG147" si="26">+B148+B154</f>
        <v>0</v>
      </c>
      <c r="C146" s="118">
        <f t="shared" si="26"/>
        <v>0</v>
      </c>
      <c r="D146" s="118">
        <f t="shared" si="26"/>
        <v>0</v>
      </c>
      <c r="E146" s="118">
        <f t="shared" si="26"/>
        <v>0</v>
      </c>
      <c r="F146" s="118">
        <f t="shared" si="26"/>
        <v>0</v>
      </c>
      <c r="G146" s="118">
        <f t="shared" si="26"/>
        <v>0</v>
      </c>
      <c r="H146" s="118">
        <f t="shared" si="26"/>
        <v>0</v>
      </c>
      <c r="I146" s="118">
        <f t="shared" si="26"/>
        <v>0</v>
      </c>
      <c r="J146" s="118">
        <f t="shared" si="26"/>
        <v>0</v>
      </c>
      <c r="K146" s="118">
        <f t="shared" si="26"/>
        <v>0</v>
      </c>
      <c r="L146" s="118">
        <f t="shared" si="26"/>
        <v>0</v>
      </c>
      <c r="M146" s="118">
        <f t="shared" si="26"/>
        <v>0</v>
      </c>
      <c r="N146" s="118">
        <f t="shared" si="26"/>
        <v>0</v>
      </c>
      <c r="O146" s="118">
        <f t="shared" si="26"/>
        <v>0</v>
      </c>
      <c r="P146" s="118">
        <f t="shared" si="26"/>
        <v>0</v>
      </c>
      <c r="Q146" s="118">
        <f t="shared" si="26"/>
        <v>0</v>
      </c>
      <c r="R146" s="118">
        <f t="shared" si="26"/>
        <v>0</v>
      </c>
      <c r="S146" s="118">
        <f t="shared" si="26"/>
        <v>0</v>
      </c>
      <c r="T146" s="118">
        <f t="shared" si="26"/>
        <v>1</v>
      </c>
      <c r="U146" s="118">
        <f t="shared" si="26"/>
        <v>0</v>
      </c>
      <c r="V146" s="118">
        <f t="shared" si="26"/>
        <v>0</v>
      </c>
      <c r="W146" s="118">
        <f t="shared" si="26"/>
        <v>0</v>
      </c>
      <c r="X146" s="118">
        <f t="shared" si="26"/>
        <v>0</v>
      </c>
      <c r="Y146" s="118">
        <f t="shared" si="26"/>
        <v>0</v>
      </c>
      <c r="Z146" s="118">
        <f t="shared" si="26"/>
        <v>0</v>
      </c>
      <c r="AA146" s="118">
        <f t="shared" si="26"/>
        <v>0</v>
      </c>
      <c r="AB146" s="118">
        <f t="shared" si="26"/>
        <v>0</v>
      </c>
      <c r="AC146" s="118">
        <f t="shared" si="26"/>
        <v>0</v>
      </c>
      <c r="AD146" s="118">
        <f t="shared" si="26"/>
        <v>0</v>
      </c>
      <c r="AE146" s="118">
        <f t="shared" si="26"/>
        <v>0</v>
      </c>
      <c r="AF146" s="119">
        <f t="shared" si="26"/>
        <v>0</v>
      </c>
      <c r="AG146" s="120">
        <f t="shared" si="26"/>
        <v>1</v>
      </c>
    </row>
    <row r="147" spans="1:34" ht="19.5" thickBot="1" x14ac:dyDescent="0.3">
      <c r="A147" s="153" t="s">
        <v>130</v>
      </c>
      <c r="B147" s="154">
        <f t="shared" si="26"/>
        <v>0</v>
      </c>
      <c r="C147" s="154">
        <f t="shared" si="26"/>
        <v>0</v>
      </c>
      <c r="D147" s="154">
        <f t="shared" si="26"/>
        <v>0</v>
      </c>
      <c r="E147" s="154">
        <f t="shared" si="26"/>
        <v>0</v>
      </c>
      <c r="F147" s="154">
        <f t="shared" si="26"/>
        <v>0</v>
      </c>
      <c r="G147" s="154">
        <f t="shared" si="26"/>
        <v>0</v>
      </c>
      <c r="H147" s="154">
        <f t="shared" si="26"/>
        <v>0</v>
      </c>
      <c r="I147" s="154">
        <f t="shared" si="26"/>
        <v>0</v>
      </c>
      <c r="J147" s="154">
        <f t="shared" si="26"/>
        <v>0</v>
      </c>
      <c r="K147" s="154">
        <f t="shared" si="26"/>
        <v>0</v>
      </c>
      <c r="L147" s="154">
        <f t="shared" si="26"/>
        <v>0</v>
      </c>
      <c r="M147" s="154">
        <f t="shared" si="26"/>
        <v>0</v>
      </c>
      <c r="N147" s="154">
        <f t="shared" si="26"/>
        <v>0</v>
      </c>
      <c r="O147" s="154">
        <f t="shared" si="26"/>
        <v>0</v>
      </c>
      <c r="P147" s="154">
        <f t="shared" si="26"/>
        <v>0</v>
      </c>
      <c r="Q147" s="154">
        <f t="shared" si="26"/>
        <v>0</v>
      </c>
      <c r="R147" s="154">
        <f t="shared" si="26"/>
        <v>0</v>
      </c>
      <c r="S147" s="154">
        <f t="shared" si="26"/>
        <v>0</v>
      </c>
      <c r="T147" s="154">
        <f t="shared" si="26"/>
        <v>0</v>
      </c>
      <c r="U147" s="154">
        <f t="shared" si="26"/>
        <v>0</v>
      </c>
      <c r="V147" s="154">
        <f t="shared" si="26"/>
        <v>0</v>
      </c>
      <c r="W147" s="154">
        <f t="shared" si="26"/>
        <v>0</v>
      </c>
      <c r="X147" s="154">
        <f t="shared" si="26"/>
        <v>0</v>
      </c>
      <c r="Y147" s="154">
        <f t="shared" si="26"/>
        <v>0</v>
      </c>
      <c r="Z147" s="154">
        <f t="shared" si="26"/>
        <v>0</v>
      </c>
      <c r="AA147" s="154">
        <f t="shared" si="26"/>
        <v>0</v>
      </c>
      <c r="AB147" s="154">
        <f>+AB149+AB155</f>
        <v>0</v>
      </c>
      <c r="AC147" s="154">
        <f t="shared" si="26"/>
        <v>0</v>
      </c>
      <c r="AD147" s="154">
        <f t="shared" si="26"/>
        <v>0</v>
      </c>
      <c r="AE147" s="154">
        <f t="shared" si="26"/>
        <v>0</v>
      </c>
      <c r="AF147" s="155"/>
      <c r="AG147" s="156">
        <f t="shared" si="21"/>
        <v>0</v>
      </c>
    </row>
    <row r="148" spans="1:34" ht="19.5" thickBot="1" x14ac:dyDescent="0.3">
      <c r="A148" s="125" t="s">
        <v>68</v>
      </c>
      <c r="B148" s="126">
        <f>SUM(B150:B153)</f>
        <v>0</v>
      </c>
      <c r="C148" s="126">
        <f t="shared" ref="C148:AF148" si="27">SUM(C150:C153)</f>
        <v>0</v>
      </c>
      <c r="D148" s="126">
        <f t="shared" si="27"/>
        <v>0</v>
      </c>
      <c r="E148" s="126">
        <f t="shared" si="27"/>
        <v>0</v>
      </c>
      <c r="F148" s="126">
        <f t="shared" si="27"/>
        <v>0</v>
      </c>
      <c r="G148" s="126">
        <f t="shared" si="27"/>
        <v>0</v>
      </c>
      <c r="H148" s="126">
        <f t="shared" si="27"/>
        <v>0</v>
      </c>
      <c r="I148" s="126">
        <f t="shared" si="27"/>
        <v>0</v>
      </c>
      <c r="J148" s="126">
        <f t="shared" si="27"/>
        <v>0</v>
      </c>
      <c r="K148" s="126">
        <f t="shared" si="27"/>
        <v>0</v>
      </c>
      <c r="L148" s="126">
        <f t="shared" si="27"/>
        <v>0</v>
      </c>
      <c r="M148" s="126">
        <f t="shared" si="27"/>
        <v>0</v>
      </c>
      <c r="N148" s="126">
        <f t="shared" si="27"/>
        <v>0</v>
      </c>
      <c r="O148" s="126">
        <f t="shared" si="27"/>
        <v>0</v>
      </c>
      <c r="P148" s="126">
        <f t="shared" si="27"/>
        <v>0</v>
      </c>
      <c r="Q148" s="126">
        <f t="shared" si="27"/>
        <v>0</v>
      </c>
      <c r="R148" s="126">
        <f t="shared" si="27"/>
        <v>0</v>
      </c>
      <c r="S148" s="126">
        <f t="shared" si="27"/>
        <v>0</v>
      </c>
      <c r="T148" s="126">
        <f t="shared" si="27"/>
        <v>0</v>
      </c>
      <c r="U148" s="126">
        <f t="shared" si="27"/>
        <v>0</v>
      </c>
      <c r="V148" s="126">
        <f t="shared" si="27"/>
        <v>0</v>
      </c>
      <c r="W148" s="126">
        <f t="shared" si="27"/>
        <v>0</v>
      </c>
      <c r="X148" s="126">
        <f t="shared" si="27"/>
        <v>0</v>
      </c>
      <c r="Y148" s="126">
        <f t="shared" si="27"/>
        <v>0</v>
      </c>
      <c r="Z148" s="126">
        <f t="shared" si="27"/>
        <v>0</v>
      </c>
      <c r="AA148" s="126">
        <f t="shared" si="27"/>
        <v>0</v>
      </c>
      <c r="AB148" s="126">
        <f t="shared" si="27"/>
        <v>0</v>
      </c>
      <c r="AC148" s="126">
        <f t="shared" si="27"/>
        <v>0</v>
      </c>
      <c r="AD148" s="126">
        <f t="shared" si="27"/>
        <v>0</v>
      </c>
      <c r="AE148" s="126">
        <f t="shared" si="27"/>
        <v>0</v>
      </c>
      <c r="AF148" s="127">
        <f t="shared" si="27"/>
        <v>0</v>
      </c>
      <c r="AG148" s="128">
        <f t="shared" ref="AG148:AG233" si="28">SUM(B148:AF148)</f>
        <v>0</v>
      </c>
    </row>
    <row r="149" spans="1:34" ht="19.5" thickBot="1" x14ac:dyDescent="0.3">
      <c r="A149" s="153" t="s">
        <v>131</v>
      </c>
      <c r="B149" s="154"/>
      <c r="C149" s="154"/>
      <c r="D149" s="154"/>
      <c r="E149" s="154"/>
      <c r="F149" s="154"/>
      <c r="G149" s="154"/>
      <c r="H149" s="154"/>
      <c r="I149" s="154"/>
      <c r="J149" s="154"/>
      <c r="K149" s="154"/>
      <c r="L149" s="154"/>
      <c r="M149" s="154"/>
      <c r="N149" s="154"/>
      <c r="O149" s="154"/>
      <c r="P149" s="154"/>
      <c r="Q149" s="154"/>
      <c r="R149" s="154"/>
      <c r="S149" s="154"/>
      <c r="T149" s="154"/>
      <c r="U149" s="154"/>
      <c r="V149" s="154"/>
      <c r="W149" s="154"/>
      <c r="X149" s="154"/>
      <c r="Y149" s="154"/>
      <c r="Z149" s="154"/>
      <c r="AA149" s="154"/>
      <c r="AB149" s="154"/>
      <c r="AC149" s="154"/>
      <c r="AD149" s="154"/>
      <c r="AE149" s="154"/>
      <c r="AF149" s="155"/>
      <c r="AG149" s="156">
        <f t="shared" si="28"/>
        <v>0</v>
      </c>
    </row>
    <row r="150" spans="1:34" ht="18.75" x14ac:dyDescent="0.25">
      <c r="A150" s="129" t="s">
        <v>100</v>
      </c>
      <c r="B150" s="130"/>
      <c r="C150" s="130"/>
      <c r="D150" s="130"/>
      <c r="E150" s="130"/>
      <c r="F150" s="130"/>
      <c r="G150" s="130"/>
      <c r="H150" s="130"/>
      <c r="I150" s="130"/>
      <c r="J150" s="130"/>
      <c r="K150" s="130"/>
      <c r="L150" s="130"/>
      <c r="M150" s="130"/>
      <c r="N150" s="130"/>
      <c r="O150" s="130"/>
      <c r="P150" s="130"/>
      <c r="Q150" s="130"/>
      <c r="R150" s="130"/>
      <c r="S150" s="130"/>
      <c r="T150" s="130"/>
      <c r="U150" s="130"/>
      <c r="V150" s="130"/>
      <c r="W150" s="130"/>
      <c r="X150" s="130"/>
      <c r="Y150" s="130"/>
      <c r="Z150" s="130"/>
      <c r="AA150" s="130"/>
      <c r="AB150" s="130"/>
      <c r="AC150" s="130"/>
      <c r="AD150" s="130"/>
      <c r="AE150" s="130"/>
      <c r="AF150" s="131"/>
      <c r="AG150" s="132">
        <f t="shared" si="28"/>
        <v>0</v>
      </c>
    </row>
    <row r="151" spans="1:34" ht="18.75" x14ac:dyDescent="0.25">
      <c r="A151" s="50" t="s">
        <v>101</v>
      </c>
      <c r="B151" s="29"/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  <c r="AA151" s="29"/>
      <c r="AB151" s="29"/>
      <c r="AC151" s="29"/>
      <c r="AD151" s="29"/>
      <c r="AE151" s="29"/>
      <c r="AF151" s="21"/>
      <c r="AG151" s="4">
        <f t="shared" si="28"/>
        <v>0</v>
      </c>
    </row>
    <row r="152" spans="1:34" ht="18.75" x14ac:dyDescent="0.25">
      <c r="A152" s="50" t="s">
        <v>102</v>
      </c>
      <c r="B152" s="29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  <c r="AA152" s="29"/>
      <c r="AB152" s="29"/>
      <c r="AC152" s="29"/>
      <c r="AD152" s="29"/>
      <c r="AE152" s="29"/>
      <c r="AF152" s="21"/>
      <c r="AG152" s="4">
        <f t="shared" si="28"/>
        <v>0</v>
      </c>
    </row>
    <row r="153" spans="1:34" ht="19.5" thickBot="1" x14ac:dyDescent="0.3">
      <c r="A153" s="71" t="s">
        <v>103</v>
      </c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  <c r="AA153" s="30"/>
      <c r="AB153" s="30"/>
      <c r="AC153" s="30"/>
      <c r="AD153" s="30"/>
      <c r="AE153" s="30"/>
      <c r="AF153" s="22"/>
      <c r="AG153" s="28">
        <f t="shared" si="28"/>
        <v>0</v>
      </c>
    </row>
    <row r="154" spans="1:34" ht="19.5" thickBot="1" x14ac:dyDescent="0.3">
      <c r="A154" s="125" t="s">
        <v>67</v>
      </c>
      <c r="B154" s="126"/>
      <c r="C154" s="126"/>
      <c r="D154" s="126"/>
      <c r="E154" s="126"/>
      <c r="F154" s="126"/>
      <c r="G154" s="126"/>
      <c r="H154" s="126"/>
      <c r="I154" s="126"/>
      <c r="J154" s="126"/>
      <c r="K154" s="126"/>
      <c r="L154" s="126"/>
      <c r="M154" s="126"/>
      <c r="N154" s="126"/>
      <c r="O154" s="126"/>
      <c r="P154" s="126"/>
      <c r="Q154" s="126"/>
      <c r="R154" s="126"/>
      <c r="S154" s="126"/>
      <c r="T154" s="126">
        <v>1</v>
      </c>
      <c r="U154" s="126"/>
      <c r="V154" s="126"/>
      <c r="W154" s="126"/>
      <c r="X154" s="126"/>
      <c r="Y154" s="126"/>
      <c r="Z154" s="126"/>
      <c r="AA154" s="126"/>
      <c r="AB154" s="126"/>
      <c r="AC154" s="126"/>
      <c r="AD154" s="126"/>
      <c r="AE154" s="126"/>
      <c r="AF154" s="127"/>
      <c r="AG154" s="128">
        <f t="shared" si="28"/>
        <v>1</v>
      </c>
    </row>
    <row r="155" spans="1:34" ht="19.5" thickBot="1" x14ac:dyDescent="0.3">
      <c r="A155" s="153" t="s">
        <v>132</v>
      </c>
      <c r="B155" s="154"/>
      <c r="C155" s="154"/>
      <c r="D155" s="154"/>
      <c r="E155" s="154"/>
      <c r="F155" s="154"/>
      <c r="G155" s="154"/>
      <c r="H155" s="154"/>
      <c r="I155" s="154"/>
      <c r="J155" s="154"/>
      <c r="K155" s="154"/>
      <c r="L155" s="154"/>
      <c r="M155" s="154"/>
      <c r="N155" s="154"/>
      <c r="O155" s="154"/>
      <c r="P155" s="154"/>
      <c r="Q155" s="154"/>
      <c r="R155" s="154"/>
      <c r="S155" s="154"/>
      <c r="T155" s="154"/>
      <c r="U155" s="154"/>
      <c r="V155" s="154"/>
      <c r="W155" s="154"/>
      <c r="X155" s="154"/>
      <c r="Y155" s="154"/>
      <c r="Z155" s="154"/>
      <c r="AA155" s="154"/>
      <c r="AB155" s="154"/>
      <c r="AC155" s="154"/>
      <c r="AD155" s="154"/>
      <c r="AE155" s="154"/>
      <c r="AF155" s="155"/>
      <c r="AG155" s="156">
        <f t="shared" si="28"/>
        <v>0</v>
      </c>
    </row>
    <row r="156" spans="1:34" ht="18.75" x14ac:dyDescent="0.25">
      <c r="A156" s="69" t="s">
        <v>62</v>
      </c>
      <c r="B156" s="56">
        <v>104</v>
      </c>
      <c r="C156" s="56">
        <v>117</v>
      </c>
      <c r="D156" s="56">
        <v>103</v>
      </c>
      <c r="E156" s="56">
        <v>104</v>
      </c>
      <c r="F156" s="56">
        <v>123</v>
      </c>
      <c r="G156" s="56">
        <v>124</v>
      </c>
      <c r="H156" s="56">
        <v>104</v>
      </c>
      <c r="I156" s="56">
        <v>85</v>
      </c>
      <c r="J156" s="56">
        <v>109</v>
      </c>
      <c r="K156" s="56">
        <v>105</v>
      </c>
      <c r="L156" s="56">
        <v>126</v>
      </c>
      <c r="M156" s="56">
        <v>106</v>
      </c>
      <c r="N156" s="56">
        <v>109</v>
      </c>
      <c r="O156" s="56">
        <v>121</v>
      </c>
      <c r="P156" s="56">
        <v>123</v>
      </c>
      <c r="Q156" s="56">
        <v>119</v>
      </c>
      <c r="R156" s="56">
        <v>97</v>
      </c>
      <c r="S156" s="56">
        <v>115</v>
      </c>
      <c r="T156" s="56">
        <v>149</v>
      </c>
      <c r="U156" s="56">
        <v>111</v>
      </c>
      <c r="V156" s="56">
        <v>117</v>
      </c>
      <c r="W156" s="56">
        <v>152</v>
      </c>
      <c r="X156" s="56">
        <v>145</v>
      </c>
      <c r="Y156" s="56">
        <v>95</v>
      </c>
      <c r="Z156" s="56">
        <v>117</v>
      </c>
      <c r="AA156" s="56">
        <v>131</v>
      </c>
      <c r="AB156" s="56">
        <v>110</v>
      </c>
      <c r="AC156" s="56">
        <v>110</v>
      </c>
      <c r="AD156" s="56">
        <v>132</v>
      </c>
      <c r="AE156" s="56">
        <v>115</v>
      </c>
      <c r="AF156" s="85">
        <v>116</v>
      </c>
      <c r="AG156" s="95">
        <f t="shared" si="28"/>
        <v>3594</v>
      </c>
      <c r="AH156" s="2" t="s">
        <v>84</v>
      </c>
    </row>
    <row r="157" spans="1:34" ht="19.5" thickBot="1" x14ac:dyDescent="0.3">
      <c r="A157" s="75" t="s">
        <v>1</v>
      </c>
      <c r="B157" s="13">
        <v>4</v>
      </c>
      <c r="C157" s="13">
        <v>3</v>
      </c>
      <c r="D157" s="13">
        <v>4</v>
      </c>
      <c r="E157" s="13">
        <v>4</v>
      </c>
      <c r="F157" s="13">
        <v>8</v>
      </c>
      <c r="G157" s="13">
        <v>5</v>
      </c>
      <c r="H157" s="13">
        <v>4</v>
      </c>
      <c r="I157" s="13">
        <v>3</v>
      </c>
      <c r="J157" s="13">
        <v>8</v>
      </c>
      <c r="K157" s="13">
        <v>7</v>
      </c>
      <c r="L157" s="13">
        <v>4</v>
      </c>
      <c r="M157" s="13">
        <v>2</v>
      </c>
      <c r="N157" s="13">
        <v>4</v>
      </c>
      <c r="O157" s="13">
        <v>6</v>
      </c>
      <c r="P157" s="13">
        <v>7</v>
      </c>
      <c r="Q157" s="13">
        <v>3</v>
      </c>
      <c r="R157" s="13">
        <v>6</v>
      </c>
      <c r="S157" s="13">
        <v>2</v>
      </c>
      <c r="T157" s="13">
        <v>10</v>
      </c>
      <c r="U157" s="13">
        <v>6</v>
      </c>
      <c r="V157" s="13">
        <v>5</v>
      </c>
      <c r="W157" s="13">
        <v>4</v>
      </c>
      <c r="X157" s="13">
        <v>7</v>
      </c>
      <c r="Y157" s="13">
        <v>4</v>
      </c>
      <c r="Z157" s="13">
        <v>3</v>
      </c>
      <c r="AA157" s="13">
        <v>13</v>
      </c>
      <c r="AB157" s="13">
        <v>6</v>
      </c>
      <c r="AC157" s="13">
        <v>12</v>
      </c>
      <c r="AD157" s="13">
        <v>9</v>
      </c>
      <c r="AE157" s="13">
        <v>6</v>
      </c>
      <c r="AF157" s="14">
        <v>4</v>
      </c>
      <c r="AG157" s="157">
        <f t="shared" si="28"/>
        <v>173</v>
      </c>
      <c r="AH157" s="2"/>
    </row>
    <row r="158" spans="1:34" ht="19.5" thickBot="1" x14ac:dyDescent="0.3">
      <c r="A158" s="121" t="s">
        <v>22</v>
      </c>
      <c r="B158" s="122">
        <f t="shared" ref="B158:AF158" si="29">SUM(B159:B166)</f>
        <v>0</v>
      </c>
      <c r="C158" s="122">
        <f t="shared" si="29"/>
        <v>1</v>
      </c>
      <c r="D158" s="122">
        <f t="shared" si="29"/>
        <v>0</v>
      </c>
      <c r="E158" s="122">
        <f t="shared" si="29"/>
        <v>0</v>
      </c>
      <c r="F158" s="122">
        <f t="shared" si="29"/>
        <v>0</v>
      </c>
      <c r="G158" s="122">
        <f t="shared" si="29"/>
        <v>0</v>
      </c>
      <c r="H158" s="122">
        <f t="shared" si="29"/>
        <v>0</v>
      </c>
      <c r="I158" s="122">
        <f t="shared" si="29"/>
        <v>18</v>
      </c>
      <c r="J158" s="122">
        <f t="shared" si="29"/>
        <v>0</v>
      </c>
      <c r="K158" s="122">
        <f t="shared" si="29"/>
        <v>0</v>
      </c>
      <c r="L158" s="122">
        <f t="shared" si="29"/>
        <v>0</v>
      </c>
      <c r="M158" s="122">
        <f t="shared" si="29"/>
        <v>0</v>
      </c>
      <c r="N158" s="122">
        <f t="shared" si="29"/>
        <v>0</v>
      </c>
      <c r="O158" s="122">
        <f t="shared" si="29"/>
        <v>0</v>
      </c>
      <c r="P158" s="122">
        <f t="shared" si="29"/>
        <v>0</v>
      </c>
      <c r="Q158" s="122">
        <f t="shared" si="29"/>
        <v>0</v>
      </c>
      <c r="R158" s="122">
        <f t="shared" si="29"/>
        <v>0</v>
      </c>
      <c r="S158" s="122">
        <f t="shared" si="29"/>
        <v>0</v>
      </c>
      <c r="T158" s="122">
        <f t="shared" si="29"/>
        <v>0</v>
      </c>
      <c r="U158" s="122">
        <f t="shared" si="29"/>
        <v>0</v>
      </c>
      <c r="V158" s="122">
        <f t="shared" si="29"/>
        <v>0</v>
      </c>
      <c r="W158" s="122">
        <f t="shared" si="29"/>
        <v>0</v>
      </c>
      <c r="X158" s="122">
        <f t="shared" si="29"/>
        <v>0</v>
      </c>
      <c r="Y158" s="122">
        <f t="shared" si="29"/>
        <v>0</v>
      </c>
      <c r="Z158" s="122">
        <f t="shared" si="29"/>
        <v>0</v>
      </c>
      <c r="AA158" s="122">
        <f t="shared" si="29"/>
        <v>2</v>
      </c>
      <c r="AB158" s="122">
        <f t="shared" si="29"/>
        <v>0</v>
      </c>
      <c r="AC158" s="122">
        <f t="shared" si="29"/>
        <v>0</v>
      </c>
      <c r="AD158" s="122">
        <f t="shared" si="29"/>
        <v>0</v>
      </c>
      <c r="AE158" s="122">
        <f t="shared" si="29"/>
        <v>0</v>
      </c>
      <c r="AF158" s="123">
        <f t="shared" si="29"/>
        <v>0</v>
      </c>
      <c r="AG158" s="124">
        <f t="shared" si="28"/>
        <v>21</v>
      </c>
    </row>
    <row r="159" spans="1:34" ht="18.75" x14ac:dyDescent="0.25">
      <c r="A159" s="129" t="s">
        <v>23</v>
      </c>
      <c r="B159" s="130"/>
      <c r="C159" s="130"/>
      <c r="D159" s="130"/>
      <c r="E159" s="130"/>
      <c r="F159" s="130"/>
      <c r="G159" s="130"/>
      <c r="H159" s="130"/>
      <c r="I159" s="130">
        <v>1</v>
      </c>
      <c r="J159" s="130"/>
      <c r="K159" s="130"/>
      <c r="L159" s="130"/>
      <c r="M159" s="130"/>
      <c r="N159" s="130"/>
      <c r="O159" s="130"/>
      <c r="P159" s="130"/>
      <c r="Q159" s="130"/>
      <c r="R159" s="130"/>
      <c r="S159" s="130"/>
      <c r="T159" s="130"/>
      <c r="U159" s="130"/>
      <c r="V159" s="130"/>
      <c r="W159" s="130"/>
      <c r="X159" s="130"/>
      <c r="Y159" s="130"/>
      <c r="Z159" s="130"/>
      <c r="AA159" s="130"/>
      <c r="AB159" s="130"/>
      <c r="AC159" s="130"/>
      <c r="AD159" s="130"/>
      <c r="AE159" s="130"/>
      <c r="AF159" s="131"/>
      <c r="AG159" s="132">
        <f t="shared" si="28"/>
        <v>1</v>
      </c>
    </row>
    <row r="160" spans="1:34" ht="18.75" x14ac:dyDescent="0.25">
      <c r="A160" s="50" t="s">
        <v>24</v>
      </c>
      <c r="B160" s="29"/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  <c r="AA160" s="29"/>
      <c r="AB160" s="29"/>
      <c r="AC160" s="29"/>
      <c r="AD160" s="29"/>
      <c r="AE160" s="29"/>
      <c r="AF160" s="21"/>
      <c r="AG160" s="4">
        <f t="shared" si="28"/>
        <v>0</v>
      </c>
    </row>
    <row r="161" spans="1:34" ht="18.75" x14ac:dyDescent="0.25">
      <c r="A161" s="50" t="s">
        <v>59</v>
      </c>
      <c r="B161" s="29"/>
      <c r="C161" s="29"/>
      <c r="D161" s="29"/>
      <c r="E161" s="29"/>
      <c r="F161" s="29"/>
      <c r="G161" s="29"/>
      <c r="H161" s="29"/>
      <c r="I161" s="29">
        <v>16</v>
      </c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  <c r="AA161" s="29"/>
      <c r="AB161" s="29"/>
      <c r="AC161" s="29"/>
      <c r="AD161" s="29"/>
      <c r="AE161" s="29"/>
      <c r="AF161" s="21"/>
      <c r="AG161" s="4">
        <f t="shared" si="28"/>
        <v>16</v>
      </c>
    </row>
    <row r="162" spans="1:34" ht="18.75" x14ac:dyDescent="0.25">
      <c r="A162" s="50" t="s">
        <v>25</v>
      </c>
      <c r="B162" s="29"/>
      <c r="C162" s="29">
        <v>1</v>
      </c>
      <c r="D162" s="29"/>
      <c r="E162" s="29"/>
      <c r="F162" s="29"/>
      <c r="G162" s="29"/>
      <c r="H162" s="29"/>
      <c r="I162" s="29">
        <v>1</v>
      </c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>
        <v>1</v>
      </c>
      <c r="AB162" s="29"/>
      <c r="AC162" s="29"/>
      <c r="AD162" s="29"/>
      <c r="AE162" s="29"/>
      <c r="AF162" s="21"/>
      <c r="AG162" s="4">
        <f t="shared" si="28"/>
        <v>3</v>
      </c>
    </row>
    <row r="163" spans="1:34" ht="18.75" x14ac:dyDescent="0.25">
      <c r="A163" s="50" t="s">
        <v>26</v>
      </c>
      <c r="B163" s="29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  <c r="AA163" s="29"/>
      <c r="AB163" s="29"/>
      <c r="AC163" s="29"/>
      <c r="AD163" s="29"/>
      <c r="AE163" s="29"/>
      <c r="AF163" s="21"/>
      <c r="AG163" s="4">
        <f t="shared" si="28"/>
        <v>0</v>
      </c>
    </row>
    <row r="164" spans="1:34" ht="18.75" x14ac:dyDescent="0.25">
      <c r="A164" s="50" t="s">
        <v>27</v>
      </c>
      <c r="B164" s="29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  <c r="AA164" s="29"/>
      <c r="AB164" s="29"/>
      <c r="AC164" s="29"/>
      <c r="AD164" s="29"/>
      <c r="AE164" s="29"/>
      <c r="AF164" s="21"/>
      <c r="AG164" s="4">
        <f t="shared" si="28"/>
        <v>0</v>
      </c>
    </row>
    <row r="165" spans="1:34" ht="18.75" x14ac:dyDescent="0.25">
      <c r="A165" s="50" t="s">
        <v>28</v>
      </c>
      <c r="B165" s="29"/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>
        <v>1</v>
      </c>
      <c r="AB165" s="29"/>
      <c r="AC165" s="29"/>
      <c r="AD165" s="29"/>
      <c r="AE165" s="29"/>
      <c r="AF165" s="21"/>
      <c r="AG165" s="4">
        <f t="shared" si="28"/>
        <v>1</v>
      </c>
    </row>
    <row r="166" spans="1:34" ht="19.5" thickBot="1" x14ac:dyDescent="0.3">
      <c r="A166" s="71" t="s">
        <v>29</v>
      </c>
      <c r="B166" s="30"/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  <c r="AA166" s="30"/>
      <c r="AB166" s="30"/>
      <c r="AC166" s="30"/>
      <c r="AD166" s="30"/>
      <c r="AE166" s="30"/>
      <c r="AF166" s="22"/>
      <c r="AG166" s="28">
        <f t="shared" si="28"/>
        <v>0</v>
      </c>
    </row>
    <row r="167" spans="1:34" ht="18.75" x14ac:dyDescent="0.25">
      <c r="A167" s="69" t="s">
        <v>71</v>
      </c>
      <c r="B167" s="56">
        <f t="shared" ref="B167:AF167" si="30">SUM(B168:B171)</f>
        <v>0</v>
      </c>
      <c r="C167" s="56">
        <f t="shared" si="30"/>
        <v>0</v>
      </c>
      <c r="D167" s="56">
        <f t="shared" si="30"/>
        <v>2</v>
      </c>
      <c r="E167" s="56">
        <f t="shared" si="30"/>
        <v>0</v>
      </c>
      <c r="F167" s="56">
        <f t="shared" si="30"/>
        <v>1</v>
      </c>
      <c r="G167" s="56">
        <f t="shared" si="30"/>
        <v>1</v>
      </c>
      <c r="H167" s="56">
        <f t="shared" si="30"/>
        <v>0</v>
      </c>
      <c r="I167" s="56">
        <f t="shared" si="30"/>
        <v>1</v>
      </c>
      <c r="J167" s="56">
        <f t="shared" si="30"/>
        <v>0</v>
      </c>
      <c r="K167" s="56">
        <f t="shared" si="30"/>
        <v>0</v>
      </c>
      <c r="L167" s="56">
        <f t="shared" si="30"/>
        <v>0</v>
      </c>
      <c r="M167" s="56">
        <f t="shared" si="30"/>
        <v>0</v>
      </c>
      <c r="N167" s="56">
        <f t="shared" si="30"/>
        <v>0</v>
      </c>
      <c r="O167" s="56">
        <f t="shared" si="30"/>
        <v>1</v>
      </c>
      <c r="P167" s="56">
        <f t="shared" si="30"/>
        <v>0</v>
      </c>
      <c r="Q167" s="56">
        <f t="shared" si="30"/>
        <v>0</v>
      </c>
      <c r="R167" s="56">
        <f t="shared" si="30"/>
        <v>0</v>
      </c>
      <c r="S167" s="56">
        <f t="shared" si="30"/>
        <v>0</v>
      </c>
      <c r="T167" s="56">
        <f t="shared" si="30"/>
        <v>0</v>
      </c>
      <c r="U167" s="56">
        <f t="shared" si="30"/>
        <v>0</v>
      </c>
      <c r="V167" s="56">
        <f t="shared" si="30"/>
        <v>1</v>
      </c>
      <c r="W167" s="56">
        <f t="shared" si="30"/>
        <v>0</v>
      </c>
      <c r="X167" s="56">
        <f t="shared" si="30"/>
        <v>0</v>
      </c>
      <c r="Y167" s="56">
        <f t="shared" si="30"/>
        <v>0</v>
      </c>
      <c r="Z167" s="56">
        <f t="shared" si="30"/>
        <v>0</v>
      </c>
      <c r="AA167" s="56">
        <f t="shared" si="30"/>
        <v>0</v>
      </c>
      <c r="AB167" s="56">
        <f t="shared" si="30"/>
        <v>0</v>
      </c>
      <c r="AC167" s="56">
        <f t="shared" si="30"/>
        <v>0</v>
      </c>
      <c r="AD167" s="56">
        <f t="shared" si="30"/>
        <v>0</v>
      </c>
      <c r="AE167" s="56">
        <f t="shared" si="30"/>
        <v>0</v>
      </c>
      <c r="AF167" s="85">
        <f t="shared" si="30"/>
        <v>1</v>
      </c>
      <c r="AG167" s="95">
        <f t="shared" si="28"/>
        <v>8</v>
      </c>
    </row>
    <row r="168" spans="1:34" ht="18.75" x14ac:dyDescent="0.25">
      <c r="A168" s="51" t="s">
        <v>30</v>
      </c>
      <c r="B168" s="29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  <c r="AA168" s="29"/>
      <c r="AB168" s="29"/>
      <c r="AC168" s="29"/>
      <c r="AD168" s="29"/>
      <c r="AE168" s="29"/>
      <c r="AF168" s="21"/>
      <c r="AG168" s="4">
        <f t="shared" si="28"/>
        <v>0</v>
      </c>
    </row>
    <row r="169" spans="1:34" ht="18.75" x14ac:dyDescent="0.25">
      <c r="A169" s="51" t="s">
        <v>31</v>
      </c>
      <c r="B169" s="29"/>
      <c r="C169" s="29"/>
      <c r="D169" s="29">
        <v>1</v>
      </c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  <c r="AF169" s="21">
        <v>1</v>
      </c>
      <c r="AG169" s="4">
        <f t="shared" si="28"/>
        <v>2</v>
      </c>
    </row>
    <row r="170" spans="1:34" ht="18.75" x14ac:dyDescent="0.25">
      <c r="A170" s="51" t="s">
        <v>32</v>
      </c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1"/>
      <c r="AG170" s="4">
        <f t="shared" si="28"/>
        <v>0</v>
      </c>
    </row>
    <row r="171" spans="1:34" ht="19.5" thickBot="1" x14ac:dyDescent="0.3">
      <c r="A171" s="70" t="s">
        <v>87</v>
      </c>
      <c r="B171" s="30"/>
      <c r="C171" s="30"/>
      <c r="D171" s="30">
        <v>1</v>
      </c>
      <c r="E171" s="30"/>
      <c r="F171" s="30">
        <v>1</v>
      </c>
      <c r="G171" s="30">
        <v>1</v>
      </c>
      <c r="H171" s="30"/>
      <c r="I171" s="30">
        <v>1</v>
      </c>
      <c r="J171" s="30"/>
      <c r="K171" s="30"/>
      <c r="L171" s="30"/>
      <c r="M171" s="30"/>
      <c r="N171" s="30"/>
      <c r="O171" s="30">
        <v>1</v>
      </c>
      <c r="P171" s="30"/>
      <c r="Q171" s="30"/>
      <c r="R171" s="30"/>
      <c r="S171" s="30"/>
      <c r="T171" s="30"/>
      <c r="U171" s="30"/>
      <c r="V171" s="30">
        <v>1</v>
      </c>
      <c r="W171" s="30"/>
      <c r="X171" s="30"/>
      <c r="Y171" s="30"/>
      <c r="Z171" s="30"/>
      <c r="AA171" s="30"/>
      <c r="AB171" s="30"/>
      <c r="AC171" s="30"/>
      <c r="AD171" s="30"/>
      <c r="AE171" s="30"/>
      <c r="AF171" s="22"/>
      <c r="AG171" s="28">
        <f t="shared" si="28"/>
        <v>6</v>
      </c>
    </row>
    <row r="172" spans="1:34" ht="19.5" thickBot="1" x14ac:dyDescent="0.3">
      <c r="A172" s="158" t="s">
        <v>128</v>
      </c>
      <c r="B172" s="151"/>
      <c r="C172" s="151"/>
      <c r="D172" s="151"/>
      <c r="E172" s="151"/>
      <c r="F172" s="151"/>
      <c r="G172" s="151"/>
      <c r="H172" s="151"/>
      <c r="I172" s="151"/>
      <c r="J172" s="151"/>
      <c r="K172" s="151"/>
      <c r="L172" s="151"/>
      <c r="M172" s="151"/>
      <c r="N172" s="151"/>
      <c r="O172" s="151"/>
      <c r="P172" s="151"/>
      <c r="Q172" s="151"/>
      <c r="R172" s="151"/>
      <c r="S172" s="151"/>
      <c r="T172" s="151"/>
      <c r="U172" s="151"/>
      <c r="V172" s="151"/>
      <c r="W172" s="151"/>
      <c r="X172" s="151"/>
      <c r="Y172" s="151"/>
      <c r="Z172" s="151"/>
      <c r="AA172" s="151"/>
      <c r="AB172" s="151"/>
      <c r="AC172" s="151"/>
      <c r="AD172" s="151"/>
      <c r="AE172" s="151"/>
      <c r="AF172" s="152"/>
      <c r="AG172" s="159">
        <f t="shared" si="28"/>
        <v>0</v>
      </c>
    </row>
    <row r="173" spans="1:34" ht="18.75" x14ac:dyDescent="0.25">
      <c r="A173" s="68" t="s">
        <v>2</v>
      </c>
      <c r="B173" s="15">
        <v>0</v>
      </c>
      <c r="C173" s="15">
        <v>0</v>
      </c>
      <c r="D173" s="15">
        <v>1</v>
      </c>
      <c r="E173" s="15">
        <v>0</v>
      </c>
      <c r="F173" s="15">
        <v>0</v>
      </c>
      <c r="G173" s="15">
        <v>1</v>
      </c>
      <c r="H173" s="15">
        <v>0</v>
      </c>
      <c r="I173" s="15">
        <v>1</v>
      </c>
      <c r="J173" s="15">
        <v>0</v>
      </c>
      <c r="K173" s="15">
        <v>0</v>
      </c>
      <c r="L173" s="15">
        <v>1</v>
      </c>
      <c r="M173" s="15">
        <v>1</v>
      </c>
      <c r="N173" s="15">
        <v>1</v>
      </c>
      <c r="O173" s="15">
        <v>1</v>
      </c>
      <c r="P173" s="15">
        <v>2</v>
      </c>
      <c r="Q173" s="15">
        <v>0</v>
      </c>
      <c r="R173" s="15">
        <v>1</v>
      </c>
      <c r="S173" s="15">
        <f>2+1</f>
        <v>3</v>
      </c>
      <c r="T173" s="15">
        <v>0</v>
      </c>
      <c r="U173" s="15">
        <v>0</v>
      </c>
      <c r="V173" s="15">
        <v>1</v>
      </c>
      <c r="W173" s="15">
        <v>0</v>
      </c>
      <c r="X173" s="15">
        <v>0</v>
      </c>
      <c r="Y173" s="15">
        <v>0</v>
      </c>
      <c r="Z173" s="15">
        <v>1</v>
      </c>
      <c r="AA173" s="15">
        <v>1</v>
      </c>
      <c r="AB173" s="15">
        <v>0</v>
      </c>
      <c r="AC173" s="15">
        <v>0</v>
      </c>
      <c r="AD173" s="15">
        <v>0</v>
      </c>
      <c r="AE173" s="15">
        <v>0</v>
      </c>
      <c r="AF173" s="23">
        <v>1</v>
      </c>
      <c r="AG173" s="5">
        <f t="shared" si="28"/>
        <v>17</v>
      </c>
      <c r="AH173" s="2" t="s">
        <v>137</v>
      </c>
    </row>
    <row r="174" spans="1:34" ht="19.5" thickBot="1" x14ac:dyDescent="0.3">
      <c r="A174" s="146" t="s">
        <v>3</v>
      </c>
      <c r="B174" s="16">
        <f>SUM(B175:B176)</f>
        <v>0</v>
      </c>
      <c r="C174" s="16">
        <f t="shared" ref="C174:AF174" si="31">SUM(C175:C176)</f>
        <v>4</v>
      </c>
      <c r="D174" s="16">
        <f t="shared" si="31"/>
        <v>1</v>
      </c>
      <c r="E174" s="16">
        <f t="shared" si="31"/>
        <v>1</v>
      </c>
      <c r="F174" s="16">
        <f t="shared" si="31"/>
        <v>1</v>
      </c>
      <c r="G174" s="16">
        <f t="shared" si="31"/>
        <v>2</v>
      </c>
      <c r="H174" s="16">
        <f t="shared" si="31"/>
        <v>3</v>
      </c>
      <c r="I174" s="16">
        <f t="shared" si="31"/>
        <v>2</v>
      </c>
      <c r="J174" s="16">
        <f t="shared" si="31"/>
        <v>2</v>
      </c>
      <c r="K174" s="16">
        <v>0</v>
      </c>
      <c r="L174" s="16">
        <f t="shared" si="31"/>
        <v>1</v>
      </c>
      <c r="M174" s="16">
        <f t="shared" si="31"/>
        <v>6</v>
      </c>
      <c r="N174" s="16">
        <f t="shared" si="31"/>
        <v>8</v>
      </c>
      <c r="O174" s="16">
        <f t="shared" si="31"/>
        <v>1</v>
      </c>
      <c r="P174" s="16">
        <f t="shared" si="31"/>
        <v>3</v>
      </c>
      <c r="Q174" s="16">
        <f t="shared" si="31"/>
        <v>3</v>
      </c>
      <c r="R174" s="16">
        <f t="shared" si="31"/>
        <v>0</v>
      </c>
      <c r="S174" s="16">
        <f t="shared" si="31"/>
        <v>1</v>
      </c>
      <c r="T174" s="16">
        <f t="shared" si="31"/>
        <v>5</v>
      </c>
      <c r="U174" s="16">
        <f t="shared" si="31"/>
        <v>1</v>
      </c>
      <c r="V174" s="16">
        <f t="shared" si="31"/>
        <v>1</v>
      </c>
      <c r="W174" s="16">
        <f t="shared" si="31"/>
        <v>2</v>
      </c>
      <c r="X174" s="16">
        <f t="shared" si="31"/>
        <v>6</v>
      </c>
      <c r="Y174" s="16">
        <f t="shared" si="31"/>
        <v>3</v>
      </c>
      <c r="Z174" s="16">
        <f t="shared" si="31"/>
        <v>2</v>
      </c>
      <c r="AA174" s="16">
        <f t="shared" si="31"/>
        <v>3</v>
      </c>
      <c r="AB174" s="16">
        <f t="shared" si="31"/>
        <v>0</v>
      </c>
      <c r="AC174" s="16">
        <f t="shared" si="31"/>
        <v>2</v>
      </c>
      <c r="AD174" s="16">
        <f t="shared" si="31"/>
        <v>3</v>
      </c>
      <c r="AE174" s="16">
        <f t="shared" si="31"/>
        <v>3</v>
      </c>
      <c r="AF174" s="24">
        <f t="shared" si="31"/>
        <v>2</v>
      </c>
      <c r="AG174" s="6">
        <f t="shared" si="28"/>
        <v>72</v>
      </c>
      <c r="AH174" s="2" t="s">
        <v>138</v>
      </c>
    </row>
    <row r="175" spans="1:34" ht="18.75" x14ac:dyDescent="0.25">
      <c r="A175" s="133" t="s">
        <v>120</v>
      </c>
      <c r="B175" s="15">
        <v>0</v>
      </c>
      <c r="C175" s="15">
        <v>0</v>
      </c>
      <c r="D175" s="15">
        <v>0</v>
      </c>
      <c r="E175" s="15">
        <v>0</v>
      </c>
      <c r="F175" s="15">
        <v>0</v>
      </c>
      <c r="G175" s="15">
        <v>1</v>
      </c>
      <c r="H175" s="15">
        <v>0</v>
      </c>
      <c r="I175" s="15">
        <v>0</v>
      </c>
      <c r="J175" s="15">
        <v>0</v>
      </c>
      <c r="K175" s="15">
        <v>0</v>
      </c>
      <c r="L175" s="15">
        <v>0</v>
      </c>
      <c r="M175" s="15">
        <v>1</v>
      </c>
      <c r="N175" s="15">
        <v>1</v>
      </c>
      <c r="O175" s="15">
        <v>0</v>
      </c>
      <c r="P175" s="15">
        <v>1</v>
      </c>
      <c r="Q175" s="15">
        <v>0</v>
      </c>
      <c r="R175" s="15">
        <v>0</v>
      </c>
      <c r="S175" s="15">
        <v>0</v>
      </c>
      <c r="T175" s="15">
        <v>0</v>
      </c>
      <c r="U175" s="15">
        <v>0</v>
      </c>
      <c r="V175" s="15">
        <v>0</v>
      </c>
      <c r="W175" s="15">
        <v>0</v>
      </c>
      <c r="X175" s="15">
        <v>0</v>
      </c>
      <c r="Y175" s="15">
        <v>1</v>
      </c>
      <c r="Z175" s="15">
        <v>0</v>
      </c>
      <c r="AA175" s="15">
        <v>0</v>
      </c>
      <c r="AB175" s="15">
        <v>0</v>
      </c>
      <c r="AC175" s="15">
        <v>1</v>
      </c>
      <c r="AD175" s="15">
        <v>0</v>
      </c>
      <c r="AE175" s="15">
        <v>0</v>
      </c>
      <c r="AF175" s="23">
        <v>0</v>
      </c>
      <c r="AG175" s="5">
        <f t="shared" si="28"/>
        <v>6</v>
      </c>
      <c r="AH175" s="2" t="s">
        <v>138</v>
      </c>
    </row>
    <row r="176" spans="1:34" ht="19.5" thickBot="1" x14ac:dyDescent="0.3">
      <c r="A176" s="104" t="s">
        <v>119</v>
      </c>
      <c r="B176" s="101">
        <v>0</v>
      </c>
      <c r="C176" s="101">
        <v>4</v>
      </c>
      <c r="D176" s="101">
        <v>1</v>
      </c>
      <c r="E176" s="101">
        <v>1</v>
      </c>
      <c r="F176" s="101">
        <v>1</v>
      </c>
      <c r="G176" s="101">
        <v>1</v>
      </c>
      <c r="H176" s="101">
        <v>3</v>
      </c>
      <c r="I176" s="101">
        <v>2</v>
      </c>
      <c r="J176" s="101">
        <v>2</v>
      </c>
      <c r="K176" s="101">
        <v>5</v>
      </c>
      <c r="L176" s="101">
        <v>1</v>
      </c>
      <c r="M176" s="101">
        <v>5</v>
      </c>
      <c r="N176" s="101">
        <v>7</v>
      </c>
      <c r="O176" s="101">
        <v>1</v>
      </c>
      <c r="P176" s="101">
        <v>2</v>
      </c>
      <c r="Q176" s="101">
        <v>3</v>
      </c>
      <c r="R176" s="101">
        <v>0</v>
      </c>
      <c r="S176" s="101">
        <v>1</v>
      </c>
      <c r="T176" s="101">
        <v>5</v>
      </c>
      <c r="U176" s="101">
        <v>1</v>
      </c>
      <c r="V176" s="101">
        <v>1</v>
      </c>
      <c r="W176" s="101">
        <v>2</v>
      </c>
      <c r="X176" s="101">
        <v>6</v>
      </c>
      <c r="Y176" s="101">
        <v>2</v>
      </c>
      <c r="Z176" s="101">
        <v>2</v>
      </c>
      <c r="AA176" s="101">
        <v>3</v>
      </c>
      <c r="AB176" s="101">
        <v>0</v>
      </c>
      <c r="AC176" s="101">
        <v>1</v>
      </c>
      <c r="AD176" s="101">
        <v>3</v>
      </c>
      <c r="AE176" s="101">
        <v>3</v>
      </c>
      <c r="AF176" s="102">
        <v>2</v>
      </c>
      <c r="AG176" s="103">
        <f t="shared" si="28"/>
        <v>71</v>
      </c>
      <c r="AH176" s="2" t="s">
        <v>138</v>
      </c>
    </row>
    <row r="177" spans="1:34" ht="18.75" x14ac:dyDescent="0.25">
      <c r="A177" s="64" t="s">
        <v>105</v>
      </c>
      <c r="B177" s="65"/>
      <c r="C177" s="65"/>
      <c r="D177" s="65"/>
      <c r="E177" s="65"/>
      <c r="F177" s="65"/>
      <c r="G177" s="65"/>
      <c r="H177" s="65"/>
      <c r="I177" s="65"/>
      <c r="J177" s="65"/>
      <c r="K177" s="65"/>
      <c r="L177" s="65"/>
      <c r="M177" s="65"/>
      <c r="N177" s="65"/>
      <c r="O177" s="65"/>
      <c r="P177" s="65"/>
      <c r="Q177" s="65"/>
      <c r="R177" s="65"/>
      <c r="S177" s="65"/>
      <c r="T177" s="65"/>
      <c r="U177" s="65"/>
      <c r="V177" s="65"/>
      <c r="W177" s="65"/>
      <c r="X177" s="65"/>
      <c r="Y177" s="65"/>
      <c r="Z177" s="65"/>
      <c r="AA177" s="65"/>
      <c r="AB177" s="65"/>
      <c r="AC177" s="65"/>
      <c r="AD177" s="65"/>
      <c r="AE177" s="65"/>
      <c r="AF177" s="86"/>
      <c r="AG177" s="96">
        <f t="shared" si="28"/>
        <v>0</v>
      </c>
    </row>
    <row r="178" spans="1:34" ht="19.5" thickBot="1" x14ac:dyDescent="0.3">
      <c r="A178" s="66" t="s">
        <v>104</v>
      </c>
      <c r="B178" s="67"/>
      <c r="C178" s="67"/>
      <c r="D178" s="67"/>
      <c r="E178" s="67"/>
      <c r="F178" s="67"/>
      <c r="G178" s="67"/>
      <c r="H178" s="67"/>
      <c r="I178" s="67"/>
      <c r="J178" s="67"/>
      <c r="K178" s="67"/>
      <c r="L178" s="67"/>
      <c r="M178" s="67"/>
      <c r="N178" s="67"/>
      <c r="O178" s="67"/>
      <c r="P178" s="67"/>
      <c r="Q178" s="67"/>
      <c r="R178" s="67"/>
      <c r="S178" s="67"/>
      <c r="T178" s="67"/>
      <c r="U178" s="67"/>
      <c r="V178" s="67"/>
      <c r="W178" s="67"/>
      <c r="X178" s="67"/>
      <c r="Y178" s="67"/>
      <c r="Z178" s="67"/>
      <c r="AA178" s="67"/>
      <c r="AB178" s="67"/>
      <c r="AC178" s="67"/>
      <c r="AD178" s="67"/>
      <c r="AE178" s="67"/>
      <c r="AF178" s="87"/>
      <c r="AG178" s="32">
        <f t="shared" si="28"/>
        <v>0</v>
      </c>
    </row>
    <row r="179" spans="1:34" ht="19.5" thickBot="1" x14ac:dyDescent="0.3">
      <c r="A179" s="219" t="s">
        <v>149</v>
      </c>
      <c r="B179" s="220">
        <f t="shared" ref="B179:AF179" si="32">SUM(B180:B205)</f>
        <v>36</v>
      </c>
      <c r="C179" s="220">
        <f t="shared" si="32"/>
        <v>29</v>
      </c>
      <c r="D179" s="220">
        <f t="shared" si="32"/>
        <v>25</v>
      </c>
      <c r="E179" s="220">
        <f t="shared" si="32"/>
        <v>31</v>
      </c>
      <c r="F179" s="220">
        <f t="shared" si="32"/>
        <v>32</v>
      </c>
      <c r="G179" s="220">
        <f t="shared" si="32"/>
        <v>37</v>
      </c>
      <c r="H179" s="220">
        <f t="shared" si="32"/>
        <v>25</v>
      </c>
      <c r="I179" s="220">
        <f t="shared" si="32"/>
        <v>26</v>
      </c>
      <c r="J179" s="220">
        <f t="shared" si="32"/>
        <v>35</v>
      </c>
      <c r="K179" s="220">
        <f t="shared" si="32"/>
        <v>36</v>
      </c>
      <c r="L179" s="220">
        <f t="shared" si="32"/>
        <v>37</v>
      </c>
      <c r="M179" s="220">
        <f t="shared" si="32"/>
        <v>34</v>
      </c>
      <c r="N179" s="220">
        <f t="shared" si="32"/>
        <v>28</v>
      </c>
      <c r="O179" s="220">
        <f t="shared" si="32"/>
        <v>52</v>
      </c>
      <c r="P179" s="220">
        <f t="shared" si="32"/>
        <v>42</v>
      </c>
      <c r="Q179" s="220">
        <f t="shared" si="32"/>
        <v>41</v>
      </c>
      <c r="R179" s="220">
        <f t="shared" si="32"/>
        <v>25</v>
      </c>
      <c r="S179" s="220">
        <f t="shared" si="32"/>
        <v>41</v>
      </c>
      <c r="T179" s="220">
        <f t="shared" si="32"/>
        <v>70</v>
      </c>
      <c r="U179" s="220">
        <f t="shared" si="32"/>
        <v>46</v>
      </c>
      <c r="V179" s="220">
        <f t="shared" si="32"/>
        <v>49</v>
      </c>
      <c r="W179" s="220">
        <f t="shared" si="32"/>
        <v>73</v>
      </c>
      <c r="X179" s="220">
        <f t="shared" si="32"/>
        <v>68</v>
      </c>
      <c r="Y179" s="220">
        <f t="shared" si="32"/>
        <v>24</v>
      </c>
      <c r="Z179" s="220">
        <f t="shared" si="32"/>
        <v>42</v>
      </c>
      <c r="AA179" s="220">
        <f t="shared" si="32"/>
        <v>44</v>
      </c>
      <c r="AB179" s="220">
        <f t="shared" si="32"/>
        <v>38</v>
      </c>
      <c r="AC179" s="220">
        <f t="shared" si="32"/>
        <v>47</v>
      </c>
      <c r="AD179" s="220">
        <f t="shared" si="32"/>
        <v>42</v>
      </c>
      <c r="AE179" s="220">
        <f t="shared" si="32"/>
        <v>39</v>
      </c>
      <c r="AF179" s="221">
        <f t="shared" si="32"/>
        <v>37</v>
      </c>
      <c r="AG179" s="156">
        <f t="shared" si="28"/>
        <v>1231</v>
      </c>
      <c r="AH179" s="38"/>
    </row>
    <row r="180" spans="1:34" ht="18.75" x14ac:dyDescent="0.25">
      <c r="A180" s="109" t="s">
        <v>4</v>
      </c>
      <c r="B180" s="216">
        <v>4</v>
      </c>
      <c r="C180" s="216">
        <v>8</v>
      </c>
      <c r="D180" s="216">
        <v>3</v>
      </c>
      <c r="E180" s="216">
        <v>7</v>
      </c>
      <c r="F180" s="216">
        <v>6</v>
      </c>
      <c r="G180" s="216">
        <v>3</v>
      </c>
      <c r="H180" s="216">
        <v>3</v>
      </c>
      <c r="I180" s="216">
        <v>4</v>
      </c>
      <c r="J180" s="216">
        <v>5</v>
      </c>
      <c r="K180" s="216">
        <v>6</v>
      </c>
      <c r="L180" s="216">
        <v>10</v>
      </c>
      <c r="M180" s="216">
        <v>7</v>
      </c>
      <c r="N180" s="217">
        <v>3</v>
      </c>
      <c r="O180" s="217">
        <v>5</v>
      </c>
      <c r="P180" s="217">
        <v>9</v>
      </c>
      <c r="Q180" s="217">
        <v>8</v>
      </c>
      <c r="R180" s="217">
        <v>6</v>
      </c>
      <c r="S180" s="217">
        <v>7</v>
      </c>
      <c r="T180" s="217">
        <v>4</v>
      </c>
      <c r="U180" s="217">
        <v>2</v>
      </c>
      <c r="V180" s="217">
        <v>3</v>
      </c>
      <c r="W180" s="217">
        <v>6</v>
      </c>
      <c r="X180" s="217">
        <v>3</v>
      </c>
      <c r="Y180" s="217">
        <v>5</v>
      </c>
      <c r="Z180" s="217">
        <v>9</v>
      </c>
      <c r="AA180" s="217">
        <v>4</v>
      </c>
      <c r="AB180" s="217">
        <v>6</v>
      </c>
      <c r="AC180" s="217">
        <v>5</v>
      </c>
      <c r="AD180" s="217">
        <v>3</v>
      </c>
      <c r="AE180" s="217">
        <v>3</v>
      </c>
      <c r="AF180" s="218">
        <v>11</v>
      </c>
      <c r="AG180" s="31">
        <f t="shared" si="28"/>
        <v>168</v>
      </c>
    </row>
    <row r="181" spans="1:34" ht="18.75" x14ac:dyDescent="0.25">
      <c r="A181" s="109" t="s">
        <v>122</v>
      </c>
      <c r="B181" s="147"/>
      <c r="C181" s="147"/>
      <c r="D181" s="147"/>
      <c r="E181" s="147"/>
      <c r="F181" s="147"/>
      <c r="G181" s="147"/>
      <c r="H181" s="147"/>
      <c r="I181" s="147"/>
      <c r="J181" s="147"/>
      <c r="K181" s="147">
        <v>1</v>
      </c>
      <c r="L181" s="147"/>
      <c r="M181" s="14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>
        <v>1</v>
      </c>
      <c r="Y181" s="17"/>
      <c r="Z181" s="17"/>
      <c r="AA181" s="17"/>
      <c r="AB181" s="17"/>
      <c r="AC181" s="17"/>
      <c r="AD181" s="17"/>
      <c r="AE181" s="17"/>
      <c r="AF181" s="18"/>
      <c r="AG181" s="4">
        <f t="shared" si="28"/>
        <v>2</v>
      </c>
    </row>
    <row r="182" spans="1:34" ht="18.75" x14ac:dyDescent="0.25">
      <c r="A182" s="109" t="s">
        <v>123</v>
      </c>
      <c r="B182" s="147">
        <v>1</v>
      </c>
      <c r="C182" s="147"/>
      <c r="D182" s="147"/>
      <c r="E182" s="147"/>
      <c r="F182" s="147">
        <v>1</v>
      </c>
      <c r="G182" s="147"/>
      <c r="H182" s="147">
        <v>1</v>
      </c>
      <c r="I182" s="147"/>
      <c r="J182" s="147"/>
      <c r="K182" s="147"/>
      <c r="L182" s="147"/>
      <c r="M182" s="147">
        <v>2</v>
      </c>
      <c r="N182" s="17">
        <v>3</v>
      </c>
      <c r="O182" s="17"/>
      <c r="P182" s="17"/>
      <c r="Q182" s="17">
        <v>1</v>
      </c>
      <c r="R182" s="17">
        <v>1</v>
      </c>
      <c r="S182" s="17"/>
      <c r="T182" s="17">
        <v>1</v>
      </c>
      <c r="U182" s="17"/>
      <c r="V182" s="17"/>
      <c r="W182" s="17"/>
      <c r="X182" s="17">
        <v>1</v>
      </c>
      <c r="Y182" s="17"/>
      <c r="Z182" s="17"/>
      <c r="AA182" s="17"/>
      <c r="AB182" s="17"/>
      <c r="AC182" s="17">
        <v>1</v>
      </c>
      <c r="AD182" s="17">
        <v>2</v>
      </c>
      <c r="AE182" s="17">
        <v>1</v>
      </c>
      <c r="AF182" s="18"/>
      <c r="AG182" s="4">
        <f t="shared" si="28"/>
        <v>16</v>
      </c>
    </row>
    <row r="183" spans="1:34" ht="18.75" x14ac:dyDescent="0.25">
      <c r="A183" s="109" t="s">
        <v>614</v>
      </c>
      <c r="B183" s="147"/>
      <c r="C183" s="147"/>
      <c r="D183" s="147"/>
      <c r="E183" s="147"/>
      <c r="F183" s="147"/>
      <c r="G183" s="147"/>
      <c r="H183" s="147"/>
      <c r="I183" s="147"/>
      <c r="J183" s="147"/>
      <c r="K183" s="147"/>
      <c r="L183" s="147"/>
      <c r="M183" s="14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  <c r="AE183" s="17"/>
      <c r="AF183" s="18"/>
      <c r="AG183" s="4">
        <f t="shared" si="28"/>
        <v>0</v>
      </c>
    </row>
    <row r="184" spans="1:34" s="398" customFormat="1" ht="18.75" x14ac:dyDescent="0.25">
      <c r="A184" s="393" t="s">
        <v>621</v>
      </c>
      <c r="B184" s="394">
        <v>25</v>
      </c>
      <c r="C184" s="394">
        <v>21</v>
      </c>
      <c r="D184" s="394">
        <v>14</v>
      </c>
      <c r="E184" s="394">
        <v>19</v>
      </c>
      <c r="F184" s="394">
        <v>23</v>
      </c>
      <c r="G184" s="394">
        <v>31</v>
      </c>
      <c r="H184" s="394">
        <v>21</v>
      </c>
      <c r="I184" s="394">
        <v>20</v>
      </c>
      <c r="J184" s="394">
        <v>27</v>
      </c>
      <c r="K184" s="394">
        <v>22</v>
      </c>
      <c r="L184" s="394">
        <v>25</v>
      </c>
      <c r="M184" s="394">
        <v>18</v>
      </c>
      <c r="N184" s="395">
        <v>18</v>
      </c>
      <c r="O184" s="395">
        <v>34</v>
      </c>
      <c r="P184" s="395">
        <v>30</v>
      </c>
      <c r="Q184" s="395">
        <v>28</v>
      </c>
      <c r="R184" s="395">
        <v>17</v>
      </c>
      <c r="S184" s="395">
        <v>33</v>
      </c>
      <c r="T184" s="395">
        <v>63</v>
      </c>
      <c r="U184" s="395">
        <v>42</v>
      </c>
      <c r="V184" s="395">
        <v>45</v>
      </c>
      <c r="W184" s="395">
        <v>66</v>
      </c>
      <c r="X184" s="395">
        <v>60</v>
      </c>
      <c r="Y184" s="395">
        <v>18</v>
      </c>
      <c r="Z184" s="395">
        <v>28</v>
      </c>
      <c r="AA184" s="395">
        <v>38</v>
      </c>
      <c r="AB184" s="395">
        <v>28</v>
      </c>
      <c r="AC184" s="395">
        <v>38</v>
      </c>
      <c r="AD184" s="395">
        <v>31</v>
      </c>
      <c r="AE184" s="395">
        <v>31</v>
      </c>
      <c r="AF184" s="396">
        <v>23</v>
      </c>
      <c r="AG184" s="397">
        <f t="shared" si="28"/>
        <v>937</v>
      </c>
    </row>
    <row r="185" spans="1:34" ht="18.75" x14ac:dyDescent="0.25">
      <c r="A185" s="109" t="s">
        <v>165</v>
      </c>
      <c r="B185" s="147"/>
      <c r="C185" s="147"/>
      <c r="D185" s="147"/>
      <c r="E185" s="147"/>
      <c r="F185" s="147"/>
      <c r="G185" s="147"/>
      <c r="H185" s="147"/>
      <c r="I185" s="147"/>
      <c r="J185" s="147"/>
      <c r="K185" s="147"/>
      <c r="L185" s="147"/>
      <c r="M185" s="147">
        <v>2</v>
      </c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  <c r="AF185" s="18"/>
      <c r="AG185" s="4">
        <f t="shared" si="28"/>
        <v>2</v>
      </c>
    </row>
    <row r="186" spans="1:34" ht="18.75" x14ac:dyDescent="0.25">
      <c r="A186" s="109" t="s">
        <v>141</v>
      </c>
      <c r="B186" s="147"/>
      <c r="C186" s="147"/>
      <c r="D186" s="147"/>
      <c r="E186" s="147"/>
      <c r="F186" s="147"/>
      <c r="G186" s="147"/>
      <c r="H186" s="147"/>
      <c r="I186" s="147"/>
      <c r="J186" s="147"/>
      <c r="K186" s="147"/>
      <c r="L186" s="147"/>
      <c r="M186" s="14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>
        <v>1</v>
      </c>
      <c r="AD186" s="17"/>
      <c r="AE186" s="17"/>
      <c r="AF186" s="18"/>
      <c r="AG186" s="4">
        <f t="shared" si="28"/>
        <v>1</v>
      </c>
    </row>
    <row r="187" spans="1:34" ht="18.75" x14ac:dyDescent="0.25">
      <c r="A187" s="109" t="s">
        <v>613</v>
      </c>
      <c r="B187" s="147"/>
      <c r="C187" s="147"/>
      <c r="D187" s="147"/>
      <c r="E187" s="147"/>
      <c r="F187" s="147"/>
      <c r="G187" s="147"/>
      <c r="H187" s="147"/>
      <c r="I187" s="147">
        <v>1</v>
      </c>
      <c r="J187" s="147"/>
      <c r="K187" s="147"/>
      <c r="L187" s="147"/>
      <c r="M187" s="14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  <c r="AF187" s="18"/>
      <c r="AG187" s="4">
        <f t="shared" si="28"/>
        <v>1</v>
      </c>
    </row>
    <row r="188" spans="1:34" ht="18.75" x14ac:dyDescent="0.25">
      <c r="A188" s="109" t="s">
        <v>139</v>
      </c>
      <c r="B188" s="147">
        <v>1</v>
      </c>
      <c r="C188" s="147"/>
      <c r="D188" s="147">
        <v>4</v>
      </c>
      <c r="E188" s="147">
        <v>4</v>
      </c>
      <c r="F188" s="147"/>
      <c r="G188" s="147">
        <v>2</v>
      </c>
      <c r="H188" s="147"/>
      <c r="I188" s="147"/>
      <c r="J188" s="147">
        <v>1</v>
      </c>
      <c r="K188" s="147"/>
      <c r="L188" s="147">
        <v>1</v>
      </c>
      <c r="M188" s="147"/>
      <c r="N188" s="17">
        <v>2</v>
      </c>
      <c r="O188" s="17">
        <v>9</v>
      </c>
      <c r="P188" s="17">
        <v>1</v>
      </c>
      <c r="Q188" s="17"/>
      <c r="R188" s="17"/>
      <c r="S188" s="17">
        <v>1</v>
      </c>
      <c r="T188" s="17"/>
      <c r="U188" s="17"/>
      <c r="V188" s="17">
        <v>1</v>
      </c>
      <c r="W188" s="17"/>
      <c r="X188" s="17"/>
      <c r="Y188" s="17"/>
      <c r="Z188" s="17">
        <v>3</v>
      </c>
      <c r="AA188" s="17">
        <v>1</v>
      </c>
      <c r="AB188" s="17">
        <v>1</v>
      </c>
      <c r="AC188" s="17">
        <v>1</v>
      </c>
      <c r="AD188" s="17"/>
      <c r="AE188" s="17"/>
      <c r="AF188" s="18"/>
      <c r="AG188" s="4">
        <f t="shared" si="28"/>
        <v>33</v>
      </c>
    </row>
    <row r="189" spans="1:34" ht="18.75" x14ac:dyDescent="0.25">
      <c r="A189" s="110" t="s">
        <v>63</v>
      </c>
      <c r="B189" s="147"/>
      <c r="C189" s="147"/>
      <c r="D189" s="147"/>
      <c r="E189" s="147"/>
      <c r="F189" s="147"/>
      <c r="G189" s="147"/>
      <c r="H189" s="147"/>
      <c r="I189" s="147"/>
      <c r="J189" s="147"/>
      <c r="K189" s="147"/>
      <c r="L189" s="147"/>
      <c r="M189" s="14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  <c r="AE189" s="17"/>
      <c r="AF189" s="18"/>
      <c r="AG189" s="4">
        <f t="shared" si="28"/>
        <v>0</v>
      </c>
    </row>
    <row r="190" spans="1:34" ht="18.75" x14ac:dyDescent="0.25">
      <c r="A190" s="110" t="s">
        <v>142</v>
      </c>
      <c r="B190" s="147"/>
      <c r="C190" s="147"/>
      <c r="D190" s="147"/>
      <c r="E190" s="147"/>
      <c r="F190" s="147"/>
      <c r="G190" s="147"/>
      <c r="H190" s="147"/>
      <c r="I190" s="147"/>
      <c r="J190" s="147"/>
      <c r="K190" s="147"/>
      <c r="L190" s="147"/>
      <c r="M190" s="14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  <c r="AE190" s="17"/>
      <c r="AF190" s="18"/>
      <c r="AG190" s="4">
        <f t="shared" si="28"/>
        <v>0</v>
      </c>
    </row>
    <row r="191" spans="1:34" ht="18.75" x14ac:dyDescent="0.25">
      <c r="A191" s="110" t="s">
        <v>168</v>
      </c>
      <c r="B191" s="147"/>
      <c r="C191" s="147"/>
      <c r="D191" s="147"/>
      <c r="E191" s="147"/>
      <c r="F191" s="147"/>
      <c r="G191" s="147"/>
      <c r="H191" s="147"/>
      <c r="I191" s="147"/>
      <c r="J191" s="147"/>
      <c r="K191" s="147"/>
      <c r="L191" s="147"/>
      <c r="M191" s="14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  <c r="AE191" s="17"/>
      <c r="AF191" s="18"/>
      <c r="AG191" s="4">
        <f t="shared" si="28"/>
        <v>0</v>
      </c>
    </row>
    <row r="192" spans="1:34" ht="18.75" x14ac:dyDescent="0.25">
      <c r="A192" s="110" t="s">
        <v>169</v>
      </c>
      <c r="B192" s="147"/>
      <c r="C192" s="147"/>
      <c r="D192" s="147"/>
      <c r="E192" s="147"/>
      <c r="F192" s="147"/>
      <c r="G192" s="147"/>
      <c r="H192" s="147"/>
      <c r="I192" s="147"/>
      <c r="J192" s="147"/>
      <c r="K192" s="147"/>
      <c r="L192" s="147"/>
      <c r="M192" s="14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  <c r="AE192" s="17"/>
      <c r="AF192" s="18"/>
      <c r="AG192" s="4">
        <f t="shared" si="28"/>
        <v>0</v>
      </c>
    </row>
    <row r="193" spans="1:34" ht="18.75" x14ac:dyDescent="0.25">
      <c r="A193" s="236" t="s">
        <v>5</v>
      </c>
      <c r="B193" s="237">
        <v>4</v>
      </c>
      <c r="C193" s="237"/>
      <c r="D193" s="237">
        <v>3</v>
      </c>
      <c r="E193" s="237">
        <v>1</v>
      </c>
      <c r="F193" s="237">
        <v>1</v>
      </c>
      <c r="G193" s="237">
        <v>1</v>
      </c>
      <c r="H193" s="237"/>
      <c r="I193" s="237">
        <v>1</v>
      </c>
      <c r="J193" s="237"/>
      <c r="K193" s="237">
        <v>6</v>
      </c>
      <c r="L193" s="237"/>
      <c r="M193" s="237">
        <v>1</v>
      </c>
      <c r="N193" s="238">
        <v>1</v>
      </c>
      <c r="O193" s="238">
        <v>2</v>
      </c>
      <c r="P193" s="238"/>
      <c r="Q193" s="238">
        <v>1</v>
      </c>
      <c r="R193" s="238"/>
      <c r="S193" s="238"/>
      <c r="T193" s="238">
        <v>1</v>
      </c>
      <c r="U193" s="238"/>
      <c r="V193" s="238"/>
      <c r="W193" s="238"/>
      <c r="X193" s="238">
        <v>1</v>
      </c>
      <c r="Y193" s="238">
        <v>1</v>
      </c>
      <c r="Z193" s="238">
        <v>2</v>
      </c>
      <c r="AA193" s="238"/>
      <c r="AB193" s="238"/>
      <c r="AC193" s="238">
        <v>1</v>
      </c>
      <c r="AD193" s="238">
        <v>4</v>
      </c>
      <c r="AE193" s="238">
        <v>2</v>
      </c>
      <c r="AF193" s="239">
        <v>3</v>
      </c>
      <c r="AG193" s="240">
        <f t="shared" si="28"/>
        <v>37</v>
      </c>
    </row>
    <row r="194" spans="1:34" ht="18.75" x14ac:dyDescent="0.25">
      <c r="A194" s="111" t="s">
        <v>174</v>
      </c>
      <c r="B194" s="147"/>
      <c r="C194" s="147"/>
      <c r="D194" s="147"/>
      <c r="E194" s="147"/>
      <c r="F194" s="147"/>
      <c r="G194" s="147"/>
      <c r="H194" s="147"/>
      <c r="I194" s="147"/>
      <c r="J194" s="147"/>
      <c r="K194" s="147"/>
      <c r="L194" s="147"/>
      <c r="M194" s="14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  <c r="AE194" s="17"/>
      <c r="AF194" s="18"/>
      <c r="AG194" s="4">
        <f t="shared" si="28"/>
        <v>0</v>
      </c>
    </row>
    <row r="195" spans="1:34" ht="18.75" x14ac:dyDescent="0.25">
      <c r="A195" s="111" t="s">
        <v>171</v>
      </c>
      <c r="B195" s="147"/>
      <c r="C195" s="147"/>
      <c r="D195" s="147"/>
      <c r="E195" s="147"/>
      <c r="F195" s="147"/>
      <c r="G195" s="147"/>
      <c r="H195" s="147"/>
      <c r="I195" s="147"/>
      <c r="J195" s="147"/>
      <c r="K195" s="147"/>
      <c r="L195" s="147"/>
      <c r="M195" s="14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  <c r="AE195" s="17"/>
      <c r="AF195" s="18"/>
      <c r="AG195" s="4">
        <f t="shared" si="28"/>
        <v>0</v>
      </c>
    </row>
    <row r="196" spans="1:34" ht="18.75" x14ac:dyDescent="0.25">
      <c r="A196" s="111" t="s">
        <v>173</v>
      </c>
      <c r="B196" s="147"/>
      <c r="C196" s="147"/>
      <c r="D196" s="147"/>
      <c r="E196" s="147"/>
      <c r="F196" s="147"/>
      <c r="G196" s="147"/>
      <c r="H196" s="147"/>
      <c r="I196" s="147"/>
      <c r="J196" s="147"/>
      <c r="K196" s="147"/>
      <c r="L196" s="147"/>
      <c r="M196" s="14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  <c r="AE196" s="17"/>
      <c r="AF196" s="18"/>
      <c r="AG196" s="4">
        <f t="shared" si="28"/>
        <v>0</v>
      </c>
    </row>
    <row r="197" spans="1:34" ht="18.75" x14ac:dyDescent="0.25">
      <c r="A197" s="111" t="s">
        <v>88</v>
      </c>
      <c r="B197" s="147"/>
      <c r="C197" s="147"/>
      <c r="D197" s="147"/>
      <c r="E197" s="147"/>
      <c r="F197" s="147"/>
      <c r="G197" s="147"/>
      <c r="H197" s="147"/>
      <c r="I197" s="147"/>
      <c r="J197" s="147"/>
      <c r="K197" s="147"/>
      <c r="L197" s="147"/>
      <c r="M197" s="147" t="s">
        <v>620</v>
      </c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  <c r="AE197" s="17"/>
      <c r="AF197" s="18"/>
      <c r="AG197" s="4">
        <f t="shared" si="28"/>
        <v>0</v>
      </c>
    </row>
    <row r="198" spans="1:34" ht="18.75" x14ac:dyDescent="0.25">
      <c r="A198" s="111" t="s">
        <v>617</v>
      </c>
      <c r="B198" s="147"/>
      <c r="C198" s="147"/>
      <c r="D198" s="147"/>
      <c r="E198" s="147"/>
      <c r="F198" s="147"/>
      <c r="G198" s="147"/>
      <c r="H198" s="147"/>
      <c r="I198" s="147"/>
      <c r="J198" s="147"/>
      <c r="K198" s="147"/>
      <c r="L198" s="147"/>
      <c r="M198" s="14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  <c r="AE198" s="17"/>
      <c r="AF198" s="18"/>
      <c r="AG198" s="4">
        <f t="shared" si="28"/>
        <v>0</v>
      </c>
    </row>
    <row r="199" spans="1:34" ht="18.75" x14ac:dyDescent="0.25">
      <c r="A199" s="111" t="s">
        <v>143</v>
      </c>
      <c r="B199" s="147"/>
      <c r="C199" s="147"/>
      <c r="D199" s="147"/>
      <c r="E199" s="147"/>
      <c r="F199" s="147"/>
      <c r="G199" s="147"/>
      <c r="H199" s="147"/>
      <c r="I199" s="147"/>
      <c r="J199" s="147"/>
      <c r="K199" s="147"/>
      <c r="L199" s="147"/>
      <c r="M199" s="14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  <c r="AE199" s="17"/>
      <c r="AF199" s="18"/>
      <c r="AG199" s="4">
        <f t="shared" si="28"/>
        <v>0</v>
      </c>
    </row>
    <row r="200" spans="1:34" ht="18.75" x14ac:dyDescent="0.25">
      <c r="A200" s="110" t="s">
        <v>124</v>
      </c>
      <c r="B200" s="147"/>
      <c r="C200" s="147"/>
      <c r="D200" s="147"/>
      <c r="E200" s="147"/>
      <c r="F200" s="147"/>
      <c r="G200" s="147"/>
      <c r="H200" s="147"/>
      <c r="I200" s="147"/>
      <c r="J200" s="147"/>
      <c r="K200" s="147"/>
      <c r="L200" s="147"/>
      <c r="M200" s="14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  <c r="AE200" s="17"/>
      <c r="AF200" s="18"/>
      <c r="AG200" s="4">
        <f t="shared" si="28"/>
        <v>0</v>
      </c>
    </row>
    <row r="201" spans="1:34" ht="18.75" x14ac:dyDescent="0.25">
      <c r="A201" s="110" t="s">
        <v>167</v>
      </c>
      <c r="B201" s="147"/>
      <c r="C201" s="147"/>
      <c r="D201" s="147"/>
      <c r="E201" s="147"/>
      <c r="F201" s="147"/>
      <c r="G201" s="147"/>
      <c r="H201" s="147"/>
      <c r="I201" s="147"/>
      <c r="J201" s="147"/>
      <c r="K201" s="147"/>
      <c r="L201" s="147"/>
      <c r="M201" s="14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  <c r="AD201" s="17"/>
      <c r="AE201" s="17"/>
      <c r="AF201" s="18"/>
      <c r="AG201" s="4">
        <f t="shared" si="28"/>
        <v>0</v>
      </c>
    </row>
    <row r="202" spans="1:34" ht="18.75" x14ac:dyDescent="0.25">
      <c r="A202" s="110" t="s">
        <v>125</v>
      </c>
      <c r="B202" s="147"/>
      <c r="C202" s="147"/>
      <c r="D202" s="147"/>
      <c r="E202" s="147"/>
      <c r="F202" s="147"/>
      <c r="G202" s="147"/>
      <c r="H202" s="147"/>
      <c r="I202" s="147"/>
      <c r="J202" s="147">
        <v>1</v>
      </c>
      <c r="K202" s="147"/>
      <c r="L202" s="147">
        <v>1</v>
      </c>
      <c r="M202" s="147">
        <v>1</v>
      </c>
      <c r="N202" s="17"/>
      <c r="O202" s="17"/>
      <c r="P202" s="17">
        <v>1</v>
      </c>
      <c r="Q202" s="17">
        <v>1</v>
      </c>
      <c r="R202" s="17">
        <v>1</v>
      </c>
      <c r="S202" s="17"/>
      <c r="T202" s="17"/>
      <c r="U202" s="17"/>
      <c r="V202" s="17"/>
      <c r="W202" s="17">
        <v>1</v>
      </c>
      <c r="X202" s="17"/>
      <c r="Y202" s="17"/>
      <c r="Z202" s="17"/>
      <c r="AA202" s="17"/>
      <c r="AB202" s="17"/>
      <c r="AC202" s="17"/>
      <c r="AD202" s="17"/>
      <c r="AE202" s="17"/>
      <c r="AF202" s="18"/>
      <c r="AG202" s="4">
        <f t="shared" si="28"/>
        <v>7</v>
      </c>
    </row>
    <row r="203" spans="1:34" ht="18.75" x14ac:dyDescent="0.25">
      <c r="A203" s="110" t="s">
        <v>126</v>
      </c>
      <c r="B203" s="202">
        <v>1</v>
      </c>
      <c r="C203" s="202"/>
      <c r="D203" s="202">
        <v>1</v>
      </c>
      <c r="E203" s="202"/>
      <c r="F203" s="202">
        <v>1</v>
      </c>
      <c r="G203" s="202"/>
      <c r="H203" s="202"/>
      <c r="I203" s="202"/>
      <c r="J203" s="202">
        <v>1</v>
      </c>
      <c r="K203" s="202">
        <v>1</v>
      </c>
      <c r="L203" s="202"/>
      <c r="M203" s="202">
        <v>2</v>
      </c>
      <c r="N203" s="203">
        <v>1</v>
      </c>
      <c r="O203" s="203">
        <v>2</v>
      </c>
      <c r="P203" s="203">
        <v>1</v>
      </c>
      <c r="Q203" s="203">
        <v>1</v>
      </c>
      <c r="R203" s="203"/>
      <c r="S203" s="203"/>
      <c r="T203" s="203">
        <v>1</v>
      </c>
      <c r="U203" s="203">
        <v>1</v>
      </c>
      <c r="V203" s="203"/>
      <c r="W203" s="203"/>
      <c r="X203" s="203">
        <v>1</v>
      </c>
      <c r="Y203" s="203"/>
      <c r="Z203" s="203"/>
      <c r="AA203" s="203">
        <v>1</v>
      </c>
      <c r="AB203" s="203">
        <v>3</v>
      </c>
      <c r="AC203" s="203"/>
      <c r="AD203" s="203">
        <v>2</v>
      </c>
      <c r="AE203" s="203">
        <v>2</v>
      </c>
      <c r="AF203" s="204"/>
      <c r="AG203" s="4">
        <f t="shared" si="28"/>
        <v>23</v>
      </c>
    </row>
    <row r="204" spans="1:34" ht="18.75" x14ac:dyDescent="0.25">
      <c r="A204" s="112" t="s">
        <v>170</v>
      </c>
      <c r="B204" s="202"/>
      <c r="C204" s="202"/>
      <c r="D204" s="202"/>
      <c r="E204" s="202"/>
      <c r="F204" s="202"/>
      <c r="G204" s="202"/>
      <c r="H204" s="202"/>
      <c r="I204" s="202"/>
      <c r="J204" s="202"/>
      <c r="K204" s="202"/>
      <c r="L204" s="202"/>
      <c r="M204" s="202">
        <v>1</v>
      </c>
      <c r="N204" s="203"/>
      <c r="O204" s="203"/>
      <c r="P204" s="203"/>
      <c r="Q204" s="203">
        <v>1</v>
      </c>
      <c r="R204" s="203"/>
      <c r="S204" s="203"/>
      <c r="T204" s="203"/>
      <c r="U204" s="203">
        <v>1</v>
      </c>
      <c r="V204" s="203"/>
      <c r="W204" s="203"/>
      <c r="X204" s="203">
        <v>1</v>
      </c>
      <c r="Y204" s="203"/>
      <c r="Z204" s="203"/>
      <c r="AA204" s="203"/>
      <c r="AB204" s="203"/>
      <c r="AC204" s="203"/>
      <c r="AD204" s="203"/>
      <c r="AE204" s="203"/>
      <c r="AF204" s="204"/>
      <c r="AG204" s="4">
        <f t="shared" si="28"/>
        <v>4</v>
      </c>
    </row>
    <row r="205" spans="1:34" ht="19.5" thickBot="1" x14ac:dyDescent="0.3">
      <c r="A205" s="231" t="s">
        <v>166</v>
      </c>
      <c r="B205" s="202"/>
      <c r="C205" s="202"/>
      <c r="D205" s="202"/>
      <c r="E205" s="202"/>
      <c r="F205" s="202"/>
      <c r="G205" s="202"/>
      <c r="H205" s="202"/>
      <c r="I205" s="202"/>
      <c r="J205" s="202"/>
      <c r="K205" s="202"/>
      <c r="L205" s="202"/>
      <c r="M205" s="202"/>
      <c r="N205" s="203"/>
      <c r="O205" s="203"/>
      <c r="P205" s="203"/>
      <c r="Q205" s="203"/>
      <c r="R205" s="203"/>
      <c r="S205" s="203"/>
      <c r="T205" s="203"/>
      <c r="U205" s="203"/>
      <c r="V205" s="203"/>
      <c r="W205" s="203"/>
      <c r="X205" s="203"/>
      <c r="Y205" s="203"/>
      <c r="Z205" s="203"/>
      <c r="AA205" s="203"/>
      <c r="AB205" s="203"/>
      <c r="AC205" s="203"/>
      <c r="AD205" s="203"/>
      <c r="AE205" s="203"/>
      <c r="AF205" s="204"/>
      <c r="AG205" s="28">
        <f t="shared" si="28"/>
        <v>0</v>
      </c>
    </row>
    <row r="206" spans="1:34" ht="19.5" thickBot="1" x14ac:dyDescent="0.3">
      <c r="A206" s="215" t="s">
        <v>83</v>
      </c>
      <c r="B206" s="209">
        <f>SUM(B207:B211)</f>
        <v>104</v>
      </c>
      <c r="C206" s="210">
        <f t="shared" ref="C206:AF206" si="33">SUM(C207:C211)</f>
        <v>118</v>
      </c>
      <c r="D206" s="210">
        <f t="shared" si="33"/>
        <v>105</v>
      </c>
      <c r="E206" s="210">
        <f t="shared" si="33"/>
        <v>104</v>
      </c>
      <c r="F206" s="210">
        <f t="shared" si="33"/>
        <v>124</v>
      </c>
      <c r="G206" s="210">
        <f t="shared" si="33"/>
        <v>125</v>
      </c>
      <c r="H206" s="210">
        <f t="shared" si="33"/>
        <v>104</v>
      </c>
      <c r="I206" s="210">
        <f t="shared" si="33"/>
        <v>104</v>
      </c>
      <c r="J206" s="210">
        <f t="shared" si="33"/>
        <v>109</v>
      </c>
      <c r="K206" s="210">
        <f t="shared" si="33"/>
        <v>105</v>
      </c>
      <c r="L206" s="210">
        <f t="shared" si="33"/>
        <v>126</v>
      </c>
      <c r="M206" s="210">
        <f t="shared" si="33"/>
        <v>106</v>
      </c>
      <c r="N206" s="211">
        <f t="shared" si="33"/>
        <v>109</v>
      </c>
      <c r="O206" s="211">
        <f t="shared" si="33"/>
        <v>122</v>
      </c>
      <c r="P206" s="211">
        <f t="shared" si="33"/>
        <v>123</v>
      </c>
      <c r="Q206" s="211">
        <f t="shared" si="33"/>
        <v>119</v>
      </c>
      <c r="R206" s="211">
        <f t="shared" si="33"/>
        <v>97</v>
      </c>
      <c r="S206" s="211">
        <f t="shared" si="33"/>
        <v>115</v>
      </c>
      <c r="T206" s="211">
        <f t="shared" si="33"/>
        <v>150</v>
      </c>
      <c r="U206" s="211">
        <f t="shared" si="33"/>
        <v>111</v>
      </c>
      <c r="V206" s="211">
        <f t="shared" si="33"/>
        <v>118</v>
      </c>
      <c r="W206" s="211">
        <f t="shared" si="33"/>
        <v>152</v>
      </c>
      <c r="X206" s="211">
        <f t="shared" si="33"/>
        <v>145</v>
      </c>
      <c r="Y206" s="211">
        <f t="shared" si="33"/>
        <v>95</v>
      </c>
      <c r="Z206" s="211">
        <f t="shared" si="33"/>
        <v>117</v>
      </c>
      <c r="AA206" s="211">
        <f t="shared" si="33"/>
        <v>133</v>
      </c>
      <c r="AB206" s="211">
        <f t="shared" si="33"/>
        <v>110</v>
      </c>
      <c r="AC206" s="211">
        <f t="shared" si="33"/>
        <v>110</v>
      </c>
      <c r="AD206" s="211">
        <f t="shared" si="33"/>
        <v>132</v>
      </c>
      <c r="AE206" s="211">
        <f t="shared" si="33"/>
        <v>115</v>
      </c>
      <c r="AF206" s="212">
        <f t="shared" si="33"/>
        <v>117</v>
      </c>
      <c r="AG206" s="213">
        <f t="shared" si="28"/>
        <v>3624</v>
      </c>
      <c r="AH206" s="180" t="str">
        <f>IF(AG206&lt;&gt;AG93,"X","")</f>
        <v/>
      </c>
    </row>
    <row r="207" spans="1:34" ht="18.75" x14ac:dyDescent="0.25">
      <c r="A207" s="214" t="s">
        <v>72</v>
      </c>
      <c r="B207" s="205"/>
      <c r="C207" s="205"/>
      <c r="D207" s="205"/>
      <c r="E207" s="205"/>
      <c r="F207" s="205"/>
      <c r="G207" s="205"/>
      <c r="H207" s="205"/>
      <c r="I207" s="205"/>
      <c r="J207" s="205"/>
      <c r="K207" s="205"/>
      <c r="L207" s="205"/>
      <c r="M207" s="205"/>
      <c r="N207" s="206"/>
      <c r="O207" s="206"/>
      <c r="P207" s="206"/>
      <c r="Q207" s="206"/>
      <c r="R207" s="206"/>
      <c r="S207" s="206"/>
      <c r="T207" s="206"/>
      <c r="U207" s="206"/>
      <c r="V207" s="206"/>
      <c r="W207" s="206"/>
      <c r="X207" s="206"/>
      <c r="Y207" s="206"/>
      <c r="Z207" s="206"/>
      <c r="AA207" s="206"/>
      <c r="AB207" s="206"/>
      <c r="AC207" s="206"/>
      <c r="AD207" s="206"/>
      <c r="AE207" s="206"/>
      <c r="AF207" s="207"/>
      <c r="AG207" s="208">
        <f t="shared" si="28"/>
        <v>0</v>
      </c>
    </row>
    <row r="208" spans="1:34" ht="18.75" x14ac:dyDescent="0.25">
      <c r="A208" s="52" t="s">
        <v>73</v>
      </c>
      <c r="B208" s="148"/>
      <c r="C208" s="148">
        <v>2</v>
      </c>
      <c r="D208" s="148"/>
      <c r="E208" s="148"/>
      <c r="F208" s="148">
        <v>2</v>
      </c>
      <c r="G208" s="148"/>
      <c r="H208" s="148"/>
      <c r="I208" s="148"/>
      <c r="J208" s="148"/>
      <c r="K208" s="148"/>
      <c r="L208" s="148"/>
      <c r="M208" s="148"/>
      <c r="N208" s="33"/>
      <c r="O208" s="33"/>
      <c r="P208" s="33">
        <v>1</v>
      </c>
      <c r="Q208" s="33"/>
      <c r="R208" s="33"/>
      <c r="S208" s="33">
        <v>2</v>
      </c>
      <c r="T208" s="33"/>
      <c r="U208" s="33"/>
      <c r="V208" s="33"/>
      <c r="W208" s="33">
        <v>1</v>
      </c>
      <c r="X208" s="33">
        <v>1</v>
      </c>
      <c r="Y208" s="33">
        <v>1</v>
      </c>
      <c r="Z208" s="33">
        <v>4</v>
      </c>
      <c r="AA208" s="33"/>
      <c r="AB208" s="33"/>
      <c r="AC208" s="33"/>
      <c r="AD208" s="33">
        <v>2</v>
      </c>
      <c r="AE208" s="33">
        <v>1</v>
      </c>
      <c r="AF208" s="88">
        <v>2</v>
      </c>
      <c r="AG208" s="97">
        <f t="shared" si="28"/>
        <v>19</v>
      </c>
    </row>
    <row r="209" spans="1:34" ht="18.75" x14ac:dyDescent="0.25">
      <c r="A209" s="52" t="s">
        <v>74</v>
      </c>
      <c r="B209" s="148">
        <v>16</v>
      </c>
      <c r="C209" s="148">
        <v>15</v>
      </c>
      <c r="D209" s="148">
        <v>7</v>
      </c>
      <c r="E209" s="148">
        <v>13</v>
      </c>
      <c r="F209" s="148">
        <v>9</v>
      </c>
      <c r="G209" s="148">
        <v>7</v>
      </c>
      <c r="H209" s="148">
        <v>9</v>
      </c>
      <c r="I209" s="148">
        <v>12</v>
      </c>
      <c r="J209" s="148">
        <v>11</v>
      </c>
      <c r="K209" s="148">
        <v>16</v>
      </c>
      <c r="L209" s="148">
        <v>20</v>
      </c>
      <c r="M209" s="148">
        <v>8</v>
      </c>
      <c r="N209" s="33">
        <v>8</v>
      </c>
      <c r="O209" s="33">
        <v>12</v>
      </c>
      <c r="P209" s="33">
        <v>15</v>
      </c>
      <c r="Q209" s="33">
        <v>17</v>
      </c>
      <c r="R209" s="33">
        <v>12</v>
      </c>
      <c r="S209" s="33">
        <v>7</v>
      </c>
      <c r="T209" s="33">
        <v>7</v>
      </c>
      <c r="U209" s="33">
        <v>4</v>
      </c>
      <c r="V209" s="33">
        <v>4</v>
      </c>
      <c r="W209" s="33">
        <v>7</v>
      </c>
      <c r="X209" s="33">
        <v>8</v>
      </c>
      <c r="Y209" s="33">
        <v>11</v>
      </c>
      <c r="Z209" s="33">
        <v>18</v>
      </c>
      <c r="AA209" s="33">
        <v>11</v>
      </c>
      <c r="AB209" s="33">
        <v>7</v>
      </c>
      <c r="AC209" s="33">
        <v>10</v>
      </c>
      <c r="AD209" s="33">
        <v>17</v>
      </c>
      <c r="AE209" s="33">
        <v>9</v>
      </c>
      <c r="AF209" s="88">
        <v>18</v>
      </c>
      <c r="AG209" s="97">
        <f t="shared" si="28"/>
        <v>345</v>
      </c>
    </row>
    <row r="210" spans="1:34" ht="18.75" x14ac:dyDescent="0.25">
      <c r="A210" s="52" t="s">
        <v>75</v>
      </c>
      <c r="B210" s="148">
        <v>28</v>
      </c>
      <c r="C210" s="148">
        <v>60</v>
      </c>
      <c r="D210" s="148">
        <v>54</v>
      </c>
      <c r="E210" s="148">
        <v>51</v>
      </c>
      <c r="F210" s="148">
        <v>38</v>
      </c>
      <c r="G210" s="148">
        <v>63</v>
      </c>
      <c r="H210" s="148">
        <v>41</v>
      </c>
      <c r="I210" s="148">
        <v>59</v>
      </c>
      <c r="J210" s="148">
        <v>49</v>
      </c>
      <c r="K210" s="148">
        <v>55</v>
      </c>
      <c r="L210" s="148">
        <v>85</v>
      </c>
      <c r="M210" s="148">
        <v>47</v>
      </c>
      <c r="N210" s="33">
        <v>55</v>
      </c>
      <c r="O210" s="33">
        <v>90</v>
      </c>
      <c r="P210" s="33">
        <v>70</v>
      </c>
      <c r="Q210" s="33">
        <v>66</v>
      </c>
      <c r="R210" s="33">
        <v>43</v>
      </c>
      <c r="S210" s="33">
        <v>68</v>
      </c>
      <c r="T210" s="33">
        <v>93</v>
      </c>
      <c r="U210" s="33">
        <v>49</v>
      </c>
      <c r="V210" s="33">
        <v>62</v>
      </c>
      <c r="W210" s="33">
        <v>98</v>
      </c>
      <c r="X210" s="33">
        <v>96</v>
      </c>
      <c r="Y210" s="33">
        <v>39</v>
      </c>
      <c r="Z210" s="33">
        <v>50</v>
      </c>
      <c r="AA210" s="33">
        <v>85</v>
      </c>
      <c r="AB210" s="33">
        <v>55</v>
      </c>
      <c r="AC210" s="33">
        <v>46</v>
      </c>
      <c r="AD210" s="33">
        <v>53</v>
      </c>
      <c r="AE210" s="33">
        <v>62</v>
      </c>
      <c r="AF210" s="88">
        <v>47</v>
      </c>
      <c r="AG210" s="97">
        <f t="shared" si="28"/>
        <v>1857</v>
      </c>
    </row>
    <row r="211" spans="1:34" ht="19.5" thickBot="1" x14ac:dyDescent="0.3">
      <c r="A211" s="63" t="s">
        <v>76</v>
      </c>
      <c r="B211" s="149">
        <v>60</v>
      </c>
      <c r="C211" s="149">
        <v>41</v>
      </c>
      <c r="D211" s="149">
        <v>44</v>
      </c>
      <c r="E211" s="149">
        <v>40</v>
      </c>
      <c r="F211" s="149">
        <v>75</v>
      </c>
      <c r="G211" s="149">
        <v>55</v>
      </c>
      <c r="H211" s="149">
        <v>54</v>
      </c>
      <c r="I211" s="149">
        <v>33</v>
      </c>
      <c r="J211" s="149">
        <v>49</v>
      </c>
      <c r="K211" s="149">
        <v>34</v>
      </c>
      <c r="L211" s="149">
        <v>21</v>
      </c>
      <c r="M211" s="149">
        <v>51</v>
      </c>
      <c r="N211" s="34">
        <v>46</v>
      </c>
      <c r="O211" s="34">
        <v>20</v>
      </c>
      <c r="P211" s="34">
        <v>37</v>
      </c>
      <c r="Q211" s="34">
        <v>36</v>
      </c>
      <c r="R211" s="34">
        <v>42</v>
      </c>
      <c r="S211" s="34">
        <v>38</v>
      </c>
      <c r="T211" s="34">
        <v>50</v>
      </c>
      <c r="U211" s="34">
        <v>58</v>
      </c>
      <c r="V211" s="34">
        <v>52</v>
      </c>
      <c r="W211" s="34">
        <v>46</v>
      </c>
      <c r="X211" s="34">
        <v>40</v>
      </c>
      <c r="Y211" s="34">
        <v>44</v>
      </c>
      <c r="Z211" s="34">
        <v>45</v>
      </c>
      <c r="AA211" s="34">
        <v>37</v>
      </c>
      <c r="AB211" s="34">
        <v>48</v>
      </c>
      <c r="AC211" s="34">
        <v>54</v>
      </c>
      <c r="AD211" s="34">
        <v>60</v>
      </c>
      <c r="AE211" s="34">
        <v>43</v>
      </c>
      <c r="AF211" s="89">
        <v>50</v>
      </c>
      <c r="AG211" s="35">
        <f t="shared" si="28"/>
        <v>1403</v>
      </c>
    </row>
    <row r="212" spans="1:34" ht="19.5" thickBot="1" x14ac:dyDescent="0.3">
      <c r="A212" s="121" t="s">
        <v>622</v>
      </c>
      <c r="B212" s="404">
        <v>18</v>
      </c>
      <c r="C212" s="404">
        <v>15</v>
      </c>
      <c r="D212" s="404">
        <v>14</v>
      </c>
      <c r="E212" s="404">
        <v>12</v>
      </c>
      <c r="F212" s="404">
        <v>15</v>
      </c>
      <c r="G212" s="404">
        <v>17</v>
      </c>
      <c r="H212" s="404">
        <v>17</v>
      </c>
      <c r="I212" s="404">
        <v>11</v>
      </c>
      <c r="J212" s="404">
        <v>19</v>
      </c>
      <c r="K212" s="404">
        <v>20</v>
      </c>
      <c r="L212" s="404">
        <v>19</v>
      </c>
      <c r="M212" s="404">
        <v>16</v>
      </c>
      <c r="N212" s="122">
        <v>14</v>
      </c>
      <c r="O212" s="122">
        <v>26</v>
      </c>
      <c r="P212" s="122">
        <v>19</v>
      </c>
      <c r="Q212" s="122">
        <v>22</v>
      </c>
      <c r="R212" s="122">
        <v>11</v>
      </c>
      <c r="S212" s="122">
        <v>26</v>
      </c>
      <c r="T212" s="122">
        <v>62</v>
      </c>
      <c r="U212" s="122">
        <v>43</v>
      </c>
      <c r="V212" s="122">
        <v>43</v>
      </c>
      <c r="W212" s="122">
        <v>58</v>
      </c>
      <c r="X212" s="122">
        <v>58</v>
      </c>
      <c r="Y212" s="122">
        <v>21</v>
      </c>
      <c r="Z212" s="122">
        <v>25</v>
      </c>
      <c r="AA212" s="122">
        <v>37</v>
      </c>
      <c r="AB212" s="122">
        <v>24</v>
      </c>
      <c r="AC212" s="122">
        <v>34</v>
      </c>
      <c r="AD212" s="122">
        <v>32</v>
      </c>
      <c r="AE212" s="122">
        <v>26</v>
      </c>
      <c r="AF212" s="123">
        <v>28</v>
      </c>
      <c r="AG212" s="124">
        <f t="shared" ref="AG212:AG216" si="34">SUM(B212:AF212)</f>
        <v>802</v>
      </c>
    </row>
    <row r="213" spans="1:34" ht="18.75" x14ac:dyDescent="0.25">
      <c r="A213" s="414" t="s">
        <v>624</v>
      </c>
      <c r="B213" s="415">
        <v>18</v>
      </c>
      <c r="C213" s="415">
        <v>14</v>
      </c>
      <c r="D213" s="415">
        <v>10</v>
      </c>
      <c r="E213" s="415">
        <v>9</v>
      </c>
      <c r="F213" s="415">
        <v>14</v>
      </c>
      <c r="G213" s="415">
        <v>12</v>
      </c>
      <c r="H213" s="415">
        <v>16</v>
      </c>
      <c r="I213" s="415">
        <v>5</v>
      </c>
      <c r="J213" s="415">
        <v>15</v>
      </c>
      <c r="K213" s="415">
        <v>15</v>
      </c>
      <c r="L213" s="415">
        <v>16</v>
      </c>
      <c r="M213" s="415">
        <v>13</v>
      </c>
      <c r="N213" s="416">
        <v>14</v>
      </c>
      <c r="O213" s="416">
        <v>19</v>
      </c>
      <c r="P213" s="416">
        <v>15</v>
      </c>
      <c r="Q213" s="416">
        <v>19</v>
      </c>
      <c r="R213" s="416">
        <v>10</v>
      </c>
      <c r="S213" s="416">
        <v>20</v>
      </c>
      <c r="T213" s="416">
        <v>58</v>
      </c>
      <c r="U213" s="416">
        <v>42</v>
      </c>
      <c r="V213" s="416">
        <f>37+1</f>
        <v>38</v>
      </c>
      <c r="W213" s="416">
        <v>53</v>
      </c>
      <c r="X213" s="416">
        <v>55</v>
      </c>
      <c r="Y213" s="416">
        <v>19</v>
      </c>
      <c r="Z213" s="416">
        <v>21</v>
      </c>
      <c r="AA213" s="416">
        <v>36</v>
      </c>
      <c r="AB213" s="416">
        <v>22</v>
      </c>
      <c r="AC213" s="416">
        <v>33</v>
      </c>
      <c r="AD213" s="416">
        <v>27</v>
      </c>
      <c r="AE213" s="416">
        <v>21</v>
      </c>
      <c r="AF213" s="417">
        <v>25</v>
      </c>
      <c r="AG213" s="418">
        <f t="shared" si="34"/>
        <v>704</v>
      </c>
    </row>
    <row r="214" spans="1:34" ht="18.75" x14ac:dyDescent="0.25">
      <c r="A214" s="419" t="s">
        <v>626</v>
      </c>
      <c r="B214" s="420"/>
      <c r="C214" s="420"/>
      <c r="D214" s="420"/>
      <c r="E214" s="420"/>
      <c r="F214" s="420"/>
      <c r="G214" s="420"/>
      <c r="H214" s="420">
        <v>1</v>
      </c>
      <c r="I214" s="420"/>
      <c r="J214" s="420"/>
      <c r="K214" s="420"/>
      <c r="L214" s="420"/>
      <c r="M214" s="420"/>
      <c r="N214" s="421"/>
      <c r="O214" s="421"/>
      <c r="P214" s="421"/>
      <c r="Q214" s="421"/>
      <c r="R214" s="421"/>
      <c r="S214" s="421"/>
      <c r="T214" s="421"/>
      <c r="U214" s="421">
        <v>1</v>
      </c>
      <c r="V214" s="421">
        <v>5</v>
      </c>
      <c r="W214" s="421"/>
      <c r="X214" s="421"/>
      <c r="Y214" s="421"/>
      <c r="Z214" s="421"/>
      <c r="AA214" s="421"/>
      <c r="AB214" s="421"/>
      <c r="AC214" s="421"/>
      <c r="AD214" s="421"/>
      <c r="AE214" s="421"/>
      <c r="AF214" s="422">
        <v>1</v>
      </c>
      <c r="AG214" s="397">
        <f t="shared" si="34"/>
        <v>8</v>
      </c>
    </row>
    <row r="215" spans="1:34" ht="18.75" x14ac:dyDescent="0.25">
      <c r="A215" s="423" t="s">
        <v>630</v>
      </c>
      <c r="B215" s="420"/>
      <c r="C215" s="420"/>
      <c r="D215" s="420"/>
      <c r="E215" s="420"/>
      <c r="F215" s="420"/>
      <c r="G215" s="420"/>
      <c r="H215" s="420"/>
      <c r="I215" s="420"/>
      <c r="J215" s="420"/>
      <c r="K215" s="420"/>
      <c r="L215" s="420"/>
      <c r="M215" s="420"/>
      <c r="N215" s="421"/>
      <c r="O215" s="421"/>
      <c r="P215" s="421"/>
      <c r="Q215" s="421"/>
      <c r="R215" s="421"/>
      <c r="S215" s="421"/>
      <c r="T215" s="421"/>
      <c r="U215" s="421"/>
      <c r="V215" s="421"/>
      <c r="W215" s="421">
        <v>1</v>
      </c>
      <c r="X215" s="421"/>
      <c r="Y215" s="421"/>
      <c r="Z215" s="421"/>
      <c r="AA215" s="421"/>
      <c r="AB215" s="421"/>
      <c r="AC215" s="421"/>
      <c r="AD215" s="421"/>
      <c r="AE215" s="421"/>
      <c r="AF215" s="422"/>
      <c r="AG215" s="397">
        <f t="shared" si="34"/>
        <v>1</v>
      </c>
    </row>
    <row r="216" spans="1:34" ht="18.75" x14ac:dyDescent="0.25">
      <c r="A216" s="423" t="s">
        <v>627</v>
      </c>
      <c r="B216" s="420"/>
      <c r="C216" s="420"/>
      <c r="D216" s="420">
        <v>1</v>
      </c>
      <c r="E216" s="420"/>
      <c r="F216" s="420"/>
      <c r="G216" s="420"/>
      <c r="H216" s="420"/>
      <c r="I216" s="420"/>
      <c r="J216" s="420"/>
      <c r="K216" s="420"/>
      <c r="L216" s="420"/>
      <c r="M216" s="420"/>
      <c r="N216" s="421"/>
      <c r="O216" s="421"/>
      <c r="P216" s="421"/>
      <c r="Q216" s="421"/>
      <c r="R216" s="421"/>
      <c r="S216" s="421"/>
      <c r="T216" s="421"/>
      <c r="U216" s="421"/>
      <c r="V216" s="421"/>
      <c r="W216" s="421"/>
      <c r="X216" s="421"/>
      <c r="Y216" s="421"/>
      <c r="Z216" s="421"/>
      <c r="AA216" s="421"/>
      <c r="AB216" s="421"/>
      <c r="AC216" s="421"/>
      <c r="AD216" s="421"/>
      <c r="AE216" s="421"/>
      <c r="AF216" s="422"/>
      <c r="AG216" s="397">
        <f t="shared" si="34"/>
        <v>1</v>
      </c>
    </row>
    <row r="217" spans="1:34" ht="19.5" thickBot="1" x14ac:dyDescent="0.3">
      <c r="A217" s="424" t="s">
        <v>623</v>
      </c>
      <c r="B217" s="412"/>
      <c r="C217" s="412">
        <v>1</v>
      </c>
      <c r="D217" s="412">
        <v>3</v>
      </c>
      <c r="E217" s="412">
        <v>3</v>
      </c>
      <c r="F217" s="412">
        <v>1</v>
      </c>
      <c r="G217" s="412">
        <v>5</v>
      </c>
      <c r="H217" s="412"/>
      <c r="I217" s="412">
        <v>6</v>
      </c>
      <c r="J217" s="412">
        <v>4</v>
      </c>
      <c r="K217" s="412">
        <v>4</v>
      </c>
      <c r="L217" s="412">
        <v>3</v>
      </c>
      <c r="M217" s="412">
        <v>3</v>
      </c>
      <c r="N217" s="425"/>
      <c r="O217" s="425">
        <v>7</v>
      </c>
      <c r="P217" s="425">
        <v>4</v>
      </c>
      <c r="Q217" s="425">
        <v>3</v>
      </c>
      <c r="R217" s="425">
        <v>1</v>
      </c>
      <c r="S217" s="425">
        <v>6</v>
      </c>
      <c r="T217" s="425">
        <v>4</v>
      </c>
      <c r="U217" s="425"/>
      <c r="V217" s="425"/>
      <c r="W217" s="425">
        <v>4</v>
      </c>
      <c r="X217" s="425">
        <v>3</v>
      </c>
      <c r="Y217" s="425">
        <v>2</v>
      </c>
      <c r="Z217" s="425">
        <v>4</v>
      </c>
      <c r="AA217" s="425">
        <v>1</v>
      </c>
      <c r="AB217" s="425">
        <v>2</v>
      </c>
      <c r="AC217" s="425">
        <v>1</v>
      </c>
      <c r="AD217" s="425">
        <v>5</v>
      </c>
      <c r="AE217" s="425">
        <v>5</v>
      </c>
      <c r="AF217" s="426">
        <v>2</v>
      </c>
      <c r="AG217" s="397">
        <f>SUM(B217:AF217)</f>
        <v>87</v>
      </c>
    </row>
    <row r="218" spans="1:34" ht="18.75" x14ac:dyDescent="0.25">
      <c r="A218" s="69" t="s">
        <v>628</v>
      </c>
      <c r="B218" s="407">
        <v>18</v>
      </c>
      <c r="C218" s="407">
        <v>15</v>
      </c>
      <c r="D218" s="407">
        <v>14</v>
      </c>
      <c r="E218" s="407">
        <v>12</v>
      </c>
      <c r="F218" s="407">
        <v>15</v>
      </c>
      <c r="G218" s="407">
        <v>17</v>
      </c>
      <c r="H218" s="407">
        <v>17</v>
      </c>
      <c r="I218" s="407">
        <v>11</v>
      </c>
      <c r="J218" s="407">
        <v>19</v>
      </c>
      <c r="K218" s="407">
        <v>20</v>
      </c>
      <c r="L218" s="407">
        <v>19</v>
      </c>
      <c r="M218" s="407">
        <v>16</v>
      </c>
      <c r="N218" s="56">
        <v>14</v>
      </c>
      <c r="O218" s="56">
        <v>26</v>
      </c>
      <c r="P218" s="56">
        <v>19</v>
      </c>
      <c r="Q218" s="56">
        <v>22</v>
      </c>
      <c r="R218" s="56">
        <v>11</v>
      </c>
      <c r="S218" s="56">
        <v>26</v>
      </c>
      <c r="T218" s="56">
        <v>62</v>
      </c>
      <c r="U218" s="56">
        <v>43</v>
      </c>
      <c r="V218" s="56">
        <v>43</v>
      </c>
      <c r="W218" s="56">
        <v>58</v>
      </c>
      <c r="X218" s="56">
        <v>58</v>
      </c>
      <c r="Y218" s="56">
        <v>21</v>
      </c>
      <c r="Z218" s="56">
        <v>25</v>
      </c>
      <c r="AA218" s="56">
        <v>37</v>
      </c>
      <c r="AB218" s="56">
        <v>24</v>
      </c>
      <c r="AC218" s="56">
        <v>34</v>
      </c>
      <c r="AD218" s="56">
        <v>32</v>
      </c>
      <c r="AE218" s="56">
        <v>26</v>
      </c>
      <c r="AF218" s="85">
        <v>28</v>
      </c>
      <c r="AG218" s="95">
        <f>SUM(B218:AF218)</f>
        <v>802</v>
      </c>
    </row>
    <row r="219" spans="1:34" ht="19.5" thickBot="1" x14ac:dyDescent="0.3">
      <c r="A219" s="424" t="s">
        <v>629</v>
      </c>
      <c r="B219" s="412">
        <f>+B212-B218</f>
        <v>0</v>
      </c>
      <c r="C219" s="412">
        <f t="shared" ref="C219:AF219" si="35">+C212-C218</f>
        <v>0</v>
      </c>
      <c r="D219" s="412">
        <f t="shared" si="35"/>
        <v>0</v>
      </c>
      <c r="E219" s="412">
        <f t="shared" si="35"/>
        <v>0</v>
      </c>
      <c r="F219" s="412">
        <f t="shared" si="35"/>
        <v>0</v>
      </c>
      <c r="G219" s="412">
        <f t="shared" si="35"/>
        <v>0</v>
      </c>
      <c r="H219" s="412">
        <f t="shared" si="35"/>
        <v>0</v>
      </c>
      <c r="I219" s="412">
        <f t="shared" si="35"/>
        <v>0</v>
      </c>
      <c r="J219" s="412">
        <f t="shared" si="35"/>
        <v>0</v>
      </c>
      <c r="K219" s="412">
        <f t="shared" si="35"/>
        <v>0</v>
      </c>
      <c r="L219" s="412">
        <f t="shared" si="35"/>
        <v>0</v>
      </c>
      <c r="M219" s="412">
        <f t="shared" si="35"/>
        <v>0</v>
      </c>
      <c r="N219" s="425">
        <f t="shared" si="35"/>
        <v>0</v>
      </c>
      <c r="O219" s="425">
        <f t="shared" si="35"/>
        <v>0</v>
      </c>
      <c r="P219" s="425">
        <f t="shared" si="35"/>
        <v>0</v>
      </c>
      <c r="Q219" s="425">
        <f t="shared" si="35"/>
        <v>0</v>
      </c>
      <c r="R219" s="425">
        <f t="shared" si="35"/>
        <v>0</v>
      </c>
      <c r="S219" s="425">
        <f t="shared" si="35"/>
        <v>0</v>
      </c>
      <c r="T219" s="425">
        <f t="shared" si="35"/>
        <v>0</v>
      </c>
      <c r="U219" s="425">
        <f t="shared" si="35"/>
        <v>0</v>
      </c>
      <c r="V219" s="425">
        <f t="shared" si="35"/>
        <v>0</v>
      </c>
      <c r="W219" s="425">
        <f t="shared" si="35"/>
        <v>0</v>
      </c>
      <c r="X219" s="425">
        <f t="shared" si="35"/>
        <v>0</v>
      </c>
      <c r="Y219" s="425">
        <f t="shared" si="35"/>
        <v>0</v>
      </c>
      <c r="Z219" s="425">
        <f t="shared" si="35"/>
        <v>0</v>
      </c>
      <c r="AA219" s="425">
        <f t="shared" si="35"/>
        <v>0</v>
      </c>
      <c r="AB219" s="425">
        <f t="shared" si="35"/>
        <v>0</v>
      </c>
      <c r="AC219" s="425">
        <f t="shared" si="35"/>
        <v>0</v>
      </c>
      <c r="AD219" s="425">
        <f t="shared" si="35"/>
        <v>0</v>
      </c>
      <c r="AE219" s="425">
        <f t="shared" si="35"/>
        <v>0</v>
      </c>
      <c r="AF219" s="428">
        <f t="shared" si="35"/>
        <v>0</v>
      </c>
      <c r="AG219" s="413">
        <f>SUM(B219:AF219)</f>
        <v>0</v>
      </c>
    </row>
    <row r="220" spans="1:34" ht="19.5" thickBot="1" x14ac:dyDescent="0.3">
      <c r="A220" s="60" t="s">
        <v>64</v>
      </c>
      <c r="B220" s="61"/>
      <c r="C220" s="61"/>
      <c r="D220" s="61"/>
      <c r="E220" s="61"/>
      <c r="F220" s="61"/>
      <c r="G220" s="61"/>
      <c r="H220" s="61"/>
      <c r="I220" s="61"/>
      <c r="J220" s="61"/>
      <c r="K220" s="61"/>
      <c r="L220" s="61"/>
      <c r="M220" s="61"/>
      <c r="N220" s="61"/>
      <c r="O220" s="61"/>
      <c r="P220" s="61"/>
      <c r="Q220" s="61"/>
      <c r="R220" s="61"/>
      <c r="S220" s="61"/>
      <c r="T220" s="61"/>
      <c r="U220" s="61"/>
      <c r="V220" s="61"/>
      <c r="W220" s="61"/>
      <c r="X220" s="61"/>
      <c r="Y220" s="61"/>
      <c r="Z220" s="61"/>
      <c r="AA220" s="61"/>
      <c r="AB220" s="61"/>
      <c r="AC220" s="61"/>
      <c r="AD220" s="61"/>
      <c r="AE220" s="61"/>
      <c r="AF220" s="90"/>
      <c r="AG220" s="98"/>
    </row>
    <row r="221" spans="1:34" ht="18.75" x14ac:dyDescent="0.25">
      <c r="A221" s="43" t="s">
        <v>77</v>
      </c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  <c r="AD221" s="19"/>
      <c r="AE221" s="19"/>
      <c r="AF221" s="25"/>
      <c r="AG221" s="99">
        <f t="shared" si="28"/>
        <v>0</v>
      </c>
      <c r="AH221" s="437" t="s">
        <v>85</v>
      </c>
    </row>
    <row r="222" spans="1:34" ht="18.75" x14ac:dyDescent="0.25">
      <c r="A222" s="53" t="s">
        <v>110</v>
      </c>
      <c r="B222" s="39"/>
      <c r="C222" s="39"/>
      <c r="D222" s="39"/>
      <c r="E222" s="39"/>
      <c r="F222" s="39"/>
      <c r="G222" s="39"/>
      <c r="H222" s="39"/>
      <c r="I222" s="39"/>
      <c r="J222" s="39"/>
      <c r="K222" s="39"/>
      <c r="L222" s="39"/>
      <c r="M222" s="39"/>
      <c r="N222" s="39"/>
      <c r="O222" s="39"/>
      <c r="P222" s="39"/>
      <c r="Q222" s="39"/>
      <c r="R222" s="39"/>
      <c r="S222" s="39"/>
      <c r="T222" s="39"/>
      <c r="U222" s="39"/>
      <c r="V222" s="39"/>
      <c r="W222" s="39"/>
      <c r="X222" s="39"/>
      <c r="Y222" s="39"/>
      <c r="Z222" s="39"/>
      <c r="AA222" s="39"/>
      <c r="AB222" s="39"/>
      <c r="AC222" s="39"/>
      <c r="AD222" s="39"/>
      <c r="AE222" s="39"/>
      <c r="AF222" s="91"/>
      <c r="AG222" s="100">
        <f t="shared" si="28"/>
        <v>0</v>
      </c>
      <c r="AH222" s="438"/>
    </row>
    <row r="223" spans="1:34" ht="18.75" x14ac:dyDescent="0.25">
      <c r="A223" s="53" t="s">
        <v>111</v>
      </c>
      <c r="B223" s="39"/>
      <c r="C223" s="39"/>
      <c r="D223" s="39"/>
      <c r="E223" s="39"/>
      <c r="F223" s="39"/>
      <c r="G223" s="39"/>
      <c r="H223" s="39"/>
      <c r="I223" s="39"/>
      <c r="J223" s="39"/>
      <c r="K223" s="39"/>
      <c r="L223" s="39"/>
      <c r="M223" s="39"/>
      <c r="N223" s="39"/>
      <c r="O223" s="39"/>
      <c r="P223" s="39"/>
      <c r="Q223" s="39"/>
      <c r="R223" s="39"/>
      <c r="S223" s="39"/>
      <c r="T223" s="39"/>
      <c r="U223" s="39"/>
      <c r="V223" s="39"/>
      <c r="W223" s="39"/>
      <c r="X223" s="39"/>
      <c r="Y223" s="39"/>
      <c r="Z223" s="39"/>
      <c r="AA223" s="39"/>
      <c r="AB223" s="39"/>
      <c r="AC223" s="39"/>
      <c r="AD223" s="39"/>
      <c r="AE223" s="39"/>
      <c r="AF223" s="91"/>
      <c r="AG223" s="100">
        <f t="shared" si="28"/>
        <v>0</v>
      </c>
      <c r="AH223" s="438"/>
    </row>
    <row r="224" spans="1:34" ht="18.75" x14ac:dyDescent="0.25">
      <c r="A224" s="53" t="s">
        <v>112</v>
      </c>
      <c r="B224" s="39"/>
      <c r="C224" s="39"/>
      <c r="D224" s="39"/>
      <c r="E224" s="39"/>
      <c r="F224" s="39"/>
      <c r="G224" s="39"/>
      <c r="H224" s="39"/>
      <c r="I224" s="39"/>
      <c r="J224" s="39"/>
      <c r="K224" s="39"/>
      <c r="L224" s="39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  <c r="Y224" s="39"/>
      <c r="Z224" s="39"/>
      <c r="AA224" s="39"/>
      <c r="AB224" s="39"/>
      <c r="AC224" s="39"/>
      <c r="AD224" s="39"/>
      <c r="AE224" s="39"/>
      <c r="AF224" s="91"/>
      <c r="AG224" s="100">
        <f t="shared" si="28"/>
        <v>0</v>
      </c>
      <c r="AH224" s="438"/>
    </row>
    <row r="225" spans="1:34" ht="18.75" x14ac:dyDescent="0.25">
      <c r="A225" s="53" t="s">
        <v>113</v>
      </c>
      <c r="B225" s="39"/>
      <c r="C225" s="39"/>
      <c r="D225" s="39"/>
      <c r="E225" s="39"/>
      <c r="F225" s="39"/>
      <c r="G225" s="39"/>
      <c r="H225" s="39"/>
      <c r="I225" s="39"/>
      <c r="J225" s="39"/>
      <c r="K225" s="39"/>
      <c r="L225" s="39"/>
      <c r="M225" s="39"/>
      <c r="N225" s="39"/>
      <c r="O225" s="39"/>
      <c r="P225" s="39"/>
      <c r="Q225" s="39"/>
      <c r="R225" s="39"/>
      <c r="S225" s="39"/>
      <c r="T225" s="39"/>
      <c r="U225" s="39"/>
      <c r="V225" s="39"/>
      <c r="W225" s="39"/>
      <c r="X225" s="39"/>
      <c r="Y225" s="39"/>
      <c r="Z225" s="39"/>
      <c r="AA225" s="39"/>
      <c r="AB225" s="39"/>
      <c r="AC225" s="39"/>
      <c r="AD225" s="39"/>
      <c r="AE225" s="39"/>
      <c r="AF225" s="91"/>
      <c r="AG225" s="100">
        <f t="shared" si="28"/>
        <v>0</v>
      </c>
      <c r="AH225" s="438"/>
    </row>
    <row r="226" spans="1:34" ht="18.75" x14ac:dyDescent="0.25">
      <c r="A226" s="53" t="s">
        <v>114</v>
      </c>
      <c r="B226" s="39"/>
      <c r="C226" s="39"/>
      <c r="D226" s="39"/>
      <c r="E226" s="39"/>
      <c r="F226" s="39"/>
      <c r="G226" s="39"/>
      <c r="H226" s="39"/>
      <c r="I226" s="39"/>
      <c r="J226" s="39"/>
      <c r="K226" s="39"/>
      <c r="L226" s="39"/>
      <c r="M226" s="39"/>
      <c r="N226" s="39"/>
      <c r="O226" s="39"/>
      <c r="P226" s="39"/>
      <c r="Q226" s="39"/>
      <c r="R226" s="39"/>
      <c r="S226" s="39"/>
      <c r="T226" s="39"/>
      <c r="U226" s="39"/>
      <c r="V226" s="39"/>
      <c r="W226" s="39"/>
      <c r="X226" s="39"/>
      <c r="Y226" s="39"/>
      <c r="Z226" s="39"/>
      <c r="AA226" s="39"/>
      <c r="AB226" s="39"/>
      <c r="AC226" s="39"/>
      <c r="AD226" s="39"/>
      <c r="AE226" s="39"/>
      <c r="AF226" s="91"/>
      <c r="AG226" s="100">
        <f t="shared" si="28"/>
        <v>0</v>
      </c>
      <c r="AH226" s="438"/>
    </row>
    <row r="227" spans="1:34" ht="18.75" x14ac:dyDescent="0.25">
      <c r="A227" s="53" t="s">
        <v>115</v>
      </c>
      <c r="B227" s="39"/>
      <c r="C227" s="39"/>
      <c r="D227" s="39"/>
      <c r="E227" s="39"/>
      <c r="F227" s="39"/>
      <c r="G227" s="39"/>
      <c r="H227" s="39"/>
      <c r="I227" s="39"/>
      <c r="J227" s="39"/>
      <c r="K227" s="39"/>
      <c r="L227" s="39"/>
      <c r="M227" s="39"/>
      <c r="N227" s="39"/>
      <c r="O227" s="39"/>
      <c r="P227" s="39"/>
      <c r="Q227" s="39"/>
      <c r="R227" s="39"/>
      <c r="S227" s="39"/>
      <c r="T227" s="39"/>
      <c r="U227" s="39"/>
      <c r="V227" s="39"/>
      <c r="W227" s="39"/>
      <c r="X227" s="39"/>
      <c r="Y227" s="39"/>
      <c r="Z227" s="39"/>
      <c r="AA227" s="39"/>
      <c r="AB227" s="39"/>
      <c r="AC227" s="39"/>
      <c r="AD227" s="39"/>
      <c r="AE227" s="39"/>
      <c r="AF227" s="91"/>
      <c r="AG227" s="100">
        <f t="shared" si="28"/>
        <v>0</v>
      </c>
      <c r="AH227" s="438"/>
    </row>
    <row r="228" spans="1:34" ht="18.75" x14ac:dyDescent="0.25">
      <c r="A228" s="53" t="s">
        <v>116</v>
      </c>
      <c r="B228" s="39"/>
      <c r="C228" s="39"/>
      <c r="D228" s="39"/>
      <c r="E228" s="39"/>
      <c r="F228" s="39"/>
      <c r="G228" s="39"/>
      <c r="H228" s="39"/>
      <c r="I228" s="39"/>
      <c r="J228" s="39"/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39"/>
      <c r="AA228" s="39"/>
      <c r="AB228" s="39"/>
      <c r="AC228" s="39"/>
      <c r="AD228" s="39"/>
      <c r="AE228" s="39"/>
      <c r="AF228" s="91"/>
      <c r="AG228" s="100">
        <f t="shared" si="28"/>
        <v>0</v>
      </c>
      <c r="AH228" s="438"/>
    </row>
    <row r="229" spans="1:34" ht="18.75" x14ac:dyDescent="0.25">
      <c r="A229" s="53" t="s">
        <v>117</v>
      </c>
      <c r="B229" s="39"/>
      <c r="C229" s="39"/>
      <c r="D229" s="39"/>
      <c r="E229" s="39"/>
      <c r="F229" s="39"/>
      <c r="G229" s="39"/>
      <c r="H229" s="39"/>
      <c r="I229" s="39"/>
      <c r="J229" s="39"/>
      <c r="K229" s="39"/>
      <c r="L229" s="39"/>
      <c r="M229" s="39"/>
      <c r="N229" s="39"/>
      <c r="O229" s="39"/>
      <c r="P229" s="39"/>
      <c r="Q229" s="39"/>
      <c r="R229" s="39"/>
      <c r="S229" s="39"/>
      <c r="T229" s="39"/>
      <c r="U229" s="39"/>
      <c r="V229" s="39"/>
      <c r="W229" s="39"/>
      <c r="X229" s="39"/>
      <c r="Y229" s="39"/>
      <c r="Z229" s="39"/>
      <c r="AA229" s="39"/>
      <c r="AB229" s="39"/>
      <c r="AC229" s="39"/>
      <c r="AD229" s="39"/>
      <c r="AE229" s="39"/>
      <c r="AF229" s="91"/>
      <c r="AG229" s="100">
        <f t="shared" si="28"/>
        <v>0</v>
      </c>
      <c r="AH229" s="438"/>
    </row>
    <row r="230" spans="1:34" ht="18.75" x14ac:dyDescent="0.25">
      <c r="A230" s="43" t="s">
        <v>150</v>
      </c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  <c r="AC230" s="19"/>
      <c r="AD230" s="19"/>
      <c r="AE230" s="19"/>
      <c r="AF230" s="25"/>
      <c r="AG230" s="99">
        <f t="shared" si="28"/>
        <v>0</v>
      </c>
      <c r="AH230" s="438"/>
    </row>
    <row r="231" spans="1:34" ht="18.75" x14ac:dyDescent="0.25">
      <c r="A231" s="43" t="s">
        <v>78</v>
      </c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19"/>
      <c r="AD231" s="19"/>
      <c r="AE231" s="19"/>
      <c r="AF231" s="25"/>
      <c r="AG231" s="99">
        <f t="shared" si="28"/>
        <v>0</v>
      </c>
      <c r="AH231" s="438"/>
    </row>
    <row r="232" spans="1:34" ht="19.5" thickBot="1" x14ac:dyDescent="0.3">
      <c r="A232" s="43" t="s">
        <v>79</v>
      </c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  <c r="AC232" s="19"/>
      <c r="AD232" s="19"/>
      <c r="AE232" s="19"/>
      <c r="AF232" s="25"/>
      <c r="AG232" s="99">
        <f t="shared" si="28"/>
        <v>0</v>
      </c>
      <c r="AH232" s="439"/>
    </row>
    <row r="233" spans="1:34" ht="24" thickBot="1" x14ac:dyDescent="0.3">
      <c r="A233" s="62" t="s">
        <v>118</v>
      </c>
      <c r="B233" s="20">
        <f>+B232+B231+B221+B230</f>
        <v>0</v>
      </c>
      <c r="C233" s="20">
        <f t="shared" ref="C233:AF233" si="36">+C232+C231+C221+C230</f>
        <v>0</v>
      </c>
      <c r="D233" s="20">
        <f t="shared" si="36"/>
        <v>0</v>
      </c>
      <c r="E233" s="20">
        <f t="shared" si="36"/>
        <v>0</v>
      </c>
      <c r="F233" s="20">
        <f t="shared" si="36"/>
        <v>0</v>
      </c>
      <c r="G233" s="20">
        <f t="shared" si="36"/>
        <v>0</v>
      </c>
      <c r="H233" s="20">
        <f t="shared" si="36"/>
        <v>0</v>
      </c>
      <c r="I233" s="20">
        <f t="shared" si="36"/>
        <v>0</v>
      </c>
      <c r="J233" s="20">
        <f t="shared" si="36"/>
        <v>0</v>
      </c>
      <c r="K233" s="20">
        <f t="shared" si="36"/>
        <v>0</v>
      </c>
      <c r="L233" s="20">
        <f t="shared" si="36"/>
        <v>0</v>
      </c>
      <c r="M233" s="20">
        <f t="shared" si="36"/>
        <v>0</v>
      </c>
      <c r="N233" s="20">
        <f t="shared" si="36"/>
        <v>0</v>
      </c>
      <c r="O233" s="20">
        <f t="shared" si="36"/>
        <v>0</v>
      </c>
      <c r="P233" s="20">
        <f t="shared" si="36"/>
        <v>0</v>
      </c>
      <c r="Q233" s="20">
        <f t="shared" si="36"/>
        <v>0</v>
      </c>
      <c r="R233" s="20">
        <f t="shared" si="36"/>
        <v>0</v>
      </c>
      <c r="S233" s="20">
        <f t="shared" si="36"/>
        <v>0</v>
      </c>
      <c r="T233" s="20">
        <f t="shared" si="36"/>
        <v>0</v>
      </c>
      <c r="U233" s="20">
        <f t="shared" si="36"/>
        <v>0</v>
      </c>
      <c r="V233" s="20">
        <f t="shared" si="36"/>
        <v>0</v>
      </c>
      <c r="W233" s="20">
        <f t="shared" si="36"/>
        <v>0</v>
      </c>
      <c r="X233" s="20">
        <f t="shared" si="36"/>
        <v>0</v>
      </c>
      <c r="Y233" s="20">
        <f t="shared" si="36"/>
        <v>0</v>
      </c>
      <c r="Z233" s="20">
        <f t="shared" si="36"/>
        <v>0</v>
      </c>
      <c r="AA233" s="20">
        <f t="shared" si="36"/>
        <v>0</v>
      </c>
      <c r="AB233" s="20">
        <f t="shared" si="36"/>
        <v>0</v>
      </c>
      <c r="AC233" s="20">
        <f t="shared" si="36"/>
        <v>0</v>
      </c>
      <c r="AD233" s="20">
        <f t="shared" si="36"/>
        <v>0</v>
      </c>
      <c r="AE233" s="20">
        <f t="shared" si="36"/>
        <v>0</v>
      </c>
      <c r="AF233" s="26">
        <f t="shared" si="36"/>
        <v>0</v>
      </c>
      <c r="AG233" s="99">
        <f t="shared" si="28"/>
        <v>0</v>
      </c>
      <c r="AH233" s="36"/>
    </row>
    <row r="234" spans="1:34" ht="18.75" x14ac:dyDescent="0.25">
      <c r="A234" s="57" t="s">
        <v>90</v>
      </c>
      <c r="B234" s="27"/>
      <c r="C234" s="27"/>
      <c r="D234" s="27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  <c r="AA234" s="27"/>
      <c r="AB234" s="27"/>
      <c r="AC234" s="27"/>
      <c r="AD234" s="27"/>
      <c r="AE234" s="27"/>
      <c r="AF234" s="92"/>
      <c r="AG234" s="31">
        <f t="shared" ref="AG234:AG247" si="37">SUM(B234:AF234)</f>
        <v>0</v>
      </c>
      <c r="AH234" s="440" t="s">
        <v>96</v>
      </c>
    </row>
    <row r="235" spans="1:34" ht="18.75" x14ac:dyDescent="0.25">
      <c r="A235" s="54" t="s">
        <v>91</v>
      </c>
      <c r="B235" s="40"/>
      <c r="C235" s="40"/>
      <c r="D235" s="40"/>
      <c r="E235" s="40"/>
      <c r="F235" s="40"/>
      <c r="G235" s="40"/>
      <c r="H235" s="40"/>
      <c r="I235" s="40"/>
      <c r="J235" s="40"/>
      <c r="K235" s="40"/>
      <c r="L235" s="40"/>
      <c r="M235" s="40"/>
      <c r="N235" s="40"/>
      <c r="O235" s="40"/>
      <c r="P235" s="40"/>
      <c r="Q235" s="40"/>
      <c r="R235" s="40"/>
      <c r="S235" s="40"/>
      <c r="T235" s="40"/>
      <c r="U235" s="40"/>
      <c r="V235" s="40"/>
      <c r="W235" s="40"/>
      <c r="X235" s="40"/>
      <c r="Y235" s="40"/>
      <c r="Z235" s="40"/>
      <c r="AA235" s="40"/>
      <c r="AB235" s="40"/>
      <c r="AC235" s="40"/>
      <c r="AD235" s="40"/>
      <c r="AE235" s="40"/>
      <c r="AF235" s="93"/>
      <c r="AG235" s="99">
        <f t="shared" si="37"/>
        <v>0</v>
      </c>
      <c r="AH235" s="441"/>
    </row>
    <row r="236" spans="1:34" ht="19.5" thickBot="1" x14ac:dyDescent="0.3">
      <c r="A236" s="58" t="s">
        <v>97</v>
      </c>
      <c r="B236" s="59"/>
      <c r="C236" s="59"/>
      <c r="D236" s="59"/>
      <c r="E236" s="59"/>
      <c r="F236" s="59"/>
      <c r="G236" s="59"/>
      <c r="H236" s="59"/>
      <c r="I236" s="59"/>
      <c r="J236" s="59"/>
      <c r="K236" s="59"/>
      <c r="L236" s="59"/>
      <c r="M236" s="59"/>
      <c r="N236" s="59"/>
      <c r="O236" s="59"/>
      <c r="P236" s="59"/>
      <c r="Q236" s="59"/>
      <c r="R236" s="59"/>
      <c r="S236" s="59"/>
      <c r="T236" s="59"/>
      <c r="U236" s="59"/>
      <c r="V236" s="59"/>
      <c r="W236" s="59"/>
      <c r="X236" s="59"/>
      <c r="Y236" s="59"/>
      <c r="Z236" s="59"/>
      <c r="AA236" s="59"/>
      <c r="AB236" s="59"/>
      <c r="AC236" s="59"/>
      <c r="AD236" s="59"/>
      <c r="AE236" s="59"/>
      <c r="AF236" s="94"/>
      <c r="AG236" s="28">
        <f t="shared" si="37"/>
        <v>0</v>
      </c>
      <c r="AH236" s="442"/>
    </row>
    <row r="237" spans="1:34" ht="18.75" x14ac:dyDescent="0.25">
      <c r="A237" s="55" t="s">
        <v>92</v>
      </c>
      <c r="B237" s="118">
        <f>SUM(B238:B240)</f>
        <v>0</v>
      </c>
      <c r="C237" s="118">
        <f t="shared" ref="C237:AF237" si="38">SUM(C238:C240)</f>
        <v>0</v>
      </c>
      <c r="D237" s="118">
        <f t="shared" si="38"/>
        <v>0</v>
      </c>
      <c r="E237" s="118">
        <f t="shared" si="38"/>
        <v>0</v>
      </c>
      <c r="F237" s="118">
        <f t="shared" si="38"/>
        <v>0</v>
      </c>
      <c r="G237" s="118">
        <f t="shared" si="38"/>
        <v>0</v>
      </c>
      <c r="H237" s="118">
        <f t="shared" si="38"/>
        <v>0</v>
      </c>
      <c r="I237" s="118">
        <f t="shared" si="38"/>
        <v>0</v>
      </c>
      <c r="J237" s="118">
        <f t="shared" si="38"/>
        <v>0</v>
      </c>
      <c r="K237" s="118">
        <f t="shared" si="38"/>
        <v>0</v>
      </c>
      <c r="L237" s="118">
        <f t="shared" si="38"/>
        <v>0</v>
      </c>
      <c r="M237" s="118">
        <f t="shared" si="38"/>
        <v>0</v>
      </c>
      <c r="N237" s="118">
        <f t="shared" si="38"/>
        <v>0</v>
      </c>
      <c r="O237" s="118">
        <f t="shared" si="38"/>
        <v>0</v>
      </c>
      <c r="P237" s="118">
        <f t="shared" si="38"/>
        <v>0</v>
      </c>
      <c r="Q237" s="118">
        <f t="shared" si="38"/>
        <v>0</v>
      </c>
      <c r="R237" s="118">
        <f t="shared" si="38"/>
        <v>0</v>
      </c>
      <c r="S237" s="118">
        <f t="shared" si="38"/>
        <v>0</v>
      </c>
      <c r="T237" s="118">
        <f t="shared" si="38"/>
        <v>0</v>
      </c>
      <c r="U237" s="118">
        <f t="shared" si="38"/>
        <v>0</v>
      </c>
      <c r="V237" s="118">
        <f t="shared" si="38"/>
        <v>0</v>
      </c>
      <c r="W237" s="118">
        <f t="shared" si="38"/>
        <v>0</v>
      </c>
      <c r="X237" s="118">
        <f t="shared" si="38"/>
        <v>0</v>
      </c>
      <c r="Y237" s="118">
        <f t="shared" si="38"/>
        <v>0</v>
      </c>
      <c r="Z237" s="118">
        <f t="shared" si="38"/>
        <v>0</v>
      </c>
      <c r="AA237" s="118">
        <f t="shared" si="38"/>
        <v>0</v>
      </c>
      <c r="AB237" s="118">
        <f t="shared" si="38"/>
        <v>0</v>
      </c>
      <c r="AC237" s="118">
        <f t="shared" si="38"/>
        <v>0</v>
      </c>
      <c r="AD237" s="118">
        <f t="shared" si="38"/>
        <v>0</v>
      </c>
      <c r="AE237" s="118">
        <f t="shared" si="38"/>
        <v>0</v>
      </c>
      <c r="AF237" s="118">
        <f t="shared" si="38"/>
        <v>0</v>
      </c>
      <c r="AG237" s="95">
        <f t="shared" si="37"/>
        <v>0</v>
      </c>
      <c r="AH237" s="440" t="s">
        <v>93</v>
      </c>
    </row>
    <row r="238" spans="1:34" ht="18.75" x14ac:dyDescent="0.25">
      <c r="A238" s="139" t="s">
        <v>94</v>
      </c>
      <c r="B238" s="140"/>
      <c r="C238" s="140"/>
      <c r="D238" s="140"/>
      <c r="E238" s="140"/>
      <c r="F238" s="140"/>
      <c r="G238" s="140"/>
      <c r="H238" s="140"/>
      <c r="I238" s="140"/>
      <c r="J238" s="140"/>
      <c r="K238" s="140"/>
      <c r="L238" s="140"/>
      <c r="M238" s="140"/>
      <c r="N238" s="145"/>
      <c r="O238" s="140"/>
      <c r="P238" s="140"/>
      <c r="Q238" s="140"/>
      <c r="R238" s="140"/>
      <c r="S238" s="140"/>
      <c r="T238" s="140"/>
      <c r="U238" s="140"/>
      <c r="V238" s="140"/>
      <c r="W238" s="140"/>
      <c r="X238" s="140"/>
      <c r="Y238" s="140"/>
      <c r="Z238" s="142"/>
      <c r="AA238" s="140"/>
      <c r="AB238" s="140"/>
      <c r="AC238" s="140"/>
      <c r="AD238" s="140"/>
      <c r="AE238" s="140"/>
      <c r="AF238" s="144"/>
      <c r="AG238" s="143">
        <f t="shared" si="37"/>
        <v>0</v>
      </c>
      <c r="AH238" s="441"/>
    </row>
    <row r="239" spans="1:34" ht="18.75" x14ac:dyDescent="0.25">
      <c r="A239" s="139" t="s">
        <v>95</v>
      </c>
      <c r="B239" s="140"/>
      <c r="C239" s="140"/>
      <c r="D239" s="140"/>
      <c r="E239" s="140"/>
      <c r="F239" s="140"/>
      <c r="G239" s="140"/>
      <c r="H239" s="140"/>
      <c r="I239" s="140"/>
      <c r="J239" s="140"/>
      <c r="K239" s="140"/>
      <c r="L239" s="140"/>
      <c r="M239" s="140"/>
      <c r="N239" s="145"/>
      <c r="O239" s="140"/>
      <c r="P239" s="140"/>
      <c r="Q239" s="140"/>
      <c r="R239" s="140"/>
      <c r="S239" s="140"/>
      <c r="T239" s="140"/>
      <c r="U239" s="140"/>
      <c r="V239" s="140"/>
      <c r="W239" s="140"/>
      <c r="X239" s="140"/>
      <c r="Y239" s="140"/>
      <c r="Z239" s="142"/>
      <c r="AA239" s="140"/>
      <c r="AB239" s="140"/>
      <c r="AC239" s="140"/>
      <c r="AD239" s="140"/>
      <c r="AE239" s="140"/>
      <c r="AF239" s="144"/>
      <c r="AG239" s="143">
        <f t="shared" si="37"/>
        <v>0</v>
      </c>
      <c r="AH239" s="441"/>
    </row>
    <row r="240" spans="1:34" ht="19.5" thickBot="1" x14ac:dyDescent="0.3">
      <c r="A240" s="190" t="s">
        <v>106</v>
      </c>
      <c r="B240" s="191"/>
      <c r="C240" s="191"/>
      <c r="D240" s="191"/>
      <c r="E240" s="191"/>
      <c r="F240" s="191"/>
      <c r="G240" s="191"/>
      <c r="H240" s="191"/>
      <c r="I240" s="191"/>
      <c r="J240" s="191"/>
      <c r="K240" s="192"/>
      <c r="L240" s="192"/>
      <c r="M240" s="192"/>
      <c r="N240" s="193"/>
      <c r="O240" s="194"/>
      <c r="P240" s="194"/>
      <c r="Q240" s="194"/>
      <c r="R240" s="194"/>
      <c r="S240" s="194"/>
      <c r="T240" s="194"/>
      <c r="U240" s="194"/>
      <c r="V240" s="194"/>
      <c r="W240" s="194"/>
      <c r="X240" s="194"/>
      <c r="Y240" s="194"/>
      <c r="Z240" s="194"/>
      <c r="AA240" s="194"/>
      <c r="AB240" s="194"/>
      <c r="AC240" s="194"/>
      <c r="AD240" s="194"/>
      <c r="AE240" s="194"/>
      <c r="AF240" s="195"/>
      <c r="AG240" s="108">
        <f t="shared" si="37"/>
        <v>0</v>
      </c>
      <c r="AH240" s="442"/>
    </row>
    <row r="241" spans="1:33" ht="24" hidden="1" thickBot="1" x14ac:dyDescent="0.3">
      <c r="A241" s="198" t="s">
        <v>148</v>
      </c>
      <c r="B241" s="199">
        <f>SUM(B242:B247)</f>
        <v>0</v>
      </c>
      <c r="C241" s="199">
        <f t="shared" ref="C241:AF241" si="39">SUM(C242:C247)</f>
        <v>0</v>
      </c>
      <c r="D241" s="199">
        <f t="shared" si="39"/>
        <v>0</v>
      </c>
      <c r="E241" s="199">
        <f t="shared" si="39"/>
        <v>0</v>
      </c>
      <c r="F241" s="199">
        <f t="shared" si="39"/>
        <v>0</v>
      </c>
      <c r="G241" s="199">
        <f t="shared" si="39"/>
        <v>0</v>
      </c>
      <c r="H241" s="199">
        <f t="shared" si="39"/>
        <v>0</v>
      </c>
      <c r="I241" s="199">
        <f t="shared" si="39"/>
        <v>0</v>
      </c>
      <c r="J241" s="199">
        <f t="shared" si="39"/>
        <v>0</v>
      </c>
      <c r="K241" s="199">
        <f t="shared" si="39"/>
        <v>0</v>
      </c>
      <c r="L241" s="199">
        <f t="shared" si="39"/>
        <v>0</v>
      </c>
      <c r="M241" s="199">
        <f t="shared" si="39"/>
        <v>0</v>
      </c>
      <c r="N241" s="199">
        <f t="shared" si="39"/>
        <v>0</v>
      </c>
      <c r="O241" s="199">
        <f t="shared" si="39"/>
        <v>0</v>
      </c>
      <c r="P241" s="199">
        <f t="shared" si="39"/>
        <v>0</v>
      </c>
      <c r="Q241" s="199">
        <f t="shared" si="39"/>
        <v>0</v>
      </c>
      <c r="R241" s="199">
        <f t="shared" si="39"/>
        <v>0</v>
      </c>
      <c r="S241" s="199">
        <f t="shared" si="39"/>
        <v>0</v>
      </c>
      <c r="T241" s="199">
        <f t="shared" si="39"/>
        <v>0</v>
      </c>
      <c r="U241" s="199">
        <f t="shared" si="39"/>
        <v>0</v>
      </c>
      <c r="V241" s="199">
        <f t="shared" si="39"/>
        <v>0</v>
      </c>
      <c r="W241" s="199">
        <f t="shared" si="39"/>
        <v>0</v>
      </c>
      <c r="X241" s="199">
        <f t="shared" si="39"/>
        <v>0</v>
      </c>
      <c r="Y241" s="199">
        <f t="shared" si="39"/>
        <v>0</v>
      </c>
      <c r="Z241" s="199">
        <f t="shared" si="39"/>
        <v>0</v>
      </c>
      <c r="AA241" s="199">
        <f t="shared" si="39"/>
        <v>0</v>
      </c>
      <c r="AB241" s="199">
        <f t="shared" si="39"/>
        <v>0</v>
      </c>
      <c r="AC241" s="199">
        <f t="shared" si="39"/>
        <v>0</v>
      </c>
      <c r="AD241" s="199">
        <f t="shared" si="39"/>
        <v>0</v>
      </c>
      <c r="AE241" s="199">
        <f t="shared" si="39"/>
        <v>0</v>
      </c>
      <c r="AF241" s="200">
        <f t="shared" si="39"/>
        <v>0</v>
      </c>
      <c r="AG241" s="201">
        <f t="shared" si="37"/>
        <v>0</v>
      </c>
    </row>
    <row r="242" spans="1:33" ht="38.25" hidden="1" customHeight="1" x14ac:dyDescent="0.3">
      <c r="A242" s="227" t="s">
        <v>159</v>
      </c>
      <c r="B242" s="189"/>
      <c r="C242" s="189"/>
      <c r="D242" s="189"/>
      <c r="E242" s="189"/>
      <c r="F242" s="189"/>
      <c r="G242" s="189"/>
      <c r="H242" s="189"/>
      <c r="I242" s="189"/>
      <c r="J242" s="189"/>
      <c r="K242" s="189"/>
      <c r="L242" s="189"/>
      <c r="M242" s="189"/>
      <c r="N242" s="189"/>
      <c r="O242" s="189"/>
      <c r="P242" s="189"/>
      <c r="Q242" s="189"/>
      <c r="R242" s="189"/>
      <c r="S242" s="189"/>
      <c r="T242" s="189"/>
      <c r="U242" s="189"/>
      <c r="V242" s="189"/>
      <c r="W242" s="189"/>
      <c r="X242" s="189"/>
      <c r="Y242" s="189"/>
      <c r="Z242" s="189"/>
      <c r="AA242" s="189"/>
      <c r="AB242" s="189"/>
      <c r="AC242" s="189"/>
      <c r="AD242" s="189"/>
      <c r="AE242" s="189"/>
      <c r="AF242" s="196"/>
      <c r="AG242" s="197">
        <f t="shared" si="37"/>
        <v>0</v>
      </c>
    </row>
    <row r="243" spans="1:33" ht="40.5" hidden="1" customHeight="1" x14ac:dyDescent="0.3">
      <c r="A243" s="227" t="s">
        <v>160</v>
      </c>
      <c r="B243" s="189"/>
      <c r="C243" s="189"/>
      <c r="D243" s="189"/>
      <c r="E243" s="189"/>
      <c r="F243" s="189"/>
      <c r="G243" s="189"/>
      <c r="H243" s="189"/>
      <c r="I243" s="189"/>
      <c r="J243" s="189"/>
      <c r="K243" s="189"/>
      <c r="L243" s="189"/>
      <c r="M243" s="189"/>
      <c r="N243" s="189"/>
      <c r="O243" s="189"/>
      <c r="P243" s="189"/>
      <c r="Q243" s="189"/>
      <c r="R243" s="189"/>
      <c r="S243" s="189"/>
      <c r="T243" s="189"/>
      <c r="U243" s="189"/>
      <c r="V243" s="189"/>
      <c r="W243" s="189"/>
      <c r="X243" s="189"/>
      <c r="Y243" s="189"/>
      <c r="Z243" s="189"/>
      <c r="AA243" s="189"/>
      <c r="AB243" s="189"/>
      <c r="AC243" s="189"/>
      <c r="AD243" s="189"/>
      <c r="AE243" s="189"/>
      <c r="AF243" s="196"/>
      <c r="AG243" s="197"/>
    </row>
    <row r="244" spans="1:33" ht="40.5" hidden="1" customHeight="1" x14ac:dyDescent="0.3">
      <c r="A244" s="227" t="s">
        <v>161</v>
      </c>
      <c r="B244" s="189"/>
      <c r="C244" s="189"/>
      <c r="D244" s="189"/>
      <c r="E244" s="189"/>
      <c r="F244" s="189"/>
      <c r="G244" s="189"/>
      <c r="H244" s="189"/>
      <c r="I244" s="189"/>
      <c r="J244" s="189"/>
      <c r="K244" s="189"/>
      <c r="L244" s="189"/>
      <c r="M244" s="189"/>
      <c r="N244" s="189"/>
      <c r="O244" s="189"/>
      <c r="P244" s="189"/>
      <c r="Q244" s="189"/>
      <c r="R244" s="189"/>
      <c r="S244" s="189"/>
      <c r="T244" s="189"/>
      <c r="U244" s="189"/>
      <c r="V244" s="189"/>
      <c r="W244" s="189"/>
      <c r="X244" s="189"/>
      <c r="Y244" s="189"/>
      <c r="Z244" s="189"/>
      <c r="AA244" s="189"/>
      <c r="AB244" s="189"/>
      <c r="AC244" s="189"/>
      <c r="AD244" s="189"/>
      <c r="AE244" s="189"/>
      <c r="AF244" s="196"/>
      <c r="AG244" s="197"/>
    </row>
    <row r="245" spans="1:33" ht="40.5" hidden="1" customHeight="1" x14ac:dyDescent="0.3">
      <c r="A245" s="227" t="s">
        <v>162</v>
      </c>
      <c r="B245" s="189"/>
      <c r="C245" s="189"/>
      <c r="D245" s="189"/>
      <c r="E245" s="189"/>
      <c r="F245" s="189"/>
      <c r="G245" s="189"/>
      <c r="H245" s="189"/>
      <c r="I245" s="189"/>
      <c r="J245" s="189"/>
      <c r="K245" s="189"/>
      <c r="L245" s="189"/>
      <c r="M245" s="189"/>
      <c r="N245" s="189"/>
      <c r="O245" s="189"/>
      <c r="P245" s="189"/>
      <c r="Q245" s="189"/>
      <c r="R245" s="189"/>
      <c r="S245" s="189"/>
      <c r="T245" s="189"/>
      <c r="U245" s="189"/>
      <c r="V245" s="189"/>
      <c r="W245" s="189"/>
      <c r="X245" s="189"/>
      <c r="Y245" s="189"/>
      <c r="Z245" s="189"/>
      <c r="AA245" s="189"/>
      <c r="AB245" s="189"/>
      <c r="AC245" s="189"/>
      <c r="AD245" s="189"/>
      <c r="AE245" s="189"/>
      <c r="AF245" s="196"/>
      <c r="AG245" s="197"/>
    </row>
    <row r="246" spans="1:33" ht="40.5" hidden="1" customHeight="1" x14ac:dyDescent="0.3">
      <c r="A246" s="228" t="s">
        <v>163</v>
      </c>
      <c r="B246" s="137"/>
      <c r="C246" s="137"/>
      <c r="D246" s="137"/>
      <c r="E246" s="137"/>
      <c r="F246" s="137"/>
      <c r="G246" s="137"/>
      <c r="H246" s="137"/>
      <c r="I246" s="137"/>
      <c r="J246" s="137"/>
      <c r="K246" s="137"/>
      <c r="L246" s="137"/>
      <c r="M246" s="137"/>
      <c r="N246" s="137"/>
      <c r="O246" s="137"/>
      <c r="P246" s="137"/>
      <c r="Q246" s="137"/>
      <c r="R246" s="137"/>
      <c r="S246" s="137"/>
      <c r="T246" s="137"/>
      <c r="U246" s="137"/>
      <c r="V246" s="137"/>
      <c r="W246" s="137"/>
      <c r="X246" s="137"/>
      <c r="Y246" s="137"/>
      <c r="Z246" s="137"/>
      <c r="AA246" s="137"/>
      <c r="AB246" s="137"/>
      <c r="AC246" s="137"/>
      <c r="AD246" s="137"/>
      <c r="AE246" s="137"/>
      <c r="AF246" s="188"/>
      <c r="AG246" s="138">
        <f t="shared" si="37"/>
        <v>0</v>
      </c>
    </row>
    <row r="247" spans="1:33" ht="39.75" hidden="1" customHeight="1" thickBot="1" x14ac:dyDescent="0.3">
      <c r="A247" s="229" t="s">
        <v>164</v>
      </c>
      <c r="B247" s="222"/>
      <c r="C247" s="222"/>
      <c r="D247" s="222"/>
      <c r="E247" s="222"/>
      <c r="F247" s="222"/>
      <c r="G247" s="222"/>
      <c r="H247" s="222"/>
      <c r="I247" s="222"/>
      <c r="J247" s="222"/>
      <c r="K247" s="222"/>
      <c r="L247" s="222"/>
      <c r="M247" s="222"/>
      <c r="N247" s="222"/>
      <c r="O247" s="222"/>
      <c r="P247" s="222"/>
      <c r="Q247" s="222"/>
      <c r="R247" s="222"/>
      <c r="S247" s="222"/>
      <c r="T247" s="222"/>
      <c r="U247" s="222"/>
      <c r="V247" s="222"/>
      <c r="W247" s="222"/>
      <c r="X247" s="222"/>
      <c r="Y247" s="222"/>
      <c r="Z247" s="222"/>
      <c r="AA247" s="222"/>
      <c r="AB247" s="222"/>
      <c r="AC247" s="222"/>
      <c r="AD247" s="222"/>
      <c r="AE247" s="222"/>
      <c r="AF247" s="223"/>
      <c r="AG247" s="224">
        <f t="shared" si="37"/>
        <v>0</v>
      </c>
    </row>
    <row r="248" spans="1:33" ht="21.75" x14ac:dyDescent="0.25">
      <c r="A248" s="225" t="s">
        <v>151</v>
      </c>
      <c r="B248" s="363"/>
      <c r="C248" s="363"/>
      <c r="D248" s="363"/>
      <c r="E248" s="363"/>
      <c r="F248" s="363"/>
      <c r="G248" s="363"/>
      <c r="H248" s="363"/>
      <c r="I248" s="363"/>
      <c r="J248" s="363"/>
      <c r="K248" s="363"/>
      <c r="L248" s="363"/>
      <c r="M248" s="363"/>
      <c r="N248" s="363"/>
      <c r="O248" s="363"/>
      <c r="P248" s="363"/>
      <c r="Q248" s="363"/>
      <c r="R248" s="363"/>
      <c r="S248" s="363"/>
      <c r="T248" s="363"/>
      <c r="U248" s="363"/>
      <c r="V248" s="363"/>
      <c r="W248" s="363"/>
      <c r="X248" s="363"/>
      <c r="Y248" s="363"/>
      <c r="Z248" s="363"/>
      <c r="AA248" s="363"/>
      <c r="AB248" s="363"/>
      <c r="AC248" s="363"/>
      <c r="AD248" s="363"/>
      <c r="AE248" s="363"/>
      <c r="AF248" s="367"/>
      <c r="AG248" s="369">
        <f>SUM(B248:AF248)</f>
        <v>0</v>
      </c>
    </row>
    <row r="249" spans="1:33" ht="22.5" thickBot="1" x14ac:dyDescent="0.3">
      <c r="A249" s="226" t="s">
        <v>152</v>
      </c>
      <c r="B249" s="364"/>
      <c r="C249" s="364"/>
      <c r="D249" s="364"/>
      <c r="E249" s="364"/>
      <c r="F249" s="364"/>
      <c r="G249" s="364"/>
      <c r="H249" s="364"/>
      <c r="I249" s="364"/>
      <c r="J249" s="364"/>
      <c r="K249" s="364"/>
      <c r="L249" s="364"/>
      <c r="M249" s="364"/>
      <c r="N249" s="364"/>
      <c r="O249" s="364"/>
      <c r="P249" s="364"/>
      <c r="Q249" s="364"/>
      <c r="R249" s="364"/>
      <c r="S249" s="364"/>
      <c r="T249" s="364"/>
      <c r="U249" s="364"/>
      <c r="V249" s="364"/>
      <c r="W249" s="364"/>
      <c r="X249" s="364"/>
      <c r="Y249" s="364"/>
      <c r="Z249" s="364"/>
      <c r="AA249" s="364"/>
      <c r="AB249" s="364"/>
      <c r="AC249" s="364"/>
      <c r="AD249" s="364"/>
      <c r="AE249" s="364"/>
      <c r="AF249" s="368"/>
      <c r="AG249" s="370">
        <f>SUM(B249:AF249)</f>
        <v>0</v>
      </c>
    </row>
    <row r="269" ht="18.75" customHeight="1" x14ac:dyDescent="0.25"/>
    <row r="270" ht="18.75" customHeight="1" x14ac:dyDescent="0.25"/>
    <row r="271" ht="18.75" customHeight="1" x14ac:dyDescent="0.25"/>
    <row r="272" ht="18.75" customHeight="1" x14ac:dyDescent="0.25"/>
    <row r="273" ht="18.75" customHeight="1" x14ac:dyDescent="0.25"/>
    <row r="274" ht="18.75" customHeight="1" x14ac:dyDescent="0.25"/>
    <row r="275" ht="18.75" customHeight="1" x14ac:dyDescent="0.25"/>
    <row r="276" ht="18.75" customHeight="1" x14ac:dyDescent="0.25"/>
    <row r="277" ht="18.75" customHeight="1" x14ac:dyDescent="0.25"/>
    <row r="278" ht="18.75" customHeight="1" x14ac:dyDescent="0.25"/>
    <row r="279" ht="18.75" customHeight="1" x14ac:dyDescent="0.25"/>
    <row r="280" ht="19.5" customHeight="1" x14ac:dyDescent="0.25"/>
    <row r="282" ht="18.75" customHeight="1" x14ac:dyDescent="0.25"/>
    <row r="285" ht="18.75" customHeight="1" x14ac:dyDescent="0.25"/>
  </sheetData>
  <dataConsolidate/>
  <mergeCells count="5">
    <mergeCell ref="A1:AG1"/>
    <mergeCell ref="AI84:AI86"/>
    <mergeCell ref="AH221:AH232"/>
    <mergeCell ref="AH234:AH236"/>
    <mergeCell ref="AH237:AH240"/>
  </mergeCells>
  <conditionalFormatting sqref="B29:AF52">
    <cfRule type="cellIs" dxfId="30" priority="6" operator="lessThan">
      <formula>0</formula>
    </cfRule>
  </conditionalFormatting>
  <conditionalFormatting sqref="D54:D77">
    <cfRule type="cellIs" dxfId="29" priority="2" operator="lessThan">
      <formula>0</formula>
    </cfRule>
  </conditionalFormatting>
  <conditionalFormatting sqref="G54:G77">
    <cfRule type="cellIs" dxfId="28" priority="1" operator="lessThan">
      <formula>0</formula>
    </cfRule>
  </conditionalFormatting>
  <conditionalFormatting sqref="AH81">
    <cfRule type="cellIs" dxfId="27" priority="4" operator="equal">
      <formula>"*"</formula>
    </cfRule>
  </conditionalFormatting>
  <conditionalFormatting sqref="AH84 AH87">
    <cfRule type="cellIs" dxfId="26" priority="5" operator="equal">
      <formula>"*"</formula>
    </cfRule>
  </conditionalFormatting>
  <conditionalFormatting sqref="AH93">
    <cfRule type="cellIs" dxfId="25" priority="10" operator="equal">
      <formula>"*"</formula>
    </cfRule>
  </conditionalFormatting>
  <conditionalFormatting sqref="AH130">
    <cfRule type="cellIs" dxfId="24" priority="8" operator="equal">
      <formula>"*"</formula>
    </cfRule>
  </conditionalFormatting>
  <conditionalFormatting sqref="AH144:AH145">
    <cfRule type="cellIs" dxfId="23" priority="9" operator="equal">
      <formula>"*"</formula>
    </cfRule>
  </conditionalFormatting>
  <conditionalFormatting sqref="AH179">
    <cfRule type="cellIs" dxfId="22" priority="7" operator="equal">
      <formula>"*"</formula>
    </cfRule>
  </conditionalFormatting>
  <conditionalFormatting sqref="AH206">
    <cfRule type="cellIs" dxfId="21" priority="3" operator="equal">
      <formula>"X"</formula>
    </cfRule>
  </conditionalFormatting>
  <dataValidations disablePrompts="1" count="1">
    <dataValidation type="whole" allowBlank="1" showInputMessage="1" showErrorMessage="1" errorTitle="ERROR" error="Por favor ingrese solo Números" sqref="A98:A99 A101:A115" xr:uid="{00000000-0002-0000-0C00-000000000000}">
      <formula1>0</formula1>
      <formula2>1000000000</formula2>
    </dataValidation>
  </dataValidations>
  <pageMargins left="0.7" right="0.7" top="0.75" bottom="0.75" header="0.3" footer="0.3"/>
  <pageSetup orientation="portrait" horizontalDpi="0" verticalDpi="0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I286"/>
  <sheetViews>
    <sheetView zoomScale="80" zoomScaleNormal="80" workbookViewId="0">
      <pane xSplit="1" ySplit="3" topLeftCell="K204" activePane="bottomRight" state="frozen"/>
      <selection activeCell="AG3" sqref="AG3"/>
      <selection pane="topRight" activeCell="AG3" sqref="AG3"/>
      <selection pane="bottomLeft" activeCell="AG3" sqref="AG3"/>
      <selection pane="bottomRight" activeCell="AE213" sqref="AE213"/>
    </sheetView>
  </sheetViews>
  <sheetFormatPr baseColWidth="10" defaultRowHeight="15" x14ac:dyDescent="0.25"/>
  <cols>
    <col min="1" max="1" width="34.7109375" customWidth="1"/>
    <col min="2" max="13" width="8.28515625" customWidth="1"/>
    <col min="14" max="14" width="10.140625" customWidth="1"/>
    <col min="15" max="27" width="8.28515625" customWidth="1"/>
    <col min="28" max="28" width="9.7109375" customWidth="1"/>
    <col min="29" max="32" width="8.28515625" customWidth="1"/>
    <col min="33" max="33" width="11.140625" customWidth="1"/>
    <col min="34" max="34" width="12.42578125" customWidth="1"/>
  </cols>
  <sheetData>
    <row r="1" spans="1:33" ht="21.75" thickBot="1" x14ac:dyDescent="0.3">
      <c r="A1" s="431"/>
      <c r="B1" s="432"/>
      <c r="C1" s="432"/>
      <c r="D1" s="432"/>
      <c r="E1" s="432"/>
      <c r="F1" s="432"/>
      <c r="G1" s="432"/>
      <c r="H1" s="432"/>
      <c r="I1" s="432"/>
      <c r="J1" s="432"/>
      <c r="K1" s="432"/>
      <c r="L1" s="432"/>
      <c r="M1" s="432"/>
      <c r="N1" s="432"/>
      <c r="O1" s="432"/>
      <c r="P1" s="432"/>
      <c r="Q1" s="432"/>
      <c r="R1" s="432"/>
      <c r="S1" s="432"/>
      <c r="T1" s="432"/>
      <c r="U1" s="432"/>
      <c r="V1" s="432"/>
      <c r="W1" s="432"/>
      <c r="X1" s="432"/>
      <c r="Y1" s="432"/>
      <c r="Z1" s="432"/>
      <c r="AA1" s="432"/>
      <c r="AB1" s="432"/>
      <c r="AC1" s="432"/>
      <c r="AD1" s="432"/>
      <c r="AE1" s="432"/>
      <c r="AF1" s="432"/>
      <c r="AG1" s="433"/>
    </row>
    <row r="2" spans="1:33" ht="21.75" thickBot="1" x14ac:dyDescent="0.3">
      <c r="A2" s="82" t="s">
        <v>135</v>
      </c>
      <c r="B2" s="106">
        <v>1</v>
      </c>
      <c r="C2" s="230">
        <f t="shared" ref="C2:AA2" si="0">+B2+1</f>
        <v>2</v>
      </c>
      <c r="D2" s="230">
        <f t="shared" si="0"/>
        <v>3</v>
      </c>
      <c r="E2" s="230">
        <f t="shared" si="0"/>
        <v>4</v>
      </c>
      <c r="F2" s="230">
        <f t="shared" si="0"/>
        <v>5</v>
      </c>
      <c r="G2" s="230">
        <f t="shared" si="0"/>
        <v>6</v>
      </c>
      <c r="H2" s="106">
        <f t="shared" si="0"/>
        <v>7</v>
      </c>
      <c r="I2" s="106">
        <f t="shared" si="0"/>
        <v>8</v>
      </c>
      <c r="J2" s="230">
        <f t="shared" si="0"/>
        <v>9</v>
      </c>
      <c r="K2" s="230">
        <f t="shared" si="0"/>
        <v>10</v>
      </c>
      <c r="L2" s="230">
        <f t="shared" si="0"/>
        <v>11</v>
      </c>
      <c r="M2" s="230">
        <f t="shared" si="0"/>
        <v>12</v>
      </c>
      <c r="N2" s="230">
        <f t="shared" si="0"/>
        <v>13</v>
      </c>
      <c r="O2" s="106">
        <f t="shared" si="0"/>
        <v>14</v>
      </c>
      <c r="P2" s="106">
        <f t="shared" si="0"/>
        <v>15</v>
      </c>
      <c r="Q2" s="230">
        <f t="shared" si="0"/>
        <v>16</v>
      </c>
      <c r="R2" s="230">
        <f t="shared" si="0"/>
        <v>17</v>
      </c>
      <c r="S2" s="230">
        <f t="shared" si="0"/>
        <v>18</v>
      </c>
      <c r="T2" s="230">
        <f t="shared" si="0"/>
        <v>19</v>
      </c>
      <c r="U2" s="230">
        <f t="shared" si="0"/>
        <v>20</v>
      </c>
      <c r="V2" s="106">
        <f t="shared" si="0"/>
        <v>21</v>
      </c>
      <c r="W2" s="106">
        <f t="shared" si="0"/>
        <v>22</v>
      </c>
      <c r="X2" s="230">
        <f t="shared" si="0"/>
        <v>23</v>
      </c>
      <c r="Y2" s="230">
        <f t="shared" si="0"/>
        <v>24</v>
      </c>
      <c r="Z2" s="230">
        <f t="shared" si="0"/>
        <v>25</v>
      </c>
      <c r="AA2" s="230">
        <f t="shared" si="0"/>
        <v>26</v>
      </c>
      <c r="AB2" s="230">
        <v>27</v>
      </c>
      <c r="AC2" s="106">
        <f>+AB2+1</f>
        <v>28</v>
      </c>
      <c r="AD2" s="106">
        <v>29</v>
      </c>
      <c r="AE2" s="230">
        <v>30</v>
      </c>
      <c r="AF2" s="230">
        <v>31</v>
      </c>
      <c r="AG2" s="3" t="s">
        <v>80</v>
      </c>
    </row>
    <row r="3" spans="1:33" ht="19.5" thickBot="1" x14ac:dyDescent="0.3">
      <c r="A3" s="136" t="s">
        <v>0</v>
      </c>
      <c r="B3" s="135">
        <f t="shared" ref="B3:AF3" si="1">SUM(B4:B27)</f>
        <v>122</v>
      </c>
      <c r="C3" s="135">
        <f t="shared" si="1"/>
        <v>126</v>
      </c>
      <c r="D3" s="135">
        <f t="shared" si="1"/>
        <v>118</v>
      </c>
      <c r="E3" s="135">
        <f t="shared" si="1"/>
        <v>128</v>
      </c>
      <c r="F3" s="135">
        <f t="shared" si="1"/>
        <v>135</v>
      </c>
      <c r="G3" s="135">
        <f t="shared" si="1"/>
        <v>126</v>
      </c>
      <c r="H3" s="135">
        <f t="shared" si="1"/>
        <v>129</v>
      </c>
      <c r="I3" s="135">
        <f t="shared" si="1"/>
        <v>109</v>
      </c>
      <c r="J3" s="135">
        <f t="shared" si="1"/>
        <v>156</v>
      </c>
      <c r="K3" s="135">
        <f t="shared" si="1"/>
        <v>133</v>
      </c>
      <c r="L3" s="135">
        <f t="shared" si="1"/>
        <v>166</v>
      </c>
      <c r="M3" s="135">
        <f t="shared" si="1"/>
        <v>152</v>
      </c>
      <c r="N3" s="135">
        <f t="shared" si="1"/>
        <v>119</v>
      </c>
      <c r="O3" s="135">
        <f t="shared" si="1"/>
        <v>125</v>
      </c>
      <c r="P3" s="135">
        <f t="shared" si="1"/>
        <v>133</v>
      </c>
      <c r="Q3" s="135">
        <f t="shared" si="1"/>
        <v>146</v>
      </c>
      <c r="R3" s="135">
        <f t="shared" si="1"/>
        <v>120</v>
      </c>
      <c r="S3" s="135">
        <f t="shared" si="1"/>
        <v>113</v>
      </c>
      <c r="T3" s="135">
        <f t="shared" si="1"/>
        <v>127</v>
      </c>
      <c r="U3" s="135">
        <f t="shared" si="1"/>
        <v>137</v>
      </c>
      <c r="V3" s="135">
        <f t="shared" si="1"/>
        <v>124</v>
      </c>
      <c r="W3" s="135">
        <f t="shared" si="1"/>
        <v>151</v>
      </c>
      <c r="X3" s="135">
        <f t="shared" si="1"/>
        <v>175</v>
      </c>
      <c r="Y3" s="135">
        <f t="shared" si="1"/>
        <v>151</v>
      </c>
      <c r="Z3" s="135">
        <f t="shared" si="1"/>
        <v>142</v>
      </c>
      <c r="AA3" s="135">
        <f t="shared" si="1"/>
        <v>168</v>
      </c>
      <c r="AB3" s="135">
        <f t="shared" si="1"/>
        <v>134</v>
      </c>
      <c r="AC3" s="135">
        <f t="shared" si="1"/>
        <v>134</v>
      </c>
      <c r="AD3" s="135">
        <f t="shared" si="1"/>
        <v>133</v>
      </c>
      <c r="AE3" s="135">
        <f t="shared" si="1"/>
        <v>186</v>
      </c>
      <c r="AF3" s="135">
        <f t="shared" si="1"/>
        <v>0</v>
      </c>
      <c r="AG3" s="187">
        <f>SUM(B3:AF3)</f>
        <v>4118</v>
      </c>
    </row>
    <row r="4" spans="1:33" ht="18.75" x14ac:dyDescent="0.25">
      <c r="A4" s="113" t="s">
        <v>54</v>
      </c>
      <c r="B4" s="114">
        <v>3</v>
      </c>
      <c r="C4" s="114">
        <v>2</v>
      </c>
      <c r="D4" s="114">
        <v>3</v>
      </c>
      <c r="E4" s="114">
        <v>4</v>
      </c>
      <c r="F4" s="114">
        <v>5</v>
      </c>
      <c r="G4" s="114">
        <v>8</v>
      </c>
      <c r="H4" s="114">
        <v>3</v>
      </c>
      <c r="I4" s="114">
        <v>1</v>
      </c>
      <c r="J4" s="114">
        <v>1</v>
      </c>
      <c r="K4" s="114"/>
      <c r="L4" s="114"/>
      <c r="M4" s="114">
        <v>1</v>
      </c>
      <c r="N4" s="114">
        <v>2</v>
      </c>
      <c r="O4" s="114">
        <v>2</v>
      </c>
      <c r="P4" s="114">
        <v>3</v>
      </c>
      <c r="Q4" s="114">
        <v>1</v>
      </c>
      <c r="R4" s="114">
        <v>2</v>
      </c>
      <c r="S4" s="114">
        <v>3</v>
      </c>
      <c r="T4" s="114"/>
      <c r="U4" s="114">
        <v>4</v>
      </c>
      <c r="V4" s="114">
        <v>2</v>
      </c>
      <c r="W4" s="114">
        <v>1</v>
      </c>
      <c r="X4" s="114">
        <v>1</v>
      </c>
      <c r="Y4" s="114">
        <v>4</v>
      </c>
      <c r="Z4" s="114">
        <v>1</v>
      </c>
      <c r="AA4" s="114"/>
      <c r="AB4" s="114">
        <v>1</v>
      </c>
      <c r="AC4" s="114">
        <v>6</v>
      </c>
      <c r="AD4" s="114">
        <v>1</v>
      </c>
      <c r="AE4" s="114">
        <v>2</v>
      </c>
      <c r="AF4" s="115"/>
      <c r="AG4" s="132">
        <f t="shared" ref="AG4:AG83" si="2">SUM(B4:AF4)</f>
        <v>67</v>
      </c>
    </row>
    <row r="5" spans="1:33" ht="18.75" x14ac:dyDescent="0.25">
      <c r="A5" s="41" t="s">
        <v>55</v>
      </c>
      <c r="B5" s="7">
        <v>2</v>
      </c>
      <c r="C5" s="7">
        <v>6</v>
      </c>
      <c r="D5" s="7">
        <v>2</v>
      </c>
      <c r="E5" s="7">
        <v>6</v>
      </c>
      <c r="F5" s="7">
        <v>8</v>
      </c>
      <c r="G5" s="7">
        <v>5</v>
      </c>
      <c r="H5" s="7">
        <v>5</v>
      </c>
      <c r="I5" s="7">
        <v>5</v>
      </c>
      <c r="J5" s="7">
        <v>3</v>
      </c>
      <c r="K5" s="7">
        <v>3</v>
      </c>
      <c r="L5" s="7">
        <v>5</v>
      </c>
      <c r="M5" s="7">
        <v>9</v>
      </c>
      <c r="N5" s="7">
        <v>1</v>
      </c>
      <c r="O5" s="7">
        <v>10</v>
      </c>
      <c r="P5" s="7">
        <v>6</v>
      </c>
      <c r="Q5" s="7">
        <v>2</v>
      </c>
      <c r="R5" s="7">
        <v>2</v>
      </c>
      <c r="S5" s="7"/>
      <c r="T5" s="7">
        <v>2</v>
      </c>
      <c r="U5" s="7">
        <v>6</v>
      </c>
      <c r="V5" s="7">
        <v>3</v>
      </c>
      <c r="W5" s="7">
        <v>3</v>
      </c>
      <c r="X5" s="7">
        <v>3</v>
      </c>
      <c r="Y5" s="7">
        <v>4</v>
      </c>
      <c r="Z5" s="7">
        <v>1</v>
      </c>
      <c r="AA5" s="7">
        <v>4</v>
      </c>
      <c r="AB5" s="7">
        <v>2</v>
      </c>
      <c r="AC5" s="7">
        <v>9</v>
      </c>
      <c r="AD5" s="7">
        <v>2</v>
      </c>
      <c r="AE5" s="7">
        <v>1</v>
      </c>
      <c r="AF5" s="8"/>
      <c r="AG5" s="4">
        <f t="shared" si="2"/>
        <v>120</v>
      </c>
    </row>
    <row r="6" spans="1:33" ht="18.75" x14ac:dyDescent="0.25">
      <c r="A6" s="41" t="s">
        <v>56</v>
      </c>
      <c r="B6" s="7">
        <v>5</v>
      </c>
      <c r="C6" s="7">
        <v>5</v>
      </c>
      <c r="D6" s="7">
        <v>10</v>
      </c>
      <c r="E6" s="7">
        <v>2</v>
      </c>
      <c r="F6" s="7">
        <v>2</v>
      </c>
      <c r="G6" s="7">
        <v>5</v>
      </c>
      <c r="H6" s="7">
        <v>7</v>
      </c>
      <c r="I6" s="7">
        <v>4</v>
      </c>
      <c r="J6" s="7">
        <v>6</v>
      </c>
      <c r="K6" s="7">
        <v>1</v>
      </c>
      <c r="L6" s="7">
        <v>6</v>
      </c>
      <c r="M6" s="7">
        <v>2</v>
      </c>
      <c r="N6" s="7">
        <v>4</v>
      </c>
      <c r="O6" s="7">
        <v>8</v>
      </c>
      <c r="P6" s="7">
        <v>7</v>
      </c>
      <c r="Q6" s="7">
        <v>2</v>
      </c>
      <c r="R6" s="7">
        <v>3</v>
      </c>
      <c r="S6" s="7">
        <v>5</v>
      </c>
      <c r="T6" s="7">
        <v>2</v>
      </c>
      <c r="U6" s="7">
        <v>1</v>
      </c>
      <c r="V6" s="7">
        <v>8</v>
      </c>
      <c r="W6" s="7">
        <v>7</v>
      </c>
      <c r="X6" s="7">
        <v>3</v>
      </c>
      <c r="Y6" s="7">
        <v>1</v>
      </c>
      <c r="Z6" s="7">
        <v>2</v>
      </c>
      <c r="AA6" s="7">
        <v>5</v>
      </c>
      <c r="AB6" s="7"/>
      <c r="AC6" s="7">
        <v>8</v>
      </c>
      <c r="AD6" s="7">
        <v>9</v>
      </c>
      <c r="AE6" s="7">
        <v>7</v>
      </c>
      <c r="AF6" s="8"/>
      <c r="AG6" s="4">
        <f t="shared" si="2"/>
        <v>137</v>
      </c>
    </row>
    <row r="7" spans="1:33" ht="18.75" x14ac:dyDescent="0.25">
      <c r="A7" s="41" t="s">
        <v>38</v>
      </c>
      <c r="B7" s="7">
        <v>8</v>
      </c>
      <c r="C7" s="7">
        <v>7</v>
      </c>
      <c r="D7" s="7">
        <v>3</v>
      </c>
      <c r="E7" s="7">
        <v>10</v>
      </c>
      <c r="F7" s="7">
        <v>7</v>
      </c>
      <c r="G7" s="7">
        <v>10</v>
      </c>
      <c r="H7" s="7">
        <v>13</v>
      </c>
      <c r="I7" s="7">
        <v>4</v>
      </c>
      <c r="J7" s="7">
        <v>3</v>
      </c>
      <c r="K7" s="7">
        <v>3</v>
      </c>
      <c r="L7" s="7"/>
      <c r="M7" s="7">
        <v>1</v>
      </c>
      <c r="N7" s="7">
        <v>4</v>
      </c>
      <c r="O7" s="7">
        <v>12</v>
      </c>
      <c r="P7" s="7">
        <v>9</v>
      </c>
      <c r="Q7" s="7">
        <v>1</v>
      </c>
      <c r="R7" s="7"/>
      <c r="S7" s="7">
        <v>6</v>
      </c>
      <c r="T7" s="7">
        <v>2</v>
      </c>
      <c r="U7" s="7"/>
      <c r="V7" s="7">
        <v>9</v>
      </c>
      <c r="W7" s="7">
        <v>12</v>
      </c>
      <c r="X7" s="7">
        <v>1</v>
      </c>
      <c r="Y7" s="7">
        <v>1</v>
      </c>
      <c r="Z7" s="7">
        <v>1</v>
      </c>
      <c r="AA7" s="7">
        <v>5</v>
      </c>
      <c r="AB7" s="7">
        <v>4</v>
      </c>
      <c r="AC7" s="7">
        <v>9</v>
      </c>
      <c r="AD7" s="7">
        <v>8</v>
      </c>
      <c r="AE7" s="7">
        <v>4</v>
      </c>
      <c r="AF7" s="8"/>
      <c r="AG7" s="4">
        <f t="shared" si="2"/>
        <v>157</v>
      </c>
    </row>
    <row r="8" spans="1:33" ht="18.75" x14ac:dyDescent="0.25">
      <c r="A8" s="41" t="s">
        <v>39</v>
      </c>
      <c r="B8" s="7">
        <v>12</v>
      </c>
      <c r="C8" s="7">
        <v>4</v>
      </c>
      <c r="D8" s="7">
        <v>5</v>
      </c>
      <c r="E8" s="7">
        <v>8</v>
      </c>
      <c r="F8" s="7">
        <v>6</v>
      </c>
      <c r="G8" s="7">
        <v>4</v>
      </c>
      <c r="H8" s="7">
        <v>11</v>
      </c>
      <c r="I8" s="7">
        <v>11</v>
      </c>
      <c r="J8" s="7">
        <v>1</v>
      </c>
      <c r="K8" s="7"/>
      <c r="L8" s="7">
        <v>3</v>
      </c>
      <c r="M8" s="7">
        <v>3</v>
      </c>
      <c r="N8" s="7"/>
      <c r="O8" s="7">
        <v>9</v>
      </c>
      <c r="P8" s="7">
        <v>7</v>
      </c>
      <c r="Q8" s="7">
        <v>1</v>
      </c>
      <c r="R8" s="7">
        <v>4</v>
      </c>
      <c r="S8" s="7">
        <v>2</v>
      </c>
      <c r="T8" s="7">
        <v>1</v>
      </c>
      <c r="U8" s="7">
        <v>2</v>
      </c>
      <c r="V8" s="7">
        <v>16</v>
      </c>
      <c r="W8" s="7">
        <v>7</v>
      </c>
      <c r="X8" s="7">
        <v>6</v>
      </c>
      <c r="Y8" s="7">
        <v>7</v>
      </c>
      <c r="Z8" s="7">
        <v>3</v>
      </c>
      <c r="AA8" s="7">
        <v>1</v>
      </c>
      <c r="AB8" s="7">
        <v>3</v>
      </c>
      <c r="AC8" s="7">
        <v>14</v>
      </c>
      <c r="AD8" s="7">
        <v>9</v>
      </c>
      <c r="AE8" s="7">
        <v>2</v>
      </c>
      <c r="AF8" s="8"/>
      <c r="AG8" s="4">
        <f t="shared" si="2"/>
        <v>162</v>
      </c>
    </row>
    <row r="9" spans="1:33" ht="18.75" x14ac:dyDescent="0.25">
      <c r="A9" s="41" t="s">
        <v>40</v>
      </c>
      <c r="B9" s="7">
        <v>6</v>
      </c>
      <c r="C9" s="7">
        <v>5</v>
      </c>
      <c r="D9" s="7">
        <v>5</v>
      </c>
      <c r="E9" s="7">
        <v>5</v>
      </c>
      <c r="F9" s="7">
        <v>6</v>
      </c>
      <c r="G9" s="7">
        <v>3</v>
      </c>
      <c r="H9" s="7">
        <v>9</v>
      </c>
      <c r="I9" s="7">
        <v>4</v>
      </c>
      <c r="J9" s="7">
        <v>7</v>
      </c>
      <c r="K9" s="7">
        <v>5</v>
      </c>
      <c r="L9" s="7">
        <v>2</v>
      </c>
      <c r="M9" s="7">
        <v>1</v>
      </c>
      <c r="N9" s="7">
        <v>10</v>
      </c>
      <c r="O9" s="7">
        <v>8</v>
      </c>
      <c r="P9" s="7">
        <v>12</v>
      </c>
      <c r="Q9" s="7">
        <v>5</v>
      </c>
      <c r="R9" s="7">
        <v>12</v>
      </c>
      <c r="S9" s="7">
        <v>1</v>
      </c>
      <c r="T9" s="7">
        <v>2</v>
      </c>
      <c r="U9" s="7">
        <v>2</v>
      </c>
      <c r="V9" s="7">
        <v>7</v>
      </c>
      <c r="W9" s="7">
        <v>12</v>
      </c>
      <c r="X9" s="7">
        <v>7</v>
      </c>
      <c r="Y9" s="7">
        <v>1</v>
      </c>
      <c r="Z9" s="7">
        <v>3</v>
      </c>
      <c r="AA9" s="7">
        <v>1</v>
      </c>
      <c r="AB9" s="7">
        <v>7</v>
      </c>
      <c r="AC9" s="7">
        <v>10</v>
      </c>
      <c r="AD9" s="7">
        <v>6</v>
      </c>
      <c r="AE9" s="7">
        <v>5</v>
      </c>
      <c r="AF9" s="8"/>
      <c r="AG9" s="4">
        <f t="shared" si="2"/>
        <v>169</v>
      </c>
    </row>
    <row r="10" spans="1:33" ht="18.75" x14ac:dyDescent="0.25">
      <c r="A10" s="41" t="s">
        <v>41</v>
      </c>
      <c r="B10" s="7">
        <v>8</v>
      </c>
      <c r="C10" s="7">
        <v>3</v>
      </c>
      <c r="D10" s="7">
        <v>8</v>
      </c>
      <c r="E10" s="7">
        <v>7</v>
      </c>
      <c r="F10" s="7">
        <v>10</v>
      </c>
      <c r="G10" s="7">
        <v>5</v>
      </c>
      <c r="H10" s="7">
        <v>14</v>
      </c>
      <c r="I10" s="7">
        <v>1</v>
      </c>
      <c r="J10" s="7">
        <v>9</v>
      </c>
      <c r="K10" s="7">
        <v>12</v>
      </c>
      <c r="L10" s="7">
        <v>23</v>
      </c>
      <c r="M10" s="7">
        <v>20</v>
      </c>
      <c r="N10" s="7">
        <v>8</v>
      </c>
      <c r="O10" s="7">
        <v>5</v>
      </c>
      <c r="P10" s="7">
        <v>11</v>
      </c>
      <c r="Q10" s="7">
        <v>13</v>
      </c>
      <c r="R10" s="7">
        <v>14</v>
      </c>
      <c r="S10" s="7">
        <v>11</v>
      </c>
      <c r="T10" s="7">
        <v>15</v>
      </c>
      <c r="U10" s="7">
        <v>17</v>
      </c>
      <c r="V10" s="7">
        <v>6</v>
      </c>
      <c r="W10" s="7">
        <v>12</v>
      </c>
      <c r="X10" s="7">
        <v>27</v>
      </c>
      <c r="Y10" s="7">
        <v>18</v>
      </c>
      <c r="Z10" s="7">
        <v>20</v>
      </c>
      <c r="AA10" s="7">
        <v>18</v>
      </c>
      <c r="AB10" s="7">
        <v>18</v>
      </c>
      <c r="AC10" s="7">
        <v>7</v>
      </c>
      <c r="AD10" s="7">
        <v>8</v>
      </c>
      <c r="AE10" s="7">
        <v>20</v>
      </c>
      <c r="AF10" s="8"/>
      <c r="AG10" s="4">
        <f t="shared" si="2"/>
        <v>368</v>
      </c>
    </row>
    <row r="11" spans="1:33" ht="18.75" x14ac:dyDescent="0.25">
      <c r="A11" s="41" t="s">
        <v>42</v>
      </c>
      <c r="B11" s="7">
        <v>4</v>
      </c>
      <c r="C11" s="7">
        <v>7</v>
      </c>
      <c r="D11" s="7">
        <v>7</v>
      </c>
      <c r="E11" s="7">
        <v>5</v>
      </c>
      <c r="F11" s="7">
        <v>6</v>
      </c>
      <c r="G11" s="7">
        <v>6</v>
      </c>
      <c r="H11" s="7">
        <v>6</v>
      </c>
      <c r="I11" s="7">
        <v>6</v>
      </c>
      <c r="J11" s="7">
        <v>8</v>
      </c>
      <c r="K11" s="7">
        <v>14</v>
      </c>
      <c r="L11" s="7">
        <v>9</v>
      </c>
      <c r="M11" s="7">
        <v>13</v>
      </c>
      <c r="N11" s="7">
        <v>8</v>
      </c>
      <c r="O11" s="7">
        <v>6</v>
      </c>
      <c r="P11" s="7">
        <v>7</v>
      </c>
      <c r="Q11" s="7">
        <v>9</v>
      </c>
      <c r="R11" s="7">
        <v>6</v>
      </c>
      <c r="S11" s="7">
        <v>10</v>
      </c>
      <c r="T11" s="7">
        <v>9</v>
      </c>
      <c r="U11" s="7">
        <v>12</v>
      </c>
      <c r="V11" s="7">
        <v>11</v>
      </c>
      <c r="W11" s="7">
        <v>7</v>
      </c>
      <c r="X11" s="7">
        <v>18</v>
      </c>
      <c r="Y11" s="7">
        <v>15</v>
      </c>
      <c r="Z11" s="7">
        <v>11</v>
      </c>
      <c r="AA11" s="7">
        <v>8</v>
      </c>
      <c r="AB11" s="7">
        <v>7</v>
      </c>
      <c r="AC11" s="7">
        <v>1</v>
      </c>
      <c r="AD11" s="7">
        <v>8</v>
      </c>
      <c r="AE11" s="7">
        <v>15</v>
      </c>
      <c r="AF11" s="8"/>
      <c r="AG11" s="4">
        <f t="shared" si="2"/>
        <v>259</v>
      </c>
    </row>
    <row r="12" spans="1:33" ht="18.75" x14ac:dyDescent="0.25">
      <c r="A12" s="41" t="s">
        <v>43</v>
      </c>
      <c r="B12" s="7">
        <v>9</v>
      </c>
      <c r="C12" s="7">
        <v>11</v>
      </c>
      <c r="D12" s="7">
        <v>9</v>
      </c>
      <c r="E12" s="7">
        <v>7</v>
      </c>
      <c r="F12" s="7">
        <v>15</v>
      </c>
      <c r="G12" s="7">
        <v>14</v>
      </c>
      <c r="H12" s="7">
        <v>5</v>
      </c>
      <c r="I12" s="7">
        <v>7</v>
      </c>
      <c r="J12" s="7">
        <v>20</v>
      </c>
      <c r="K12" s="7">
        <v>7</v>
      </c>
      <c r="L12" s="7">
        <v>16</v>
      </c>
      <c r="M12" s="7">
        <v>11</v>
      </c>
      <c r="N12" s="7">
        <v>12</v>
      </c>
      <c r="O12" s="7">
        <v>11</v>
      </c>
      <c r="P12" s="7">
        <v>10</v>
      </c>
      <c r="Q12" s="7">
        <v>21</v>
      </c>
      <c r="R12" s="7">
        <v>13</v>
      </c>
      <c r="S12" s="7">
        <v>8</v>
      </c>
      <c r="T12" s="7">
        <v>15</v>
      </c>
      <c r="U12" s="7">
        <v>18</v>
      </c>
      <c r="V12" s="7">
        <v>13</v>
      </c>
      <c r="W12" s="7">
        <v>12</v>
      </c>
      <c r="X12" s="7">
        <v>17</v>
      </c>
      <c r="Y12" s="7">
        <v>9</v>
      </c>
      <c r="Z12" s="7">
        <v>9</v>
      </c>
      <c r="AA12" s="7">
        <v>16</v>
      </c>
      <c r="AB12" s="7">
        <v>12</v>
      </c>
      <c r="AC12" s="7">
        <v>11</v>
      </c>
      <c r="AD12" s="7">
        <v>9</v>
      </c>
      <c r="AE12" s="7">
        <v>15</v>
      </c>
      <c r="AF12" s="8"/>
      <c r="AG12" s="4">
        <f t="shared" si="2"/>
        <v>362</v>
      </c>
    </row>
    <row r="13" spans="1:33" ht="18.75" x14ac:dyDescent="0.25">
      <c r="A13" s="41" t="s">
        <v>44</v>
      </c>
      <c r="B13" s="7">
        <v>15</v>
      </c>
      <c r="C13" s="7">
        <v>14</v>
      </c>
      <c r="D13" s="7">
        <v>15</v>
      </c>
      <c r="E13" s="7">
        <v>12</v>
      </c>
      <c r="F13" s="7">
        <v>13</v>
      </c>
      <c r="G13" s="7">
        <v>8</v>
      </c>
      <c r="H13" s="7">
        <v>8</v>
      </c>
      <c r="I13" s="7">
        <v>13</v>
      </c>
      <c r="J13" s="7">
        <v>17</v>
      </c>
      <c r="K13" s="7">
        <v>17</v>
      </c>
      <c r="L13" s="7">
        <v>18</v>
      </c>
      <c r="M13" s="7">
        <v>19</v>
      </c>
      <c r="N13" s="7">
        <v>20</v>
      </c>
      <c r="O13" s="7">
        <v>9</v>
      </c>
      <c r="P13" s="7">
        <v>11</v>
      </c>
      <c r="Q13" s="7">
        <v>28</v>
      </c>
      <c r="R13" s="7">
        <v>19</v>
      </c>
      <c r="S13" s="7">
        <v>14</v>
      </c>
      <c r="T13" s="7">
        <v>20</v>
      </c>
      <c r="U13" s="7">
        <v>9</v>
      </c>
      <c r="V13" s="7">
        <v>7</v>
      </c>
      <c r="W13" s="7">
        <v>6</v>
      </c>
      <c r="X13" s="7">
        <v>19</v>
      </c>
      <c r="Y13" s="7">
        <v>16</v>
      </c>
      <c r="Z13" s="7">
        <v>13</v>
      </c>
      <c r="AA13" s="7">
        <v>26</v>
      </c>
      <c r="AB13" s="7">
        <v>21</v>
      </c>
      <c r="AC13" s="7">
        <v>13</v>
      </c>
      <c r="AD13" s="7">
        <v>14</v>
      </c>
      <c r="AE13" s="7">
        <v>20</v>
      </c>
      <c r="AF13" s="8"/>
      <c r="AG13" s="4">
        <f t="shared" si="2"/>
        <v>454</v>
      </c>
    </row>
    <row r="14" spans="1:33" ht="18.75" x14ac:dyDescent="0.25">
      <c r="A14" s="41" t="s">
        <v>45</v>
      </c>
      <c r="B14" s="7">
        <v>8</v>
      </c>
      <c r="C14" s="7">
        <v>15</v>
      </c>
      <c r="D14" s="7">
        <v>9</v>
      </c>
      <c r="E14" s="7">
        <v>10</v>
      </c>
      <c r="F14" s="7">
        <v>16</v>
      </c>
      <c r="G14" s="7">
        <v>4</v>
      </c>
      <c r="H14" s="7">
        <v>9</v>
      </c>
      <c r="I14" s="7">
        <v>9</v>
      </c>
      <c r="J14" s="7">
        <v>18</v>
      </c>
      <c r="K14" s="7">
        <v>16</v>
      </c>
      <c r="L14" s="7">
        <v>12</v>
      </c>
      <c r="M14" s="7">
        <v>11</v>
      </c>
      <c r="N14" s="7">
        <v>6</v>
      </c>
      <c r="O14" s="7">
        <v>10</v>
      </c>
      <c r="P14" s="7">
        <v>7</v>
      </c>
      <c r="Q14" s="7">
        <v>18</v>
      </c>
      <c r="R14" s="7">
        <v>7</v>
      </c>
      <c r="S14" s="7">
        <v>15</v>
      </c>
      <c r="T14" s="7">
        <v>11</v>
      </c>
      <c r="U14" s="7">
        <v>15</v>
      </c>
      <c r="V14" s="7">
        <v>4</v>
      </c>
      <c r="W14" s="7">
        <v>11</v>
      </c>
      <c r="X14" s="7">
        <v>17</v>
      </c>
      <c r="Y14" s="7">
        <v>14</v>
      </c>
      <c r="Z14" s="7">
        <v>19</v>
      </c>
      <c r="AA14" s="7">
        <v>19</v>
      </c>
      <c r="AB14" s="7">
        <v>11</v>
      </c>
      <c r="AC14" s="7">
        <v>5</v>
      </c>
      <c r="AD14" s="7">
        <v>6</v>
      </c>
      <c r="AE14" s="7">
        <v>8</v>
      </c>
      <c r="AF14" s="8"/>
      <c r="AG14" s="4">
        <f t="shared" si="2"/>
        <v>340</v>
      </c>
    </row>
    <row r="15" spans="1:33" ht="18.75" x14ac:dyDescent="0.25">
      <c r="A15" s="41" t="s">
        <v>46</v>
      </c>
      <c r="B15" s="7">
        <v>9</v>
      </c>
      <c r="C15" s="7">
        <v>8</v>
      </c>
      <c r="D15" s="7">
        <v>7</v>
      </c>
      <c r="E15" s="7">
        <v>16</v>
      </c>
      <c r="F15" s="7">
        <v>7</v>
      </c>
      <c r="G15" s="7">
        <v>15</v>
      </c>
      <c r="H15" s="7">
        <v>6</v>
      </c>
      <c r="I15" s="7">
        <v>5</v>
      </c>
      <c r="J15" s="7">
        <v>13</v>
      </c>
      <c r="K15" s="7">
        <v>17</v>
      </c>
      <c r="L15" s="7">
        <v>16</v>
      </c>
      <c r="M15" s="7">
        <v>15</v>
      </c>
      <c r="N15" s="7">
        <v>4</v>
      </c>
      <c r="O15" s="7">
        <v>2</v>
      </c>
      <c r="P15" s="7">
        <v>9</v>
      </c>
      <c r="Q15" s="7">
        <v>8</v>
      </c>
      <c r="R15" s="7">
        <v>7</v>
      </c>
      <c r="S15" s="7">
        <v>10</v>
      </c>
      <c r="T15" s="7">
        <v>16</v>
      </c>
      <c r="U15" s="7">
        <v>8</v>
      </c>
      <c r="V15" s="7">
        <v>7</v>
      </c>
      <c r="W15" s="7">
        <v>8</v>
      </c>
      <c r="X15" s="7">
        <v>10</v>
      </c>
      <c r="Y15" s="7">
        <v>17</v>
      </c>
      <c r="Z15" s="7">
        <v>10</v>
      </c>
      <c r="AA15" s="7">
        <v>11</v>
      </c>
      <c r="AB15" s="7">
        <v>8</v>
      </c>
      <c r="AC15" s="7">
        <v>4</v>
      </c>
      <c r="AD15" s="7">
        <v>4</v>
      </c>
      <c r="AE15" s="7">
        <v>23</v>
      </c>
      <c r="AF15" s="8"/>
      <c r="AG15" s="4">
        <f t="shared" si="2"/>
        <v>300</v>
      </c>
    </row>
    <row r="16" spans="1:33" ht="18.75" x14ac:dyDescent="0.25">
      <c r="A16" s="41" t="s">
        <v>47</v>
      </c>
      <c r="B16" s="7">
        <v>7</v>
      </c>
      <c r="C16" s="7">
        <v>8</v>
      </c>
      <c r="D16" s="7">
        <v>6</v>
      </c>
      <c r="E16" s="7">
        <v>13</v>
      </c>
      <c r="F16" s="7">
        <v>7</v>
      </c>
      <c r="G16" s="7">
        <v>8</v>
      </c>
      <c r="H16" s="7">
        <v>11</v>
      </c>
      <c r="I16" s="7">
        <v>16</v>
      </c>
      <c r="J16" s="7">
        <v>5</v>
      </c>
      <c r="K16" s="7">
        <v>12</v>
      </c>
      <c r="L16" s="7">
        <v>6</v>
      </c>
      <c r="M16" s="7">
        <v>5</v>
      </c>
      <c r="N16" s="7">
        <v>13</v>
      </c>
      <c r="O16" s="7">
        <v>8</v>
      </c>
      <c r="P16" s="7">
        <v>9</v>
      </c>
      <c r="Q16" s="7">
        <v>13</v>
      </c>
      <c r="R16" s="7">
        <v>8</v>
      </c>
      <c r="S16" s="7">
        <v>8</v>
      </c>
      <c r="T16" s="7">
        <v>6</v>
      </c>
      <c r="U16" s="7">
        <v>8</v>
      </c>
      <c r="V16" s="7">
        <v>7</v>
      </c>
      <c r="W16" s="7">
        <v>8</v>
      </c>
      <c r="X16" s="7">
        <v>10</v>
      </c>
      <c r="Y16" s="7">
        <v>7</v>
      </c>
      <c r="Z16" s="7">
        <v>10</v>
      </c>
      <c r="AA16" s="7">
        <v>11</v>
      </c>
      <c r="AB16" s="7">
        <v>7</v>
      </c>
      <c r="AC16" s="7">
        <v>6</v>
      </c>
      <c r="AD16" s="7">
        <v>8</v>
      </c>
      <c r="AE16" s="7">
        <v>12</v>
      </c>
      <c r="AF16" s="8"/>
      <c r="AG16" s="4">
        <f t="shared" si="2"/>
        <v>263</v>
      </c>
    </row>
    <row r="17" spans="1:33" ht="18.75" x14ac:dyDescent="0.25">
      <c r="A17" s="41" t="s">
        <v>48</v>
      </c>
      <c r="B17" s="7">
        <v>3</v>
      </c>
      <c r="C17" s="7">
        <v>13</v>
      </c>
      <c r="D17" s="7">
        <v>14</v>
      </c>
      <c r="E17" s="7">
        <v>8</v>
      </c>
      <c r="F17" s="7">
        <v>11</v>
      </c>
      <c r="G17" s="7">
        <v>12</v>
      </c>
      <c r="H17" s="7">
        <v>4</v>
      </c>
      <c r="I17" s="7">
        <v>4</v>
      </c>
      <c r="J17" s="7">
        <v>18</v>
      </c>
      <c r="K17" s="7">
        <v>8</v>
      </c>
      <c r="L17" s="7">
        <v>18</v>
      </c>
      <c r="M17" s="7">
        <v>9</v>
      </c>
      <c r="N17" s="7">
        <v>6</v>
      </c>
      <c r="O17" s="7">
        <v>6</v>
      </c>
      <c r="P17" s="7">
        <v>4</v>
      </c>
      <c r="Q17" s="7">
        <v>9</v>
      </c>
      <c r="R17" s="7">
        <v>8</v>
      </c>
      <c r="S17" s="7">
        <v>4</v>
      </c>
      <c r="T17" s="7">
        <v>11</v>
      </c>
      <c r="U17" s="7">
        <v>8</v>
      </c>
      <c r="V17" s="7">
        <v>4</v>
      </c>
      <c r="W17" s="7">
        <v>7</v>
      </c>
      <c r="X17" s="7">
        <v>9</v>
      </c>
      <c r="Y17" s="7">
        <v>10</v>
      </c>
      <c r="Z17" s="7">
        <v>12</v>
      </c>
      <c r="AA17" s="7">
        <v>14</v>
      </c>
      <c r="AB17" s="7">
        <v>9</v>
      </c>
      <c r="AC17" s="7">
        <v>8</v>
      </c>
      <c r="AD17" s="7">
        <v>9</v>
      </c>
      <c r="AE17" s="7">
        <v>12</v>
      </c>
      <c r="AF17" s="8"/>
      <c r="AG17" s="4">
        <f t="shared" si="2"/>
        <v>272</v>
      </c>
    </row>
    <row r="18" spans="1:33" ht="18.75" x14ac:dyDescent="0.25">
      <c r="A18" s="41" t="s">
        <v>49</v>
      </c>
      <c r="B18" s="7">
        <v>7</v>
      </c>
      <c r="C18" s="7">
        <v>6</v>
      </c>
      <c r="D18" s="7">
        <v>4</v>
      </c>
      <c r="E18" s="7">
        <v>5</v>
      </c>
      <c r="F18" s="7">
        <v>4</v>
      </c>
      <c r="G18" s="7">
        <v>5</v>
      </c>
      <c r="H18" s="7">
        <v>6</v>
      </c>
      <c r="I18" s="7">
        <v>6</v>
      </c>
      <c r="J18" s="7">
        <v>10</v>
      </c>
      <c r="K18" s="7">
        <v>7</v>
      </c>
      <c r="L18" s="7">
        <v>10</v>
      </c>
      <c r="M18" s="7">
        <v>10</v>
      </c>
      <c r="N18" s="7">
        <v>5</v>
      </c>
      <c r="O18" s="7">
        <v>7</v>
      </c>
      <c r="P18" s="7">
        <v>6</v>
      </c>
      <c r="Q18" s="7">
        <v>3</v>
      </c>
      <c r="R18" s="7">
        <v>8</v>
      </c>
      <c r="S18" s="7">
        <v>5</v>
      </c>
      <c r="T18" s="7">
        <v>5</v>
      </c>
      <c r="U18" s="7">
        <v>10</v>
      </c>
      <c r="V18" s="7">
        <v>10</v>
      </c>
      <c r="W18" s="7">
        <v>11</v>
      </c>
      <c r="X18" s="7">
        <v>10</v>
      </c>
      <c r="Y18" s="7">
        <v>9</v>
      </c>
      <c r="Z18" s="7">
        <v>8</v>
      </c>
      <c r="AA18" s="7">
        <v>14</v>
      </c>
      <c r="AB18" s="7">
        <v>7</v>
      </c>
      <c r="AC18" s="7">
        <v>12</v>
      </c>
      <c r="AD18" s="7">
        <v>14</v>
      </c>
      <c r="AE18" s="7">
        <v>12</v>
      </c>
      <c r="AF18" s="8"/>
      <c r="AG18" s="4">
        <f t="shared" si="2"/>
        <v>236</v>
      </c>
    </row>
    <row r="19" spans="1:33" ht="18.75" x14ac:dyDescent="0.25">
      <c r="A19" s="41" t="s">
        <v>50</v>
      </c>
      <c r="B19" s="7">
        <v>10</v>
      </c>
      <c r="C19" s="7">
        <v>6</v>
      </c>
      <c r="D19" s="7">
        <v>3</v>
      </c>
      <c r="E19" s="7">
        <v>4</v>
      </c>
      <c r="F19" s="7">
        <v>6</v>
      </c>
      <c r="G19" s="7">
        <v>3</v>
      </c>
      <c r="H19" s="7">
        <v>1</v>
      </c>
      <c r="I19" s="7">
        <v>4</v>
      </c>
      <c r="J19" s="7">
        <v>7</v>
      </c>
      <c r="K19" s="7">
        <v>6</v>
      </c>
      <c r="L19" s="7">
        <v>7</v>
      </c>
      <c r="M19" s="7">
        <v>4</v>
      </c>
      <c r="N19" s="7">
        <v>5</v>
      </c>
      <c r="O19" s="7">
        <v>3</v>
      </c>
      <c r="P19" s="7">
        <v>4</v>
      </c>
      <c r="Q19" s="7">
        <v>2</v>
      </c>
      <c r="R19" s="7">
        <v>1</v>
      </c>
      <c r="S19" s="7">
        <v>4</v>
      </c>
      <c r="T19" s="7">
        <v>2</v>
      </c>
      <c r="U19" s="7">
        <v>4</v>
      </c>
      <c r="V19" s="7">
        <v>5</v>
      </c>
      <c r="W19" s="7">
        <v>12</v>
      </c>
      <c r="X19" s="7">
        <v>1</v>
      </c>
      <c r="Y19" s="7">
        <v>9</v>
      </c>
      <c r="Z19" s="7">
        <v>4</v>
      </c>
      <c r="AA19" s="7">
        <v>3</v>
      </c>
      <c r="AB19" s="7">
        <v>3</v>
      </c>
      <c r="AC19" s="7">
        <v>3</v>
      </c>
      <c r="AD19" s="7">
        <v>6</v>
      </c>
      <c r="AE19" s="7">
        <v>13</v>
      </c>
      <c r="AF19" s="8"/>
      <c r="AG19" s="4">
        <f t="shared" si="2"/>
        <v>145</v>
      </c>
    </row>
    <row r="20" spans="1:33" ht="18.75" x14ac:dyDescent="0.25">
      <c r="A20" s="41" t="s">
        <v>33</v>
      </c>
      <c r="B20" s="7">
        <v>2</v>
      </c>
      <c r="C20" s="7">
        <v>1</v>
      </c>
      <c r="D20" s="7">
        <v>3</v>
      </c>
      <c r="E20" s="7">
        <v>2</v>
      </c>
      <c r="F20" s="7">
        <v>4</v>
      </c>
      <c r="G20" s="7">
        <v>8</v>
      </c>
      <c r="H20" s="7">
        <v>4</v>
      </c>
      <c r="I20" s="7">
        <v>2</v>
      </c>
      <c r="J20" s="7">
        <v>5</v>
      </c>
      <c r="K20" s="7">
        <v>3</v>
      </c>
      <c r="L20" s="7">
        <v>8</v>
      </c>
      <c r="M20" s="7">
        <v>7</v>
      </c>
      <c r="N20" s="7">
        <v>6</v>
      </c>
      <c r="O20" s="7">
        <v>5</v>
      </c>
      <c r="P20" s="7">
        <v>2</v>
      </c>
      <c r="Q20" s="7">
        <v>6</v>
      </c>
      <c r="R20" s="7">
        <v>2</v>
      </c>
      <c r="S20" s="7">
        <v>2</v>
      </c>
      <c r="T20" s="7">
        <v>1</v>
      </c>
      <c r="U20" s="7">
        <v>2</v>
      </c>
      <c r="V20" s="7"/>
      <c r="W20" s="7">
        <v>6</v>
      </c>
      <c r="X20" s="7">
        <v>6</v>
      </c>
      <c r="Y20" s="7">
        <v>6</v>
      </c>
      <c r="Z20" s="7">
        <v>5</v>
      </c>
      <c r="AA20" s="7">
        <v>8</v>
      </c>
      <c r="AB20" s="7">
        <v>6</v>
      </c>
      <c r="AC20" s="7">
        <v>2</v>
      </c>
      <c r="AD20" s="7">
        <v>4</v>
      </c>
      <c r="AE20" s="7">
        <v>3</v>
      </c>
      <c r="AF20" s="8"/>
      <c r="AG20" s="4">
        <f t="shared" si="2"/>
        <v>121</v>
      </c>
    </row>
    <row r="21" spans="1:33" ht="18.75" x14ac:dyDescent="0.25">
      <c r="A21" s="41" t="s">
        <v>34</v>
      </c>
      <c r="B21" s="7">
        <v>1</v>
      </c>
      <c r="C21" s="7"/>
      <c r="D21" s="7">
        <v>1</v>
      </c>
      <c r="E21" s="7">
        <v>1</v>
      </c>
      <c r="F21" s="7"/>
      <c r="G21" s="7">
        <v>1</v>
      </c>
      <c r="H21" s="7">
        <v>2</v>
      </c>
      <c r="I21" s="7">
        <v>2</v>
      </c>
      <c r="J21" s="7">
        <v>1</v>
      </c>
      <c r="K21" s="7">
        <v>1</v>
      </c>
      <c r="L21" s="7">
        <v>3</v>
      </c>
      <c r="M21" s="7">
        <v>3</v>
      </c>
      <c r="N21" s="7">
        <v>1</v>
      </c>
      <c r="O21" s="7">
        <v>1</v>
      </c>
      <c r="P21" s="7">
        <v>2</v>
      </c>
      <c r="Q21" s="7"/>
      <c r="R21" s="7"/>
      <c r="S21" s="7">
        <v>1</v>
      </c>
      <c r="T21" s="7">
        <v>3</v>
      </c>
      <c r="U21" s="7">
        <v>1</v>
      </c>
      <c r="V21" s="7">
        <v>2</v>
      </c>
      <c r="W21" s="7">
        <v>1</v>
      </c>
      <c r="X21" s="7">
        <v>2</v>
      </c>
      <c r="Y21" s="7">
        <v>2</v>
      </c>
      <c r="Z21" s="7">
        <v>4</v>
      </c>
      <c r="AA21" s="7">
        <v>1</v>
      </c>
      <c r="AB21" s="7">
        <v>4</v>
      </c>
      <c r="AC21" s="7">
        <v>1</v>
      </c>
      <c r="AD21" s="7">
        <v>3</v>
      </c>
      <c r="AE21" s="7">
        <v>8</v>
      </c>
      <c r="AF21" s="8"/>
      <c r="AG21" s="4">
        <f t="shared" si="2"/>
        <v>53</v>
      </c>
    </row>
    <row r="22" spans="1:33" ht="18.75" x14ac:dyDescent="0.25">
      <c r="A22" s="41" t="s">
        <v>35</v>
      </c>
      <c r="B22" s="7"/>
      <c r="C22" s="7">
        <v>1</v>
      </c>
      <c r="D22" s="7">
        <v>1</v>
      </c>
      <c r="E22" s="7">
        <v>2</v>
      </c>
      <c r="F22" s="7"/>
      <c r="G22" s="7"/>
      <c r="H22" s="7">
        <v>2</v>
      </c>
      <c r="I22" s="7">
        <v>1</v>
      </c>
      <c r="J22" s="7">
        <v>2</v>
      </c>
      <c r="K22" s="7"/>
      <c r="L22" s="7">
        <v>1</v>
      </c>
      <c r="M22" s="7">
        <v>5</v>
      </c>
      <c r="N22" s="7">
        <v>2</v>
      </c>
      <c r="O22" s="7"/>
      <c r="P22" s="7"/>
      <c r="Q22" s="7">
        <v>1</v>
      </c>
      <c r="R22" s="7">
        <v>1</v>
      </c>
      <c r="S22" s="7">
        <v>2</v>
      </c>
      <c r="T22" s="7"/>
      <c r="U22" s="7"/>
      <c r="V22" s="7">
        <v>1</v>
      </c>
      <c r="W22" s="7"/>
      <c r="X22" s="7">
        <v>3</v>
      </c>
      <c r="Y22" s="7">
        <v>1</v>
      </c>
      <c r="Z22" s="7">
        <v>2</v>
      </c>
      <c r="AA22" s="7"/>
      <c r="AB22" s="7"/>
      <c r="AC22" s="7">
        <v>1</v>
      </c>
      <c r="AD22" s="7"/>
      <c r="AE22" s="7"/>
      <c r="AF22" s="8"/>
      <c r="AG22" s="4">
        <f t="shared" si="2"/>
        <v>29</v>
      </c>
    </row>
    <row r="23" spans="1:33" ht="18.75" x14ac:dyDescent="0.25">
      <c r="A23" s="41" t="s">
        <v>36</v>
      </c>
      <c r="B23" s="7">
        <v>1</v>
      </c>
      <c r="C23" s="7">
        <v>1</v>
      </c>
      <c r="D23" s="7"/>
      <c r="E23" s="7"/>
      <c r="F23" s="7">
        <v>2</v>
      </c>
      <c r="G23" s="7"/>
      <c r="H23" s="7">
        <v>1</v>
      </c>
      <c r="I23" s="7">
        <v>1</v>
      </c>
      <c r="J23" s="7"/>
      <c r="K23" s="7"/>
      <c r="L23" s="7">
        <v>2</v>
      </c>
      <c r="M23" s="7">
        <v>1</v>
      </c>
      <c r="N23" s="7"/>
      <c r="O23" s="7">
        <v>3</v>
      </c>
      <c r="P23" s="7"/>
      <c r="Q23" s="7"/>
      <c r="R23" s="7"/>
      <c r="S23" s="7">
        <v>1</v>
      </c>
      <c r="T23" s="7"/>
      <c r="U23" s="7"/>
      <c r="V23" s="7">
        <v>1</v>
      </c>
      <c r="W23" s="7">
        <v>5</v>
      </c>
      <c r="X23" s="7">
        <v>2</v>
      </c>
      <c r="Y23" s="7"/>
      <c r="Z23" s="7">
        <v>1</v>
      </c>
      <c r="AA23" s="7"/>
      <c r="AB23" s="7"/>
      <c r="AC23" s="7">
        <v>1</v>
      </c>
      <c r="AD23" s="7"/>
      <c r="AE23" s="7">
        <v>3</v>
      </c>
      <c r="AF23" s="8"/>
      <c r="AG23" s="4">
        <f t="shared" si="2"/>
        <v>26</v>
      </c>
    </row>
    <row r="24" spans="1:33" ht="18.75" x14ac:dyDescent="0.25">
      <c r="A24" s="41" t="s">
        <v>51</v>
      </c>
      <c r="B24" s="7">
        <v>2</v>
      </c>
      <c r="C24" s="7">
        <v>3</v>
      </c>
      <c r="D24" s="7"/>
      <c r="E24" s="7"/>
      <c r="F24" s="7"/>
      <c r="G24" s="7"/>
      <c r="H24" s="7">
        <v>1</v>
      </c>
      <c r="I24" s="7">
        <v>1</v>
      </c>
      <c r="J24" s="7"/>
      <c r="K24" s="7"/>
      <c r="L24" s="7"/>
      <c r="M24" s="7"/>
      <c r="N24" s="7"/>
      <c r="O24" s="7"/>
      <c r="P24" s="7">
        <v>3</v>
      </c>
      <c r="Q24" s="7"/>
      <c r="R24" s="7"/>
      <c r="S24" s="7">
        <v>1</v>
      </c>
      <c r="T24" s="7"/>
      <c r="U24" s="7">
        <v>1</v>
      </c>
      <c r="V24" s="7"/>
      <c r="W24" s="7"/>
      <c r="X24" s="7">
        <v>1</v>
      </c>
      <c r="Y24" s="7"/>
      <c r="Z24" s="7">
        <v>1</v>
      </c>
      <c r="AA24" s="7"/>
      <c r="AB24" s="7">
        <v>1</v>
      </c>
      <c r="AC24" s="7">
        <v>1</v>
      </c>
      <c r="AD24" s="7">
        <v>3</v>
      </c>
      <c r="AE24" s="7"/>
      <c r="AF24" s="8"/>
      <c r="AG24" s="4">
        <f t="shared" si="2"/>
        <v>19</v>
      </c>
    </row>
    <row r="25" spans="1:33" ht="18.75" x14ac:dyDescent="0.25">
      <c r="A25" s="41" t="s">
        <v>52</v>
      </c>
      <c r="B25" s="7"/>
      <c r="C25" s="7"/>
      <c r="D25" s="7">
        <v>2</v>
      </c>
      <c r="E25" s="7"/>
      <c r="F25" s="7"/>
      <c r="G25" s="7">
        <v>1</v>
      </c>
      <c r="H25" s="7">
        <v>1</v>
      </c>
      <c r="I25" s="7"/>
      <c r="J25" s="7"/>
      <c r="K25" s="7"/>
      <c r="L25" s="7">
        <v>1</v>
      </c>
      <c r="M25" s="7"/>
      <c r="N25" s="7"/>
      <c r="O25" s="7"/>
      <c r="P25" s="7">
        <v>3</v>
      </c>
      <c r="Q25" s="7">
        <v>1</v>
      </c>
      <c r="R25" s="7"/>
      <c r="S25" s="7"/>
      <c r="T25" s="7">
        <v>2</v>
      </c>
      <c r="U25" s="7"/>
      <c r="V25" s="7"/>
      <c r="W25" s="7">
        <v>1</v>
      </c>
      <c r="X25" s="7"/>
      <c r="Y25" s="7"/>
      <c r="Z25" s="7"/>
      <c r="AA25" s="7"/>
      <c r="AB25" s="7"/>
      <c r="AC25" s="7">
        <v>1</v>
      </c>
      <c r="AD25" s="7"/>
      <c r="AE25" s="7"/>
      <c r="AF25" s="8"/>
      <c r="AG25" s="4">
        <f t="shared" si="2"/>
        <v>13</v>
      </c>
    </row>
    <row r="26" spans="1:33" ht="18.75" x14ac:dyDescent="0.25">
      <c r="A26" s="41" t="s">
        <v>37</v>
      </c>
      <c r="B26" s="7"/>
      <c r="C26" s="7"/>
      <c r="D26" s="7">
        <v>1</v>
      </c>
      <c r="E26" s="7"/>
      <c r="F26" s="7"/>
      <c r="G26" s="7"/>
      <c r="H26" s="7"/>
      <c r="I26" s="7">
        <v>2</v>
      </c>
      <c r="J26" s="7">
        <v>1</v>
      </c>
      <c r="K26" s="7">
        <v>1</v>
      </c>
      <c r="L26" s="7"/>
      <c r="M26" s="7">
        <v>1</v>
      </c>
      <c r="N26" s="7">
        <v>1</v>
      </c>
      <c r="O26" s="7"/>
      <c r="P26" s="7"/>
      <c r="Q26" s="7">
        <v>2</v>
      </c>
      <c r="R26" s="7">
        <v>3</v>
      </c>
      <c r="S26" s="7"/>
      <c r="T26" s="7"/>
      <c r="U26" s="7">
        <v>5</v>
      </c>
      <c r="V26" s="7"/>
      <c r="W26" s="7">
        <v>1</v>
      </c>
      <c r="X26" s="7">
        <v>2</v>
      </c>
      <c r="Y26" s="7"/>
      <c r="Z26" s="7">
        <v>1</v>
      </c>
      <c r="AA26" s="7">
        <v>2</v>
      </c>
      <c r="AB26" s="7">
        <v>1</v>
      </c>
      <c r="AC26" s="7"/>
      <c r="AD26" s="7">
        <v>2</v>
      </c>
      <c r="AE26" s="7"/>
      <c r="AF26" s="8"/>
      <c r="AG26" s="4">
        <f t="shared" si="2"/>
        <v>26</v>
      </c>
    </row>
    <row r="27" spans="1:33" ht="19.5" thickBot="1" x14ac:dyDescent="0.3">
      <c r="A27" s="81" t="s">
        <v>53</v>
      </c>
      <c r="B27" s="78"/>
      <c r="C27" s="78"/>
      <c r="D27" s="78"/>
      <c r="E27" s="78">
        <v>1</v>
      </c>
      <c r="F27" s="78"/>
      <c r="G27" s="78">
        <v>1</v>
      </c>
      <c r="H27" s="78"/>
      <c r="I27" s="78"/>
      <c r="J27" s="78">
        <v>1</v>
      </c>
      <c r="K27" s="78"/>
      <c r="L27" s="78"/>
      <c r="M27" s="78">
        <v>1</v>
      </c>
      <c r="N27" s="78">
        <v>1</v>
      </c>
      <c r="O27" s="78"/>
      <c r="P27" s="78">
        <v>1</v>
      </c>
      <c r="Q27" s="78"/>
      <c r="R27" s="78"/>
      <c r="S27" s="78"/>
      <c r="T27" s="78">
        <v>2</v>
      </c>
      <c r="U27" s="78">
        <v>4</v>
      </c>
      <c r="V27" s="78">
        <v>1</v>
      </c>
      <c r="W27" s="78">
        <v>1</v>
      </c>
      <c r="X27" s="78"/>
      <c r="Y27" s="78"/>
      <c r="Z27" s="78">
        <v>1</v>
      </c>
      <c r="AA27" s="78">
        <v>1</v>
      </c>
      <c r="AB27" s="78">
        <v>2</v>
      </c>
      <c r="AC27" s="78">
        <v>1</v>
      </c>
      <c r="AD27" s="78"/>
      <c r="AE27" s="78">
        <v>1</v>
      </c>
      <c r="AF27" s="83"/>
      <c r="AG27" s="4">
        <f t="shared" si="2"/>
        <v>20</v>
      </c>
    </row>
    <row r="28" spans="1:33" ht="18.75" x14ac:dyDescent="0.25">
      <c r="A28" s="79" t="s">
        <v>107</v>
      </c>
      <c r="B28" s="80">
        <f>SUM(B29:B52)</f>
        <v>109</v>
      </c>
      <c r="C28" s="80">
        <f t="shared" ref="C28:AF28" si="3">SUM(C29:C52)</f>
        <v>123</v>
      </c>
      <c r="D28" s="80">
        <f t="shared" si="3"/>
        <v>112</v>
      </c>
      <c r="E28" s="80">
        <f t="shared" si="3"/>
        <v>124</v>
      </c>
      <c r="F28" s="80">
        <f t="shared" si="3"/>
        <v>131</v>
      </c>
      <c r="G28" s="80">
        <f t="shared" si="3"/>
        <v>117</v>
      </c>
      <c r="H28" s="80">
        <f t="shared" si="3"/>
        <v>126</v>
      </c>
      <c r="I28" s="80">
        <f t="shared" si="3"/>
        <v>108</v>
      </c>
      <c r="J28" s="80">
        <f t="shared" si="3"/>
        <v>147</v>
      </c>
      <c r="K28" s="80">
        <f t="shared" si="3"/>
        <v>127</v>
      </c>
      <c r="L28" s="80">
        <f t="shared" si="3"/>
        <v>145</v>
      </c>
      <c r="M28" s="80">
        <f t="shared" si="3"/>
        <v>140</v>
      </c>
      <c r="N28" s="80">
        <f t="shared" si="3"/>
        <v>113</v>
      </c>
      <c r="O28" s="80">
        <f t="shared" si="3"/>
        <v>123</v>
      </c>
      <c r="P28" s="80">
        <f t="shared" si="3"/>
        <v>130</v>
      </c>
      <c r="Q28" s="80">
        <f t="shared" si="3"/>
        <v>125</v>
      </c>
      <c r="R28" s="80">
        <f t="shared" si="3"/>
        <v>112</v>
      </c>
      <c r="S28" s="80">
        <f t="shared" si="3"/>
        <v>107</v>
      </c>
      <c r="T28" s="80">
        <f t="shared" si="3"/>
        <v>122</v>
      </c>
      <c r="U28" s="80">
        <f t="shared" si="3"/>
        <v>133</v>
      </c>
      <c r="V28" s="80">
        <f t="shared" si="3"/>
        <v>120</v>
      </c>
      <c r="W28" s="80">
        <f t="shared" si="3"/>
        <v>142</v>
      </c>
      <c r="X28" s="80">
        <f t="shared" si="3"/>
        <v>160</v>
      </c>
      <c r="Y28" s="80">
        <f t="shared" si="3"/>
        <v>147</v>
      </c>
      <c r="Z28" s="80">
        <f t="shared" si="3"/>
        <v>134</v>
      </c>
      <c r="AA28" s="80">
        <f t="shared" si="3"/>
        <v>149</v>
      </c>
      <c r="AB28" s="80">
        <f t="shared" si="3"/>
        <v>126</v>
      </c>
      <c r="AC28" s="80">
        <f t="shared" si="3"/>
        <v>126</v>
      </c>
      <c r="AD28" s="80">
        <f t="shared" si="3"/>
        <v>123</v>
      </c>
      <c r="AE28" s="80">
        <f>SUM(AE29:AE52)</f>
        <v>173</v>
      </c>
      <c r="AF28" s="80">
        <f t="shared" si="3"/>
        <v>0</v>
      </c>
      <c r="AG28" s="150">
        <f t="shared" si="2"/>
        <v>3874</v>
      </c>
    </row>
    <row r="29" spans="1:33" ht="18.75" x14ac:dyDescent="0.25">
      <c r="A29" s="41" t="s">
        <v>54</v>
      </c>
      <c r="B29" s="7"/>
      <c r="C29" s="7">
        <v>1</v>
      </c>
      <c r="D29" s="7">
        <v>2</v>
      </c>
      <c r="E29" s="7">
        <v>3</v>
      </c>
      <c r="F29" s="7"/>
      <c r="G29" s="7"/>
      <c r="H29" s="7"/>
      <c r="I29" s="7">
        <v>1</v>
      </c>
      <c r="J29" s="7">
        <v>1</v>
      </c>
      <c r="K29" s="7"/>
      <c r="L29" s="7"/>
      <c r="M29" s="7"/>
      <c r="N29" s="7">
        <v>1</v>
      </c>
      <c r="O29" s="7">
        <v>1</v>
      </c>
      <c r="P29" s="7"/>
      <c r="Q29" s="7"/>
      <c r="R29" s="7"/>
      <c r="S29" s="7">
        <v>1</v>
      </c>
      <c r="T29" s="7"/>
      <c r="U29" s="7">
        <v>4</v>
      </c>
      <c r="V29" s="7">
        <v>2</v>
      </c>
      <c r="W29" s="7">
        <v>2</v>
      </c>
      <c r="X29" s="7">
        <v>1</v>
      </c>
      <c r="Y29" s="7">
        <v>2</v>
      </c>
      <c r="Z29" s="7">
        <v>1</v>
      </c>
      <c r="AA29" s="7">
        <v>1</v>
      </c>
      <c r="AB29" s="7"/>
      <c r="AC29" s="7">
        <v>3</v>
      </c>
      <c r="AD29" s="7"/>
      <c r="AE29" s="7">
        <v>2</v>
      </c>
      <c r="AF29" s="8"/>
      <c r="AG29" s="4">
        <f t="shared" si="2"/>
        <v>29</v>
      </c>
    </row>
    <row r="30" spans="1:33" ht="18.75" x14ac:dyDescent="0.25">
      <c r="A30" s="41" t="s">
        <v>55</v>
      </c>
      <c r="B30" s="7">
        <v>3</v>
      </c>
      <c r="C30" s="7">
        <v>2</v>
      </c>
      <c r="D30" s="7">
        <v>2</v>
      </c>
      <c r="E30" s="7">
        <v>3</v>
      </c>
      <c r="F30" s="7">
        <v>6</v>
      </c>
      <c r="G30" s="7">
        <v>6</v>
      </c>
      <c r="H30" s="7">
        <v>2</v>
      </c>
      <c r="I30" s="7">
        <v>4</v>
      </c>
      <c r="J30" s="7">
        <v>2</v>
      </c>
      <c r="K30" s="7"/>
      <c r="L30" s="7">
        <v>3</v>
      </c>
      <c r="M30" s="7">
        <v>5</v>
      </c>
      <c r="N30" s="7">
        <v>3</v>
      </c>
      <c r="O30" s="7">
        <v>6</v>
      </c>
      <c r="P30" s="7">
        <v>7</v>
      </c>
      <c r="Q30" s="7">
        <v>3</v>
      </c>
      <c r="R30" s="7">
        <v>2</v>
      </c>
      <c r="S30" s="7">
        <v>2</v>
      </c>
      <c r="T30" s="7">
        <v>1</v>
      </c>
      <c r="U30" s="7">
        <v>3</v>
      </c>
      <c r="V30" s="7">
        <v>1</v>
      </c>
      <c r="W30" s="7">
        <v>2</v>
      </c>
      <c r="X30" s="7">
        <v>1</v>
      </c>
      <c r="Y30" s="7">
        <v>3</v>
      </c>
      <c r="Z30" s="7">
        <v>1</v>
      </c>
      <c r="AA30" s="7">
        <v>2</v>
      </c>
      <c r="AB30" s="7">
        <v>2</v>
      </c>
      <c r="AC30" s="7">
        <v>7</v>
      </c>
      <c r="AD30" s="7">
        <v>1</v>
      </c>
      <c r="AE30" s="7">
        <v>2</v>
      </c>
      <c r="AF30" s="8"/>
      <c r="AG30" s="4">
        <f t="shared" si="2"/>
        <v>87</v>
      </c>
    </row>
    <row r="31" spans="1:33" ht="18.75" x14ac:dyDescent="0.25">
      <c r="A31" s="41" t="s">
        <v>56</v>
      </c>
      <c r="B31" s="7">
        <v>1</v>
      </c>
      <c r="C31" s="7">
        <v>5</v>
      </c>
      <c r="D31" s="7">
        <v>3</v>
      </c>
      <c r="E31" s="7">
        <v>6</v>
      </c>
      <c r="F31" s="7">
        <v>6</v>
      </c>
      <c r="G31" s="7">
        <v>8</v>
      </c>
      <c r="H31" s="7">
        <v>10</v>
      </c>
      <c r="I31" s="7">
        <v>2</v>
      </c>
      <c r="J31" s="7">
        <v>3</v>
      </c>
      <c r="K31" s="7">
        <v>3</v>
      </c>
      <c r="L31" s="7">
        <v>2</v>
      </c>
      <c r="M31" s="7">
        <v>5</v>
      </c>
      <c r="N31" s="7"/>
      <c r="O31" s="7">
        <v>8</v>
      </c>
      <c r="P31" s="7">
        <v>8</v>
      </c>
      <c r="Q31" s="7">
        <v>1</v>
      </c>
      <c r="R31" s="7">
        <v>3</v>
      </c>
      <c r="S31" s="7">
        <v>1</v>
      </c>
      <c r="T31" s="7"/>
      <c r="U31" s="7">
        <v>4</v>
      </c>
      <c r="V31" s="7">
        <v>9</v>
      </c>
      <c r="W31" s="7">
        <v>4</v>
      </c>
      <c r="X31" s="7">
        <v>4</v>
      </c>
      <c r="Y31" s="7">
        <v>3</v>
      </c>
      <c r="Z31" s="7"/>
      <c r="AA31" s="7">
        <v>2</v>
      </c>
      <c r="AB31" s="7">
        <v>1</v>
      </c>
      <c r="AC31" s="7">
        <v>9</v>
      </c>
      <c r="AD31" s="7">
        <v>10</v>
      </c>
      <c r="AE31" s="7">
        <v>2</v>
      </c>
      <c r="AF31" s="8"/>
      <c r="AG31" s="4">
        <f t="shared" si="2"/>
        <v>123</v>
      </c>
    </row>
    <row r="32" spans="1:33" ht="18.75" x14ac:dyDescent="0.25">
      <c r="A32" s="41" t="s">
        <v>38</v>
      </c>
      <c r="B32" s="7">
        <v>9</v>
      </c>
      <c r="C32" s="7">
        <v>5</v>
      </c>
      <c r="D32" s="7">
        <v>8</v>
      </c>
      <c r="E32" s="7">
        <v>4</v>
      </c>
      <c r="F32" s="7">
        <v>6</v>
      </c>
      <c r="G32" s="7">
        <v>5</v>
      </c>
      <c r="H32" s="7">
        <v>10</v>
      </c>
      <c r="I32" s="7">
        <v>7</v>
      </c>
      <c r="J32" s="7">
        <v>4</v>
      </c>
      <c r="K32" s="7">
        <v>3</v>
      </c>
      <c r="L32" s="7">
        <v>3</v>
      </c>
      <c r="M32" s="7">
        <v>3</v>
      </c>
      <c r="N32" s="7">
        <v>4</v>
      </c>
      <c r="O32" s="7">
        <v>14</v>
      </c>
      <c r="P32" s="7">
        <v>5</v>
      </c>
      <c r="Q32" s="7">
        <v>2</v>
      </c>
      <c r="R32" s="7">
        <v>2</v>
      </c>
      <c r="S32" s="7">
        <v>2</v>
      </c>
      <c r="T32" s="7">
        <v>2</v>
      </c>
      <c r="U32" s="7">
        <v>2</v>
      </c>
      <c r="V32" s="7">
        <v>7</v>
      </c>
      <c r="W32" s="7">
        <v>10</v>
      </c>
      <c r="X32" s="7">
        <v>1</v>
      </c>
      <c r="Y32" s="7">
        <v>2</v>
      </c>
      <c r="Z32" s="7">
        <v>2</v>
      </c>
      <c r="AA32" s="7">
        <v>2</v>
      </c>
      <c r="AB32" s="7">
        <v>1</v>
      </c>
      <c r="AC32" s="7">
        <v>10</v>
      </c>
      <c r="AD32" s="7">
        <v>5</v>
      </c>
      <c r="AE32" s="7">
        <v>4</v>
      </c>
      <c r="AF32" s="8"/>
      <c r="AG32" s="4">
        <f t="shared" si="2"/>
        <v>144</v>
      </c>
    </row>
    <row r="33" spans="1:33" ht="18.75" x14ac:dyDescent="0.25">
      <c r="A33" s="41" t="s">
        <v>39</v>
      </c>
      <c r="B33" s="7">
        <v>4</v>
      </c>
      <c r="C33" s="7">
        <v>8</v>
      </c>
      <c r="D33" s="7">
        <v>5</v>
      </c>
      <c r="E33" s="7">
        <v>11</v>
      </c>
      <c r="F33" s="7">
        <v>7</v>
      </c>
      <c r="G33" s="7">
        <v>9</v>
      </c>
      <c r="H33" s="7">
        <v>7</v>
      </c>
      <c r="I33" s="7">
        <v>6</v>
      </c>
      <c r="J33" s="7">
        <v>2</v>
      </c>
      <c r="K33" s="7"/>
      <c r="L33" s="7">
        <v>3</v>
      </c>
      <c r="M33" s="7">
        <v>2</v>
      </c>
      <c r="N33" s="7">
        <v>3</v>
      </c>
      <c r="O33" s="7">
        <v>7</v>
      </c>
      <c r="P33" s="7">
        <v>6</v>
      </c>
      <c r="Q33" s="7">
        <v>1</v>
      </c>
      <c r="R33" s="7">
        <v>4</v>
      </c>
      <c r="S33" s="7">
        <v>4</v>
      </c>
      <c r="T33" s="7">
        <v>1</v>
      </c>
      <c r="U33" s="7">
        <v>1</v>
      </c>
      <c r="V33" s="7">
        <v>8</v>
      </c>
      <c r="W33" s="7">
        <v>12</v>
      </c>
      <c r="X33" s="7">
        <v>2</v>
      </c>
      <c r="Y33" s="7">
        <v>2</v>
      </c>
      <c r="Z33" s="7">
        <v>3</v>
      </c>
      <c r="AA33" s="7">
        <v>7</v>
      </c>
      <c r="AB33" s="7">
        <v>2</v>
      </c>
      <c r="AC33" s="7">
        <v>8</v>
      </c>
      <c r="AD33" s="7">
        <v>5</v>
      </c>
      <c r="AE33" s="7">
        <v>3</v>
      </c>
      <c r="AF33" s="8"/>
      <c r="AG33" s="4">
        <f t="shared" si="2"/>
        <v>143</v>
      </c>
    </row>
    <row r="34" spans="1:33" ht="18.75" x14ac:dyDescent="0.25">
      <c r="A34" s="41" t="s">
        <v>40</v>
      </c>
      <c r="B34" s="7">
        <v>7</v>
      </c>
      <c r="C34" s="7">
        <v>8</v>
      </c>
      <c r="D34" s="7">
        <v>2</v>
      </c>
      <c r="E34" s="7">
        <v>8</v>
      </c>
      <c r="F34" s="7">
        <v>3</v>
      </c>
      <c r="G34" s="7">
        <v>2</v>
      </c>
      <c r="H34" s="7">
        <v>12</v>
      </c>
      <c r="I34" s="7">
        <v>8</v>
      </c>
      <c r="J34" s="7">
        <v>2</v>
      </c>
      <c r="K34" s="7">
        <v>1</v>
      </c>
      <c r="L34" s="7">
        <v>2</v>
      </c>
      <c r="M34" s="7">
        <v>2</v>
      </c>
      <c r="N34" s="7">
        <v>1</v>
      </c>
      <c r="O34" s="7">
        <v>11</v>
      </c>
      <c r="P34" s="7">
        <v>9</v>
      </c>
      <c r="Q34" s="7">
        <v>2</v>
      </c>
      <c r="R34" s="7"/>
      <c r="S34" s="7">
        <v>4</v>
      </c>
      <c r="T34" s="7">
        <v>2</v>
      </c>
      <c r="U34" s="7">
        <v>2</v>
      </c>
      <c r="V34" s="7">
        <v>13</v>
      </c>
      <c r="W34" s="7">
        <v>12</v>
      </c>
      <c r="X34" s="7">
        <v>3</v>
      </c>
      <c r="Y34" s="7">
        <v>5</v>
      </c>
      <c r="Z34" s="7">
        <v>1</v>
      </c>
      <c r="AA34" s="7">
        <v>2</v>
      </c>
      <c r="AB34" s="7">
        <v>4</v>
      </c>
      <c r="AC34" s="7">
        <v>8</v>
      </c>
      <c r="AD34" s="7">
        <v>6</v>
      </c>
      <c r="AE34" s="7">
        <v>4</v>
      </c>
      <c r="AF34" s="8"/>
      <c r="AG34" s="4">
        <f t="shared" si="2"/>
        <v>146</v>
      </c>
    </row>
    <row r="35" spans="1:33" ht="18.75" x14ac:dyDescent="0.25">
      <c r="A35" s="41" t="s">
        <v>41</v>
      </c>
      <c r="B35" s="7">
        <v>7</v>
      </c>
      <c r="C35" s="7">
        <v>2</v>
      </c>
      <c r="D35" s="7">
        <v>9</v>
      </c>
      <c r="E35" s="7">
        <v>6</v>
      </c>
      <c r="F35" s="7">
        <v>7</v>
      </c>
      <c r="G35" s="7">
        <v>3</v>
      </c>
      <c r="H35" s="7">
        <v>9</v>
      </c>
      <c r="I35" s="7">
        <v>1</v>
      </c>
      <c r="J35" s="7">
        <v>11</v>
      </c>
      <c r="K35" s="7">
        <v>10</v>
      </c>
      <c r="L35" s="7">
        <v>6</v>
      </c>
      <c r="M35" s="7">
        <v>8</v>
      </c>
      <c r="N35" s="7">
        <v>9</v>
      </c>
      <c r="O35" s="7">
        <v>7</v>
      </c>
      <c r="P35" s="7">
        <v>14</v>
      </c>
      <c r="Q35" s="7">
        <v>8</v>
      </c>
      <c r="R35" s="7">
        <v>8</v>
      </c>
      <c r="S35" s="7">
        <v>8</v>
      </c>
      <c r="T35" s="7">
        <v>7</v>
      </c>
      <c r="U35" s="7">
        <v>7</v>
      </c>
      <c r="V35" s="7">
        <v>9</v>
      </c>
      <c r="W35" s="7">
        <v>2</v>
      </c>
      <c r="X35" s="7">
        <v>18</v>
      </c>
      <c r="Y35" s="7">
        <v>7</v>
      </c>
      <c r="Z35" s="7">
        <v>11</v>
      </c>
      <c r="AA35" s="7">
        <v>8</v>
      </c>
      <c r="AB35" s="7">
        <v>11</v>
      </c>
      <c r="AC35" s="7">
        <v>8</v>
      </c>
      <c r="AD35" s="7">
        <v>12</v>
      </c>
      <c r="AE35" s="7">
        <v>10</v>
      </c>
      <c r="AF35" s="8"/>
      <c r="AG35" s="4">
        <f t="shared" si="2"/>
        <v>243</v>
      </c>
    </row>
    <row r="36" spans="1:33" ht="18.75" x14ac:dyDescent="0.25">
      <c r="A36" s="41" t="s">
        <v>42</v>
      </c>
      <c r="B36" s="7">
        <v>5</v>
      </c>
      <c r="C36" s="7">
        <v>7</v>
      </c>
      <c r="D36" s="7">
        <v>5</v>
      </c>
      <c r="E36" s="7">
        <v>5</v>
      </c>
      <c r="F36" s="7">
        <v>11</v>
      </c>
      <c r="G36" s="7">
        <v>8</v>
      </c>
      <c r="H36" s="7">
        <v>11</v>
      </c>
      <c r="I36" s="7">
        <v>3</v>
      </c>
      <c r="J36" s="7">
        <v>11</v>
      </c>
      <c r="K36" s="7">
        <v>12</v>
      </c>
      <c r="L36" s="7">
        <v>9</v>
      </c>
      <c r="M36" s="7">
        <v>15</v>
      </c>
      <c r="N36" s="7">
        <v>12</v>
      </c>
      <c r="O36" s="7">
        <v>4</v>
      </c>
      <c r="P36" s="7">
        <v>7</v>
      </c>
      <c r="Q36" s="7">
        <v>8</v>
      </c>
      <c r="R36" s="7">
        <v>14</v>
      </c>
      <c r="S36" s="7">
        <v>11</v>
      </c>
      <c r="T36" s="7">
        <v>12</v>
      </c>
      <c r="U36" s="7">
        <v>12</v>
      </c>
      <c r="V36" s="7">
        <v>6</v>
      </c>
      <c r="W36" s="7">
        <v>12</v>
      </c>
      <c r="X36" s="7">
        <v>19</v>
      </c>
      <c r="Y36" s="7">
        <v>15</v>
      </c>
      <c r="Z36" s="7">
        <v>14</v>
      </c>
      <c r="AA36" s="7">
        <v>9</v>
      </c>
      <c r="AB36" s="7">
        <v>11</v>
      </c>
      <c r="AC36" s="7">
        <v>7</v>
      </c>
      <c r="AD36" s="7">
        <v>6</v>
      </c>
      <c r="AE36" s="7">
        <v>15</v>
      </c>
      <c r="AF36" s="8"/>
      <c r="AG36" s="4">
        <f t="shared" si="2"/>
        <v>296</v>
      </c>
    </row>
    <row r="37" spans="1:33" ht="18.75" x14ac:dyDescent="0.25">
      <c r="A37" s="41" t="s">
        <v>43</v>
      </c>
      <c r="B37" s="7">
        <v>6</v>
      </c>
      <c r="C37" s="7">
        <v>4</v>
      </c>
      <c r="D37" s="7">
        <v>6</v>
      </c>
      <c r="E37" s="7">
        <v>3</v>
      </c>
      <c r="F37" s="7">
        <v>7</v>
      </c>
      <c r="G37" s="7">
        <v>9</v>
      </c>
      <c r="H37" s="7">
        <v>8</v>
      </c>
      <c r="I37" s="7">
        <v>9</v>
      </c>
      <c r="J37" s="7">
        <v>9</v>
      </c>
      <c r="K37" s="7">
        <v>6</v>
      </c>
      <c r="L37" s="7">
        <v>11</v>
      </c>
      <c r="M37" s="7">
        <v>6</v>
      </c>
      <c r="N37" s="7">
        <v>8</v>
      </c>
      <c r="O37" s="7">
        <v>6</v>
      </c>
      <c r="P37" s="7">
        <v>14</v>
      </c>
      <c r="Q37" s="7">
        <v>16</v>
      </c>
      <c r="R37" s="7">
        <v>10</v>
      </c>
      <c r="S37" s="7">
        <v>4</v>
      </c>
      <c r="T37" s="7">
        <v>12</v>
      </c>
      <c r="U37" s="7">
        <v>12</v>
      </c>
      <c r="V37" s="7">
        <v>9</v>
      </c>
      <c r="W37" s="7">
        <v>12</v>
      </c>
      <c r="X37" s="7">
        <v>12</v>
      </c>
      <c r="Y37" s="7">
        <v>14</v>
      </c>
      <c r="Z37" s="7">
        <v>8</v>
      </c>
      <c r="AA37" s="7">
        <v>15</v>
      </c>
      <c r="AB37" s="7">
        <v>10</v>
      </c>
      <c r="AC37" s="7">
        <v>6</v>
      </c>
      <c r="AD37" s="7">
        <v>3</v>
      </c>
      <c r="AE37" s="7">
        <v>16</v>
      </c>
      <c r="AF37" s="8"/>
      <c r="AG37" s="4">
        <f t="shared" si="2"/>
        <v>271</v>
      </c>
    </row>
    <row r="38" spans="1:33" ht="18.75" x14ac:dyDescent="0.25">
      <c r="A38" s="41" t="s">
        <v>44</v>
      </c>
      <c r="B38" s="7">
        <v>10</v>
      </c>
      <c r="C38" s="7">
        <v>6</v>
      </c>
      <c r="D38" s="7">
        <v>7</v>
      </c>
      <c r="E38" s="7">
        <v>5</v>
      </c>
      <c r="F38" s="7">
        <v>5</v>
      </c>
      <c r="G38" s="7">
        <v>2</v>
      </c>
      <c r="H38" s="7">
        <v>5</v>
      </c>
      <c r="I38" s="7">
        <v>8</v>
      </c>
      <c r="J38" s="7">
        <v>5</v>
      </c>
      <c r="K38" s="7">
        <v>10</v>
      </c>
      <c r="L38" s="7">
        <v>7</v>
      </c>
      <c r="M38" s="7">
        <v>5</v>
      </c>
      <c r="N38" s="7">
        <v>9</v>
      </c>
      <c r="O38" s="7">
        <v>12</v>
      </c>
      <c r="P38" s="7">
        <v>8</v>
      </c>
      <c r="Q38" s="7">
        <v>7</v>
      </c>
      <c r="R38" s="7">
        <v>7</v>
      </c>
      <c r="S38" s="7">
        <v>11</v>
      </c>
      <c r="T38" s="7">
        <v>11</v>
      </c>
      <c r="U38" s="7">
        <v>9</v>
      </c>
      <c r="V38" s="7">
        <v>10</v>
      </c>
      <c r="W38" s="7">
        <v>8</v>
      </c>
      <c r="X38" s="7">
        <v>9</v>
      </c>
      <c r="Y38" s="7">
        <v>6</v>
      </c>
      <c r="Z38" s="7">
        <v>8</v>
      </c>
      <c r="AA38" s="7">
        <v>11</v>
      </c>
      <c r="AB38" s="7">
        <v>9</v>
      </c>
      <c r="AC38" s="7">
        <v>7</v>
      </c>
      <c r="AD38" s="7">
        <v>16</v>
      </c>
      <c r="AE38" s="7">
        <v>6</v>
      </c>
      <c r="AF38" s="8"/>
      <c r="AG38" s="4">
        <f t="shared" si="2"/>
        <v>239</v>
      </c>
    </row>
    <row r="39" spans="1:33" ht="18.75" x14ac:dyDescent="0.25">
      <c r="A39" s="41" t="s">
        <v>45</v>
      </c>
      <c r="B39" s="7">
        <v>7</v>
      </c>
      <c r="C39" s="7">
        <v>16</v>
      </c>
      <c r="D39" s="7">
        <v>11</v>
      </c>
      <c r="E39" s="7">
        <v>11</v>
      </c>
      <c r="F39" s="7">
        <v>16</v>
      </c>
      <c r="G39" s="7">
        <v>14</v>
      </c>
      <c r="H39" s="7">
        <v>12</v>
      </c>
      <c r="I39" s="7">
        <v>11</v>
      </c>
      <c r="J39" s="7">
        <v>14</v>
      </c>
      <c r="K39" s="7">
        <v>18</v>
      </c>
      <c r="L39" s="7">
        <v>14</v>
      </c>
      <c r="M39" s="7">
        <v>17</v>
      </c>
      <c r="N39" s="7">
        <v>19</v>
      </c>
      <c r="O39" s="7">
        <v>8</v>
      </c>
      <c r="P39" s="7">
        <v>6</v>
      </c>
      <c r="Q39" s="7">
        <v>11</v>
      </c>
      <c r="R39" s="7">
        <v>17</v>
      </c>
      <c r="S39" s="7">
        <v>13</v>
      </c>
      <c r="T39" s="7">
        <v>14</v>
      </c>
      <c r="U39" s="7">
        <v>16</v>
      </c>
      <c r="V39" s="7">
        <v>6</v>
      </c>
      <c r="W39" s="7">
        <v>7</v>
      </c>
      <c r="X39" s="7">
        <v>16</v>
      </c>
      <c r="Y39" s="7">
        <v>16</v>
      </c>
      <c r="Z39" s="7">
        <v>17</v>
      </c>
      <c r="AA39" s="7">
        <v>13</v>
      </c>
      <c r="AB39" s="7">
        <v>11</v>
      </c>
      <c r="AC39" s="7">
        <v>12</v>
      </c>
      <c r="AD39" s="7">
        <v>6</v>
      </c>
      <c r="AE39" s="7">
        <v>18</v>
      </c>
      <c r="AF39" s="8"/>
      <c r="AG39" s="4">
        <f t="shared" si="2"/>
        <v>387</v>
      </c>
    </row>
    <row r="40" spans="1:33" ht="18.75" x14ac:dyDescent="0.25">
      <c r="A40" s="41" t="s">
        <v>46</v>
      </c>
      <c r="B40" s="7">
        <v>6</v>
      </c>
      <c r="C40" s="7">
        <v>12</v>
      </c>
      <c r="D40" s="7">
        <v>16</v>
      </c>
      <c r="E40" s="7">
        <v>9</v>
      </c>
      <c r="F40" s="7">
        <v>14</v>
      </c>
      <c r="G40" s="7">
        <v>7</v>
      </c>
      <c r="H40" s="7">
        <v>6</v>
      </c>
      <c r="I40" s="7">
        <v>9</v>
      </c>
      <c r="J40" s="7">
        <v>18</v>
      </c>
      <c r="K40" s="7">
        <v>11</v>
      </c>
      <c r="L40" s="7">
        <v>12</v>
      </c>
      <c r="M40" s="7">
        <v>13</v>
      </c>
      <c r="N40" s="7">
        <v>7</v>
      </c>
      <c r="O40" s="7">
        <v>7</v>
      </c>
      <c r="P40" s="7">
        <v>12</v>
      </c>
      <c r="Q40" s="7">
        <v>8</v>
      </c>
      <c r="R40" s="7">
        <v>10</v>
      </c>
      <c r="S40" s="7">
        <v>12</v>
      </c>
      <c r="T40" s="7">
        <v>14</v>
      </c>
      <c r="U40" s="7">
        <v>12</v>
      </c>
      <c r="V40" s="7">
        <v>6</v>
      </c>
      <c r="W40" s="7">
        <v>8</v>
      </c>
      <c r="X40" s="7">
        <v>13</v>
      </c>
      <c r="Y40" s="7">
        <v>13</v>
      </c>
      <c r="Z40" s="7">
        <v>13</v>
      </c>
      <c r="AA40" s="7">
        <v>12</v>
      </c>
      <c r="AB40" s="7">
        <v>13</v>
      </c>
      <c r="AC40" s="7">
        <v>8</v>
      </c>
      <c r="AD40" s="7">
        <v>7</v>
      </c>
      <c r="AE40" s="7">
        <v>15</v>
      </c>
      <c r="AF40" s="8"/>
      <c r="AG40" s="4">
        <f t="shared" si="2"/>
        <v>323</v>
      </c>
    </row>
    <row r="41" spans="1:33" ht="18.75" x14ac:dyDescent="0.25">
      <c r="A41" s="41" t="s">
        <v>47</v>
      </c>
      <c r="B41" s="7">
        <v>10</v>
      </c>
      <c r="C41" s="7">
        <v>13</v>
      </c>
      <c r="D41" s="7">
        <v>4</v>
      </c>
      <c r="E41" s="7">
        <v>17</v>
      </c>
      <c r="F41" s="7">
        <v>10</v>
      </c>
      <c r="G41" s="7">
        <v>11</v>
      </c>
      <c r="H41" s="7">
        <v>7</v>
      </c>
      <c r="I41" s="7">
        <v>7</v>
      </c>
      <c r="J41" s="7">
        <v>11</v>
      </c>
      <c r="K41" s="7">
        <v>16</v>
      </c>
      <c r="L41" s="7">
        <v>13</v>
      </c>
      <c r="M41" s="7">
        <v>8</v>
      </c>
      <c r="N41" s="7">
        <v>6</v>
      </c>
      <c r="O41" s="7">
        <v>7</v>
      </c>
      <c r="P41" s="7">
        <v>6</v>
      </c>
      <c r="Q41" s="7">
        <v>8</v>
      </c>
      <c r="R41" s="7">
        <v>8</v>
      </c>
      <c r="S41" s="7">
        <v>11</v>
      </c>
      <c r="T41" s="7">
        <v>12</v>
      </c>
      <c r="U41" s="7">
        <v>9</v>
      </c>
      <c r="V41" s="7">
        <v>9</v>
      </c>
      <c r="W41" s="7">
        <v>7</v>
      </c>
      <c r="X41" s="7">
        <v>10</v>
      </c>
      <c r="Y41" s="7">
        <v>16</v>
      </c>
      <c r="Z41" s="7">
        <v>8</v>
      </c>
      <c r="AA41" s="7">
        <v>13</v>
      </c>
      <c r="AB41" s="7">
        <v>11</v>
      </c>
      <c r="AC41" s="7">
        <v>5</v>
      </c>
      <c r="AD41" s="7">
        <v>7</v>
      </c>
      <c r="AE41" s="7">
        <v>16</v>
      </c>
      <c r="AF41" s="8"/>
      <c r="AG41" s="4">
        <f t="shared" si="2"/>
        <v>296</v>
      </c>
    </row>
    <row r="42" spans="1:33" ht="18.75" x14ac:dyDescent="0.25">
      <c r="A42" s="41" t="s">
        <v>48</v>
      </c>
      <c r="B42" s="7">
        <v>12</v>
      </c>
      <c r="C42" s="7">
        <v>13</v>
      </c>
      <c r="D42" s="7">
        <v>11</v>
      </c>
      <c r="E42" s="7">
        <v>12</v>
      </c>
      <c r="F42" s="7">
        <v>8</v>
      </c>
      <c r="G42" s="7">
        <v>5</v>
      </c>
      <c r="H42" s="7">
        <v>7</v>
      </c>
      <c r="I42" s="7">
        <v>11</v>
      </c>
      <c r="J42" s="7">
        <v>15</v>
      </c>
      <c r="K42" s="7">
        <v>12</v>
      </c>
      <c r="L42" s="7">
        <v>12</v>
      </c>
      <c r="M42" s="7">
        <v>11</v>
      </c>
      <c r="N42" s="7">
        <v>10</v>
      </c>
      <c r="O42" s="7">
        <v>3</v>
      </c>
      <c r="P42" s="7">
        <v>6</v>
      </c>
      <c r="Q42" s="7">
        <v>13</v>
      </c>
      <c r="R42" s="7">
        <v>7</v>
      </c>
      <c r="S42" s="7">
        <v>8</v>
      </c>
      <c r="T42" s="7">
        <v>13</v>
      </c>
      <c r="U42" s="7">
        <v>13</v>
      </c>
      <c r="V42" s="7">
        <v>6</v>
      </c>
      <c r="W42" s="7">
        <v>6</v>
      </c>
      <c r="X42" s="7">
        <v>11</v>
      </c>
      <c r="Y42" s="7">
        <v>12</v>
      </c>
      <c r="Z42" s="7">
        <v>13</v>
      </c>
      <c r="AA42" s="7">
        <v>16</v>
      </c>
      <c r="AB42" s="7">
        <v>11</v>
      </c>
      <c r="AC42" s="7">
        <v>8</v>
      </c>
      <c r="AD42" s="7">
        <v>7</v>
      </c>
      <c r="AE42" s="7">
        <v>15</v>
      </c>
      <c r="AF42" s="8"/>
      <c r="AG42" s="4">
        <f t="shared" si="2"/>
        <v>307</v>
      </c>
    </row>
    <row r="43" spans="1:33" ht="18.75" x14ac:dyDescent="0.25">
      <c r="A43" s="41" t="s">
        <v>49</v>
      </c>
      <c r="B43" s="7">
        <v>2</v>
      </c>
      <c r="C43" s="7">
        <v>5</v>
      </c>
      <c r="D43" s="7">
        <v>8</v>
      </c>
      <c r="E43" s="7">
        <v>9</v>
      </c>
      <c r="F43" s="7">
        <v>11</v>
      </c>
      <c r="G43" s="7">
        <v>13</v>
      </c>
      <c r="H43" s="7">
        <v>3</v>
      </c>
      <c r="I43" s="7">
        <v>3</v>
      </c>
      <c r="J43" s="7">
        <v>14</v>
      </c>
      <c r="K43" s="7">
        <v>11</v>
      </c>
      <c r="L43" s="7">
        <v>14</v>
      </c>
      <c r="M43" s="7">
        <v>8</v>
      </c>
      <c r="N43" s="7">
        <v>5</v>
      </c>
      <c r="O43" s="7">
        <v>6</v>
      </c>
      <c r="P43" s="7">
        <v>6</v>
      </c>
      <c r="Q43" s="7">
        <v>13</v>
      </c>
      <c r="R43" s="7">
        <v>9</v>
      </c>
      <c r="S43" s="7">
        <v>4</v>
      </c>
      <c r="T43" s="7">
        <v>8</v>
      </c>
      <c r="U43" s="7">
        <v>9</v>
      </c>
      <c r="V43" s="7">
        <v>4</v>
      </c>
      <c r="W43" s="7">
        <v>7</v>
      </c>
      <c r="X43" s="7">
        <v>16</v>
      </c>
      <c r="Y43" s="7">
        <v>8</v>
      </c>
      <c r="Z43" s="7">
        <v>8</v>
      </c>
      <c r="AA43" s="7">
        <v>8</v>
      </c>
      <c r="AB43" s="7">
        <v>9</v>
      </c>
      <c r="AC43" s="7">
        <v>6</v>
      </c>
      <c r="AD43" s="7">
        <v>9</v>
      </c>
      <c r="AE43" s="7">
        <v>18</v>
      </c>
      <c r="AF43" s="8"/>
      <c r="AG43" s="4">
        <f t="shared" si="2"/>
        <v>254</v>
      </c>
    </row>
    <row r="44" spans="1:33" ht="18.75" x14ac:dyDescent="0.25">
      <c r="A44" s="41" t="s">
        <v>50</v>
      </c>
      <c r="B44" s="7">
        <v>9</v>
      </c>
      <c r="C44" s="7">
        <v>4</v>
      </c>
      <c r="D44" s="7">
        <v>3</v>
      </c>
      <c r="E44" s="7">
        <v>7</v>
      </c>
      <c r="F44" s="7">
        <v>6</v>
      </c>
      <c r="G44" s="7">
        <v>4</v>
      </c>
      <c r="H44" s="7">
        <v>4</v>
      </c>
      <c r="I44" s="7">
        <v>7</v>
      </c>
      <c r="J44" s="7">
        <v>10</v>
      </c>
      <c r="K44" s="7">
        <v>6</v>
      </c>
      <c r="L44" s="7">
        <v>7</v>
      </c>
      <c r="M44" s="7">
        <v>9</v>
      </c>
      <c r="N44" s="7">
        <v>3</v>
      </c>
      <c r="O44" s="7">
        <v>5</v>
      </c>
      <c r="P44" s="7">
        <v>4</v>
      </c>
      <c r="Q44" s="7">
        <v>9</v>
      </c>
      <c r="R44" s="7">
        <v>5</v>
      </c>
      <c r="S44" s="7">
        <v>4</v>
      </c>
      <c r="T44" s="7">
        <v>5</v>
      </c>
      <c r="U44" s="7">
        <v>4</v>
      </c>
      <c r="V44" s="7">
        <v>5</v>
      </c>
      <c r="W44" s="7">
        <v>7</v>
      </c>
      <c r="X44" s="7">
        <v>10</v>
      </c>
      <c r="Y44" s="7">
        <v>8</v>
      </c>
      <c r="Z44" s="7">
        <v>10</v>
      </c>
      <c r="AA44" s="7">
        <v>11</v>
      </c>
      <c r="AB44" s="7">
        <v>5</v>
      </c>
      <c r="AC44" s="7">
        <v>2</v>
      </c>
      <c r="AD44" s="7">
        <v>5</v>
      </c>
      <c r="AE44" s="7">
        <v>9</v>
      </c>
      <c r="AF44" s="8"/>
      <c r="AG44" s="4">
        <f t="shared" si="2"/>
        <v>187</v>
      </c>
    </row>
    <row r="45" spans="1:33" ht="18.75" x14ac:dyDescent="0.25">
      <c r="A45" s="41" t="s">
        <v>33</v>
      </c>
      <c r="B45" s="7">
        <v>7</v>
      </c>
      <c r="C45" s="7">
        <v>5</v>
      </c>
      <c r="D45" s="7">
        <v>5</v>
      </c>
      <c r="E45" s="7">
        <v>1</v>
      </c>
      <c r="F45" s="7">
        <v>5</v>
      </c>
      <c r="G45" s="7">
        <v>3</v>
      </c>
      <c r="H45" s="7">
        <v>5</v>
      </c>
      <c r="I45" s="7">
        <v>4</v>
      </c>
      <c r="J45" s="7">
        <v>9</v>
      </c>
      <c r="K45" s="7">
        <v>5</v>
      </c>
      <c r="L45" s="7">
        <v>12</v>
      </c>
      <c r="M45" s="7">
        <v>6</v>
      </c>
      <c r="N45" s="7">
        <v>5</v>
      </c>
      <c r="O45" s="7">
        <v>5</v>
      </c>
      <c r="P45" s="7">
        <v>3</v>
      </c>
      <c r="Q45" s="7">
        <v>8</v>
      </c>
      <c r="R45" s="7">
        <v>1</v>
      </c>
      <c r="S45" s="7">
        <v>3</v>
      </c>
      <c r="T45" s="7">
        <v>1</v>
      </c>
      <c r="U45" s="7">
        <v>3</v>
      </c>
      <c r="V45" s="7">
        <v>6</v>
      </c>
      <c r="W45" s="7">
        <v>8</v>
      </c>
      <c r="X45" s="7">
        <v>5</v>
      </c>
      <c r="Y45" s="7">
        <v>9</v>
      </c>
      <c r="Z45" s="7">
        <v>6</v>
      </c>
      <c r="AA45" s="7">
        <v>6</v>
      </c>
      <c r="AB45" s="7">
        <v>7</v>
      </c>
      <c r="AC45" s="7">
        <v>5</v>
      </c>
      <c r="AD45" s="7">
        <v>8</v>
      </c>
      <c r="AE45" s="7">
        <v>7</v>
      </c>
      <c r="AF45" s="8"/>
      <c r="AG45" s="4">
        <f t="shared" si="2"/>
        <v>163</v>
      </c>
    </row>
    <row r="46" spans="1:33" ht="18.75" x14ac:dyDescent="0.25">
      <c r="A46" s="41" t="s">
        <v>34</v>
      </c>
      <c r="B46" s="7"/>
      <c r="C46" s="7">
        <v>2</v>
      </c>
      <c r="D46" s="7"/>
      <c r="E46" s="7">
        <v>2</v>
      </c>
      <c r="F46" s="7">
        <v>1</v>
      </c>
      <c r="G46" s="7">
        <v>5</v>
      </c>
      <c r="H46" s="7">
        <v>2</v>
      </c>
      <c r="I46" s="7">
        <v>1</v>
      </c>
      <c r="J46" s="7">
        <v>3</v>
      </c>
      <c r="K46" s="7">
        <v>2</v>
      </c>
      <c r="L46" s="7">
        <v>10</v>
      </c>
      <c r="M46" s="7">
        <v>9</v>
      </c>
      <c r="N46" s="7">
        <v>5</v>
      </c>
      <c r="O46" s="7">
        <v>3</v>
      </c>
      <c r="P46" s="7">
        <v>1</v>
      </c>
      <c r="Q46" s="7">
        <v>3</v>
      </c>
      <c r="R46" s="7">
        <v>1</v>
      </c>
      <c r="S46" s="7">
        <v>1</v>
      </c>
      <c r="T46" s="7">
        <v>2</v>
      </c>
      <c r="U46" s="7">
        <v>3</v>
      </c>
      <c r="V46" s="7">
        <v>1</v>
      </c>
      <c r="W46" s="7">
        <v>7</v>
      </c>
      <c r="X46" s="7">
        <v>1</v>
      </c>
      <c r="Y46" s="7">
        <v>4</v>
      </c>
      <c r="Z46" s="7">
        <v>4</v>
      </c>
      <c r="AA46" s="7">
        <v>7</v>
      </c>
      <c r="AB46" s="7">
        <v>3</v>
      </c>
      <c r="AC46" s="7">
        <v>3</v>
      </c>
      <c r="AD46" s="7">
        <v>5</v>
      </c>
      <c r="AE46" s="7">
        <v>8</v>
      </c>
      <c r="AF46" s="8"/>
      <c r="AG46" s="4">
        <f t="shared" si="2"/>
        <v>99</v>
      </c>
    </row>
    <row r="47" spans="1:33" ht="18.75" x14ac:dyDescent="0.25">
      <c r="A47" s="41" t="s">
        <v>35</v>
      </c>
      <c r="B47" s="7">
        <v>1</v>
      </c>
      <c r="C47" s="7">
        <v>1</v>
      </c>
      <c r="D47" s="7">
        <v>2</v>
      </c>
      <c r="E47" s="7">
        <v>1</v>
      </c>
      <c r="F47" s="7"/>
      <c r="G47" s="7">
        <v>1</v>
      </c>
      <c r="H47" s="7">
        <v>3</v>
      </c>
      <c r="I47" s="7">
        <v>1</v>
      </c>
      <c r="J47" s="7">
        <v>1</v>
      </c>
      <c r="K47" s="7"/>
      <c r="L47" s="7">
        <v>1</v>
      </c>
      <c r="M47" s="7">
        <v>4</v>
      </c>
      <c r="N47" s="7">
        <v>1</v>
      </c>
      <c r="O47" s="7"/>
      <c r="P47" s="7">
        <v>1</v>
      </c>
      <c r="Q47" s="7">
        <v>1</v>
      </c>
      <c r="R47" s="7">
        <v>1</v>
      </c>
      <c r="S47" s="7">
        <v>1</v>
      </c>
      <c r="T47" s="7">
        <v>1</v>
      </c>
      <c r="U47" s="7"/>
      <c r="V47" s="7">
        <v>1</v>
      </c>
      <c r="W47" s="7">
        <v>2</v>
      </c>
      <c r="X47" s="7">
        <v>3</v>
      </c>
      <c r="Y47" s="7">
        <v>2</v>
      </c>
      <c r="Z47" s="7">
        <v>2</v>
      </c>
      <c r="AA47" s="7">
        <v>2</v>
      </c>
      <c r="AB47" s="7">
        <v>1</v>
      </c>
      <c r="AC47" s="7">
        <v>1</v>
      </c>
      <c r="AD47" s="7">
        <v>1</v>
      </c>
      <c r="AE47" s="7">
        <v>1</v>
      </c>
      <c r="AF47" s="8"/>
      <c r="AG47" s="4">
        <f t="shared" si="2"/>
        <v>38</v>
      </c>
    </row>
    <row r="48" spans="1:33" ht="18.75" x14ac:dyDescent="0.25">
      <c r="A48" s="41" t="s">
        <v>36</v>
      </c>
      <c r="B48" s="7">
        <v>1</v>
      </c>
      <c r="C48" s="7">
        <v>1</v>
      </c>
      <c r="D48" s="7"/>
      <c r="E48" s="7">
        <v>1</v>
      </c>
      <c r="F48" s="7"/>
      <c r="G48" s="7"/>
      <c r="H48" s="7">
        <v>1</v>
      </c>
      <c r="I48" s="7">
        <v>1</v>
      </c>
      <c r="J48" s="7">
        <v>1</v>
      </c>
      <c r="K48" s="7"/>
      <c r="L48" s="7"/>
      <c r="M48" s="7">
        <v>2</v>
      </c>
      <c r="N48" s="7">
        <v>1</v>
      </c>
      <c r="O48" s="7">
        <v>3</v>
      </c>
      <c r="P48" s="7"/>
      <c r="Q48" s="7"/>
      <c r="R48" s="7"/>
      <c r="S48" s="7">
        <v>1</v>
      </c>
      <c r="T48" s="7"/>
      <c r="U48" s="7"/>
      <c r="V48" s="7">
        <v>2</v>
      </c>
      <c r="W48" s="7">
        <v>5</v>
      </c>
      <c r="X48" s="7"/>
      <c r="Y48" s="7"/>
      <c r="Z48" s="7">
        <v>1</v>
      </c>
      <c r="AA48" s="7"/>
      <c r="AB48" s="7"/>
      <c r="AC48" s="7">
        <v>1</v>
      </c>
      <c r="AD48" s="7"/>
      <c r="AE48" s="7">
        <v>2</v>
      </c>
      <c r="AF48" s="8"/>
      <c r="AG48" s="4">
        <f t="shared" si="2"/>
        <v>24</v>
      </c>
    </row>
    <row r="49" spans="1:33" ht="18.75" x14ac:dyDescent="0.25">
      <c r="A49" s="41" t="s">
        <v>51</v>
      </c>
      <c r="B49" s="7">
        <v>1</v>
      </c>
      <c r="C49" s="7">
        <v>1</v>
      </c>
      <c r="D49" s="7"/>
      <c r="E49" s="7"/>
      <c r="F49" s="7">
        <v>2</v>
      </c>
      <c r="G49" s="7"/>
      <c r="H49" s="7"/>
      <c r="I49" s="7">
        <v>1</v>
      </c>
      <c r="J49" s="7"/>
      <c r="K49" s="7"/>
      <c r="L49" s="7">
        <v>3</v>
      </c>
      <c r="M49" s="7"/>
      <c r="N49" s="7"/>
      <c r="O49" s="7"/>
      <c r="P49" s="7">
        <v>1</v>
      </c>
      <c r="Q49" s="7"/>
      <c r="R49" s="7"/>
      <c r="S49" s="7">
        <v>1</v>
      </c>
      <c r="T49" s="7"/>
      <c r="U49" s="7">
        <v>1</v>
      </c>
      <c r="V49" s="7"/>
      <c r="W49" s="7"/>
      <c r="X49" s="7">
        <v>2</v>
      </c>
      <c r="Y49" s="7"/>
      <c r="Z49" s="7">
        <v>1</v>
      </c>
      <c r="AA49" s="7"/>
      <c r="AB49" s="7"/>
      <c r="AC49" s="7">
        <v>1</v>
      </c>
      <c r="AD49" s="7">
        <v>2</v>
      </c>
      <c r="AE49" s="7"/>
      <c r="AF49" s="8"/>
      <c r="AG49" s="4">
        <f t="shared" si="2"/>
        <v>17</v>
      </c>
    </row>
    <row r="50" spans="1:33" ht="18.75" x14ac:dyDescent="0.25">
      <c r="A50" s="41" t="s">
        <v>52</v>
      </c>
      <c r="B50" s="7">
        <v>1</v>
      </c>
      <c r="C50" s="7">
        <v>2</v>
      </c>
      <c r="D50" s="7">
        <v>1</v>
      </c>
      <c r="E50" s="7"/>
      <c r="F50" s="7"/>
      <c r="G50" s="7">
        <v>1</v>
      </c>
      <c r="H50" s="7">
        <v>1</v>
      </c>
      <c r="I50" s="7">
        <v>1</v>
      </c>
      <c r="J50" s="7"/>
      <c r="K50" s="7"/>
      <c r="L50" s="7"/>
      <c r="M50" s="7"/>
      <c r="N50" s="7"/>
      <c r="O50" s="7"/>
      <c r="P50" s="7">
        <v>3</v>
      </c>
      <c r="Q50" s="7">
        <v>1</v>
      </c>
      <c r="R50" s="7"/>
      <c r="S50" s="7"/>
      <c r="T50" s="7"/>
      <c r="U50" s="7"/>
      <c r="V50" s="7"/>
      <c r="W50" s="7">
        <v>1</v>
      </c>
      <c r="X50" s="7">
        <v>1</v>
      </c>
      <c r="Y50" s="7"/>
      <c r="Z50" s="7"/>
      <c r="AA50" s="7"/>
      <c r="AB50" s="7">
        <v>1</v>
      </c>
      <c r="AC50" s="7">
        <v>1</v>
      </c>
      <c r="AD50" s="7"/>
      <c r="AE50" s="7"/>
      <c r="AF50" s="8"/>
      <c r="AG50" s="4">
        <f t="shared" si="2"/>
        <v>15</v>
      </c>
    </row>
    <row r="51" spans="1:33" ht="18.75" x14ac:dyDescent="0.25">
      <c r="A51" s="41" t="s">
        <v>37</v>
      </c>
      <c r="B51" s="7"/>
      <c r="C51" s="7"/>
      <c r="D51" s="7">
        <v>2</v>
      </c>
      <c r="E51" s="7"/>
      <c r="F51" s="7"/>
      <c r="G51" s="7"/>
      <c r="H51" s="7">
        <v>1</v>
      </c>
      <c r="I51" s="7"/>
      <c r="J51" s="7">
        <v>1</v>
      </c>
      <c r="K51" s="7"/>
      <c r="L51" s="7"/>
      <c r="M51" s="7">
        <v>1</v>
      </c>
      <c r="N51" s="7">
        <v>1</v>
      </c>
      <c r="O51" s="7"/>
      <c r="P51" s="7">
        <v>2</v>
      </c>
      <c r="Q51" s="7">
        <v>2</v>
      </c>
      <c r="R51" s="7">
        <v>2</v>
      </c>
      <c r="S51" s="7"/>
      <c r="T51" s="7">
        <v>2</v>
      </c>
      <c r="U51" s="7">
        <v>3</v>
      </c>
      <c r="V51" s="7"/>
      <c r="W51" s="7">
        <v>1</v>
      </c>
      <c r="X51" s="7">
        <v>2</v>
      </c>
      <c r="Y51" s="7"/>
      <c r="Z51" s="7">
        <v>1</v>
      </c>
      <c r="AA51" s="7">
        <v>1</v>
      </c>
      <c r="AB51" s="7">
        <v>1</v>
      </c>
      <c r="AC51" s="7"/>
      <c r="AD51" s="7">
        <v>2</v>
      </c>
      <c r="AE51" s="7"/>
      <c r="AF51" s="8"/>
      <c r="AG51" s="4">
        <f t="shared" si="2"/>
        <v>25</v>
      </c>
    </row>
    <row r="52" spans="1:33" ht="19.5" thickBot="1" x14ac:dyDescent="0.3">
      <c r="A52" s="77" t="s">
        <v>53</v>
      </c>
      <c r="B52" s="9"/>
      <c r="C52" s="9"/>
      <c r="D52" s="9"/>
      <c r="E52" s="9"/>
      <c r="F52" s="9"/>
      <c r="G52" s="9">
        <v>1</v>
      </c>
      <c r="H52" s="9"/>
      <c r="I52" s="9">
        <v>2</v>
      </c>
      <c r="J52" s="9"/>
      <c r="K52" s="9">
        <v>1</v>
      </c>
      <c r="L52" s="9">
        <v>1</v>
      </c>
      <c r="M52" s="9">
        <v>1</v>
      </c>
      <c r="N52" s="9"/>
      <c r="O52" s="9"/>
      <c r="P52" s="9">
        <v>1</v>
      </c>
      <c r="Q52" s="9"/>
      <c r="R52" s="9">
        <v>1</v>
      </c>
      <c r="S52" s="9"/>
      <c r="T52" s="9">
        <v>2</v>
      </c>
      <c r="U52" s="9">
        <v>4</v>
      </c>
      <c r="V52" s="9"/>
      <c r="W52" s="9"/>
      <c r="X52" s="9"/>
      <c r="Y52" s="9"/>
      <c r="Z52" s="9">
        <v>1</v>
      </c>
      <c r="AA52" s="9">
        <v>1</v>
      </c>
      <c r="AB52" s="9">
        <v>2</v>
      </c>
      <c r="AC52" s="9"/>
      <c r="AD52" s="9"/>
      <c r="AE52" s="9"/>
      <c r="AF52" s="10"/>
      <c r="AG52" s="108">
        <f t="shared" si="2"/>
        <v>18</v>
      </c>
    </row>
    <row r="53" spans="1:33" ht="19.5" thickBot="1" x14ac:dyDescent="0.3">
      <c r="A53" s="136" t="s">
        <v>108</v>
      </c>
      <c r="B53" s="135">
        <f t="shared" ref="B53:AF53" si="4">SUM(B54:B77)</f>
        <v>13</v>
      </c>
      <c r="C53" s="135">
        <f t="shared" si="4"/>
        <v>3</v>
      </c>
      <c r="D53" s="135">
        <f t="shared" si="4"/>
        <v>6</v>
      </c>
      <c r="E53" s="135">
        <f t="shared" si="4"/>
        <v>4</v>
      </c>
      <c r="F53" s="135">
        <f t="shared" si="4"/>
        <v>4</v>
      </c>
      <c r="G53" s="135">
        <f t="shared" si="4"/>
        <v>9</v>
      </c>
      <c r="H53" s="135">
        <f t="shared" si="4"/>
        <v>3</v>
      </c>
      <c r="I53" s="135">
        <f t="shared" si="4"/>
        <v>1</v>
      </c>
      <c r="J53" s="135">
        <f t="shared" si="4"/>
        <v>9</v>
      </c>
      <c r="K53" s="135">
        <f t="shared" si="4"/>
        <v>6</v>
      </c>
      <c r="L53" s="135">
        <f t="shared" si="4"/>
        <v>21</v>
      </c>
      <c r="M53" s="135">
        <f t="shared" si="4"/>
        <v>12</v>
      </c>
      <c r="N53" s="135">
        <f t="shared" si="4"/>
        <v>6</v>
      </c>
      <c r="O53" s="135">
        <f t="shared" si="4"/>
        <v>2</v>
      </c>
      <c r="P53" s="135">
        <f t="shared" si="4"/>
        <v>3</v>
      </c>
      <c r="Q53" s="135">
        <f t="shared" si="4"/>
        <v>21</v>
      </c>
      <c r="R53" s="135">
        <f t="shared" si="4"/>
        <v>8</v>
      </c>
      <c r="S53" s="135">
        <f t="shared" si="4"/>
        <v>6</v>
      </c>
      <c r="T53" s="135">
        <f t="shared" si="4"/>
        <v>5</v>
      </c>
      <c r="U53" s="135">
        <f t="shared" si="4"/>
        <v>4</v>
      </c>
      <c r="V53" s="135">
        <f t="shared" si="4"/>
        <v>4</v>
      </c>
      <c r="W53" s="135">
        <f t="shared" si="4"/>
        <v>9</v>
      </c>
      <c r="X53" s="135">
        <f t="shared" si="4"/>
        <v>15</v>
      </c>
      <c r="Y53" s="135">
        <f t="shared" si="4"/>
        <v>4</v>
      </c>
      <c r="Z53" s="135">
        <f t="shared" si="4"/>
        <v>8</v>
      </c>
      <c r="AA53" s="135">
        <f t="shared" si="4"/>
        <v>19</v>
      </c>
      <c r="AB53" s="135">
        <f t="shared" si="4"/>
        <v>8</v>
      </c>
      <c r="AC53" s="135">
        <f t="shared" si="4"/>
        <v>8</v>
      </c>
      <c r="AD53" s="135">
        <f t="shared" si="4"/>
        <v>10</v>
      </c>
      <c r="AE53" s="135">
        <f t="shared" si="4"/>
        <v>13</v>
      </c>
      <c r="AF53" s="135">
        <f t="shared" si="4"/>
        <v>0</v>
      </c>
      <c r="AG53" s="116">
        <f t="shared" si="2"/>
        <v>244</v>
      </c>
    </row>
    <row r="54" spans="1:33" ht="18.75" x14ac:dyDescent="0.25">
      <c r="A54" s="113" t="s">
        <v>54</v>
      </c>
      <c r="B54" s="114"/>
      <c r="C54" s="114"/>
      <c r="D54" s="7"/>
      <c r="E54" s="114"/>
      <c r="F54" s="114"/>
      <c r="G54" s="7"/>
      <c r="H54" s="114"/>
      <c r="I54" s="114"/>
      <c r="J54" s="114"/>
      <c r="K54" s="114"/>
      <c r="L54" s="114"/>
      <c r="M54" s="114"/>
      <c r="N54" s="114"/>
      <c r="O54" s="114"/>
      <c r="P54" s="114"/>
      <c r="Q54" s="114"/>
      <c r="R54" s="114"/>
      <c r="S54" s="114"/>
      <c r="T54" s="114"/>
      <c r="U54" s="114"/>
      <c r="V54" s="114"/>
      <c r="W54" s="114"/>
      <c r="X54" s="114"/>
      <c r="Y54" s="114"/>
      <c r="Z54" s="114"/>
      <c r="AA54" s="114"/>
      <c r="AB54" s="114"/>
      <c r="AC54" s="114">
        <v>1</v>
      </c>
      <c r="AD54" s="114"/>
      <c r="AE54" s="114"/>
      <c r="AF54" s="115"/>
      <c r="AG54" s="132">
        <f t="shared" si="2"/>
        <v>1</v>
      </c>
    </row>
    <row r="55" spans="1:33" ht="18.75" x14ac:dyDescent="0.25">
      <c r="A55" s="41" t="s">
        <v>55</v>
      </c>
      <c r="B55" s="7"/>
      <c r="C55" s="7"/>
      <c r="D55" s="7"/>
      <c r="E55" s="7"/>
      <c r="F55" s="7"/>
      <c r="G55" s="7"/>
      <c r="H55" s="7"/>
      <c r="I55" s="7"/>
      <c r="J55" s="7"/>
      <c r="K55" s="7"/>
      <c r="L55" s="7">
        <v>2</v>
      </c>
      <c r="M55" s="7"/>
      <c r="N55" s="7"/>
      <c r="O55" s="7"/>
      <c r="P55" s="7"/>
      <c r="Q55" s="7"/>
      <c r="R55" s="7"/>
      <c r="S55" s="7"/>
      <c r="T55" s="7">
        <v>1</v>
      </c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8"/>
      <c r="AG55" s="4">
        <f t="shared" si="2"/>
        <v>3</v>
      </c>
    </row>
    <row r="56" spans="1:33" ht="18.75" x14ac:dyDescent="0.25">
      <c r="A56" s="41" t="s">
        <v>56</v>
      </c>
      <c r="B56" s="7">
        <v>1</v>
      </c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>
        <v>2</v>
      </c>
      <c r="T56" s="7"/>
      <c r="U56" s="7"/>
      <c r="V56" s="7"/>
      <c r="W56" s="7"/>
      <c r="X56" s="7">
        <v>1</v>
      </c>
      <c r="Y56" s="7"/>
      <c r="Z56" s="7"/>
      <c r="AA56" s="7"/>
      <c r="AB56" s="7"/>
      <c r="AC56" s="7"/>
      <c r="AD56" s="7"/>
      <c r="AE56" s="7"/>
      <c r="AF56" s="8"/>
      <c r="AG56" s="4">
        <f t="shared" si="2"/>
        <v>4</v>
      </c>
    </row>
    <row r="57" spans="1:33" ht="18.75" x14ac:dyDescent="0.25">
      <c r="A57" s="41" t="s">
        <v>38</v>
      </c>
      <c r="B57" s="7">
        <v>2</v>
      </c>
      <c r="C57" s="7"/>
      <c r="D57" s="7"/>
      <c r="E57" s="7"/>
      <c r="F57" s="7"/>
      <c r="G57" s="7">
        <v>1</v>
      </c>
      <c r="H57" s="7"/>
      <c r="I57" s="7"/>
      <c r="J57" s="7"/>
      <c r="K57" s="7">
        <v>1</v>
      </c>
      <c r="L57" s="7"/>
      <c r="M57" s="7"/>
      <c r="N57" s="7">
        <v>1</v>
      </c>
      <c r="O57" s="7"/>
      <c r="P57" s="7"/>
      <c r="Q57" s="7"/>
      <c r="R57" s="7"/>
      <c r="S57" s="7"/>
      <c r="T57" s="7">
        <v>1</v>
      </c>
      <c r="U57" s="7"/>
      <c r="V57" s="7">
        <v>1</v>
      </c>
      <c r="W57" s="7"/>
      <c r="X57" s="7"/>
      <c r="Y57" s="7"/>
      <c r="Z57" s="7"/>
      <c r="AA57" s="7"/>
      <c r="AB57" s="7"/>
      <c r="AC57" s="7">
        <v>1</v>
      </c>
      <c r="AD57" s="7"/>
      <c r="AE57" s="7"/>
      <c r="AF57" s="8"/>
      <c r="AG57" s="4">
        <f t="shared" si="2"/>
        <v>8</v>
      </c>
    </row>
    <row r="58" spans="1:33" ht="18.75" x14ac:dyDescent="0.25">
      <c r="A58" s="41" t="s">
        <v>39</v>
      </c>
      <c r="B58" s="7"/>
      <c r="C58" s="7"/>
      <c r="D58" s="7"/>
      <c r="E58" s="7"/>
      <c r="F58" s="7"/>
      <c r="G58" s="7">
        <v>2</v>
      </c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>
        <v>1</v>
      </c>
      <c r="AD58" s="7">
        <v>1</v>
      </c>
      <c r="AE58" s="7"/>
      <c r="AF58" s="8"/>
      <c r="AG58" s="4">
        <f t="shared" si="2"/>
        <v>4</v>
      </c>
    </row>
    <row r="59" spans="1:33" ht="18.75" x14ac:dyDescent="0.25">
      <c r="A59" s="41" t="s">
        <v>40</v>
      </c>
      <c r="B59" s="7"/>
      <c r="C59" s="7"/>
      <c r="D59" s="7">
        <v>1</v>
      </c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>
        <v>1</v>
      </c>
      <c r="Q59" s="7"/>
      <c r="R59" s="7"/>
      <c r="S59" s="7"/>
      <c r="T59" s="7"/>
      <c r="U59" s="7"/>
      <c r="V59" s="7"/>
      <c r="W59" s="7">
        <v>1</v>
      </c>
      <c r="X59" s="7"/>
      <c r="Y59" s="7"/>
      <c r="Z59" s="7">
        <v>1</v>
      </c>
      <c r="AA59" s="7"/>
      <c r="AB59" s="7"/>
      <c r="AC59" s="7"/>
      <c r="AD59" s="7"/>
      <c r="AE59" s="7"/>
      <c r="AF59" s="8"/>
      <c r="AG59" s="4">
        <f t="shared" si="2"/>
        <v>4</v>
      </c>
    </row>
    <row r="60" spans="1:33" ht="18.75" x14ac:dyDescent="0.25">
      <c r="A60" s="41" t="s">
        <v>41</v>
      </c>
      <c r="B60" s="7"/>
      <c r="C60" s="7"/>
      <c r="D60" s="7">
        <v>3</v>
      </c>
      <c r="E60" s="7"/>
      <c r="F60" s="7"/>
      <c r="G60" s="7">
        <v>1</v>
      </c>
      <c r="H60" s="7"/>
      <c r="I60" s="7"/>
      <c r="J60" s="7"/>
      <c r="K60" s="7">
        <v>1</v>
      </c>
      <c r="L60" s="7"/>
      <c r="M60" s="7">
        <v>1</v>
      </c>
      <c r="N60" s="7">
        <v>1</v>
      </c>
      <c r="O60" s="7"/>
      <c r="P60" s="7"/>
      <c r="Q60" s="7"/>
      <c r="R60" s="7">
        <v>1</v>
      </c>
      <c r="S60" s="7"/>
      <c r="T60" s="7"/>
      <c r="U60" s="7">
        <v>1</v>
      </c>
      <c r="V60" s="7"/>
      <c r="W60" s="7"/>
      <c r="X60" s="7">
        <v>2</v>
      </c>
      <c r="Y60" s="7"/>
      <c r="Z60" s="7">
        <v>4</v>
      </c>
      <c r="AA60" s="7">
        <v>1</v>
      </c>
      <c r="AB60" s="7">
        <v>1</v>
      </c>
      <c r="AC60" s="7"/>
      <c r="AD60" s="7">
        <v>1</v>
      </c>
      <c r="AE60" s="7">
        <v>3</v>
      </c>
      <c r="AF60" s="8"/>
      <c r="AG60" s="4">
        <f t="shared" si="2"/>
        <v>21</v>
      </c>
    </row>
    <row r="61" spans="1:33" ht="18.75" x14ac:dyDescent="0.25">
      <c r="A61" s="41" t="s">
        <v>42</v>
      </c>
      <c r="B61" s="7">
        <v>1</v>
      </c>
      <c r="C61" s="7"/>
      <c r="D61" s="7"/>
      <c r="E61" s="7"/>
      <c r="F61" s="7">
        <v>1</v>
      </c>
      <c r="G61" s="7"/>
      <c r="H61" s="7">
        <v>1</v>
      </c>
      <c r="I61" s="7"/>
      <c r="J61" s="7"/>
      <c r="K61" s="7">
        <v>1</v>
      </c>
      <c r="L61" s="7">
        <v>1</v>
      </c>
      <c r="M61" s="7"/>
      <c r="N61" s="7"/>
      <c r="O61" s="7"/>
      <c r="P61" s="7"/>
      <c r="Q61" s="7">
        <v>2</v>
      </c>
      <c r="R61" s="7">
        <v>2</v>
      </c>
      <c r="S61" s="7"/>
      <c r="T61" s="7"/>
      <c r="U61" s="7"/>
      <c r="V61" s="7"/>
      <c r="W61" s="7"/>
      <c r="X61" s="7">
        <v>1</v>
      </c>
      <c r="Y61" s="7"/>
      <c r="Z61" s="7">
        <v>2</v>
      </c>
      <c r="AA61" s="7">
        <v>1</v>
      </c>
      <c r="AB61" s="7">
        <v>1</v>
      </c>
      <c r="AC61" s="7"/>
      <c r="AD61" s="7"/>
      <c r="AE61" s="7">
        <v>1</v>
      </c>
      <c r="AF61" s="8"/>
      <c r="AG61" s="4">
        <f t="shared" si="2"/>
        <v>15</v>
      </c>
    </row>
    <row r="62" spans="1:33" ht="18.75" x14ac:dyDescent="0.25">
      <c r="A62" s="41" t="s">
        <v>43</v>
      </c>
      <c r="B62" s="7">
        <v>1</v>
      </c>
      <c r="C62" s="7"/>
      <c r="D62" s="7"/>
      <c r="E62" s="7">
        <v>1</v>
      </c>
      <c r="F62" s="7"/>
      <c r="G62" s="7"/>
      <c r="H62" s="7"/>
      <c r="I62" s="7"/>
      <c r="J62" s="7"/>
      <c r="K62" s="7"/>
      <c r="L62" s="7"/>
      <c r="M62" s="7">
        <v>2</v>
      </c>
      <c r="N62" s="7"/>
      <c r="O62" s="7"/>
      <c r="P62" s="7"/>
      <c r="Q62" s="7">
        <v>2</v>
      </c>
      <c r="R62" s="7">
        <v>3</v>
      </c>
      <c r="S62" s="7"/>
      <c r="T62" s="7"/>
      <c r="U62" s="7">
        <v>2</v>
      </c>
      <c r="V62" s="7"/>
      <c r="W62" s="7">
        <v>1</v>
      </c>
      <c r="X62" s="7">
        <v>1</v>
      </c>
      <c r="Y62" s="7"/>
      <c r="Z62" s="7"/>
      <c r="AA62" s="7">
        <v>2</v>
      </c>
      <c r="AB62" s="7">
        <v>2</v>
      </c>
      <c r="AC62" s="7"/>
      <c r="AD62" s="7">
        <v>2</v>
      </c>
      <c r="AE62" s="7">
        <v>1</v>
      </c>
      <c r="AF62" s="8"/>
      <c r="AG62" s="4">
        <f t="shared" si="2"/>
        <v>20</v>
      </c>
    </row>
    <row r="63" spans="1:33" ht="18.75" x14ac:dyDescent="0.25">
      <c r="A63" s="41" t="s">
        <v>44</v>
      </c>
      <c r="B63" s="7"/>
      <c r="C63" s="7"/>
      <c r="D63" s="7">
        <v>1</v>
      </c>
      <c r="E63" s="7"/>
      <c r="F63" s="7"/>
      <c r="G63" s="7"/>
      <c r="H63" s="7"/>
      <c r="I63" s="7"/>
      <c r="J63" s="7">
        <v>1</v>
      </c>
      <c r="K63" s="7"/>
      <c r="L63" s="7">
        <v>1</v>
      </c>
      <c r="M63" s="7"/>
      <c r="N63" s="7">
        <v>1</v>
      </c>
      <c r="O63" s="7"/>
      <c r="P63" s="7"/>
      <c r="Q63" s="7">
        <v>2</v>
      </c>
      <c r="R63" s="7"/>
      <c r="S63" s="7"/>
      <c r="T63" s="7"/>
      <c r="U63" s="7"/>
      <c r="V63" s="7">
        <v>2</v>
      </c>
      <c r="W63" s="7"/>
      <c r="X63" s="7">
        <v>2</v>
      </c>
      <c r="Y63" s="7"/>
      <c r="Z63" s="7"/>
      <c r="AA63" s="7">
        <v>1</v>
      </c>
      <c r="AB63" s="7"/>
      <c r="AC63" s="7">
        <v>1</v>
      </c>
      <c r="AD63" s="7">
        <v>1</v>
      </c>
      <c r="AE63" s="7">
        <v>3</v>
      </c>
      <c r="AF63" s="8"/>
      <c r="AG63" s="4">
        <f t="shared" si="2"/>
        <v>16</v>
      </c>
    </row>
    <row r="64" spans="1:33" ht="18.75" x14ac:dyDescent="0.25">
      <c r="A64" s="41" t="s">
        <v>45</v>
      </c>
      <c r="B64" s="7"/>
      <c r="C64" s="7">
        <v>1</v>
      </c>
      <c r="D64" s="7"/>
      <c r="E64" s="7">
        <v>1</v>
      </c>
      <c r="F64" s="7">
        <v>1</v>
      </c>
      <c r="G64" s="7"/>
      <c r="H64" s="7"/>
      <c r="I64" s="7">
        <v>1</v>
      </c>
      <c r="J64" s="7"/>
      <c r="K64" s="7">
        <v>1</v>
      </c>
      <c r="L64" s="7"/>
      <c r="M64" s="7">
        <v>1</v>
      </c>
      <c r="N64" s="7"/>
      <c r="O64" s="7"/>
      <c r="P64" s="7">
        <v>1</v>
      </c>
      <c r="Q64" s="7">
        <v>1</v>
      </c>
      <c r="R64" s="7">
        <v>1</v>
      </c>
      <c r="S64" s="7"/>
      <c r="T64" s="7">
        <v>1</v>
      </c>
      <c r="U64" s="7">
        <v>1</v>
      </c>
      <c r="V64" s="7"/>
      <c r="W64" s="7"/>
      <c r="X64" s="7">
        <v>2</v>
      </c>
      <c r="Y64" s="7"/>
      <c r="Z64" s="7">
        <v>1</v>
      </c>
      <c r="AA64" s="7"/>
      <c r="AB64" s="7">
        <v>1</v>
      </c>
      <c r="AC64" s="7"/>
      <c r="AD64" s="7"/>
      <c r="AE64" s="7"/>
      <c r="AF64" s="8"/>
      <c r="AG64" s="4">
        <f t="shared" si="2"/>
        <v>15</v>
      </c>
    </row>
    <row r="65" spans="1:33" ht="18.75" x14ac:dyDescent="0.25">
      <c r="A65" s="41" t="s">
        <v>46</v>
      </c>
      <c r="B65" s="7">
        <v>2</v>
      </c>
      <c r="C65" s="7"/>
      <c r="D65" s="7"/>
      <c r="E65" s="7">
        <v>2</v>
      </c>
      <c r="F65" s="7">
        <v>2</v>
      </c>
      <c r="G65" s="7"/>
      <c r="H65" s="7"/>
      <c r="I65" s="7"/>
      <c r="J65" s="7">
        <v>2</v>
      </c>
      <c r="K65" s="7"/>
      <c r="L65" s="7">
        <v>5</v>
      </c>
      <c r="M65" s="7"/>
      <c r="N65" s="7"/>
      <c r="O65" s="7"/>
      <c r="P65" s="7"/>
      <c r="Q65" s="7"/>
      <c r="R65" s="7">
        <v>1</v>
      </c>
      <c r="S65" s="7">
        <v>1</v>
      </c>
      <c r="T65" s="7"/>
      <c r="U65" s="7"/>
      <c r="V65" s="7"/>
      <c r="W65" s="7">
        <v>1</v>
      </c>
      <c r="X65" s="7">
        <v>1</v>
      </c>
      <c r="Y65" s="7">
        <v>1</v>
      </c>
      <c r="Z65" s="7"/>
      <c r="AA65" s="7"/>
      <c r="AB65" s="7">
        <v>1</v>
      </c>
      <c r="AC65" s="7"/>
      <c r="AD65" s="7"/>
      <c r="AE65" s="7"/>
      <c r="AF65" s="8"/>
      <c r="AG65" s="4">
        <f t="shared" si="2"/>
        <v>19</v>
      </c>
    </row>
    <row r="66" spans="1:33" ht="18.75" x14ac:dyDescent="0.25">
      <c r="A66" s="41" t="s">
        <v>47</v>
      </c>
      <c r="B66" s="7">
        <v>1</v>
      </c>
      <c r="C66" s="7">
        <v>1</v>
      </c>
      <c r="D66" s="7"/>
      <c r="E66" s="7"/>
      <c r="F66" s="7"/>
      <c r="G66" s="7">
        <v>3</v>
      </c>
      <c r="H66" s="7">
        <v>1</v>
      </c>
      <c r="I66" s="7"/>
      <c r="J66" s="7">
        <v>1</v>
      </c>
      <c r="K66" s="7">
        <v>2</v>
      </c>
      <c r="L66" s="7">
        <v>3</v>
      </c>
      <c r="M66" s="7"/>
      <c r="N66" s="7">
        <v>1</v>
      </c>
      <c r="O66" s="7">
        <v>1</v>
      </c>
      <c r="P66" s="7"/>
      <c r="Q66" s="7">
        <v>3</v>
      </c>
      <c r="R66" s="7"/>
      <c r="S66" s="7">
        <v>1</v>
      </c>
      <c r="T66" s="7">
        <v>1</v>
      </c>
      <c r="U66" s="7"/>
      <c r="V66" s="7">
        <v>1</v>
      </c>
      <c r="W66" s="7"/>
      <c r="X66" s="7"/>
      <c r="Y66" s="7">
        <v>1</v>
      </c>
      <c r="Z66" s="7"/>
      <c r="AA66" s="7">
        <v>2</v>
      </c>
      <c r="AB66" s="7">
        <v>1</v>
      </c>
      <c r="AC66" s="7"/>
      <c r="AD66" s="7"/>
      <c r="AE66" s="7"/>
      <c r="AF66" s="8"/>
      <c r="AG66" s="4">
        <f t="shared" si="2"/>
        <v>24</v>
      </c>
    </row>
    <row r="67" spans="1:33" ht="18.75" x14ac:dyDescent="0.25">
      <c r="A67" s="41" t="s">
        <v>48</v>
      </c>
      <c r="B67" s="7">
        <v>2</v>
      </c>
      <c r="C67" s="7"/>
      <c r="D67" s="7"/>
      <c r="E67" s="7"/>
      <c r="F67" s="7"/>
      <c r="G67" s="7"/>
      <c r="H67" s="7"/>
      <c r="I67" s="7"/>
      <c r="J67" s="7">
        <v>1</v>
      </c>
      <c r="K67" s="7"/>
      <c r="L67" s="7">
        <v>6</v>
      </c>
      <c r="M67" s="7">
        <v>3</v>
      </c>
      <c r="N67" s="7"/>
      <c r="O67" s="7"/>
      <c r="P67" s="7">
        <v>1</v>
      </c>
      <c r="Q67" s="7">
        <v>1</v>
      </c>
      <c r="R67" s="7"/>
      <c r="S67" s="7">
        <v>1</v>
      </c>
      <c r="T67" s="7"/>
      <c r="U67" s="7"/>
      <c r="V67" s="7"/>
      <c r="W67" s="7">
        <v>2</v>
      </c>
      <c r="X67" s="7">
        <v>2</v>
      </c>
      <c r="Y67" s="7"/>
      <c r="Z67" s="7"/>
      <c r="AA67" s="7">
        <v>2</v>
      </c>
      <c r="AB67" s="7"/>
      <c r="AC67" s="7">
        <v>2</v>
      </c>
      <c r="AD67" s="7"/>
      <c r="AE67" s="7"/>
      <c r="AF67" s="8"/>
      <c r="AG67" s="4">
        <f t="shared" si="2"/>
        <v>23</v>
      </c>
    </row>
    <row r="68" spans="1:33" ht="18.75" x14ac:dyDescent="0.25">
      <c r="A68" s="41" t="s">
        <v>49</v>
      </c>
      <c r="B68" s="7"/>
      <c r="C68" s="7">
        <v>1</v>
      </c>
      <c r="D68" s="7">
        <v>1</v>
      </c>
      <c r="E68" s="7"/>
      <c r="F68" s="7"/>
      <c r="G68" s="7">
        <v>1</v>
      </c>
      <c r="H68" s="7">
        <v>1</v>
      </c>
      <c r="I68" s="7"/>
      <c r="J68" s="7">
        <v>2</v>
      </c>
      <c r="K68" s="7"/>
      <c r="L68" s="7">
        <v>1</v>
      </c>
      <c r="M68" s="7">
        <v>5</v>
      </c>
      <c r="N68" s="7"/>
      <c r="O68" s="7">
        <v>1</v>
      </c>
      <c r="P68" s="7"/>
      <c r="Q68" s="7">
        <v>5</v>
      </c>
      <c r="R68" s="7"/>
      <c r="S68" s="7"/>
      <c r="T68" s="7"/>
      <c r="U68" s="7"/>
      <c r="V68" s="7"/>
      <c r="W68" s="7"/>
      <c r="X68" s="7">
        <v>1</v>
      </c>
      <c r="Y68" s="7"/>
      <c r="Z68" s="7"/>
      <c r="AA68" s="7">
        <v>1</v>
      </c>
      <c r="AB68" s="7">
        <v>1</v>
      </c>
      <c r="AC68" s="7">
        <v>1</v>
      </c>
      <c r="AD68" s="7">
        <v>3</v>
      </c>
      <c r="AE68" s="7"/>
      <c r="AF68" s="8"/>
      <c r="AG68" s="4">
        <f t="shared" si="2"/>
        <v>25</v>
      </c>
    </row>
    <row r="69" spans="1:33" ht="18.75" x14ac:dyDescent="0.25">
      <c r="A69" s="41" t="s">
        <v>50</v>
      </c>
      <c r="B69" s="7">
        <v>3</v>
      </c>
      <c r="C69" s="7"/>
      <c r="D69" s="7"/>
      <c r="E69" s="7"/>
      <c r="F69" s="7"/>
      <c r="G69" s="7"/>
      <c r="H69" s="7"/>
      <c r="I69" s="7"/>
      <c r="J69" s="7">
        <v>1</v>
      </c>
      <c r="K69" s="7"/>
      <c r="L69" s="7">
        <v>1</v>
      </c>
      <c r="M69" s="7"/>
      <c r="N69" s="7"/>
      <c r="O69" s="7"/>
      <c r="P69" s="7"/>
      <c r="Q69" s="7">
        <v>2</v>
      </c>
      <c r="R69" s="7"/>
      <c r="S69" s="7"/>
      <c r="T69" s="7">
        <v>1</v>
      </c>
      <c r="U69" s="7"/>
      <c r="V69" s="7"/>
      <c r="W69" s="7">
        <v>2</v>
      </c>
      <c r="X69" s="7"/>
      <c r="Y69" s="7">
        <v>1</v>
      </c>
      <c r="Z69" s="7"/>
      <c r="AA69" s="7">
        <v>1</v>
      </c>
      <c r="AB69" s="7"/>
      <c r="AC69" s="7"/>
      <c r="AD69" s="7"/>
      <c r="AE69" s="7">
        <v>3</v>
      </c>
      <c r="AF69" s="8"/>
      <c r="AG69" s="4">
        <f t="shared" si="2"/>
        <v>15</v>
      </c>
    </row>
    <row r="70" spans="1:33" ht="18.75" x14ac:dyDescent="0.25">
      <c r="A70" s="41" t="s">
        <v>33</v>
      </c>
      <c r="B70" s="114"/>
      <c r="C70" s="114"/>
      <c r="D70" s="7"/>
      <c r="E70" s="114"/>
      <c r="F70" s="114"/>
      <c r="G70" s="7">
        <v>1</v>
      </c>
      <c r="H70" s="114"/>
      <c r="I70" s="7"/>
      <c r="J70" s="114"/>
      <c r="K70" s="114"/>
      <c r="L70" s="114"/>
      <c r="M70" s="114"/>
      <c r="N70" s="114">
        <v>1</v>
      </c>
      <c r="O70" s="114"/>
      <c r="P70" s="114"/>
      <c r="Q70" s="114">
        <v>3</v>
      </c>
      <c r="R70" s="114"/>
      <c r="S70" s="114"/>
      <c r="T70" s="114"/>
      <c r="U70" s="114"/>
      <c r="V70" s="114"/>
      <c r="W70" s="114">
        <v>1</v>
      </c>
      <c r="X70" s="114">
        <v>1</v>
      </c>
      <c r="Y70" s="114">
        <v>1</v>
      </c>
      <c r="Z70" s="114"/>
      <c r="AA70" s="114">
        <v>6</v>
      </c>
      <c r="AB70" s="114"/>
      <c r="AC70" s="114">
        <v>1</v>
      </c>
      <c r="AD70" s="114"/>
      <c r="AE70" s="114">
        <v>1</v>
      </c>
      <c r="AF70" s="115"/>
      <c r="AG70" s="4">
        <f t="shared" si="2"/>
        <v>16</v>
      </c>
    </row>
    <row r="71" spans="1:33" ht="18.75" x14ac:dyDescent="0.25">
      <c r="A71" s="41" t="s">
        <v>34</v>
      </c>
      <c r="B71" s="114"/>
      <c r="C71" s="114"/>
      <c r="D71" s="7"/>
      <c r="E71" s="114"/>
      <c r="F71" s="114"/>
      <c r="G71" s="7"/>
      <c r="H71" s="114"/>
      <c r="I71" s="7"/>
      <c r="J71" s="114"/>
      <c r="K71" s="114"/>
      <c r="L71" s="114">
        <v>1</v>
      </c>
      <c r="M71" s="114"/>
      <c r="N71" s="114"/>
      <c r="O71" s="114"/>
      <c r="P71" s="114"/>
      <c r="Q71" s="114"/>
      <c r="R71" s="114"/>
      <c r="S71" s="114"/>
      <c r="T71" s="114"/>
      <c r="U71" s="114"/>
      <c r="V71" s="114"/>
      <c r="W71" s="114">
        <v>1</v>
      </c>
      <c r="X71" s="114"/>
      <c r="Y71" s="114"/>
      <c r="Z71" s="114"/>
      <c r="AA71" s="114">
        <v>1</v>
      </c>
      <c r="AB71" s="114"/>
      <c r="AC71" s="114"/>
      <c r="AD71" s="114">
        <v>1</v>
      </c>
      <c r="AE71" s="114"/>
      <c r="AF71" s="115"/>
      <c r="AG71" s="4">
        <f t="shared" si="2"/>
        <v>4</v>
      </c>
    </row>
    <row r="72" spans="1:33" ht="18.75" x14ac:dyDescent="0.25">
      <c r="A72" s="41" t="s">
        <v>35</v>
      </c>
      <c r="B72" s="114"/>
      <c r="C72" s="114"/>
      <c r="D72" s="7"/>
      <c r="E72" s="114"/>
      <c r="F72" s="114"/>
      <c r="G72" s="7"/>
      <c r="H72" s="114"/>
      <c r="I72" s="7"/>
      <c r="J72" s="114"/>
      <c r="K72" s="114"/>
      <c r="L72" s="114"/>
      <c r="M72" s="114"/>
      <c r="N72" s="114">
        <v>1</v>
      </c>
      <c r="O72" s="114"/>
      <c r="P72" s="114"/>
      <c r="Q72" s="114"/>
      <c r="R72" s="114"/>
      <c r="S72" s="114">
        <v>1</v>
      </c>
      <c r="T72" s="114"/>
      <c r="U72" s="114"/>
      <c r="V72" s="114"/>
      <c r="W72" s="114"/>
      <c r="X72" s="114"/>
      <c r="Y72" s="114"/>
      <c r="Z72" s="114"/>
      <c r="AA72" s="114">
        <v>1</v>
      </c>
      <c r="AB72" s="114"/>
      <c r="AC72" s="114"/>
      <c r="AD72" s="114"/>
      <c r="AE72" s="114"/>
      <c r="AF72" s="115"/>
      <c r="AG72" s="4">
        <f t="shared" si="2"/>
        <v>3</v>
      </c>
    </row>
    <row r="73" spans="1:33" ht="18.75" x14ac:dyDescent="0.25">
      <c r="A73" s="41" t="s">
        <v>36</v>
      </c>
      <c r="B73" s="114"/>
      <c r="C73" s="114"/>
      <c r="D73" s="7"/>
      <c r="E73" s="114"/>
      <c r="F73" s="114"/>
      <c r="G73" s="7"/>
      <c r="H73" s="114"/>
      <c r="I73" s="7"/>
      <c r="J73" s="114"/>
      <c r="K73" s="114"/>
      <c r="L73" s="114"/>
      <c r="M73" s="114"/>
      <c r="N73" s="114"/>
      <c r="O73" s="114"/>
      <c r="P73" s="114"/>
      <c r="Q73" s="114"/>
      <c r="R73" s="114"/>
      <c r="S73" s="114"/>
      <c r="T73" s="114"/>
      <c r="U73" s="114"/>
      <c r="V73" s="114"/>
      <c r="W73" s="114"/>
      <c r="X73" s="114"/>
      <c r="Y73" s="114"/>
      <c r="Z73" s="114"/>
      <c r="AA73" s="114"/>
      <c r="AB73" s="114"/>
      <c r="AC73" s="114"/>
      <c r="AD73" s="114"/>
      <c r="AE73" s="114">
        <v>1</v>
      </c>
      <c r="AF73" s="115"/>
      <c r="AG73" s="4">
        <f t="shared" si="2"/>
        <v>1</v>
      </c>
    </row>
    <row r="74" spans="1:33" ht="18.75" x14ac:dyDescent="0.25">
      <c r="A74" s="41" t="s">
        <v>51</v>
      </c>
      <c r="B74" s="114"/>
      <c r="C74" s="114"/>
      <c r="D74" s="7"/>
      <c r="E74" s="114"/>
      <c r="F74" s="114"/>
      <c r="G74" s="7"/>
      <c r="H74" s="114"/>
      <c r="I74" s="7"/>
      <c r="J74" s="114"/>
      <c r="K74" s="114"/>
      <c r="L74" s="114"/>
      <c r="M74" s="114"/>
      <c r="N74" s="114"/>
      <c r="O74" s="114"/>
      <c r="P74" s="114"/>
      <c r="Q74" s="114"/>
      <c r="R74" s="114"/>
      <c r="S74" s="114"/>
      <c r="T74" s="114"/>
      <c r="U74" s="114"/>
      <c r="V74" s="114"/>
      <c r="W74" s="114"/>
      <c r="X74" s="114">
        <v>1</v>
      </c>
      <c r="Y74" s="114"/>
      <c r="Z74" s="114"/>
      <c r="AA74" s="114"/>
      <c r="AB74" s="114"/>
      <c r="AC74" s="114"/>
      <c r="AD74" s="114">
        <v>1</v>
      </c>
      <c r="AE74" s="114"/>
      <c r="AF74" s="115"/>
      <c r="AG74" s="4">
        <f t="shared" si="2"/>
        <v>2</v>
      </c>
    </row>
    <row r="75" spans="1:33" ht="18.75" x14ac:dyDescent="0.25">
      <c r="A75" s="41" t="s">
        <v>52</v>
      </c>
      <c r="B75" s="114"/>
      <c r="C75" s="114"/>
      <c r="D75" s="7"/>
      <c r="E75" s="114"/>
      <c r="F75" s="114"/>
      <c r="G75" s="7"/>
      <c r="H75" s="114"/>
      <c r="I75" s="7"/>
      <c r="J75" s="114"/>
      <c r="K75" s="114"/>
      <c r="L75" s="114"/>
      <c r="M75" s="114"/>
      <c r="N75" s="114"/>
      <c r="O75" s="114"/>
      <c r="P75" s="114"/>
      <c r="Q75" s="114"/>
      <c r="R75" s="114"/>
      <c r="S75" s="114"/>
      <c r="T75" s="114"/>
      <c r="U75" s="114"/>
      <c r="V75" s="114"/>
      <c r="W75" s="114"/>
      <c r="X75" s="114"/>
      <c r="Y75" s="114"/>
      <c r="Z75" s="114"/>
      <c r="AA75" s="114"/>
      <c r="AB75" s="114"/>
      <c r="AC75" s="114"/>
      <c r="AD75" s="114"/>
      <c r="AE75" s="114"/>
      <c r="AF75" s="115"/>
      <c r="AG75" s="4">
        <f t="shared" si="2"/>
        <v>0</v>
      </c>
    </row>
    <row r="76" spans="1:33" ht="18.75" x14ac:dyDescent="0.25">
      <c r="A76" s="41" t="s">
        <v>37</v>
      </c>
      <c r="B76" s="114"/>
      <c r="C76" s="114"/>
      <c r="D76" s="7"/>
      <c r="E76" s="114"/>
      <c r="F76" s="114"/>
      <c r="G76" s="7"/>
      <c r="H76" s="114"/>
      <c r="I76" s="7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X76" s="114"/>
      <c r="Y76" s="114"/>
      <c r="Z76" s="114"/>
      <c r="AA76" s="114"/>
      <c r="AB76" s="114"/>
      <c r="AC76" s="114"/>
      <c r="AD76" s="114"/>
      <c r="AE76" s="114"/>
      <c r="AF76" s="115"/>
      <c r="AG76" s="4">
        <f t="shared" si="2"/>
        <v>0</v>
      </c>
    </row>
    <row r="77" spans="1:33" ht="19.5" thickBot="1" x14ac:dyDescent="0.3">
      <c r="A77" s="134" t="s">
        <v>53</v>
      </c>
      <c r="B77" s="166"/>
      <c r="C77" s="166"/>
      <c r="D77" s="9"/>
      <c r="E77" s="166"/>
      <c r="F77" s="166"/>
      <c r="G77" s="9"/>
      <c r="H77" s="166"/>
      <c r="I77" s="9"/>
      <c r="J77" s="166">
        <v>1</v>
      </c>
      <c r="K77" s="166"/>
      <c r="L77" s="166"/>
      <c r="M77" s="166"/>
      <c r="N77" s="166"/>
      <c r="O77" s="166"/>
      <c r="P77" s="166"/>
      <c r="Q77" s="166"/>
      <c r="R77" s="166"/>
      <c r="S77" s="166"/>
      <c r="T77" s="166"/>
      <c r="U77" s="166"/>
      <c r="V77" s="166"/>
      <c r="W77" s="166"/>
      <c r="X77" s="166"/>
      <c r="Y77" s="166"/>
      <c r="Z77" s="166"/>
      <c r="AA77" s="166"/>
      <c r="AB77" s="166"/>
      <c r="AC77" s="166"/>
      <c r="AD77" s="166"/>
      <c r="AE77" s="166"/>
      <c r="AF77" s="167"/>
      <c r="AG77" s="108">
        <f t="shared" si="2"/>
        <v>1</v>
      </c>
    </row>
    <row r="78" spans="1:33" ht="19.5" hidden="1" customHeight="1" thickBot="1" x14ac:dyDescent="0.3">
      <c r="A78" s="183" t="s">
        <v>99</v>
      </c>
      <c r="B78" s="185">
        <f t="shared" ref="B78:AF78" si="5">SUM(B79:B80)</f>
        <v>122</v>
      </c>
      <c r="C78" s="185">
        <f t="shared" si="5"/>
        <v>126</v>
      </c>
      <c r="D78" s="185">
        <f t="shared" si="5"/>
        <v>118</v>
      </c>
      <c r="E78" s="184">
        <f t="shared" si="5"/>
        <v>128</v>
      </c>
      <c r="F78" s="184">
        <f t="shared" si="5"/>
        <v>135</v>
      </c>
      <c r="G78" s="184">
        <f t="shared" si="5"/>
        <v>126</v>
      </c>
      <c r="H78" s="184">
        <f t="shared" si="5"/>
        <v>129</v>
      </c>
      <c r="I78" s="184">
        <f t="shared" si="5"/>
        <v>109</v>
      </c>
      <c r="J78" s="184">
        <f t="shared" si="5"/>
        <v>156</v>
      </c>
      <c r="K78" s="184">
        <f t="shared" si="5"/>
        <v>133</v>
      </c>
      <c r="L78" s="184">
        <f t="shared" si="5"/>
        <v>166</v>
      </c>
      <c r="M78" s="184">
        <f t="shared" si="5"/>
        <v>152</v>
      </c>
      <c r="N78" s="184">
        <f t="shared" si="5"/>
        <v>119</v>
      </c>
      <c r="O78" s="184">
        <f>SUM(O79:O80)</f>
        <v>125</v>
      </c>
      <c r="P78" s="184">
        <f t="shared" si="5"/>
        <v>133</v>
      </c>
      <c r="Q78" s="184">
        <f t="shared" si="5"/>
        <v>146</v>
      </c>
      <c r="R78" s="184">
        <f t="shared" si="5"/>
        <v>120</v>
      </c>
      <c r="S78" s="184">
        <f t="shared" si="5"/>
        <v>113</v>
      </c>
      <c r="T78" s="184">
        <f t="shared" si="5"/>
        <v>127</v>
      </c>
      <c r="U78" s="184">
        <f t="shared" si="5"/>
        <v>137</v>
      </c>
      <c r="V78" s="184">
        <f t="shared" si="5"/>
        <v>124</v>
      </c>
      <c r="W78" s="184">
        <f t="shared" si="5"/>
        <v>151</v>
      </c>
      <c r="X78" s="184">
        <f t="shared" si="5"/>
        <v>175</v>
      </c>
      <c r="Y78" s="184">
        <f t="shared" si="5"/>
        <v>151</v>
      </c>
      <c r="Z78" s="184">
        <f t="shared" si="5"/>
        <v>142</v>
      </c>
      <c r="AA78" s="184">
        <f t="shared" si="5"/>
        <v>168</v>
      </c>
      <c r="AB78" s="184">
        <f t="shared" si="5"/>
        <v>134</v>
      </c>
      <c r="AC78" s="184">
        <f t="shared" si="5"/>
        <v>134</v>
      </c>
      <c r="AD78" s="184">
        <f t="shared" si="5"/>
        <v>133</v>
      </c>
      <c r="AE78" s="184">
        <f t="shared" si="5"/>
        <v>186</v>
      </c>
      <c r="AF78" s="186">
        <f t="shared" si="5"/>
        <v>0</v>
      </c>
      <c r="AG78" s="116">
        <f t="shared" si="2"/>
        <v>4118</v>
      </c>
    </row>
    <row r="79" spans="1:33" ht="19.5" hidden="1" customHeight="1" thickBot="1" x14ac:dyDescent="0.3">
      <c r="A79" s="181" t="s">
        <v>58</v>
      </c>
      <c r="B79" s="114">
        <f t="shared" ref="B79:AF79" si="6">SUM(B4:B27)-B80</f>
        <v>122</v>
      </c>
      <c r="C79" s="114">
        <f t="shared" si="6"/>
        <v>126</v>
      </c>
      <c r="D79" s="114">
        <f t="shared" si="6"/>
        <v>118</v>
      </c>
      <c r="E79" s="114">
        <f t="shared" si="6"/>
        <v>128</v>
      </c>
      <c r="F79" s="114">
        <f t="shared" si="6"/>
        <v>70</v>
      </c>
      <c r="G79" s="114">
        <f t="shared" si="6"/>
        <v>66</v>
      </c>
      <c r="H79" s="114">
        <f t="shared" si="6"/>
        <v>56</v>
      </c>
      <c r="I79" s="114">
        <f t="shared" si="6"/>
        <v>109</v>
      </c>
      <c r="J79" s="114">
        <f t="shared" si="6"/>
        <v>156</v>
      </c>
      <c r="K79" s="114">
        <f t="shared" si="6"/>
        <v>133</v>
      </c>
      <c r="L79" s="114">
        <f t="shared" si="6"/>
        <v>166</v>
      </c>
      <c r="M79" s="114">
        <f t="shared" si="6"/>
        <v>91</v>
      </c>
      <c r="N79" s="114">
        <f t="shared" si="6"/>
        <v>70</v>
      </c>
      <c r="O79" s="114">
        <f t="shared" si="6"/>
        <v>54</v>
      </c>
      <c r="P79" s="114">
        <f t="shared" si="6"/>
        <v>133</v>
      </c>
      <c r="Q79" s="114">
        <f t="shared" si="6"/>
        <v>146</v>
      </c>
      <c r="R79" s="114">
        <f t="shared" si="6"/>
        <v>64</v>
      </c>
      <c r="S79" s="114">
        <f t="shared" si="6"/>
        <v>67</v>
      </c>
      <c r="T79" s="114">
        <f t="shared" si="6"/>
        <v>79</v>
      </c>
      <c r="U79" s="114">
        <f t="shared" si="6"/>
        <v>75</v>
      </c>
      <c r="V79" s="114">
        <f t="shared" si="6"/>
        <v>49</v>
      </c>
      <c r="W79" s="114">
        <f t="shared" si="6"/>
        <v>151</v>
      </c>
      <c r="X79" s="114">
        <f t="shared" si="6"/>
        <v>175</v>
      </c>
      <c r="Y79" s="114">
        <f t="shared" si="6"/>
        <v>91</v>
      </c>
      <c r="Z79" s="114">
        <f t="shared" si="6"/>
        <v>142</v>
      </c>
      <c r="AA79" s="114">
        <f t="shared" si="6"/>
        <v>110</v>
      </c>
      <c r="AB79" s="114">
        <f t="shared" si="6"/>
        <v>80</v>
      </c>
      <c r="AC79" s="114">
        <f t="shared" si="6"/>
        <v>59</v>
      </c>
      <c r="AD79" s="114">
        <f t="shared" si="6"/>
        <v>133</v>
      </c>
      <c r="AE79" s="114">
        <f t="shared" si="6"/>
        <v>186</v>
      </c>
      <c r="AF79" s="114">
        <f t="shared" si="6"/>
        <v>0</v>
      </c>
      <c r="AG79" s="132">
        <f t="shared" si="2"/>
        <v>3205</v>
      </c>
    </row>
    <row r="80" spans="1:33" ht="19.5" hidden="1" customHeight="1" thickBot="1" x14ac:dyDescent="0.3">
      <c r="A80" s="107" t="s">
        <v>57</v>
      </c>
      <c r="B80" s="11"/>
      <c r="C80" s="11"/>
      <c r="D80" s="9">
        <v>0</v>
      </c>
      <c r="E80" s="9">
        <v>0</v>
      </c>
      <c r="F80" s="9">
        <f>SUM(F4:F12)</f>
        <v>65</v>
      </c>
      <c r="G80" s="9">
        <f>SUM(G4:G12)</f>
        <v>60</v>
      </c>
      <c r="H80" s="9">
        <f>SUM(H4:H12)</f>
        <v>73</v>
      </c>
      <c r="I80" s="11"/>
      <c r="J80" s="11"/>
      <c r="K80" s="9">
        <v>0</v>
      </c>
      <c r="L80" s="9">
        <v>0</v>
      </c>
      <c r="M80" s="9">
        <f>SUM(M4:M12)</f>
        <v>61</v>
      </c>
      <c r="N80" s="9">
        <f>SUM(N4:N12)</f>
        <v>49</v>
      </c>
      <c r="O80" s="9">
        <f>SUM(O4:O12)</f>
        <v>71</v>
      </c>
      <c r="P80" s="11"/>
      <c r="Q80" s="11"/>
      <c r="R80" s="9">
        <f>SUM(R4:R12)</f>
        <v>56</v>
      </c>
      <c r="S80" s="9">
        <f>SUM(S4:S12)</f>
        <v>46</v>
      </c>
      <c r="T80" s="9">
        <f>SUM(T4:T12)</f>
        <v>48</v>
      </c>
      <c r="U80" s="9">
        <f>SUM(U4:U12)</f>
        <v>62</v>
      </c>
      <c r="V80" s="9">
        <f>SUM(V4:V12)</f>
        <v>75</v>
      </c>
      <c r="W80" s="11"/>
      <c r="X80" s="11"/>
      <c r="Y80" s="9">
        <f>SUM(Y4:Y12)</f>
        <v>60</v>
      </c>
      <c r="Z80" s="11"/>
      <c r="AA80" s="9">
        <f>SUM(AA4:AA12)</f>
        <v>58</v>
      </c>
      <c r="AB80" s="9">
        <f>SUM(AB4:AB12)</f>
        <v>54</v>
      </c>
      <c r="AC80" s="9">
        <f>SUM(AC4:AC12)</f>
        <v>75</v>
      </c>
      <c r="AD80" s="11"/>
      <c r="AE80" s="11"/>
      <c r="AF80" s="9">
        <f>SUM(AF4:AF12)</f>
        <v>0</v>
      </c>
      <c r="AG80" s="108">
        <f t="shared" si="2"/>
        <v>913</v>
      </c>
    </row>
    <row r="81" spans="1:35" ht="19.5" thickBot="1" x14ac:dyDescent="0.3">
      <c r="A81" s="183" t="s">
        <v>98</v>
      </c>
      <c r="B81" s="184">
        <f t="shared" ref="B81:AF81" si="7">SUM(B82:B83)</f>
        <v>13</v>
      </c>
      <c r="C81" s="184">
        <f t="shared" si="7"/>
        <v>3</v>
      </c>
      <c r="D81" s="184">
        <f t="shared" si="7"/>
        <v>6</v>
      </c>
      <c r="E81" s="184">
        <f t="shared" si="7"/>
        <v>4</v>
      </c>
      <c r="F81" s="184">
        <f t="shared" si="7"/>
        <v>4</v>
      </c>
      <c r="G81" s="184">
        <f t="shared" si="7"/>
        <v>9</v>
      </c>
      <c r="H81" s="184">
        <f t="shared" si="7"/>
        <v>3</v>
      </c>
      <c r="I81" s="184">
        <f t="shared" si="7"/>
        <v>1</v>
      </c>
      <c r="J81" s="184">
        <f t="shared" si="7"/>
        <v>9</v>
      </c>
      <c r="K81" s="184">
        <f t="shared" si="7"/>
        <v>6</v>
      </c>
      <c r="L81" s="184">
        <f t="shared" si="7"/>
        <v>21</v>
      </c>
      <c r="M81" s="184">
        <f t="shared" si="7"/>
        <v>12</v>
      </c>
      <c r="N81" s="184">
        <f t="shared" si="7"/>
        <v>6</v>
      </c>
      <c r="O81" s="184">
        <f t="shared" si="7"/>
        <v>2</v>
      </c>
      <c r="P81" s="184">
        <f t="shared" si="7"/>
        <v>3</v>
      </c>
      <c r="Q81" s="184">
        <f t="shared" si="7"/>
        <v>21</v>
      </c>
      <c r="R81" s="184">
        <f t="shared" si="7"/>
        <v>8</v>
      </c>
      <c r="S81" s="184">
        <f t="shared" si="7"/>
        <v>6</v>
      </c>
      <c r="T81" s="184">
        <f t="shared" si="7"/>
        <v>5</v>
      </c>
      <c r="U81" s="184">
        <f t="shared" si="7"/>
        <v>4</v>
      </c>
      <c r="V81" s="184">
        <f t="shared" si="7"/>
        <v>4</v>
      </c>
      <c r="W81" s="184">
        <f t="shared" si="7"/>
        <v>9</v>
      </c>
      <c r="X81" s="184">
        <f t="shared" si="7"/>
        <v>15</v>
      </c>
      <c r="Y81" s="184">
        <f t="shared" si="7"/>
        <v>4</v>
      </c>
      <c r="Z81" s="184">
        <f>SUM(Z82:Z83)</f>
        <v>8</v>
      </c>
      <c r="AA81" s="184">
        <f t="shared" si="7"/>
        <v>19</v>
      </c>
      <c r="AB81" s="184">
        <f t="shared" si="7"/>
        <v>8</v>
      </c>
      <c r="AC81" s="184">
        <f t="shared" si="7"/>
        <v>8</v>
      </c>
      <c r="AD81" s="184">
        <f t="shared" si="7"/>
        <v>10</v>
      </c>
      <c r="AE81" s="184">
        <f t="shared" si="7"/>
        <v>13</v>
      </c>
      <c r="AF81" s="184">
        <f t="shared" si="7"/>
        <v>0</v>
      </c>
      <c r="AG81" s="116">
        <f t="shared" si="2"/>
        <v>244</v>
      </c>
      <c r="AH81" s="180" t="str">
        <f>IF(AG81&lt;&gt;AG53,"*","")</f>
        <v/>
      </c>
    </row>
    <row r="82" spans="1:35" ht="18.75" x14ac:dyDescent="0.25">
      <c r="A82" s="181" t="s">
        <v>57</v>
      </c>
      <c r="B82" s="182"/>
      <c r="C82" s="114">
        <f t="shared" ref="C82:AF82" si="8">SUM(C54:C62)</f>
        <v>0</v>
      </c>
      <c r="D82" s="114">
        <f t="shared" si="8"/>
        <v>4</v>
      </c>
      <c r="E82" s="114">
        <f t="shared" si="8"/>
        <v>1</v>
      </c>
      <c r="F82" s="114">
        <f t="shared" si="8"/>
        <v>1</v>
      </c>
      <c r="G82" s="114">
        <f t="shared" si="8"/>
        <v>4</v>
      </c>
      <c r="H82" s="182"/>
      <c r="I82" s="182"/>
      <c r="J82" s="114">
        <f t="shared" si="8"/>
        <v>0</v>
      </c>
      <c r="K82" s="114">
        <f t="shared" si="8"/>
        <v>3</v>
      </c>
      <c r="L82" s="114">
        <f t="shared" si="8"/>
        <v>3</v>
      </c>
      <c r="M82" s="114">
        <f t="shared" si="8"/>
        <v>3</v>
      </c>
      <c r="N82" s="114">
        <f t="shared" si="8"/>
        <v>2</v>
      </c>
      <c r="O82" s="182"/>
      <c r="P82" s="182"/>
      <c r="Q82" s="114">
        <f t="shared" si="8"/>
        <v>4</v>
      </c>
      <c r="R82" s="114">
        <f t="shared" si="8"/>
        <v>6</v>
      </c>
      <c r="S82" s="114">
        <f t="shared" si="8"/>
        <v>2</v>
      </c>
      <c r="T82" s="114">
        <f t="shared" si="8"/>
        <v>2</v>
      </c>
      <c r="U82" s="114">
        <f t="shared" si="8"/>
        <v>3</v>
      </c>
      <c r="V82" s="182"/>
      <c r="W82" s="182"/>
      <c r="X82" s="114">
        <f t="shared" si="8"/>
        <v>5</v>
      </c>
      <c r="Y82" s="114">
        <f t="shared" si="8"/>
        <v>0</v>
      </c>
      <c r="Z82" s="114">
        <f t="shared" si="8"/>
        <v>7</v>
      </c>
      <c r="AA82" s="114">
        <f t="shared" si="8"/>
        <v>4</v>
      </c>
      <c r="AB82" s="114">
        <f t="shared" si="8"/>
        <v>4</v>
      </c>
      <c r="AC82" s="182"/>
      <c r="AD82" s="182"/>
      <c r="AE82" s="114">
        <f t="shared" si="8"/>
        <v>5</v>
      </c>
      <c r="AF82" s="114">
        <f t="shared" si="8"/>
        <v>0</v>
      </c>
      <c r="AG82" s="132">
        <f t="shared" si="2"/>
        <v>63</v>
      </c>
    </row>
    <row r="83" spans="1:35" ht="19.5" thickBot="1" x14ac:dyDescent="0.3">
      <c r="A83" s="107" t="s">
        <v>58</v>
      </c>
      <c r="B83" s="9">
        <f t="shared" ref="B83" si="9">SUM(B54:B77)-B82</f>
        <v>13</v>
      </c>
      <c r="C83" s="9">
        <f t="shared" ref="C83" si="10">SUM(C54:C77)-C82</f>
        <v>3</v>
      </c>
      <c r="D83" s="9">
        <f t="shared" ref="D83:AF83" si="11">SUM(D54:D77)-D82</f>
        <v>2</v>
      </c>
      <c r="E83" s="9">
        <f t="shared" si="11"/>
        <v>3</v>
      </c>
      <c r="F83" s="9">
        <f t="shared" si="11"/>
        <v>3</v>
      </c>
      <c r="G83" s="9">
        <f t="shared" si="11"/>
        <v>5</v>
      </c>
      <c r="H83" s="9">
        <f t="shared" si="11"/>
        <v>3</v>
      </c>
      <c r="I83" s="9">
        <f t="shared" si="11"/>
        <v>1</v>
      </c>
      <c r="J83" s="9">
        <f t="shared" si="11"/>
        <v>9</v>
      </c>
      <c r="K83" s="9">
        <f t="shared" si="11"/>
        <v>3</v>
      </c>
      <c r="L83" s="9">
        <f t="shared" si="11"/>
        <v>18</v>
      </c>
      <c r="M83" s="9">
        <f t="shared" si="11"/>
        <v>9</v>
      </c>
      <c r="N83" s="9">
        <f t="shared" si="11"/>
        <v>4</v>
      </c>
      <c r="O83" s="9">
        <f t="shared" si="11"/>
        <v>2</v>
      </c>
      <c r="P83" s="9">
        <f t="shared" si="11"/>
        <v>3</v>
      </c>
      <c r="Q83" s="9">
        <f t="shared" si="11"/>
        <v>17</v>
      </c>
      <c r="R83" s="9">
        <f t="shared" si="11"/>
        <v>2</v>
      </c>
      <c r="S83" s="9">
        <f t="shared" si="11"/>
        <v>4</v>
      </c>
      <c r="T83" s="9">
        <f t="shared" si="11"/>
        <v>3</v>
      </c>
      <c r="U83" s="9">
        <f t="shared" si="11"/>
        <v>1</v>
      </c>
      <c r="V83" s="9">
        <f t="shared" si="11"/>
        <v>4</v>
      </c>
      <c r="W83" s="9">
        <f t="shared" si="11"/>
        <v>9</v>
      </c>
      <c r="X83" s="9">
        <f t="shared" si="11"/>
        <v>10</v>
      </c>
      <c r="Y83" s="9">
        <f t="shared" si="11"/>
        <v>4</v>
      </c>
      <c r="Z83" s="9">
        <f t="shared" si="11"/>
        <v>1</v>
      </c>
      <c r="AA83" s="9">
        <f t="shared" si="11"/>
        <v>15</v>
      </c>
      <c r="AB83" s="9">
        <f t="shared" si="11"/>
        <v>4</v>
      </c>
      <c r="AC83" s="9">
        <f t="shared" si="11"/>
        <v>8</v>
      </c>
      <c r="AD83" s="9">
        <f t="shared" si="11"/>
        <v>10</v>
      </c>
      <c r="AE83" s="9">
        <f t="shared" si="11"/>
        <v>8</v>
      </c>
      <c r="AF83" s="9">
        <f t="shared" si="11"/>
        <v>0</v>
      </c>
      <c r="AG83" s="4">
        <f t="shared" si="2"/>
        <v>181</v>
      </c>
    </row>
    <row r="84" spans="1:35" ht="19.5" thickBot="1" x14ac:dyDescent="0.3">
      <c r="A84" s="164" t="s">
        <v>146</v>
      </c>
      <c r="B84" s="165">
        <f>SUM(B85:B86)</f>
        <v>13</v>
      </c>
      <c r="C84" s="165">
        <f t="shared" ref="C84:AF84" si="12">SUM(C85:C86)</f>
        <v>3</v>
      </c>
      <c r="D84" s="165">
        <f t="shared" si="12"/>
        <v>6</v>
      </c>
      <c r="E84" s="165">
        <f t="shared" si="12"/>
        <v>4</v>
      </c>
      <c r="F84" s="165">
        <f t="shared" si="12"/>
        <v>4</v>
      </c>
      <c r="G84" s="165">
        <f t="shared" si="12"/>
        <v>9</v>
      </c>
      <c r="H84" s="165">
        <f t="shared" si="12"/>
        <v>3</v>
      </c>
      <c r="I84" s="165">
        <f t="shared" si="12"/>
        <v>1</v>
      </c>
      <c r="J84" s="165">
        <f t="shared" si="12"/>
        <v>9</v>
      </c>
      <c r="K84" s="165">
        <f t="shared" si="12"/>
        <v>6</v>
      </c>
      <c r="L84" s="165">
        <f t="shared" si="12"/>
        <v>21</v>
      </c>
      <c r="M84" s="165">
        <f t="shared" si="12"/>
        <v>12</v>
      </c>
      <c r="N84" s="165">
        <f t="shared" si="12"/>
        <v>6</v>
      </c>
      <c r="O84" s="165">
        <f t="shared" si="12"/>
        <v>2</v>
      </c>
      <c r="P84" s="165">
        <f t="shared" si="12"/>
        <v>3</v>
      </c>
      <c r="Q84" s="165">
        <f t="shared" si="12"/>
        <v>21</v>
      </c>
      <c r="R84" s="165">
        <f t="shared" si="12"/>
        <v>8</v>
      </c>
      <c r="S84" s="165">
        <f t="shared" si="12"/>
        <v>6</v>
      </c>
      <c r="T84" s="165">
        <f t="shared" si="12"/>
        <v>5</v>
      </c>
      <c r="U84" s="165">
        <f t="shared" si="12"/>
        <v>4</v>
      </c>
      <c r="V84" s="165">
        <f t="shared" si="12"/>
        <v>4</v>
      </c>
      <c r="W84" s="165">
        <f t="shared" si="12"/>
        <v>9</v>
      </c>
      <c r="X84" s="165">
        <f t="shared" si="12"/>
        <v>15</v>
      </c>
      <c r="Y84" s="165">
        <f t="shared" si="12"/>
        <v>4</v>
      </c>
      <c r="Z84" s="165">
        <f t="shared" si="12"/>
        <v>8</v>
      </c>
      <c r="AA84" s="165">
        <f t="shared" si="12"/>
        <v>19</v>
      </c>
      <c r="AB84" s="165">
        <f t="shared" si="12"/>
        <v>8</v>
      </c>
      <c r="AC84" s="165">
        <f t="shared" si="12"/>
        <v>8</v>
      </c>
      <c r="AD84" s="165">
        <f t="shared" si="12"/>
        <v>10</v>
      </c>
      <c r="AE84" s="165">
        <f t="shared" si="12"/>
        <v>13</v>
      </c>
      <c r="AF84" s="165">
        <f t="shared" si="12"/>
        <v>0</v>
      </c>
      <c r="AG84" s="171">
        <f t="shared" ref="AG84:AG126" si="13">SUM(B84:AF84)</f>
        <v>244</v>
      </c>
      <c r="AH84" s="180" t="str">
        <f>IF(AG84&lt;&gt;AG82+AG83,"*","")</f>
        <v/>
      </c>
      <c r="AI84" s="434" t="s">
        <v>1</v>
      </c>
    </row>
    <row r="85" spans="1:35" ht="18.75" x14ac:dyDescent="0.25">
      <c r="A85" s="72" t="s">
        <v>144</v>
      </c>
      <c r="B85" s="169">
        <v>1</v>
      </c>
      <c r="C85" s="169">
        <v>1</v>
      </c>
      <c r="D85" s="169">
        <v>2</v>
      </c>
      <c r="E85" s="169">
        <v>0</v>
      </c>
      <c r="F85" s="169">
        <v>0</v>
      </c>
      <c r="G85" s="169">
        <v>1</v>
      </c>
      <c r="H85" s="169">
        <v>0</v>
      </c>
      <c r="I85" s="169">
        <v>0</v>
      </c>
      <c r="J85" s="169">
        <v>1</v>
      </c>
      <c r="K85" s="169">
        <v>0</v>
      </c>
      <c r="L85" s="169">
        <v>2</v>
      </c>
      <c r="M85" s="169">
        <v>2</v>
      </c>
      <c r="N85" s="169">
        <v>0</v>
      </c>
      <c r="O85" s="169">
        <v>0</v>
      </c>
      <c r="P85" s="169">
        <v>0</v>
      </c>
      <c r="Q85" s="169">
        <v>2</v>
      </c>
      <c r="R85" s="169">
        <v>2</v>
      </c>
      <c r="S85" s="169">
        <v>0</v>
      </c>
      <c r="T85" s="169">
        <v>0</v>
      </c>
      <c r="U85" s="169">
        <v>1</v>
      </c>
      <c r="V85" s="169">
        <v>0</v>
      </c>
      <c r="W85" s="169">
        <v>1</v>
      </c>
      <c r="X85" s="169">
        <v>1</v>
      </c>
      <c r="Y85" s="169">
        <v>1</v>
      </c>
      <c r="Z85" s="169">
        <v>0</v>
      </c>
      <c r="AA85" s="169">
        <v>1</v>
      </c>
      <c r="AB85" s="169">
        <v>0</v>
      </c>
      <c r="AC85" s="169">
        <v>1</v>
      </c>
      <c r="AD85" s="169">
        <v>0</v>
      </c>
      <c r="AE85" s="169">
        <v>3</v>
      </c>
      <c r="AF85" s="170"/>
      <c r="AG85" s="168">
        <f t="shared" si="13"/>
        <v>23</v>
      </c>
      <c r="AI85" s="435"/>
    </row>
    <row r="86" spans="1:35" ht="19.5" thickBot="1" x14ac:dyDescent="0.3">
      <c r="A86" s="172" t="s">
        <v>145</v>
      </c>
      <c r="B86" s="173">
        <v>12</v>
      </c>
      <c r="C86" s="173">
        <v>2</v>
      </c>
      <c r="D86" s="173">
        <v>4</v>
      </c>
      <c r="E86" s="173">
        <v>4</v>
      </c>
      <c r="F86" s="173">
        <v>4</v>
      </c>
      <c r="G86" s="173">
        <v>8</v>
      </c>
      <c r="H86" s="173">
        <v>3</v>
      </c>
      <c r="I86" s="173">
        <v>1</v>
      </c>
      <c r="J86" s="173">
        <v>8</v>
      </c>
      <c r="K86" s="173">
        <v>6</v>
      </c>
      <c r="L86" s="173">
        <v>19</v>
      </c>
      <c r="M86" s="173">
        <v>10</v>
      </c>
      <c r="N86" s="173">
        <v>6</v>
      </c>
      <c r="O86" s="173">
        <v>2</v>
      </c>
      <c r="P86" s="173">
        <v>3</v>
      </c>
      <c r="Q86" s="173">
        <v>19</v>
      </c>
      <c r="R86" s="173">
        <v>6</v>
      </c>
      <c r="S86" s="173">
        <v>6</v>
      </c>
      <c r="T86" s="173">
        <v>5</v>
      </c>
      <c r="U86" s="173">
        <v>3</v>
      </c>
      <c r="V86" s="173">
        <v>4</v>
      </c>
      <c r="W86" s="173">
        <v>8</v>
      </c>
      <c r="X86" s="173">
        <v>14</v>
      </c>
      <c r="Y86" s="173">
        <v>3</v>
      </c>
      <c r="Z86" s="173">
        <v>8</v>
      </c>
      <c r="AA86" s="173">
        <v>18</v>
      </c>
      <c r="AB86" s="173">
        <v>8</v>
      </c>
      <c r="AC86" s="173">
        <v>7</v>
      </c>
      <c r="AD86" s="173">
        <v>10</v>
      </c>
      <c r="AE86" s="173">
        <v>10</v>
      </c>
      <c r="AF86" s="174"/>
      <c r="AG86" s="176">
        <f t="shared" si="13"/>
        <v>221</v>
      </c>
      <c r="AI86" s="436"/>
    </row>
    <row r="87" spans="1:35" ht="19.5" thickBot="1" x14ac:dyDescent="0.3">
      <c r="A87" s="177" t="s">
        <v>147</v>
      </c>
      <c r="B87" s="178">
        <f>SUM(B88:B92)</f>
        <v>13</v>
      </c>
      <c r="C87" s="178">
        <f t="shared" ref="C87:AF87" si="14">SUM(C88:C92)</f>
        <v>3</v>
      </c>
      <c r="D87" s="178">
        <f t="shared" si="14"/>
        <v>6</v>
      </c>
      <c r="E87" s="178">
        <f t="shared" si="14"/>
        <v>4</v>
      </c>
      <c r="F87" s="178">
        <f t="shared" si="14"/>
        <v>4</v>
      </c>
      <c r="G87" s="178">
        <f t="shared" si="14"/>
        <v>9</v>
      </c>
      <c r="H87" s="178">
        <f t="shared" si="14"/>
        <v>3</v>
      </c>
      <c r="I87" s="178">
        <f t="shared" si="14"/>
        <v>1</v>
      </c>
      <c r="J87" s="178">
        <f t="shared" si="14"/>
        <v>9</v>
      </c>
      <c r="K87" s="178">
        <f t="shared" si="14"/>
        <v>6</v>
      </c>
      <c r="L87" s="178">
        <f t="shared" si="14"/>
        <v>21</v>
      </c>
      <c r="M87" s="178">
        <f t="shared" si="14"/>
        <v>12</v>
      </c>
      <c r="N87" s="178">
        <f t="shared" si="14"/>
        <v>6</v>
      </c>
      <c r="O87" s="178">
        <f t="shared" si="14"/>
        <v>2</v>
      </c>
      <c r="P87" s="178">
        <f t="shared" si="14"/>
        <v>3</v>
      </c>
      <c r="Q87" s="178">
        <f t="shared" si="14"/>
        <v>21</v>
      </c>
      <c r="R87" s="178">
        <f t="shared" si="14"/>
        <v>8</v>
      </c>
      <c r="S87" s="178">
        <f t="shared" si="14"/>
        <v>6</v>
      </c>
      <c r="T87" s="178">
        <f t="shared" si="14"/>
        <v>5</v>
      </c>
      <c r="U87" s="178">
        <f t="shared" si="14"/>
        <v>4</v>
      </c>
      <c r="V87" s="178">
        <f t="shared" si="14"/>
        <v>4</v>
      </c>
      <c r="W87" s="178">
        <f t="shared" si="14"/>
        <v>9</v>
      </c>
      <c r="X87" s="178">
        <f t="shared" si="14"/>
        <v>15</v>
      </c>
      <c r="Y87" s="178">
        <f t="shared" si="14"/>
        <v>4</v>
      </c>
      <c r="Z87" s="178">
        <f t="shared" si="14"/>
        <v>8</v>
      </c>
      <c r="AA87" s="178">
        <f t="shared" si="14"/>
        <v>19</v>
      </c>
      <c r="AB87" s="178">
        <f t="shared" si="14"/>
        <v>8</v>
      </c>
      <c r="AC87" s="178">
        <f t="shared" si="14"/>
        <v>8</v>
      </c>
      <c r="AD87" s="178">
        <f t="shared" si="14"/>
        <v>10</v>
      </c>
      <c r="AE87" s="178">
        <f t="shared" si="14"/>
        <v>13</v>
      </c>
      <c r="AF87" s="178">
        <f t="shared" si="14"/>
        <v>0</v>
      </c>
      <c r="AG87" s="179">
        <f t="shared" si="13"/>
        <v>244</v>
      </c>
      <c r="AH87" s="175" t="str">
        <f>IF(AG87&lt;&gt;AG84,"*","")</f>
        <v/>
      </c>
    </row>
    <row r="88" spans="1:35" ht="18.75" x14ac:dyDescent="0.25">
      <c r="A88" s="104" t="s">
        <v>127</v>
      </c>
      <c r="B88" s="166">
        <v>7</v>
      </c>
      <c r="C88" s="166">
        <v>2</v>
      </c>
      <c r="D88" s="166">
        <v>4</v>
      </c>
      <c r="E88" s="166"/>
      <c r="F88" s="166">
        <v>3</v>
      </c>
      <c r="G88" s="166">
        <v>6</v>
      </c>
      <c r="H88" s="166">
        <v>1</v>
      </c>
      <c r="I88" s="166"/>
      <c r="J88" s="166">
        <v>7</v>
      </c>
      <c r="K88" s="166">
        <v>4</v>
      </c>
      <c r="L88" s="166">
        <v>12</v>
      </c>
      <c r="M88" s="166">
        <v>7</v>
      </c>
      <c r="N88" s="166">
        <v>3</v>
      </c>
      <c r="O88" s="166">
        <v>2</v>
      </c>
      <c r="P88" s="166">
        <v>3</v>
      </c>
      <c r="Q88" s="166">
        <v>8</v>
      </c>
      <c r="R88" s="166">
        <v>8</v>
      </c>
      <c r="S88" s="166">
        <v>5</v>
      </c>
      <c r="T88" s="166">
        <v>4</v>
      </c>
      <c r="U88" s="166">
        <v>1</v>
      </c>
      <c r="V88" s="166">
        <v>1</v>
      </c>
      <c r="W88" s="166">
        <v>8</v>
      </c>
      <c r="X88" s="166">
        <v>10</v>
      </c>
      <c r="Y88" s="166"/>
      <c r="Z88" s="166">
        <v>7</v>
      </c>
      <c r="AA88" s="166">
        <v>8</v>
      </c>
      <c r="AB88" s="166">
        <v>3</v>
      </c>
      <c r="AC88" s="166">
        <v>4</v>
      </c>
      <c r="AD88" s="166">
        <v>8</v>
      </c>
      <c r="AE88" s="166">
        <v>9</v>
      </c>
      <c r="AF88" s="167"/>
      <c r="AG88" s="132">
        <f t="shared" si="13"/>
        <v>145</v>
      </c>
    </row>
    <row r="89" spans="1:35" ht="18.75" x14ac:dyDescent="0.25">
      <c r="A89" s="105" t="s">
        <v>73</v>
      </c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10"/>
      <c r="AG89" s="4">
        <f t="shared" si="13"/>
        <v>0</v>
      </c>
    </row>
    <row r="90" spans="1:35" ht="18.75" x14ac:dyDescent="0.25">
      <c r="A90" s="105" t="s">
        <v>74</v>
      </c>
      <c r="B90" s="9"/>
      <c r="C90" s="9"/>
      <c r="D90" s="9"/>
      <c r="E90" s="9"/>
      <c r="F90" s="9"/>
      <c r="G90" s="9"/>
      <c r="H90" s="9">
        <v>1</v>
      </c>
      <c r="I90" s="9">
        <v>1</v>
      </c>
      <c r="J90" s="9"/>
      <c r="K90" s="9"/>
      <c r="L90" s="9"/>
      <c r="M90" s="9">
        <v>1</v>
      </c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>
        <v>1</v>
      </c>
      <c r="Z90" s="9"/>
      <c r="AA90" s="9"/>
      <c r="AB90" s="9"/>
      <c r="AC90" s="9">
        <v>1</v>
      </c>
      <c r="AD90" s="9"/>
      <c r="AE90" s="9"/>
      <c r="AF90" s="10"/>
      <c r="AG90" s="4">
        <f t="shared" si="13"/>
        <v>5</v>
      </c>
    </row>
    <row r="91" spans="1:35" ht="18.75" x14ac:dyDescent="0.25">
      <c r="A91" s="105" t="s">
        <v>75</v>
      </c>
      <c r="B91" s="9">
        <v>2</v>
      </c>
      <c r="C91" s="9">
        <v>1</v>
      </c>
      <c r="D91" s="9">
        <v>1</v>
      </c>
      <c r="E91" s="9"/>
      <c r="F91" s="9">
        <v>1</v>
      </c>
      <c r="G91" s="9"/>
      <c r="H91" s="9"/>
      <c r="I91" s="9"/>
      <c r="J91" s="9">
        <v>1</v>
      </c>
      <c r="K91" s="9"/>
      <c r="L91" s="9">
        <v>3</v>
      </c>
      <c r="M91" s="9"/>
      <c r="N91" s="9">
        <v>2</v>
      </c>
      <c r="O91" s="9"/>
      <c r="P91" s="9"/>
      <c r="Q91" s="9">
        <v>4</v>
      </c>
      <c r="R91" s="9"/>
      <c r="S91" s="9"/>
      <c r="T91" s="9"/>
      <c r="U91" s="9">
        <v>1</v>
      </c>
      <c r="V91" s="9">
        <v>1</v>
      </c>
      <c r="W91" s="9">
        <v>1</v>
      </c>
      <c r="X91" s="9">
        <v>3</v>
      </c>
      <c r="Y91" s="9">
        <v>3</v>
      </c>
      <c r="Z91" s="9"/>
      <c r="AA91" s="9">
        <v>4</v>
      </c>
      <c r="AB91" s="9">
        <v>2</v>
      </c>
      <c r="AC91" s="9">
        <v>2</v>
      </c>
      <c r="AD91" s="9">
        <v>2</v>
      </c>
      <c r="AE91" s="9">
        <v>2</v>
      </c>
      <c r="AF91" s="10"/>
      <c r="AG91" s="4">
        <f t="shared" si="13"/>
        <v>36</v>
      </c>
    </row>
    <row r="92" spans="1:35" ht="19.5" thickBot="1" x14ac:dyDescent="0.3">
      <c r="A92" s="105" t="s">
        <v>76</v>
      </c>
      <c r="B92" s="9">
        <v>4</v>
      </c>
      <c r="C92" s="9"/>
      <c r="D92" s="9">
        <v>1</v>
      </c>
      <c r="E92" s="9">
        <v>4</v>
      </c>
      <c r="F92" s="9"/>
      <c r="G92" s="9">
        <v>3</v>
      </c>
      <c r="H92" s="9">
        <v>1</v>
      </c>
      <c r="I92" s="9"/>
      <c r="J92" s="9">
        <v>1</v>
      </c>
      <c r="K92" s="9">
        <v>2</v>
      </c>
      <c r="L92" s="9">
        <v>6</v>
      </c>
      <c r="M92" s="9">
        <v>4</v>
      </c>
      <c r="N92" s="9">
        <v>1</v>
      </c>
      <c r="O92" s="9"/>
      <c r="P92" s="9"/>
      <c r="Q92" s="9">
        <v>9</v>
      </c>
      <c r="R92" s="9"/>
      <c r="S92" s="9">
        <v>1</v>
      </c>
      <c r="T92" s="9">
        <v>1</v>
      </c>
      <c r="U92" s="9">
        <v>2</v>
      </c>
      <c r="V92" s="9">
        <v>2</v>
      </c>
      <c r="W92" s="9"/>
      <c r="X92" s="9">
        <v>2</v>
      </c>
      <c r="Y92" s="9"/>
      <c r="Z92" s="9">
        <v>1</v>
      </c>
      <c r="AA92" s="9">
        <v>7</v>
      </c>
      <c r="AB92" s="9">
        <v>3</v>
      </c>
      <c r="AC92" s="9">
        <v>1</v>
      </c>
      <c r="AD92" s="9"/>
      <c r="AE92" s="9">
        <v>2</v>
      </c>
      <c r="AF92" s="10"/>
      <c r="AG92" s="4">
        <f t="shared" si="13"/>
        <v>58</v>
      </c>
    </row>
    <row r="93" spans="1:35" ht="18.75" x14ac:dyDescent="0.25">
      <c r="A93" s="73" t="s">
        <v>615</v>
      </c>
      <c r="B93" s="74">
        <f t="shared" ref="B93:AF93" si="15">+B94+B100</f>
        <v>109</v>
      </c>
      <c r="C93" s="74">
        <f t="shared" si="15"/>
        <v>123</v>
      </c>
      <c r="D93" s="74">
        <f t="shared" si="15"/>
        <v>112</v>
      </c>
      <c r="E93" s="74">
        <f t="shared" si="15"/>
        <v>124</v>
      </c>
      <c r="F93" s="74">
        <f t="shared" si="15"/>
        <v>131</v>
      </c>
      <c r="G93" s="74">
        <f t="shared" si="15"/>
        <v>117</v>
      </c>
      <c r="H93" s="74">
        <f t="shared" si="15"/>
        <v>126</v>
      </c>
      <c r="I93" s="74">
        <f t="shared" si="15"/>
        <v>108</v>
      </c>
      <c r="J93" s="74">
        <f t="shared" si="15"/>
        <v>147</v>
      </c>
      <c r="K93" s="74">
        <f t="shared" si="15"/>
        <v>127</v>
      </c>
      <c r="L93" s="74">
        <f t="shared" si="15"/>
        <v>145</v>
      </c>
      <c r="M93" s="74">
        <f t="shared" si="15"/>
        <v>140</v>
      </c>
      <c r="N93" s="74">
        <f t="shared" si="15"/>
        <v>113</v>
      </c>
      <c r="O93" s="74">
        <f t="shared" si="15"/>
        <v>123</v>
      </c>
      <c r="P93" s="74">
        <f t="shared" si="15"/>
        <v>130</v>
      </c>
      <c r="Q93" s="74">
        <f t="shared" si="15"/>
        <v>125</v>
      </c>
      <c r="R93" s="74">
        <f t="shared" si="15"/>
        <v>112</v>
      </c>
      <c r="S93" s="74">
        <f t="shared" si="15"/>
        <v>107</v>
      </c>
      <c r="T93" s="74">
        <f t="shared" si="15"/>
        <v>122</v>
      </c>
      <c r="U93" s="74">
        <f t="shared" si="15"/>
        <v>133</v>
      </c>
      <c r="V93" s="74">
        <f t="shared" si="15"/>
        <v>120</v>
      </c>
      <c r="W93" s="74">
        <f t="shared" si="15"/>
        <v>142</v>
      </c>
      <c r="X93" s="74">
        <f t="shared" si="15"/>
        <v>160</v>
      </c>
      <c r="Y93" s="74">
        <f t="shared" si="15"/>
        <v>147</v>
      </c>
      <c r="Z93" s="74">
        <f t="shared" si="15"/>
        <v>134</v>
      </c>
      <c r="AA93" s="74">
        <f t="shared" si="15"/>
        <v>149</v>
      </c>
      <c r="AB93" s="74">
        <f t="shared" si="15"/>
        <v>126</v>
      </c>
      <c r="AC93" s="74">
        <f t="shared" si="15"/>
        <v>126</v>
      </c>
      <c r="AD93" s="74">
        <f t="shared" si="15"/>
        <v>123</v>
      </c>
      <c r="AE93" s="74">
        <f t="shared" si="15"/>
        <v>173</v>
      </c>
      <c r="AF93" s="84">
        <f t="shared" si="15"/>
        <v>0</v>
      </c>
      <c r="AG93" s="150">
        <f t="shared" si="13"/>
        <v>3874</v>
      </c>
      <c r="AH93" s="37" t="str">
        <f>IF(AG93&lt;&gt;AG28,"*","")</f>
        <v/>
      </c>
    </row>
    <row r="94" spans="1:35" ht="18.75" x14ac:dyDescent="0.25">
      <c r="A94" s="42" t="s">
        <v>65</v>
      </c>
      <c r="B94" s="17">
        <f t="shared" ref="B94:AF94" si="16">SUM(B95:B99)</f>
        <v>14</v>
      </c>
      <c r="C94" s="17">
        <f t="shared" si="16"/>
        <v>12</v>
      </c>
      <c r="D94" s="17">
        <f t="shared" si="16"/>
        <v>10</v>
      </c>
      <c r="E94" s="17">
        <f t="shared" si="16"/>
        <v>17</v>
      </c>
      <c r="F94" s="17">
        <f t="shared" si="16"/>
        <v>19</v>
      </c>
      <c r="G94" s="17">
        <f t="shared" si="16"/>
        <v>17</v>
      </c>
      <c r="H94" s="17">
        <f t="shared" si="16"/>
        <v>11</v>
      </c>
      <c r="I94" s="17">
        <f t="shared" si="16"/>
        <v>14</v>
      </c>
      <c r="J94" s="17">
        <f t="shared" si="16"/>
        <v>12</v>
      </c>
      <c r="K94" s="17">
        <f t="shared" si="16"/>
        <v>15</v>
      </c>
      <c r="L94" s="17">
        <f t="shared" si="16"/>
        <v>9</v>
      </c>
      <c r="M94" s="17">
        <f t="shared" si="16"/>
        <v>15</v>
      </c>
      <c r="N94" s="17">
        <f t="shared" si="16"/>
        <v>14</v>
      </c>
      <c r="O94" s="17">
        <f t="shared" si="16"/>
        <v>16</v>
      </c>
      <c r="P94" s="17">
        <f t="shared" si="16"/>
        <v>10</v>
      </c>
      <c r="Q94" s="17">
        <f t="shared" si="16"/>
        <v>15</v>
      </c>
      <c r="R94" s="17">
        <f t="shared" si="16"/>
        <v>12</v>
      </c>
      <c r="S94" s="17">
        <f t="shared" si="16"/>
        <v>14</v>
      </c>
      <c r="T94" s="17">
        <f t="shared" si="16"/>
        <v>11</v>
      </c>
      <c r="U94" s="17">
        <f t="shared" si="16"/>
        <v>12</v>
      </c>
      <c r="V94" s="17">
        <f t="shared" si="16"/>
        <v>12</v>
      </c>
      <c r="W94" s="17">
        <f t="shared" si="16"/>
        <v>18</v>
      </c>
      <c r="X94" s="17">
        <f t="shared" si="16"/>
        <v>9</v>
      </c>
      <c r="Y94" s="17">
        <f t="shared" si="16"/>
        <v>9</v>
      </c>
      <c r="Z94" s="17">
        <f t="shared" si="16"/>
        <v>10</v>
      </c>
      <c r="AA94" s="17">
        <f t="shared" si="16"/>
        <v>17</v>
      </c>
      <c r="AB94" s="17">
        <f t="shared" si="16"/>
        <v>8</v>
      </c>
      <c r="AC94" s="17">
        <f t="shared" si="16"/>
        <v>12</v>
      </c>
      <c r="AD94" s="17">
        <f t="shared" si="16"/>
        <v>7</v>
      </c>
      <c r="AE94" s="17">
        <f t="shared" si="16"/>
        <v>8</v>
      </c>
      <c r="AF94" s="18">
        <f t="shared" si="16"/>
        <v>0</v>
      </c>
      <c r="AG94" s="4">
        <f t="shared" si="13"/>
        <v>379</v>
      </c>
    </row>
    <row r="95" spans="1:35" ht="18.75" x14ac:dyDescent="0.25">
      <c r="A95" s="44" t="s">
        <v>81</v>
      </c>
      <c r="B95" s="7"/>
      <c r="C95" s="7">
        <v>2</v>
      </c>
      <c r="D95" s="7"/>
      <c r="E95" s="7"/>
      <c r="F95" s="7">
        <v>1</v>
      </c>
      <c r="G95" s="7">
        <v>1</v>
      </c>
      <c r="H95" s="7">
        <v>2</v>
      </c>
      <c r="I95" s="7">
        <v>1</v>
      </c>
      <c r="J95" s="7">
        <v>1</v>
      </c>
      <c r="K95" s="7"/>
      <c r="L95" s="7">
        <v>2</v>
      </c>
      <c r="M95" s="7">
        <v>1</v>
      </c>
      <c r="N95" s="7"/>
      <c r="O95" s="7">
        <v>3</v>
      </c>
      <c r="P95" s="7">
        <v>2</v>
      </c>
      <c r="Q95" s="7"/>
      <c r="R95" s="7">
        <v>1</v>
      </c>
      <c r="S95" s="7"/>
      <c r="T95" s="7">
        <v>1</v>
      </c>
      <c r="U95" s="7"/>
      <c r="V95" s="7"/>
      <c r="W95" s="7">
        <v>1</v>
      </c>
      <c r="X95" s="7">
        <v>1</v>
      </c>
      <c r="Y95" s="7"/>
      <c r="Z95" s="7"/>
      <c r="AA95" s="7"/>
      <c r="AB95" s="7"/>
      <c r="AC95" s="7">
        <v>1</v>
      </c>
      <c r="AD95" s="7"/>
      <c r="AE95" s="7"/>
      <c r="AF95" s="8"/>
      <c r="AG95" s="4">
        <f t="shared" si="13"/>
        <v>21</v>
      </c>
    </row>
    <row r="96" spans="1:35" ht="18.75" x14ac:dyDescent="0.25">
      <c r="A96" s="45" t="s">
        <v>82</v>
      </c>
      <c r="B96" s="7">
        <v>2</v>
      </c>
      <c r="C96" s="7">
        <v>1</v>
      </c>
      <c r="D96" s="7">
        <v>1</v>
      </c>
      <c r="E96" s="7"/>
      <c r="F96" s="7">
        <v>2</v>
      </c>
      <c r="G96" s="7">
        <v>2</v>
      </c>
      <c r="H96" s="7">
        <v>1</v>
      </c>
      <c r="I96" s="7">
        <v>3</v>
      </c>
      <c r="J96" s="7">
        <v>1</v>
      </c>
      <c r="K96" s="7">
        <v>2</v>
      </c>
      <c r="L96" s="7"/>
      <c r="M96" s="7"/>
      <c r="N96" s="7">
        <v>1</v>
      </c>
      <c r="O96" s="7">
        <v>1</v>
      </c>
      <c r="P96" s="7">
        <v>2</v>
      </c>
      <c r="Q96" s="7">
        <v>2</v>
      </c>
      <c r="R96" s="7">
        <v>2</v>
      </c>
      <c r="S96" s="141">
        <v>1</v>
      </c>
      <c r="T96" s="7"/>
      <c r="U96" s="7">
        <v>1</v>
      </c>
      <c r="V96" s="7">
        <v>1</v>
      </c>
      <c r="W96" s="7">
        <v>3</v>
      </c>
      <c r="X96" s="7"/>
      <c r="Y96" s="7"/>
      <c r="Z96" s="7">
        <v>1</v>
      </c>
      <c r="AA96" s="7">
        <v>7</v>
      </c>
      <c r="AB96" s="7">
        <v>1</v>
      </c>
      <c r="AC96" s="7">
        <v>1</v>
      </c>
      <c r="AD96" s="7"/>
      <c r="AE96" s="7"/>
      <c r="AF96" s="8"/>
      <c r="AG96" s="4">
        <f t="shared" si="13"/>
        <v>39</v>
      </c>
    </row>
    <row r="97" spans="1:33" ht="18.75" x14ac:dyDescent="0.25">
      <c r="A97" s="46" t="s">
        <v>70</v>
      </c>
      <c r="B97" s="7">
        <v>5</v>
      </c>
      <c r="C97" s="7">
        <v>1</v>
      </c>
      <c r="D97" s="7">
        <v>3</v>
      </c>
      <c r="E97" s="7">
        <v>4</v>
      </c>
      <c r="F97" s="7">
        <v>5</v>
      </c>
      <c r="G97" s="7">
        <v>1</v>
      </c>
      <c r="H97" s="7">
        <v>4</v>
      </c>
      <c r="I97" s="7">
        <v>2</v>
      </c>
      <c r="J97" s="7">
        <v>3</v>
      </c>
      <c r="K97" s="7">
        <v>5</v>
      </c>
      <c r="L97" s="7">
        <v>2</v>
      </c>
      <c r="M97" s="7">
        <v>6</v>
      </c>
      <c r="N97" s="7">
        <v>3</v>
      </c>
      <c r="O97" s="7">
        <v>4</v>
      </c>
      <c r="P97" s="7"/>
      <c r="Q97" s="7">
        <v>3</v>
      </c>
      <c r="R97" s="7">
        <v>2</v>
      </c>
      <c r="S97" s="7">
        <v>4</v>
      </c>
      <c r="T97" s="7">
        <v>1</v>
      </c>
      <c r="U97" s="7"/>
      <c r="V97" s="7">
        <v>2</v>
      </c>
      <c r="W97" s="7">
        <v>2</v>
      </c>
      <c r="X97" s="7">
        <v>1</v>
      </c>
      <c r="Y97" s="7">
        <v>3</v>
      </c>
      <c r="Z97" s="7">
        <v>1</v>
      </c>
      <c r="AA97" s="7">
        <v>4</v>
      </c>
      <c r="AB97" s="7">
        <v>2</v>
      </c>
      <c r="AC97" s="7">
        <v>2</v>
      </c>
      <c r="AD97" s="7">
        <v>1</v>
      </c>
      <c r="AE97" s="7">
        <v>1</v>
      </c>
      <c r="AF97" s="8"/>
      <c r="AG97" s="4">
        <f t="shared" si="13"/>
        <v>77</v>
      </c>
    </row>
    <row r="98" spans="1:33" ht="18.75" x14ac:dyDescent="0.25">
      <c r="A98" s="47" t="s">
        <v>6</v>
      </c>
      <c r="B98" s="7">
        <v>5</v>
      </c>
      <c r="C98" s="7">
        <v>3</v>
      </c>
      <c r="D98" s="7">
        <v>2</v>
      </c>
      <c r="E98" s="7">
        <v>5</v>
      </c>
      <c r="F98" s="7">
        <v>6</v>
      </c>
      <c r="G98" s="7">
        <v>9</v>
      </c>
      <c r="H98" s="7"/>
      <c r="I98" s="7">
        <v>5</v>
      </c>
      <c r="J98" s="7">
        <v>5</v>
      </c>
      <c r="K98" s="7">
        <v>6</v>
      </c>
      <c r="L98" s="7">
        <v>3</v>
      </c>
      <c r="M98" s="7">
        <v>4</v>
      </c>
      <c r="N98" s="7">
        <v>2</v>
      </c>
      <c r="O98" s="7">
        <v>5</v>
      </c>
      <c r="P98" s="7">
        <v>1</v>
      </c>
      <c r="Q98" s="7">
        <v>4</v>
      </c>
      <c r="R98" s="7">
        <v>4</v>
      </c>
      <c r="S98" s="7">
        <v>5</v>
      </c>
      <c r="T98" s="7">
        <v>6</v>
      </c>
      <c r="U98" s="7">
        <v>4</v>
      </c>
      <c r="V98" s="7">
        <v>4</v>
      </c>
      <c r="W98" s="7">
        <v>5</v>
      </c>
      <c r="X98" s="7">
        <v>3</v>
      </c>
      <c r="Y98" s="7">
        <v>2</v>
      </c>
      <c r="Z98" s="7">
        <v>4</v>
      </c>
      <c r="AA98" s="7">
        <v>2</v>
      </c>
      <c r="AB98" s="7">
        <v>4</v>
      </c>
      <c r="AC98" s="7">
        <v>4</v>
      </c>
      <c r="AD98" s="7">
        <v>3</v>
      </c>
      <c r="AE98" s="7">
        <v>7</v>
      </c>
      <c r="AF98" s="8"/>
      <c r="AG98" s="4">
        <f t="shared" si="13"/>
        <v>122</v>
      </c>
    </row>
    <row r="99" spans="1:33" ht="18.75" x14ac:dyDescent="0.25">
      <c r="A99" s="48" t="s">
        <v>7</v>
      </c>
      <c r="B99" s="7">
        <v>2</v>
      </c>
      <c r="C99" s="7">
        <v>5</v>
      </c>
      <c r="D99" s="7">
        <v>4</v>
      </c>
      <c r="E99" s="7">
        <v>8</v>
      </c>
      <c r="F99" s="7">
        <v>5</v>
      </c>
      <c r="G99" s="7">
        <v>4</v>
      </c>
      <c r="H99" s="7">
        <v>4</v>
      </c>
      <c r="I99" s="7">
        <v>3</v>
      </c>
      <c r="J99" s="7">
        <v>2</v>
      </c>
      <c r="K99" s="7">
        <v>2</v>
      </c>
      <c r="L99" s="7">
        <v>2</v>
      </c>
      <c r="M99" s="7">
        <v>4</v>
      </c>
      <c r="N99" s="7">
        <v>8</v>
      </c>
      <c r="O99" s="7">
        <v>3</v>
      </c>
      <c r="P99" s="7">
        <v>5</v>
      </c>
      <c r="Q99" s="7">
        <v>6</v>
      </c>
      <c r="R99" s="7">
        <v>3</v>
      </c>
      <c r="S99" s="7">
        <v>4</v>
      </c>
      <c r="T99" s="7">
        <v>3</v>
      </c>
      <c r="U99" s="7">
        <v>7</v>
      </c>
      <c r="V99" s="7">
        <v>5</v>
      </c>
      <c r="W99" s="7">
        <v>7</v>
      </c>
      <c r="X99" s="7">
        <v>4</v>
      </c>
      <c r="Y99" s="7">
        <v>4</v>
      </c>
      <c r="Z99" s="7">
        <v>4</v>
      </c>
      <c r="AA99" s="7">
        <v>4</v>
      </c>
      <c r="AB99" s="7">
        <v>1</v>
      </c>
      <c r="AC99" s="7">
        <v>4</v>
      </c>
      <c r="AD99" s="7">
        <v>3</v>
      </c>
      <c r="AE99" s="7"/>
      <c r="AF99" s="8"/>
      <c r="AG99" s="4">
        <f t="shared" si="13"/>
        <v>120</v>
      </c>
    </row>
    <row r="100" spans="1:33" ht="18.75" x14ac:dyDescent="0.25">
      <c r="A100" s="42" t="s">
        <v>66</v>
      </c>
      <c r="B100" s="17">
        <f t="shared" ref="B100:AF100" si="17">SUM(B101:B115)</f>
        <v>95</v>
      </c>
      <c r="C100" s="17">
        <f t="shared" si="17"/>
        <v>111</v>
      </c>
      <c r="D100" s="17">
        <f t="shared" si="17"/>
        <v>102</v>
      </c>
      <c r="E100" s="17">
        <f t="shared" si="17"/>
        <v>107</v>
      </c>
      <c r="F100" s="17">
        <f t="shared" si="17"/>
        <v>112</v>
      </c>
      <c r="G100" s="17">
        <f t="shared" si="17"/>
        <v>100</v>
      </c>
      <c r="H100" s="17">
        <f t="shared" si="17"/>
        <v>115</v>
      </c>
      <c r="I100" s="17">
        <f t="shared" si="17"/>
        <v>94</v>
      </c>
      <c r="J100" s="17">
        <f t="shared" si="17"/>
        <v>135</v>
      </c>
      <c r="K100" s="17">
        <f t="shared" si="17"/>
        <v>112</v>
      </c>
      <c r="L100" s="17">
        <f t="shared" si="17"/>
        <v>136</v>
      </c>
      <c r="M100" s="17">
        <f t="shared" si="17"/>
        <v>125</v>
      </c>
      <c r="N100" s="17">
        <f t="shared" si="17"/>
        <v>99</v>
      </c>
      <c r="O100" s="17">
        <f t="shared" si="17"/>
        <v>107</v>
      </c>
      <c r="P100" s="17">
        <f t="shared" si="17"/>
        <v>120</v>
      </c>
      <c r="Q100" s="17">
        <f t="shared" si="17"/>
        <v>110</v>
      </c>
      <c r="R100" s="17">
        <f t="shared" si="17"/>
        <v>100</v>
      </c>
      <c r="S100" s="17">
        <f t="shared" si="17"/>
        <v>93</v>
      </c>
      <c r="T100" s="17">
        <f t="shared" si="17"/>
        <v>111</v>
      </c>
      <c r="U100" s="17">
        <f t="shared" si="17"/>
        <v>121</v>
      </c>
      <c r="V100" s="17">
        <f t="shared" si="17"/>
        <v>108</v>
      </c>
      <c r="W100" s="17">
        <f t="shared" si="17"/>
        <v>124</v>
      </c>
      <c r="X100" s="17">
        <f t="shared" si="17"/>
        <v>151</v>
      </c>
      <c r="Y100" s="17">
        <f t="shared" si="17"/>
        <v>138</v>
      </c>
      <c r="Z100" s="17">
        <f t="shared" si="17"/>
        <v>124</v>
      </c>
      <c r="AA100" s="17">
        <f t="shared" si="17"/>
        <v>132</v>
      </c>
      <c r="AB100" s="17">
        <f t="shared" si="17"/>
        <v>118</v>
      </c>
      <c r="AC100" s="17">
        <f t="shared" si="17"/>
        <v>114</v>
      </c>
      <c r="AD100" s="17">
        <f t="shared" si="17"/>
        <v>116</v>
      </c>
      <c r="AE100" s="17">
        <f t="shared" si="17"/>
        <v>165</v>
      </c>
      <c r="AF100" s="18">
        <f t="shared" si="17"/>
        <v>0</v>
      </c>
      <c r="AG100" s="4">
        <f t="shared" si="13"/>
        <v>3495</v>
      </c>
    </row>
    <row r="101" spans="1:33" ht="18.75" x14ac:dyDescent="0.25">
      <c r="A101" s="48" t="s">
        <v>8</v>
      </c>
      <c r="B101" s="7">
        <v>3</v>
      </c>
      <c r="C101" s="7">
        <v>10</v>
      </c>
      <c r="D101" s="7">
        <v>4</v>
      </c>
      <c r="E101" s="7">
        <v>7</v>
      </c>
      <c r="F101" s="7">
        <v>9</v>
      </c>
      <c r="G101" s="7">
        <v>7</v>
      </c>
      <c r="H101" s="7">
        <v>13</v>
      </c>
      <c r="I101" s="7">
        <v>8</v>
      </c>
      <c r="J101" s="7">
        <v>17</v>
      </c>
      <c r="K101" s="7">
        <v>8</v>
      </c>
      <c r="L101" s="7">
        <v>9</v>
      </c>
      <c r="M101" s="7">
        <v>10</v>
      </c>
      <c r="N101" s="7">
        <v>5</v>
      </c>
      <c r="O101" s="7">
        <v>5</v>
      </c>
      <c r="P101" s="7">
        <v>14</v>
      </c>
      <c r="Q101" s="7">
        <v>10</v>
      </c>
      <c r="R101" s="7">
        <v>9</v>
      </c>
      <c r="S101" s="7">
        <v>6</v>
      </c>
      <c r="T101" s="7">
        <v>7</v>
      </c>
      <c r="U101" s="7">
        <v>5</v>
      </c>
      <c r="V101" s="7">
        <v>3</v>
      </c>
      <c r="W101" s="7">
        <v>4</v>
      </c>
      <c r="X101" s="7">
        <v>12</v>
      </c>
      <c r="Y101" s="7">
        <v>12</v>
      </c>
      <c r="Z101" s="7">
        <v>7</v>
      </c>
      <c r="AA101" s="7">
        <v>11</v>
      </c>
      <c r="AB101" s="7">
        <v>9</v>
      </c>
      <c r="AC101" s="7">
        <v>8</v>
      </c>
      <c r="AD101" s="7">
        <v>13</v>
      </c>
      <c r="AE101" s="7">
        <v>12</v>
      </c>
      <c r="AF101" s="8"/>
      <c r="AG101" s="4">
        <f t="shared" si="13"/>
        <v>257</v>
      </c>
    </row>
    <row r="102" spans="1:33" ht="18.75" x14ac:dyDescent="0.25">
      <c r="A102" s="48" t="s">
        <v>9</v>
      </c>
      <c r="B102" s="7">
        <v>14</v>
      </c>
      <c r="C102" s="7">
        <v>10</v>
      </c>
      <c r="D102" s="7">
        <v>11</v>
      </c>
      <c r="E102" s="7">
        <v>14</v>
      </c>
      <c r="F102" s="7">
        <v>14</v>
      </c>
      <c r="G102" s="7">
        <v>11</v>
      </c>
      <c r="H102" s="7">
        <v>8</v>
      </c>
      <c r="I102" s="7">
        <v>13</v>
      </c>
      <c r="J102" s="7">
        <v>17</v>
      </c>
      <c r="K102" s="7">
        <v>14</v>
      </c>
      <c r="L102" s="7">
        <v>18</v>
      </c>
      <c r="M102" s="7">
        <v>21</v>
      </c>
      <c r="N102" s="7">
        <v>11</v>
      </c>
      <c r="O102" s="7">
        <v>15</v>
      </c>
      <c r="P102" s="7">
        <v>12</v>
      </c>
      <c r="Q102" s="7">
        <v>12</v>
      </c>
      <c r="R102" s="7">
        <v>12</v>
      </c>
      <c r="S102" s="7">
        <v>8</v>
      </c>
      <c r="T102" s="7">
        <v>14</v>
      </c>
      <c r="U102" s="7">
        <v>13</v>
      </c>
      <c r="V102" s="7">
        <v>7</v>
      </c>
      <c r="W102" s="7">
        <v>15</v>
      </c>
      <c r="X102" s="7">
        <v>20</v>
      </c>
      <c r="Y102" s="7">
        <v>8</v>
      </c>
      <c r="Z102" s="7">
        <v>14</v>
      </c>
      <c r="AA102" s="7">
        <v>22</v>
      </c>
      <c r="AB102" s="7">
        <v>13</v>
      </c>
      <c r="AC102" s="7">
        <v>9</v>
      </c>
      <c r="AD102" s="7">
        <v>16</v>
      </c>
      <c r="AE102" s="7">
        <v>17</v>
      </c>
      <c r="AF102" s="8"/>
      <c r="AG102" s="4">
        <f t="shared" si="13"/>
        <v>403</v>
      </c>
    </row>
    <row r="103" spans="1:33" ht="18.75" x14ac:dyDescent="0.25">
      <c r="A103" s="49" t="s">
        <v>10</v>
      </c>
      <c r="B103" s="7">
        <v>7</v>
      </c>
      <c r="C103" s="7">
        <v>13</v>
      </c>
      <c r="D103" s="7">
        <v>11</v>
      </c>
      <c r="E103" s="7">
        <v>15</v>
      </c>
      <c r="F103" s="7">
        <v>12</v>
      </c>
      <c r="G103" s="7">
        <v>14</v>
      </c>
      <c r="H103" s="7">
        <v>13</v>
      </c>
      <c r="I103" s="7">
        <v>9</v>
      </c>
      <c r="J103" s="7">
        <v>11</v>
      </c>
      <c r="K103" s="7">
        <v>14</v>
      </c>
      <c r="L103" s="7">
        <v>11</v>
      </c>
      <c r="M103" s="7">
        <v>13</v>
      </c>
      <c r="N103" s="7">
        <v>8</v>
      </c>
      <c r="O103" s="7">
        <v>13</v>
      </c>
      <c r="P103" s="7">
        <v>13</v>
      </c>
      <c r="Q103" s="7">
        <v>9</v>
      </c>
      <c r="R103" s="7">
        <v>10</v>
      </c>
      <c r="S103" s="7">
        <v>8</v>
      </c>
      <c r="T103" s="7">
        <v>13</v>
      </c>
      <c r="U103" s="7">
        <v>14</v>
      </c>
      <c r="V103" s="7">
        <v>15</v>
      </c>
      <c r="W103" s="7">
        <v>12</v>
      </c>
      <c r="X103" s="7">
        <v>15</v>
      </c>
      <c r="Y103" s="7">
        <v>14</v>
      </c>
      <c r="Z103" s="7">
        <v>13</v>
      </c>
      <c r="AA103" s="7">
        <v>14</v>
      </c>
      <c r="AB103" s="7">
        <v>14</v>
      </c>
      <c r="AC103" s="7">
        <v>16</v>
      </c>
      <c r="AD103" s="7">
        <v>12</v>
      </c>
      <c r="AE103" s="7">
        <v>29</v>
      </c>
      <c r="AF103" s="8"/>
      <c r="AG103" s="4">
        <f t="shared" si="13"/>
        <v>385</v>
      </c>
    </row>
    <row r="104" spans="1:33" ht="18.75" x14ac:dyDescent="0.25">
      <c r="A104" s="49" t="s">
        <v>11</v>
      </c>
      <c r="B104" s="7">
        <v>10</v>
      </c>
      <c r="C104" s="7">
        <v>10</v>
      </c>
      <c r="D104" s="7">
        <v>7</v>
      </c>
      <c r="E104" s="7">
        <v>10</v>
      </c>
      <c r="F104" s="7">
        <v>6</v>
      </c>
      <c r="G104" s="7">
        <v>9</v>
      </c>
      <c r="H104" s="7">
        <v>4</v>
      </c>
      <c r="I104" s="7">
        <v>4</v>
      </c>
      <c r="J104" s="7">
        <v>8</v>
      </c>
      <c r="K104" s="7">
        <v>10</v>
      </c>
      <c r="L104" s="7">
        <v>16</v>
      </c>
      <c r="M104" s="7">
        <v>13</v>
      </c>
      <c r="N104" s="7">
        <v>5</v>
      </c>
      <c r="O104" s="7">
        <v>9</v>
      </c>
      <c r="P104" s="7">
        <v>13</v>
      </c>
      <c r="Q104" s="7">
        <v>11</v>
      </c>
      <c r="R104" s="7">
        <v>13</v>
      </c>
      <c r="S104" s="7">
        <v>10</v>
      </c>
      <c r="T104" s="7">
        <v>9</v>
      </c>
      <c r="U104" s="7">
        <v>8</v>
      </c>
      <c r="V104" s="7">
        <v>10</v>
      </c>
      <c r="W104" s="7">
        <v>8</v>
      </c>
      <c r="X104" s="7">
        <v>24</v>
      </c>
      <c r="Y104" s="7">
        <v>12</v>
      </c>
      <c r="Z104" s="7">
        <v>14</v>
      </c>
      <c r="AA104" s="7">
        <v>11</v>
      </c>
      <c r="AB104" s="7">
        <v>8</v>
      </c>
      <c r="AC104" s="7">
        <v>13</v>
      </c>
      <c r="AD104" s="7">
        <v>12</v>
      </c>
      <c r="AE104" s="7">
        <v>10</v>
      </c>
      <c r="AF104" s="8"/>
      <c r="AG104" s="4">
        <f t="shared" si="13"/>
        <v>307</v>
      </c>
    </row>
    <row r="105" spans="1:33" ht="18.75" x14ac:dyDescent="0.25">
      <c r="A105" s="49" t="s">
        <v>12</v>
      </c>
      <c r="B105" s="7">
        <v>11</v>
      </c>
      <c r="C105" s="7">
        <v>4</v>
      </c>
      <c r="D105" s="7">
        <v>14</v>
      </c>
      <c r="E105" s="7">
        <v>7</v>
      </c>
      <c r="F105" s="7">
        <v>9</v>
      </c>
      <c r="G105" s="7">
        <v>7</v>
      </c>
      <c r="H105" s="7">
        <v>4</v>
      </c>
      <c r="I105" s="7">
        <v>6</v>
      </c>
      <c r="J105" s="7">
        <v>12</v>
      </c>
      <c r="K105" s="7">
        <v>4</v>
      </c>
      <c r="L105" s="7">
        <v>7</v>
      </c>
      <c r="M105" s="7">
        <v>8</v>
      </c>
      <c r="N105" s="7">
        <v>11</v>
      </c>
      <c r="O105" s="7">
        <v>6</v>
      </c>
      <c r="P105" s="7">
        <v>5</v>
      </c>
      <c r="Q105" s="7">
        <v>9</v>
      </c>
      <c r="R105" s="7">
        <v>10</v>
      </c>
      <c r="S105" s="7">
        <v>5</v>
      </c>
      <c r="T105" s="7">
        <v>9</v>
      </c>
      <c r="U105" s="7">
        <v>8</v>
      </c>
      <c r="V105" s="7">
        <v>4</v>
      </c>
      <c r="W105" s="7">
        <v>18</v>
      </c>
      <c r="X105" s="7">
        <v>10</v>
      </c>
      <c r="Y105" s="7">
        <v>15</v>
      </c>
      <c r="Z105" s="7">
        <v>7</v>
      </c>
      <c r="AA105" s="7">
        <v>12</v>
      </c>
      <c r="AB105" s="7">
        <v>15</v>
      </c>
      <c r="AC105" s="7">
        <v>7</v>
      </c>
      <c r="AD105" s="7">
        <v>6</v>
      </c>
      <c r="AE105" s="7">
        <v>10</v>
      </c>
      <c r="AF105" s="8"/>
      <c r="AG105" s="4">
        <f t="shared" si="13"/>
        <v>260</v>
      </c>
    </row>
    <row r="106" spans="1:33" ht="18.75" x14ac:dyDescent="0.25">
      <c r="A106" s="49" t="s">
        <v>13</v>
      </c>
      <c r="B106" s="7">
        <v>9</v>
      </c>
      <c r="C106" s="7">
        <v>9</v>
      </c>
      <c r="D106" s="7">
        <v>3</v>
      </c>
      <c r="E106" s="7">
        <v>6</v>
      </c>
      <c r="F106" s="7">
        <v>8</v>
      </c>
      <c r="G106" s="7">
        <v>6</v>
      </c>
      <c r="H106" s="7">
        <v>5</v>
      </c>
      <c r="I106" s="7">
        <v>4</v>
      </c>
      <c r="J106" s="7">
        <v>5</v>
      </c>
      <c r="K106" s="7">
        <v>13</v>
      </c>
      <c r="L106" s="7">
        <v>12</v>
      </c>
      <c r="M106" s="7">
        <v>12</v>
      </c>
      <c r="N106" s="7">
        <v>8</v>
      </c>
      <c r="O106" s="7">
        <v>14</v>
      </c>
      <c r="P106" s="7">
        <v>9</v>
      </c>
      <c r="Q106" s="7">
        <v>14</v>
      </c>
      <c r="R106" s="7">
        <v>5</v>
      </c>
      <c r="S106" s="7">
        <v>8</v>
      </c>
      <c r="T106" s="7">
        <v>3</v>
      </c>
      <c r="U106" s="7">
        <v>5</v>
      </c>
      <c r="V106" s="7">
        <v>7</v>
      </c>
      <c r="W106" s="7">
        <v>8</v>
      </c>
      <c r="X106" s="7">
        <v>7</v>
      </c>
      <c r="Y106" s="7">
        <v>6</v>
      </c>
      <c r="Z106" s="7">
        <v>13</v>
      </c>
      <c r="AA106" s="7">
        <v>7</v>
      </c>
      <c r="AB106" s="7">
        <v>8</v>
      </c>
      <c r="AC106" s="7">
        <v>7</v>
      </c>
      <c r="AD106" s="7">
        <v>7</v>
      </c>
      <c r="AE106" s="7">
        <v>14</v>
      </c>
      <c r="AF106" s="8"/>
      <c r="AG106" s="4">
        <f t="shared" si="13"/>
        <v>242</v>
      </c>
    </row>
    <row r="107" spans="1:33" ht="18.75" x14ac:dyDescent="0.25">
      <c r="A107" s="49" t="s">
        <v>14</v>
      </c>
      <c r="B107" s="7">
        <v>7</v>
      </c>
      <c r="C107" s="7">
        <v>7</v>
      </c>
      <c r="D107" s="7">
        <v>7</v>
      </c>
      <c r="E107" s="7">
        <v>3</v>
      </c>
      <c r="F107" s="7">
        <v>11</v>
      </c>
      <c r="G107" s="7">
        <v>8</v>
      </c>
      <c r="H107" s="7">
        <v>12</v>
      </c>
      <c r="I107" s="7">
        <v>9</v>
      </c>
      <c r="J107" s="7">
        <v>14</v>
      </c>
      <c r="K107" s="7">
        <v>6</v>
      </c>
      <c r="L107" s="7">
        <v>10</v>
      </c>
      <c r="M107" s="7">
        <v>8</v>
      </c>
      <c r="N107" s="7">
        <v>9</v>
      </c>
      <c r="O107" s="7">
        <v>8</v>
      </c>
      <c r="P107" s="7">
        <v>13</v>
      </c>
      <c r="Q107" s="7">
        <v>3</v>
      </c>
      <c r="R107" s="7">
        <v>7</v>
      </c>
      <c r="S107" s="7">
        <v>13</v>
      </c>
      <c r="T107" s="7">
        <v>9</v>
      </c>
      <c r="U107" s="7">
        <v>11</v>
      </c>
      <c r="V107" s="7">
        <v>9</v>
      </c>
      <c r="W107" s="7">
        <v>6</v>
      </c>
      <c r="X107" s="7">
        <v>5</v>
      </c>
      <c r="Y107" s="7">
        <v>13</v>
      </c>
      <c r="Z107" s="7">
        <v>10</v>
      </c>
      <c r="AA107" s="7">
        <v>5</v>
      </c>
      <c r="AB107" s="7">
        <v>6</v>
      </c>
      <c r="AC107" s="7">
        <v>8</v>
      </c>
      <c r="AD107" s="7">
        <v>9</v>
      </c>
      <c r="AE107" s="7">
        <v>13</v>
      </c>
      <c r="AF107" s="8"/>
      <c r="AG107" s="4">
        <f t="shared" si="13"/>
        <v>259</v>
      </c>
    </row>
    <row r="108" spans="1:33" ht="18.75" x14ac:dyDescent="0.25">
      <c r="A108" s="49" t="s">
        <v>15</v>
      </c>
      <c r="B108" s="7">
        <v>10</v>
      </c>
      <c r="C108" s="7">
        <v>7</v>
      </c>
      <c r="D108" s="7">
        <v>7</v>
      </c>
      <c r="E108" s="7">
        <v>6</v>
      </c>
      <c r="F108" s="7">
        <v>9</v>
      </c>
      <c r="G108" s="7">
        <v>7</v>
      </c>
      <c r="H108" s="7">
        <v>11</v>
      </c>
      <c r="I108" s="7">
        <v>9</v>
      </c>
      <c r="J108" s="7">
        <v>9</v>
      </c>
      <c r="K108" s="7">
        <v>9</v>
      </c>
      <c r="L108" s="7">
        <v>12</v>
      </c>
      <c r="M108" s="7">
        <v>6</v>
      </c>
      <c r="N108" s="7">
        <v>11</v>
      </c>
      <c r="O108" s="7">
        <v>11</v>
      </c>
      <c r="P108" s="7">
        <v>7</v>
      </c>
      <c r="Q108" s="7">
        <v>5</v>
      </c>
      <c r="R108" s="7">
        <v>4</v>
      </c>
      <c r="S108" s="7">
        <v>10</v>
      </c>
      <c r="T108" s="7">
        <v>11</v>
      </c>
      <c r="U108" s="7">
        <v>13</v>
      </c>
      <c r="V108" s="7">
        <v>18</v>
      </c>
      <c r="W108" s="7">
        <v>13</v>
      </c>
      <c r="X108" s="7">
        <v>19</v>
      </c>
      <c r="Y108" s="7">
        <v>3</v>
      </c>
      <c r="Z108" s="7">
        <v>16</v>
      </c>
      <c r="AA108" s="7">
        <v>8</v>
      </c>
      <c r="AB108" s="7">
        <v>11</v>
      </c>
      <c r="AC108" s="7">
        <v>16</v>
      </c>
      <c r="AD108" s="7">
        <v>9</v>
      </c>
      <c r="AE108" s="7">
        <v>12</v>
      </c>
      <c r="AF108" s="8"/>
      <c r="AG108" s="4">
        <f t="shared" si="13"/>
        <v>299</v>
      </c>
    </row>
    <row r="109" spans="1:33" ht="18.75" x14ac:dyDescent="0.25">
      <c r="A109" s="49" t="s">
        <v>16</v>
      </c>
      <c r="B109" s="7">
        <v>4</v>
      </c>
      <c r="C109" s="7">
        <v>11</v>
      </c>
      <c r="D109" s="7">
        <v>7</v>
      </c>
      <c r="E109" s="7">
        <v>14</v>
      </c>
      <c r="F109" s="7">
        <v>11</v>
      </c>
      <c r="G109" s="7">
        <v>7</v>
      </c>
      <c r="H109" s="7">
        <v>13</v>
      </c>
      <c r="I109" s="7">
        <v>6</v>
      </c>
      <c r="J109" s="7">
        <v>16</v>
      </c>
      <c r="K109" s="7">
        <v>6</v>
      </c>
      <c r="L109" s="7">
        <v>14</v>
      </c>
      <c r="M109" s="7">
        <v>6</v>
      </c>
      <c r="N109" s="7">
        <v>6</v>
      </c>
      <c r="O109" s="7">
        <v>5</v>
      </c>
      <c r="P109" s="7">
        <v>10</v>
      </c>
      <c r="Q109" s="7">
        <v>11</v>
      </c>
      <c r="R109" s="7">
        <v>9</v>
      </c>
      <c r="S109" s="7">
        <v>6</v>
      </c>
      <c r="T109" s="7">
        <v>9</v>
      </c>
      <c r="U109" s="7">
        <v>16</v>
      </c>
      <c r="V109" s="7">
        <v>8</v>
      </c>
      <c r="W109" s="7">
        <v>16</v>
      </c>
      <c r="X109" s="7">
        <v>10</v>
      </c>
      <c r="Y109" s="7">
        <v>11</v>
      </c>
      <c r="Z109" s="7">
        <v>9</v>
      </c>
      <c r="AA109" s="7">
        <v>11</v>
      </c>
      <c r="AB109" s="7">
        <v>5</v>
      </c>
      <c r="AC109" s="7">
        <v>8</v>
      </c>
      <c r="AD109" s="7">
        <v>5</v>
      </c>
      <c r="AE109" s="7">
        <v>10</v>
      </c>
      <c r="AF109" s="8"/>
      <c r="AG109" s="4">
        <f t="shared" si="13"/>
        <v>280</v>
      </c>
    </row>
    <row r="110" spans="1:33" ht="18.75" x14ac:dyDescent="0.25">
      <c r="A110" s="49" t="s">
        <v>17</v>
      </c>
      <c r="B110" s="7">
        <v>5</v>
      </c>
      <c r="C110" s="7">
        <v>12</v>
      </c>
      <c r="D110" s="7">
        <v>7</v>
      </c>
      <c r="E110" s="7">
        <v>10</v>
      </c>
      <c r="F110" s="7">
        <v>5</v>
      </c>
      <c r="G110" s="7">
        <v>5</v>
      </c>
      <c r="H110" s="7">
        <v>5</v>
      </c>
      <c r="I110" s="7">
        <v>9</v>
      </c>
      <c r="J110" s="7">
        <v>8</v>
      </c>
      <c r="K110" s="7">
        <v>8</v>
      </c>
      <c r="L110" s="7">
        <v>8</v>
      </c>
      <c r="M110" s="7">
        <v>7</v>
      </c>
      <c r="N110" s="7">
        <v>4</v>
      </c>
      <c r="O110" s="7">
        <v>8</v>
      </c>
      <c r="P110" s="7">
        <v>9</v>
      </c>
      <c r="Q110" s="7">
        <v>2</v>
      </c>
      <c r="R110" s="7">
        <v>6</v>
      </c>
      <c r="S110" s="7">
        <v>5</v>
      </c>
      <c r="T110" s="7">
        <v>9</v>
      </c>
      <c r="U110" s="7">
        <v>10</v>
      </c>
      <c r="V110" s="7">
        <v>9</v>
      </c>
      <c r="W110" s="7">
        <v>6</v>
      </c>
      <c r="X110" s="7">
        <v>9</v>
      </c>
      <c r="Y110" s="7">
        <v>11</v>
      </c>
      <c r="Z110" s="7">
        <v>8</v>
      </c>
      <c r="AA110" s="7">
        <v>7</v>
      </c>
      <c r="AB110" s="7">
        <v>6</v>
      </c>
      <c r="AC110" s="7">
        <v>6</v>
      </c>
      <c r="AD110" s="7">
        <v>11</v>
      </c>
      <c r="AE110" s="7">
        <v>9</v>
      </c>
      <c r="AF110" s="8"/>
      <c r="AG110" s="4">
        <f t="shared" si="13"/>
        <v>224</v>
      </c>
    </row>
    <row r="111" spans="1:33" ht="18.75" x14ac:dyDescent="0.25">
      <c r="A111" s="49" t="s">
        <v>18</v>
      </c>
      <c r="B111" s="7">
        <v>4</v>
      </c>
      <c r="C111" s="7">
        <v>5</v>
      </c>
      <c r="D111" s="7">
        <v>4</v>
      </c>
      <c r="E111" s="7">
        <v>5</v>
      </c>
      <c r="F111" s="7">
        <v>7</v>
      </c>
      <c r="G111" s="7">
        <v>4</v>
      </c>
      <c r="H111" s="7">
        <v>7</v>
      </c>
      <c r="I111" s="7">
        <v>9</v>
      </c>
      <c r="J111" s="7">
        <v>4</v>
      </c>
      <c r="K111" s="7">
        <v>6</v>
      </c>
      <c r="L111" s="7">
        <v>4</v>
      </c>
      <c r="M111" s="7">
        <v>4</v>
      </c>
      <c r="N111" s="7">
        <v>6</v>
      </c>
      <c r="O111" s="7">
        <v>6</v>
      </c>
      <c r="P111" s="7">
        <v>2</v>
      </c>
      <c r="Q111" s="7">
        <v>8</v>
      </c>
      <c r="R111" s="7">
        <v>3</v>
      </c>
      <c r="S111" s="7">
        <v>4</v>
      </c>
      <c r="T111" s="7">
        <v>10</v>
      </c>
      <c r="U111" s="7">
        <v>6</v>
      </c>
      <c r="V111" s="7">
        <v>9</v>
      </c>
      <c r="W111" s="7">
        <v>6</v>
      </c>
      <c r="X111" s="7">
        <v>9</v>
      </c>
      <c r="Y111" s="7">
        <v>14</v>
      </c>
      <c r="Z111" s="7">
        <v>2</v>
      </c>
      <c r="AA111" s="7">
        <v>8</v>
      </c>
      <c r="AB111" s="7">
        <v>8</v>
      </c>
      <c r="AC111" s="7">
        <v>2</v>
      </c>
      <c r="AD111" s="7">
        <v>5</v>
      </c>
      <c r="AE111" s="7">
        <v>6</v>
      </c>
      <c r="AF111" s="8"/>
      <c r="AG111" s="4">
        <f t="shared" si="13"/>
        <v>177</v>
      </c>
    </row>
    <row r="112" spans="1:33" ht="18.75" x14ac:dyDescent="0.25">
      <c r="A112" s="49" t="s">
        <v>19</v>
      </c>
      <c r="B112" s="7">
        <v>6</v>
      </c>
      <c r="C112" s="7">
        <v>6</v>
      </c>
      <c r="D112" s="7">
        <v>3</v>
      </c>
      <c r="E112" s="7">
        <v>2</v>
      </c>
      <c r="F112" s="7">
        <v>7</v>
      </c>
      <c r="G112" s="7">
        <v>7</v>
      </c>
      <c r="H112" s="7">
        <v>4</v>
      </c>
      <c r="I112" s="7">
        <v>3</v>
      </c>
      <c r="J112" s="7">
        <v>4</v>
      </c>
      <c r="K112" s="7">
        <v>5</v>
      </c>
      <c r="L112" s="7">
        <v>4</v>
      </c>
      <c r="M112" s="7">
        <v>5</v>
      </c>
      <c r="N112" s="7">
        <v>8</v>
      </c>
      <c r="O112" s="7">
        <v>4</v>
      </c>
      <c r="P112" s="7">
        <v>4</v>
      </c>
      <c r="Q112" s="7">
        <v>6</v>
      </c>
      <c r="R112" s="7">
        <v>5</v>
      </c>
      <c r="S112" s="7">
        <v>5</v>
      </c>
      <c r="T112" s="7">
        <v>1</v>
      </c>
      <c r="U112" s="7">
        <v>3</v>
      </c>
      <c r="V112" s="7">
        <v>4</v>
      </c>
      <c r="W112" s="7">
        <v>4</v>
      </c>
      <c r="X112" s="7">
        <v>3</v>
      </c>
      <c r="Y112" s="7">
        <v>7</v>
      </c>
      <c r="Z112" s="7">
        <v>5</v>
      </c>
      <c r="AA112" s="7">
        <v>6</v>
      </c>
      <c r="AB112" s="7">
        <v>3</v>
      </c>
      <c r="AC112" s="7">
        <v>4</v>
      </c>
      <c r="AD112" s="7">
        <v>3</v>
      </c>
      <c r="AE112" s="7">
        <v>9</v>
      </c>
      <c r="AF112" s="8"/>
      <c r="AG112" s="4">
        <f>SUM(B112:AF112)</f>
        <v>140</v>
      </c>
    </row>
    <row r="113" spans="1:33" ht="18.75" x14ac:dyDescent="0.25">
      <c r="A113" s="49" t="s">
        <v>20</v>
      </c>
      <c r="B113" s="7">
        <v>2</v>
      </c>
      <c r="C113" s="7">
        <v>4</v>
      </c>
      <c r="D113" s="7">
        <v>9</v>
      </c>
      <c r="E113" s="7">
        <v>4</v>
      </c>
      <c r="F113" s="7">
        <v>2</v>
      </c>
      <c r="G113" s="7">
        <v>6</v>
      </c>
      <c r="H113" s="7">
        <v>9</v>
      </c>
      <c r="I113" s="7">
        <v>1</v>
      </c>
      <c r="J113" s="7">
        <v>7</v>
      </c>
      <c r="K113" s="7">
        <v>8</v>
      </c>
      <c r="L113" s="7">
        <v>3</v>
      </c>
      <c r="M113" s="7">
        <v>6</v>
      </c>
      <c r="N113" s="7">
        <v>4</v>
      </c>
      <c r="O113" s="7">
        <v>2</v>
      </c>
      <c r="P113" s="7">
        <v>2</v>
      </c>
      <c r="Q113" s="7">
        <v>4</v>
      </c>
      <c r="R113" s="7">
        <v>2</v>
      </c>
      <c r="S113" s="7">
        <v>3</v>
      </c>
      <c r="T113" s="7">
        <v>4</v>
      </c>
      <c r="U113" s="7">
        <v>4</v>
      </c>
      <c r="V113" s="7">
        <v>3</v>
      </c>
      <c r="W113" s="7">
        <v>3</v>
      </c>
      <c r="X113" s="7">
        <v>4</v>
      </c>
      <c r="Y113" s="7">
        <v>9</v>
      </c>
      <c r="Z113" s="7">
        <v>1</v>
      </c>
      <c r="AA113" s="7">
        <v>6</v>
      </c>
      <c r="AB113" s="7">
        <v>5</v>
      </c>
      <c r="AC113" s="7">
        <v>5</v>
      </c>
      <c r="AD113" s="7">
        <v>5</v>
      </c>
      <c r="AE113" s="7">
        <v>10</v>
      </c>
      <c r="AF113" s="8"/>
      <c r="AG113" s="4">
        <f t="shared" si="13"/>
        <v>137</v>
      </c>
    </row>
    <row r="114" spans="1:33" ht="18.75" x14ac:dyDescent="0.25">
      <c r="A114" s="49" t="s">
        <v>21</v>
      </c>
      <c r="B114" s="7">
        <v>3</v>
      </c>
      <c r="C114" s="7">
        <v>3</v>
      </c>
      <c r="D114" s="7">
        <v>8</v>
      </c>
      <c r="E114" s="7">
        <v>4</v>
      </c>
      <c r="F114" s="7">
        <v>2</v>
      </c>
      <c r="G114" s="7">
        <v>2</v>
      </c>
      <c r="H114" s="7">
        <v>7</v>
      </c>
      <c r="I114" s="7">
        <v>4</v>
      </c>
      <c r="J114" s="7">
        <v>3</v>
      </c>
      <c r="K114" s="7">
        <v>1</v>
      </c>
      <c r="L114" s="7">
        <v>8</v>
      </c>
      <c r="M114" s="7">
        <v>6</v>
      </c>
      <c r="N114" s="7">
        <v>3</v>
      </c>
      <c r="O114" s="7">
        <v>1</v>
      </c>
      <c r="P114" s="7">
        <v>7</v>
      </c>
      <c r="Q114" s="7">
        <v>6</v>
      </c>
      <c r="R114" s="7">
        <v>5</v>
      </c>
      <c r="S114" s="7">
        <v>2</v>
      </c>
      <c r="T114" s="7">
        <v>3</v>
      </c>
      <c r="U114" s="7">
        <v>5</v>
      </c>
      <c r="V114" s="7">
        <v>2</v>
      </c>
      <c r="W114" s="7">
        <v>5</v>
      </c>
      <c r="X114" s="7">
        <v>4</v>
      </c>
      <c r="Y114" s="7">
        <v>3</v>
      </c>
      <c r="Z114" s="7">
        <v>5</v>
      </c>
      <c r="AA114" s="7">
        <v>4</v>
      </c>
      <c r="AB114" s="7">
        <v>7</v>
      </c>
      <c r="AC114" s="7">
        <v>5</v>
      </c>
      <c r="AD114" s="7">
        <v>3</v>
      </c>
      <c r="AE114" s="7">
        <v>4</v>
      </c>
      <c r="AF114" s="8"/>
      <c r="AG114" s="4">
        <f t="shared" si="13"/>
        <v>125</v>
      </c>
    </row>
    <row r="115" spans="1:33" ht="19.5" thickBot="1" x14ac:dyDescent="0.3">
      <c r="A115" s="76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2"/>
      <c r="AG115" s="4">
        <f t="shared" si="13"/>
        <v>0</v>
      </c>
    </row>
    <row r="116" spans="1:33" ht="18.75" x14ac:dyDescent="0.25">
      <c r="A116" s="73" t="s">
        <v>61</v>
      </c>
      <c r="B116" s="74">
        <f t="shared" ref="B116:AF116" si="18">SUM(B117:B129)</f>
        <v>56</v>
      </c>
      <c r="C116" s="74">
        <f t="shared" si="18"/>
        <v>70</v>
      </c>
      <c r="D116" s="74">
        <f t="shared" si="18"/>
        <v>64</v>
      </c>
      <c r="E116" s="74">
        <f t="shared" si="18"/>
        <v>67</v>
      </c>
      <c r="F116" s="74">
        <f t="shared" si="18"/>
        <v>67</v>
      </c>
      <c r="G116" s="74">
        <f t="shared" si="18"/>
        <v>61</v>
      </c>
      <c r="H116" s="74">
        <f t="shared" si="18"/>
        <v>60</v>
      </c>
      <c r="I116" s="74">
        <f t="shared" si="18"/>
        <v>54</v>
      </c>
      <c r="J116" s="74">
        <f t="shared" si="18"/>
        <v>74</v>
      </c>
      <c r="K116" s="74">
        <f t="shared" si="18"/>
        <v>65</v>
      </c>
      <c r="L116" s="74">
        <f t="shared" si="18"/>
        <v>88</v>
      </c>
      <c r="M116" s="74">
        <f t="shared" si="18"/>
        <v>81</v>
      </c>
      <c r="N116" s="74">
        <f t="shared" si="18"/>
        <v>71</v>
      </c>
      <c r="O116" s="74">
        <f t="shared" si="18"/>
        <v>56</v>
      </c>
      <c r="P116" s="74">
        <f t="shared" si="18"/>
        <v>57</v>
      </c>
      <c r="Q116" s="74">
        <f t="shared" si="18"/>
        <v>72</v>
      </c>
      <c r="R116" s="74">
        <f t="shared" si="18"/>
        <v>64</v>
      </c>
      <c r="S116" s="74">
        <f t="shared" si="18"/>
        <v>66</v>
      </c>
      <c r="T116" s="74">
        <f t="shared" si="18"/>
        <v>67</v>
      </c>
      <c r="U116" s="74">
        <f t="shared" si="18"/>
        <v>82</v>
      </c>
      <c r="V116" s="74">
        <f t="shared" si="18"/>
        <v>66</v>
      </c>
      <c r="W116" s="74">
        <f t="shared" si="18"/>
        <v>69</v>
      </c>
      <c r="X116" s="74">
        <f t="shared" si="18"/>
        <v>85</v>
      </c>
      <c r="Y116" s="74">
        <f t="shared" si="18"/>
        <v>69</v>
      </c>
      <c r="Z116" s="74">
        <f t="shared" si="18"/>
        <v>65</v>
      </c>
      <c r="AA116" s="74">
        <f t="shared" si="18"/>
        <v>80</v>
      </c>
      <c r="AB116" s="74">
        <f t="shared" si="18"/>
        <v>69</v>
      </c>
      <c r="AC116" s="74">
        <f t="shared" si="18"/>
        <v>57</v>
      </c>
      <c r="AD116" s="74">
        <f t="shared" si="18"/>
        <v>69</v>
      </c>
      <c r="AE116" s="74">
        <f t="shared" si="18"/>
        <v>81</v>
      </c>
      <c r="AF116" s="84">
        <f t="shared" si="18"/>
        <v>0</v>
      </c>
      <c r="AG116" s="4">
        <f t="shared" si="13"/>
        <v>2052</v>
      </c>
    </row>
    <row r="117" spans="1:33" ht="18.75" x14ac:dyDescent="0.25">
      <c r="A117" s="43" t="s">
        <v>59</v>
      </c>
      <c r="B117" s="7">
        <v>39</v>
      </c>
      <c r="C117" s="7">
        <v>50</v>
      </c>
      <c r="D117" s="7">
        <v>43</v>
      </c>
      <c r="E117" s="7">
        <v>52</v>
      </c>
      <c r="F117" s="7">
        <v>46</v>
      </c>
      <c r="G117" s="7">
        <v>47</v>
      </c>
      <c r="H117" s="7">
        <v>41</v>
      </c>
      <c r="I117" s="7">
        <v>41</v>
      </c>
      <c r="J117" s="7">
        <v>53</v>
      </c>
      <c r="K117" s="7">
        <v>51</v>
      </c>
      <c r="L117" s="7">
        <v>64</v>
      </c>
      <c r="M117" s="7">
        <v>58</v>
      </c>
      <c r="N117" s="7">
        <v>52</v>
      </c>
      <c r="O117" s="7">
        <v>40</v>
      </c>
      <c r="P117" s="7">
        <v>40</v>
      </c>
      <c r="Q117" s="7">
        <v>39</v>
      </c>
      <c r="R117" s="7">
        <v>47</v>
      </c>
      <c r="S117" s="7">
        <v>53</v>
      </c>
      <c r="T117" s="7">
        <v>47</v>
      </c>
      <c r="U117" s="7">
        <v>55</v>
      </c>
      <c r="V117" s="7">
        <v>50</v>
      </c>
      <c r="W117" s="7">
        <v>50</v>
      </c>
      <c r="X117" s="7">
        <v>59</v>
      </c>
      <c r="Y117" s="7">
        <v>48</v>
      </c>
      <c r="Z117" s="7">
        <v>43</v>
      </c>
      <c r="AA117" s="7">
        <v>57</v>
      </c>
      <c r="AB117" s="7">
        <v>39</v>
      </c>
      <c r="AC117" s="7">
        <v>41</v>
      </c>
      <c r="AD117" s="7">
        <v>46</v>
      </c>
      <c r="AE117" s="7">
        <v>63</v>
      </c>
      <c r="AF117" s="8"/>
      <c r="AG117" s="4">
        <f t="shared" si="13"/>
        <v>1454</v>
      </c>
    </row>
    <row r="118" spans="1:33" ht="19.5" hidden="1" customHeight="1" thickBot="1" x14ac:dyDescent="0.25">
      <c r="A118" s="43" t="s">
        <v>23</v>
      </c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8"/>
      <c r="AG118" s="4">
        <f t="shared" si="13"/>
        <v>0</v>
      </c>
    </row>
    <row r="119" spans="1:33" ht="19.5" hidden="1" customHeight="1" thickBot="1" x14ac:dyDescent="0.25">
      <c r="A119" s="43" t="s">
        <v>24</v>
      </c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8"/>
      <c r="AG119" s="4">
        <f t="shared" si="13"/>
        <v>0</v>
      </c>
    </row>
    <row r="120" spans="1:33" ht="19.5" hidden="1" customHeight="1" thickBot="1" x14ac:dyDescent="0.25">
      <c r="A120" s="43" t="s">
        <v>25</v>
      </c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8"/>
      <c r="AG120" s="4">
        <f t="shared" si="13"/>
        <v>0</v>
      </c>
    </row>
    <row r="121" spans="1:33" ht="19.5" hidden="1" customHeight="1" thickBot="1" x14ac:dyDescent="0.25">
      <c r="A121" s="43" t="s">
        <v>26</v>
      </c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8"/>
      <c r="AG121" s="4">
        <f t="shared" si="13"/>
        <v>0</v>
      </c>
    </row>
    <row r="122" spans="1:33" ht="19.5" hidden="1" customHeight="1" thickBot="1" x14ac:dyDescent="0.25">
      <c r="A122" s="43" t="s">
        <v>27</v>
      </c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8"/>
      <c r="AG122" s="4">
        <f t="shared" si="13"/>
        <v>0</v>
      </c>
    </row>
    <row r="123" spans="1:33" ht="19.5" hidden="1" customHeight="1" thickBot="1" x14ac:dyDescent="0.25">
      <c r="A123" s="43" t="s">
        <v>28</v>
      </c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8"/>
      <c r="AG123" s="4">
        <f t="shared" si="13"/>
        <v>0</v>
      </c>
    </row>
    <row r="124" spans="1:33" ht="19.5" hidden="1" customHeight="1" thickBot="1" x14ac:dyDescent="0.25">
      <c r="A124" s="43" t="s">
        <v>29</v>
      </c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8"/>
      <c r="AG124" s="4">
        <f t="shared" si="13"/>
        <v>0</v>
      </c>
    </row>
    <row r="125" spans="1:33" ht="19.5" hidden="1" customHeight="1" thickBot="1" x14ac:dyDescent="0.25">
      <c r="A125" s="41" t="s">
        <v>30</v>
      </c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8"/>
      <c r="AG125" s="4">
        <f t="shared" si="13"/>
        <v>0</v>
      </c>
    </row>
    <row r="126" spans="1:33" ht="19.5" hidden="1" customHeight="1" thickBot="1" x14ac:dyDescent="0.25">
      <c r="A126" s="41" t="s">
        <v>31</v>
      </c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8"/>
      <c r="AG126" s="4">
        <f t="shared" si="13"/>
        <v>0</v>
      </c>
    </row>
    <row r="127" spans="1:33" ht="19.5" hidden="1" customHeight="1" thickBot="1" x14ac:dyDescent="0.25">
      <c r="A127" s="41" t="s">
        <v>32</v>
      </c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8"/>
      <c r="AG127" s="4">
        <f t="shared" ref="AG127:AG133" si="19">SUM(B127:AF127)</f>
        <v>0</v>
      </c>
    </row>
    <row r="128" spans="1:33" ht="19.5" hidden="1" customHeight="1" thickBot="1" x14ac:dyDescent="0.25">
      <c r="A128" s="43" t="s">
        <v>60</v>
      </c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8"/>
      <c r="AG128" s="4">
        <f t="shared" si="19"/>
        <v>0</v>
      </c>
    </row>
    <row r="129" spans="1:35" ht="19.5" thickBot="1" x14ac:dyDescent="0.3">
      <c r="A129" s="75" t="s">
        <v>86</v>
      </c>
      <c r="B129" s="13">
        <f>9+8</f>
        <v>17</v>
      </c>
      <c r="C129" s="13">
        <f>9+10+1</f>
        <v>20</v>
      </c>
      <c r="D129" s="13">
        <f>1+11+9</f>
        <v>21</v>
      </c>
      <c r="E129" s="13">
        <f>2+8+5</f>
        <v>15</v>
      </c>
      <c r="F129" s="13">
        <f>11+10</f>
        <v>21</v>
      </c>
      <c r="G129" s="13">
        <f>10+4</f>
        <v>14</v>
      </c>
      <c r="H129" s="13">
        <f>10+9</f>
        <v>19</v>
      </c>
      <c r="I129" s="13">
        <f>5+8</f>
        <v>13</v>
      </c>
      <c r="J129" s="13">
        <f>6+15</f>
        <v>21</v>
      </c>
      <c r="K129" s="13">
        <f>7+1+6</f>
        <v>14</v>
      </c>
      <c r="L129" s="13">
        <f>10+14</f>
        <v>24</v>
      </c>
      <c r="M129" s="13">
        <f>16+7</f>
        <v>23</v>
      </c>
      <c r="N129" s="13">
        <f>8+11</f>
        <v>19</v>
      </c>
      <c r="O129" s="13">
        <f>5+11</f>
        <v>16</v>
      </c>
      <c r="P129" s="13">
        <f>6+11</f>
        <v>17</v>
      </c>
      <c r="Q129" s="13">
        <f>22+11</f>
        <v>33</v>
      </c>
      <c r="R129" s="13">
        <f>12+5</f>
        <v>17</v>
      </c>
      <c r="S129" s="13">
        <f>9+4</f>
        <v>13</v>
      </c>
      <c r="T129" s="13">
        <f>8+12</f>
        <v>20</v>
      </c>
      <c r="U129" s="13">
        <f>20+7</f>
        <v>27</v>
      </c>
      <c r="V129" s="13">
        <f>6+10</f>
        <v>16</v>
      </c>
      <c r="W129" s="13">
        <f>11+8</f>
        <v>19</v>
      </c>
      <c r="X129" s="13">
        <f>11+15</f>
        <v>26</v>
      </c>
      <c r="Y129" s="13">
        <f>10+11</f>
        <v>21</v>
      </c>
      <c r="Z129" s="13">
        <f>8+14</f>
        <v>22</v>
      </c>
      <c r="AA129" s="13">
        <f>15+8</f>
        <v>23</v>
      </c>
      <c r="AB129" s="13">
        <f>15+15</f>
        <v>30</v>
      </c>
      <c r="AC129" s="13">
        <f>14+2</f>
        <v>16</v>
      </c>
      <c r="AD129" s="13">
        <f>14+9</f>
        <v>23</v>
      </c>
      <c r="AE129" s="13">
        <f>7+11</f>
        <v>18</v>
      </c>
      <c r="AF129" s="14"/>
      <c r="AG129" s="4">
        <f t="shared" si="19"/>
        <v>598</v>
      </c>
    </row>
    <row r="130" spans="1:35" ht="18.75" x14ac:dyDescent="0.25">
      <c r="A130" s="73" t="s">
        <v>109</v>
      </c>
      <c r="B130" s="74">
        <f t="shared" ref="B130:AF130" si="20">SUM(B131:B143)</f>
        <v>109</v>
      </c>
      <c r="C130" s="74">
        <f t="shared" si="20"/>
        <v>123</v>
      </c>
      <c r="D130" s="74">
        <f t="shared" si="20"/>
        <v>112</v>
      </c>
      <c r="E130" s="74">
        <f t="shared" si="20"/>
        <v>124</v>
      </c>
      <c r="F130" s="74">
        <f t="shared" si="20"/>
        <v>131</v>
      </c>
      <c r="G130" s="74">
        <f t="shared" si="20"/>
        <v>117</v>
      </c>
      <c r="H130" s="74">
        <f t="shared" si="20"/>
        <v>126</v>
      </c>
      <c r="I130" s="74">
        <f t="shared" si="20"/>
        <v>108</v>
      </c>
      <c r="J130" s="74">
        <f t="shared" si="20"/>
        <v>147</v>
      </c>
      <c r="K130" s="74">
        <f t="shared" si="20"/>
        <v>127</v>
      </c>
      <c r="L130" s="74">
        <f t="shared" si="20"/>
        <v>145</v>
      </c>
      <c r="M130" s="74">
        <f t="shared" si="20"/>
        <v>140</v>
      </c>
      <c r="N130" s="74">
        <f t="shared" si="20"/>
        <v>113</v>
      </c>
      <c r="O130" s="74">
        <f t="shared" si="20"/>
        <v>123</v>
      </c>
      <c r="P130" s="74">
        <f t="shared" si="20"/>
        <v>130</v>
      </c>
      <c r="Q130" s="74">
        <f t="shared" si="20"/>
        <v>125</v>
      </c>
      <c r="R130" s="74">
        <f t="shared" si="20"/>
        <v>112</v>
      </c>
      <c r="S130" s="74">
        <f t="shared" si="20"/>
        <v>107</v>
      </c>
      <c r="T130" s="74">
        <f t="shared" si="20"/>
        <v>122</v>
      </c>
      <c r="U130" s="74">
        <f t="shared" si="20"/>
        <v>133</v>
      </c>
      <c r="V130" s="74">
        <f t="shared" si="20"/>
        <v>120</v>
      </c>
      <c r="W130" s="74">
        <f t="shared" si="20"/>
        <v>142</v>
      </c>
      <c r="X130" s="74">
        <f t="shared" si="20"/>
        <v>160</v>
      </c>
      <c r="Y130" s="74">
        <f t="shared" si="20"/>
        <v>147</v>
      </c>
      <c r="Z130" s="74">
        <f t="shared" si="20"/>
        <v>134</v>
      </c>
      <c r="AA130" s="74">
        <f t="shared" si="20"/>
        <v>149</v>
      </c>
      <c r="AB130" s="74">
        <f t="shared" si="20"/>
        <v>126</v>
      </c>
      <c r="AC130" s="74">
        <f t="shared" si="20"/>
        <v>126</v>
      </c>
      <c r="AD130" s="74">
        <f t="shared" si="20"/>
        <v>123</v>
      </c>
      <c r="AE130" s="74">
        <f t="shared" si="20"/>
        <v>173</v>
      </c>
      <c r="AF130" s="84">
        <f t="shared" si="20"/>
        <v>0</v>
      </c>
      <c r="AG130" s="150">
        <f t="shared" si="19"/>
        <v>3874</v>
      </c>
      <c r="AH130" s="1" t="str">
        <f>IF(AG130&lt;&gt;AG93,"*","")</f>
        <v/>
      </c>
    </row>
    <row r="131" spans="1:35" ht="18.75" x14ac:dyDescent="0.25">
      <c r="A131" s="43" t="s">
        <v>59</v>
      </c>
      <c r="B131" s="7">
        <v>34</v>
      </c>
      <c r="C131" s="7">
        <v>49</v>
      </c>
      <c r="D131" s="7">
        <v>43</v>
      </c>
      <c r="E131" s="7">
        <v>51</v>
      </c>
      <c r="F131" s="7">
        <v>46</v>
      </c>
      <c r="G131" s="7">
        <v>46</v>
      </c>
      <c r="H131" s="7">
        <v>40</v>
      </c>
      <c r="I131" s="7">
        <v>41</v>
      </c>
      <c r="J131" s="7">
        <v>48</v>
      </c>
      <c r="K131" s="7">
        <v>49</v>
      </c>
      <c r="L131" s="7">
        <v>57</v>
      </c>
      <c r="M131" s="7">
        <v>55</v>
      </c>
      <c r="N131" s="7">
        <v>49</v>
      </c>
      <c r="O131" s="7">
        <v>38</v>
      </c>
      <c r="P131" s="7">
        <v>39</v>
      </c>
      <c r="Q131" s="7">
        <v>32</v>
      </c>
      <c r="R131" s="7">
        <v>45</v>
      </c>
      <c r="S131" s="7">
        <v>50</v>
      </c>
      <c r="T131" s="7">
        <v>46</v>
      </c>
      <c r="U131" s="7">
        <v>53</v>
      </c>
      <c r="V131" s="7">
        <v>48</v>
      </c>
      <c r="W131" s="7">
        <v>47</v>
      </c>
      <c r="X131" s="7">
        <v>52</v>
      </c>
      <c r="Y131" s="7">
        <v>47</v>
      </c>
      <c r="Z131" s="7">
        <v>42</v>
      </c>
      <c r="AA131" s="7">
        <v>50</v>
      </c>
      <c r="AB131" s="7">
        <v>36</v>
      </c>
      <c r="AC131" s="7">
        <v>39</v>
      </c>
      <c r="AD131" s="7">
        <v>42</v>
      </c>
      <c r="AE131" s="7">
        <v>61</v>
      </c>
      <c r="AF131" s="8"/>
      <c r="AG131" s="4">
        <f t="shared" si="19"/>
        <v>1375</v>
      </c>
    </row>
    <row r="132" spans="1:35" ht="18.75" x14ac:dyDescent="0.25">
      <c r="A132" s="43" t="s">
        <v>23</v>
      </c>
      <c r="B132" s="7">
        <v>7</v>
      </c>
      <c r="C132" s="7">
        <v>9</v>
      </c>
      <c r="D132" s="7">
        <v>3</v>
      </c>
      <c r="E132" s="7">
        <v>2</v>
      </c>
      <c r="F132" s="7">
        <v>9</v>
      </c>
      <c r="G132" s="7">
        <v>8</v>
      </c>
      <c r="H132" s="7">
        <v>4</v>
      </c>
      <c r="I132" s="7">
        <v>8</v>
      </c>
      <c r="J132" s="7">
        <v>11</v>
      </c>
      <c r="K132" s="7">
        <v>4</v>
      </c>
      <c r="L132" s="7">
        <v>10</v>
      </c>
      <c r="M132" s="7">
        <v>6</v>
      </c>
      <c r="N132" s="7">
        <v>5</v>
      </c>
      <c r="O132" s="7">
        <v>4</v>
      </c>
      <c r="P132" s="7">
        <v>9</v>
      </c>
      <c r="Q132" s="7">
        <v>5</v>
      </c>
      <c r="R132" s="7">
        <v>8</v>
      </c>
      <c r="S132" s="7">
        <v>10</v>
      </c>
      <c r="T132" s="7">
        <v>9</v>
      </c>
      <c r="U132" s="7">
        <v>5</v>
      </c>
      <c r="V132" s="7">
        <v>8</v>
      </c>
      <c r="W132" s="7">
        <v>12</v>
      </c>
      <c r="X132" s="7">
        <v>12</v>
      </c>
      <c r="Y132" s="7">
        <v>12</v>
      </c>
      <c r="Z132" s="7">
        <v>7</v>
      </c>
      <c r="AA132" s="7">
        <v>7</v>
      </c>
      <c r="AB132" s="7">
        <v>12</v>
      </c>
      <c r="AC132" s="7">
        <v>6</v>
      </c>
      <c r="AD132" s="7">
        <v>10</v>
      </c>
      <c r="AE132" s="7">
        <v>14</v>
      </c>
      <c r="AF132" s="8"/>
      <c r="AG132" s="4">
        <f t="shared" si="19"/>
        <v>236</v>
      </c>
    </row>
    <row r="133" spans="1:35" ht="18.75" x14ac:dyDescent="0.25">
      <c r="A133" s="43" t="s">
        <v>24</v>
      </c>
      <c r="B133" s="7">
        <v>7</v>
      </c>
      <c r="C133" s="7">
        <v>10</v>
      </c>
      <c r="D133" s="7">
        <v>6</v>
      </c>
      <c r="E133" s="7">
        <v>3</v>
      </c>
      <c r="F133" s="7">
        <v>9</v>
      </c>
      <c r="G133" s="7">
        <v>7</v>
      </c>
      <c r="H133" s="7">
        <v>6</v>
      </c>
      <c r="I133" s="7">
        <v>9</v>
      </c>
      <c r="J133" s="7">
        <v>10</v>
      </c>
      <c r="K133" s="7">
        <v>6</v>
      </c>
      <c r="L133" s="7">
        <v>13</v>
      </c>
      <c r="M133" s="7">
        <v>5</v>
      </c>
      <c r="N133" s="7">
        <v>3</v>
      </c>
      <c r="O133" s="7">
        <v>12</v>
      </c>
      <c r="P133" s="7">
        <v>15</v>
      </c>
      <c r="Q133" s="7">
        <v>11</v>
      </c>
      <c r="R133" s="7">
        <v>9</v>
      </c>
      <c r="S133" s="7">
        <v>3</v>
      </c>
      <c r="T133" s="7">
        <v>10</v>
      </c>
      <c r="U133" s="7">
        <v>11</v>
      </c>
      <c r="V133" s="7">
        <v>4</v>
      </c>
      <c r="W133" s="7">
        <v>12</v>
      </c>
      <c r="X133" s="7">
        <v>8</v>
      </c>
      <c r="Y133" s="7">
        <v>9</v>
      </c>
      <c r="Z133" s="7">
        <v>9</v>
      </c>
      <c r="AA133" s="7">
        <v>8</v>
      </c>
      <c r="AB133" s="7">
        <v>9</v>
      </c>
      <c r="AC133" s="7">
        <v>8</v>
      </c>
      <c r="AD133" s="7">
        <v>15</v>
      </c>
      <c r="AE133" s="7">
        <v>14</v>
      </c>
      <c r="AF133" s="8"/>
      <c r="AG133" s="4">
        <f t="shared" si="19"/>
        <v>261</v>
      </c>
    </row>
    <row r="134" spans="1:35" ht="18.75" x14ac:dyDescent="0.25">
      <c r="A134" s="43" t="s">
        <v>25</v>
      </c>
      <c r="B134" s="7">
        <f>1+12</f>
        <v>13</v>
      </c>
      <c r="C134" s="7">
        <f>1+5</f>
        <v>6</v>
      </c>
      <c r="D134" s="7">
        <v>10</v>
      </c>
      <c r="E134" s="7">
        <v>12</v>
      </c>
      <c r="F134" s="7">
        <v>4</v>
      </c>
      <c r="G134" s="7">
        <v>9</v>
      </c>
      <c r="H134" s="7">
        <v>6</v>
      </c>
      <c r="I134" s="7">
        <v>6</v>
      </c>
      <c r="J134" s="7">
        <f>1+8</f>
        <v>9</v>
      </c>
      <c r="K134" s="7">
        <f>1+3</f>
        <v>4</v>
      </c>
      <c r="L134" s="7">
        <v>9</v>
      </c>
      <c r="M134" s="7">
        <f>1+11</f>
        <v>12</v>
      </c>
      <c r="N134" s="7">
        <v>3</v>
      </c>
      <c r="O134" s="7">
        <v>4</v>
      </c>
      <c r="P134" s="7">
        <f>9+1</f>
        <v>10</v>
      </c>
      <c r="Q134" s="7">
        <v>5</v>
      </c>
      <c r="R134" s="7">
        <v>8</v>
      </c>
      <c r="S134" s="7">
        <v>4</v>
      </c>
      <c r="T134" s="7">
        <v>7</v>
      </c>
      <c r="U134" s="7">
        <v>7</v>
      </c>
      <c r="V134" s="7">
        <v>7</v>
      </c>
      <c r="W134" s="7">
        <v>11</v>
      </c>
      <c r="X134" s="7">
        <f>1+5</f>
        <v>6</v>
      </c>
      <c r="Y134" s="7">
        <v>6</v>
      </c>
      <c r="Z134" s="7">
        <v>10</v>
      </c>
      <c r="AA134" s="7">
        <f>1+16+1</f>
        <v>18</v>
      </c>
      <c r="AB134" s="7">
        <f>1+7</f>
        <v>8</v>
      </c>
      <c r="AC134" s="7">
        <v>6</v>
      </c>
      <c r="AD134" s="7">
        <v>6</v>
      </c>
      <c r="AE134" s="7">
        <v>12</v>
      </c>
      <c r="AF134" s="8"/>
      <c r="AG134" s="4">
        <f t="shared" ref="AG134:AG147" si="21">SUM(B134:AF134)</f>
        <v>238</v>
      </c>
    </row>
    <row r="135" spans="1:35" ht="18.75" x14ac:dyDescent="0.25">
      <c r="A135" s="43" t="s">
        <v>26</v>
      </c>
      <c r="B135" s="7">
        <v>6</v>
      </c>
      <c r="C135" s="7">
        <v>3</v>
      </c>
      <c r="D135" s="7">
        <v>3</v>
      </c>
      <c r="E135" s="7">
        <v>4</v>
      </c>
      <c r="F135" s="7">
        <v>6</v>
      </c>
      <c r="G135" s="7">
        <v>11</v>
      </c>
      <c r="H135" s="7">
        <v>9</v>
      </c>
      <c r="I135" s="7">
        <v>3</v>
      </c>
      <c r="J135" s="7">
        <v>5</v>
      </c>
      <c r="K135" s="7">
        <v>6</v>
      </c>
      <c r="L135" s="7">
        <v>7</v>
      </c>
      <c r="M135" s="7">
        <v>9</v>
      </c>
      <c r="N135" s="7">
        <v>9</v>
      </c>
      <c r="O135" s="7">
        <v>12</v>
      </c>
      <c r="P135" s="7">
        <v>10</v>
      </c>
      <c r="Q135" s="7">
        <v>7</v>
      </c>
      <c r="R135" s="7">
        <v>1</v>
      </c>
      <c r="S135" s="7">
        <v>4</v>
      </c>
      <c r="T135" s="7">
        <v>6</v>
      </c>
      <c r="U135" s="7">
        <v>4</v>
      </c>
      <c r="V135" s="7">
        <v>10</v>
      </c>
      <c r="W135" s="7">
        <v>4</v>
      </c>
      <c r="X135" s="7">
        <v>6</v>
      </c>
      <c r="Y135" s="7">
        <v>7</v>
      </c>
      <c r="Z135" s="7">
        <v>9</v>
      </c>
      <c r="AA135" s="7">
        <v>7</v>
      </c>
      <c r="AB135" s="7">
        <v>7</v>
      </c>
      <c r="AC135" s="7">
        <v>17</v>
      </c>
      <c r="AD135" s="7">
        <v>5</v>
      </c>
      <c r="AE135" s="7">
        <v>6</v>
      </c>
      <c r="AF135" s="8"/>
      <c r="AG135" s="4">
        <f t="shared" si="21"/>
        <v>203</v>
      </c>
    </row>
    <row r="136" spans="1:35" ht="18.75" x14ac:dyDescent="0.25">
      <c r="A136" s="43" t="s">
        <v>27</v>
      </c>
      <c r="B136" s="7">
        <v>13</v>
      </c>
      <c r="C136" s="7">
        <v>15</v>
      </c>
      <c r="D136" s="7">
        <v>17</v>
      </c>
      <c r="E136" s="7">
        <v>20</v>
      </c>
      <c r="F136" s="7">
        <v>20</v>
      </c>
      <c r="G136" s="7">
        <v>14</v>
      </c>
      <c r="H136" s="7">
        <v>28</v>
      </c>
      <c r="I136" s="7">
        <v>17</v>
      </c>
      <c r="J136" s="7">
        <v>19</v>
      </c>
      <c r="K136" s="7">
        <v>29</v>
      </c>
      <c r="L136" s="7">
        <v>20</v>
      </c>
      <c r="M136" s="7">
        <v>17</v>
      </c>
      <c r="N136" s="7">
        <v>18</v>
      </c>
      <c r="O136" s="7">
        <v>22</v>
      </c>
      <c r="P136" s="7">
        <v>18</v>
      </c>
      <c r="Q136" s="7">
        <v>22</v>
      </c>
      <c r="R136" s="7">
        <v>9</v>
      </c>
      <c r="S136" s="7">
        <v>12</v>
      </c>
      <c r="T136" s="7">
        <v>13</v>
      </c>
      <c r="U136" s="7">
        <v>14</v>
      </c>
      <c r="V136" s="7">
        <v>21</v>
      </c>
      <c r="W136" s="7">
        <v>19</v>
      </c>
      <c r="X136" s="7">
        <v>31</v>
      </c>
      <c r="Y136" s="7">
        <v>23</v>
      </c>
      <c r="Z136" s="7">
        <v>18</v>
      </c>
      <c r="AA136" s="7">
        <v>18</v>
      </c>
      <c r="AB136" s="7">
        <v>13</v>
      </c>
      <c r="AC136" s="7">
        <v>24</v>
      </c>
      <c r="AD136" s="7">
        <v>16</v>
      </c>
      <c r="AE136" s="7">
        <v>18</v>
      </c>
      <c r="AF136" s="8"/>
      <c r="AG136" s="4">
        <f t="shared" si="21"/>
        <v>558</v>
      </c>
    </row>
    <row r="137" spans="1:35" ht="18.75" x14ac:dyDescent="0.25">
      <c r="A137" s="43" t="s">
        <v>28</v>
      </c>
      <c r="B137" s="7">
        <v>3</v>
      </c>
      <c r="C137" s="7">
        <v>5</v>
      </c>
      <c r="D137" s="7">
        <f>6+1</f>
        <v>7</v>
      </c>
      <c r="E137" s="7">
        <v>7</v>
      </c>
      <c r="F137" s="7">
        <f>4+1</f>
        <v>5</v>
      </c>
      <c r="G137" s="7">
        <v>3</v>
      </c>
      <c r="H137" s="7">
        <v>2</v>
      </c>
      <c r="I137" s="7">
        <v>2</v>
      </c>
      <c r="J137" s="7">
        <f>11+2</f>
        <v>13</v>
      </c>
      <c r="K137" s="7">
        <f>4+2</f>
        <v>6</v>
      </c>
      <c r="L137" s="7">
        <v>3</v>
      </c>
      <c r="M137" s="7">
        <v>7</v>
      </c>
      <c r="N137" s="7">
        <v>2</v>
      </c>
      <c r="O137" s="7">
        <v>4</v>
      </c>
      <c r="P137" s="7">
        <f>3+1</f>
        <v>4</v>
      </c>
      <c r="Q137" s="7">
        <v>4</v>
      </c>
      <c r="R137" s="7">
        <v>4</v>
      </c>
      <c r="S137" s="7">
        <v>3</v>
      </c>
      <c r="T137" s="7">
        <v>2</v>
      </c>
      <c r="U137" s="7">
        <f>3+2</f>
        <v>5</v>
      </c>
      <c r="V137" s="7">
        <v>2</v>
      </c>
      <c r="W137" s="7">
        <f>6+1</f>
        <v>7</v>
      </c>
      <c r="X137" s="7">
        <f>9+1</f>
        <v>10</v>
      </c>
      <c r="Y137" s="7">
        <v>9</v>
      </c>
      <c r="Z137" s="7">
        <f>9+1</f>
        <v>10</v>
      </c>
      <c r="AA137" s="7">
        <f>7+3</f>
        <v>10</v>
      </c>
      <c r="AB137" s="7">
        <v>4</v>
      </c>
      <c r="AC137" s="7">
        <f>2+1</f>
        <v>3</v>
      </c>
      <c r="AD137" s="7">
        <v>1</v>
      </c>
      <c r="AE137" s="7">
        <f>9+2</f>
        <v>11</v>
      </c>
      <c r="AF137" s="8"/>
      <c r="AG137" s="4">
        <f t="shared" si="21"/>
        <v>158</v>
      </c>
    </row>
    <row r="138" spans="1:35" ht="18.75" x14ac:dyDescent="0.25">
      <c r="A138" s="43" t="s">
        <v>29</v>
      </c>
      <c r="B138" s="7">
        <v>3</v>
      </c>
      <c r="C138" s="7">
        <v>1</v>
      </c>
      <c r="D138" s="7">
        <v>1</v>
      </c>
      <c r="E138" s="7">
        <v>2</v>
      </c>
      <c r="F138" s="7"/>
      <c r="G138" s="7"/>
      <c r="H138" s="7">
        <v>3</v>
      </c>
      <c r="I138" s="7">
        <v>1</v>
      </c>
      <c r="J138" s="7">
        <v>1</v>
      </c>
      <c r="K138" s="7">
        <v>2</v>
      </c>
      <c r="L138" s="7">
        <v>1</v>
      </c>
      <c r="M138" s="7"/>
      <c r="N138" s="7">
        <v>1</v>
      </c>
      <c r="O138" s="7">
        <v>4</v>
      </c>
      <c r="P138" s="7">
        <v>1</v>
      </c>
      <c r="Q138" s="7">
        <v>3</v>
      </c>
      <c r="R138" s="7">
        <v>3</v>
      </c>
      <c r="S138" s="7">
        <v>1</v>
      </c>
      <c r="T138" s="7"/>
      <c r="U138" s="7"/>
      <c r="V138" s="7"/>
      <c r="W138" s="7"/>
      <c r="X138" s="7">
        <v>2</v>
      </c>
      <c r="Y138" s="7">
        <v>1</v>
      </c>
      <c r="Z138" s="7">
        <v>1</v>
      </c>
      <c r="AA138" s="7">
        <v>2</v>
      </c>
      <c r="AB138" s="7"/>
      <c r="AC138" s="7">
        <v>3</v>
      </c>
      <c r="AD138" s="7">
        <v>3</v>
      </c>
      <c r="AE138" s="7">
        <v>3</v>
      </c>
      <c r="AF138" s="8"/>
      <c r="AG138" s="4">
        <f t="shared" si="21"/>
        <v>43</v>
      </c>
    </row>
    <row r="139" spans="1:35" ht="18.75" x14ac:dyDescent="0.25">
      <c r="A139" s="41" t="s">
        <v>30</v>
      </c>
      <c r="B139" s="7">
        <v>1</v>
      </c>
      <c r="C139" s="7">
        <v>1</v>
      </c>
      <c r="D139" s="7">
        <v>1</v>
      </c>
      <c r="E139" s="7">
        <v>3</v>
      </c>
      <c r="F139" s="7">
        <f>1+1</f>
        <v>2</v>
      </c>
      <c r="G139" s="7">
        <v>2</v>
      </c>
      <c r="H139" s="7">
        <v>2</v>
      </c>
      <c r="I139" s="7">
        <v>1</v>
      </c>
      <c r="J139" s="7">
        <f>1+1</f>
        <v>2</v>
      </c>
      <c r="K139" s="7">
        <v>4</v>
      </c>
      <c r="L139" s="7">
        <v>2</v>
      </c>
      <c r="M139" s="7">
        <v>3</v>
      </c>
      <c r="N139" s="7">
        <v>3</v>
      </c>
      <c r="O139" s="7">
        <v>1</v>
      </c>
      <c r="P139" s="7">
        <v>2</v>
      </c>
      <c r="Q139" s="7">
        <v>1</v>
      </c>
      <c r="R139" s="7">
        <v>1</v>
      </c>
      <c r="S139" s="7">
        <v>2</v>
      </c>
      <c r="T139" s="7">
        <v>2</v>
      </c>
      <c r="U139" s="7">
        <v>3</v>
      </c>
      <c r="V139" s="7">
        <v>1</v>
      </c>
      <c r="W139" s="7">
        <v>2</v>
      </c>
      <c r="X139" s="7">
        <v>1</v>
      </c>
      <c r="Y139" s="7">
        <v>1</v>
      </c>
      <c r="Z139" s="7">
        <f>3+1</f>
        <v>4</v>
      </c>
      <c r="AA139" s="7"/>
      <c r="AB139" s="7">
        <v>1</v>
      </c>
      <c r="AC139" s="7">
        <v>1</v>
      </c>
      <c r="AD139" s="7">
        <v>2</v>
      </c>
      <c r="AE139" s="7">
        <v>1</v>
      </c>
      <c r="AF139" s="8"/>
      <c r="AG139" s="4">
        <f t="shared" si="21"/>
        <v>53</v>
      </c>
    </row>
    <row r="140" spans="1:35" ht="18.75" x14ac:dyDescent="0.25">
      <c r="A140" s="41" t="s">
        <v>31</v>
      </c>
      <c r="B140" s="7">
        <v>1</v>
      </c>
      <c r="C140" s="7"/>
      <c r="D140" s="7">
        <v>1</v>
      </c>
      <c r="E140" s="7">
        <v>2</v>
      </c>
      <c r="F140" s="7">
        <v>1</v>
      </c>
      <c r="G140" s="7"/>
      <c r="H140" s="7">
        <v>1</v>
      </c>
      <c r="I140" s="7">
        <v>2</v>
      </c>
      <c r="J140" s="7"/>
      <c r="K140" s="7">
        <v>2</v>
      </c>
      <c r="L140" s="7"/>
      <c r="M140" s="7">
        <v>1</v>
      </c>
      <c r="N140" s="7">
        <v>1</v>
      </c>
      <c r="O140" s="7">
        <v>3</v>
      </c>
      <c r="P140" s="7"/>
      <c r="Q140" s="7"/>
      <c r="R140" s="7"/>
      <c r="S140" s="7">
        <v>1</v>
      </c>
      <c r="T140" s="7">
        <v>1</v>
      </c>
      <c r="U140" s="7"/>
      <c r="V140" s="7">
        <v>1</v>
      </c>
      <c r="W140" s="7">
        <v>2</v>
      </c>
      <c r="X140" s="7">
        <v>2</v>
      </c>
      <c r="Y140" s="7">
        <v>1</v>
      </c>
      <c r="Z140" s="7"/>
      <c r="AA140" s="7">
        <v>1</v>
      </c>
      <c r="AB140" s="7">
        <v>1</v>
      </c>
      <c r="AC140" s="7">
        <v>1</v>
      </c>
      <c r="AD140" s="7"/>
      <c r="AE140" s="7">
        <v>3</v>
      </c>
      <c r="AF140" s="8"/>
      <c r="AG140" s="4">
        <f t="shared" si="21"/>
        <v>29</v>
      </c>
    </row>
    <row r="141" spans="1:35" ht="18.75" x14ac:dyDescent="0.25">
      <c r="A141" s="41" t="s">
        <v>32</v>
      </c>
      <c r="B141" s="7"/>
      <c r="C141" s="7"/>
      <c r="D141" s="7"/>
      <c r="E141" s="7"/>
      <c r="F141" s="7">
        <v>1</v>
      </c>
      <c r="G141" s="7"/>
      <c r="H141" s="7"/>
      <c r="I141" s="7"/>
      <c r="J141" s="7"/>
      <c r="K141" s="7"/>
      <c r="L141" s="7">
        <v>1</v>
      </c>
      <c r="M141" s="7"/>
      <c r="N141" s="7"/>
      <c r="O141" s="7"/>
      <c r="P141" s="7"/>
      <c r="Q141" s="7">
        <v>1</v>
      </c>
      <c r="R141" s="7"/>
      <c r="S141" s="7"/>
      <c r="T141" s="7"/>
      <c r="U141" s="7"/>
      <c r="V141" s="7">
        <v>1</v>
      </c>
      <c r="W141" s="7"/>
      <c r="X141" s="7">
        <v>1</v>
      </c>
      <c r="Y141" s="7"/>
      <c r="Z141" s="7"/>
      <c r="AA141" s="7"/>
      <c r="AB141" s="7"/>
      <c r="AC141" s="7"/>
      <c r="AD141" s="7"/>
      <c r="AE141" s="7"/>
      <c r="AF141" s="8"/>
      <c r="AG141" s="4">
        <f t="shared" si="21"/>
        <v>5</v>
      </c>
    </row>
    <row r="142" spans="1:35" ht="18.75" x14ac:dyDescent="0.25">
      <c r="A142" s="43" t="s">
        <v>60</v>
      </c>
      <c r="B142" s="7">
        <f>1+2+1+1+1+1</f>
        <v>7</v>
      </c>
      <c r="C142" s="7">
        <f>1+1+2+1</f>
        <v>5</v>
      </c>
      <c r="D142" s="7">
        <f>1+1+1+1</f>
        <v>4</v>
      </c>
      <c r="E142" s="7">
        <f>1+1+1</f>
        <v>3</v>
      </c>
      <c r="F142" s="7">
        <f>1+1+1+1+1+1+1</f>
        <v>7</v>
      </c>
      <c r="G142" s="7">
        <f>1+1+1</f>
        <v>3</v>
      </c>
      <c r="H142" s="7">
        <f>2+1+1+2</f>
        <v>6</v>
      </c>
      <c r="I142" s="7">
        <f>2+1+2</f>
        <v>5</v>
      </c>
      <c r="J142" s="7">
        <f>3+1+1+1+1+3</f>
        <v>10</v>
      </c>
      <c r="K142" s="7">
        <f>1+1+1</f>
        <v>3</v>
      </c>
      <c r="L142" s="7">
        <f>1+1+1</f>
        <v>3</v>
      </c>
      <c r="M142" s="7">
        <f>1+3+1</f>
        <v>5</v>
      </c>
      <c r="N142" s="7">
        <f>1+1</f>
        <v>2</v>
      </c>
      <c r="O142" s="7">
        <f>1+1+1</f>
        <v>3</v>
      </c>
      <c r="P142" s="7">
        <f>1+1+1+2+1</f>
        <v>6</v>
      </c>
      <c r="Q142" s="7">
        <f>1+1+1+1+1</f>
        <v>5</v>
      </c>
      <c r="R142" s="7">
        <f>3+1+2+2</f>
        <v>8</v>
      </c>
      <c r="S142" s="7">
        <f>1+1+1+1+1</f>
        <v>5</v>
      </c>
      <c r="T142" s="7">
        <f>3+1+1+1+1</f>
        <v>7</v>
      </c>
      <c r="U142" s="7">
        <f>1+1+1+2</f>
        <v>5</v>
      </c>
      <c r="V142" s="7">
        <f>1+1</f>
        <v>2</v>
      </c>
      <c r="W142" s="7">
        <f>3+1+1+1+1+1</f>
        <v>8</v>
      </c>
      <c r="X142" s="7">
        <f>2+1+2+1</f>
        <v>6</v>
      </c>
      <c r="Y142" s="7">
        <f>2+1+1+1+1+1+1+2</f>
        <v>10</v>
      </c>
      <c r="Z142" s="7">
        <f>1+1+1</f>
        <v>3</v>
      </c>
      <c r="AA142" s="7">
        <f>2+1+1+1</f>
        <v>5</v>
      </c>
      <c r="AB142" s="7">
        <f>1+1+1+1+1+1</f>
        <v>6</v>
      </c>
      <c r="AC142" s="7">
        <f>1+1</f>
        <v>2</v>
      </c>
      <c r="AD142" s="7">
        <f>1+1</f>
        <v>2</v>
      </c>
      <c r="AE142" s="7">
        <f>2+1+1+1+1+1+1+1+1+1+1</f>
        <v>12</v>
      </c>
      <c r="AF142" s="8"/>
      <c r="AG142" s="4">
        <f t="shared" si="21"/>
        <v>158</v>
      </c>
    </row>
    <row r="143" spans="1:35" ht="19.5" thickBot="1" x14ac:dyDescent="0.3">
      <c r="A143" s="75" t="s">
        <v>86</v>
      </c>
      <c r="B143" s="13">
        <f>7+7</f>
        <v>14</v>
      </c>
      <c r="C143" s="13">
        <f>9+1+9</f>
        <v>19</v>
      </c>
      <c r="D143" s="13">
        <f>1+9+6</f>
        <v>16</v>
      </c>
      <c r="E143" s="13">
        <f>2+8+5</f>
        <v>15</v>
      </c>
      <c r="F143" s="13">
        <f>11+10</f>
        <v>21</v>
      </c>
      <c r="G143" s="13">
        <f>10+4</f>
        <v>14</v>
      </c>
      <c r="H143" s="13">
        <f>10+9</f>
        <v>19</v>
      </c>
      <c r="I143" s="13">
        <f>5+8</f>
        <v>13</v>
      </c>
      <c r="J143" s="13">
        <f>5+14</f>
        <v>19</v>
      </c>
      <c r="K143" s="13">
        <f>6+1+5</f>
        <v>12</v>
      </c>
      <c r="L143" s="13">
        <f>8+11</f>
        <v>19</v>
      </c>
      <c r="M143" s="13">
        <f>13+7</f>
        <v>20</v>
      </c>
      <c r="N143" s="13">
        <f>7+10</f>
        <v>17</v>
      </c>
      <c r="O143" s="13">
        <f>5+11</f>
        <v>16</v>
      </c>
      <c r="P143" s="13">
        <f>5+11</f>
        <v>16</v>
      </c>
      <c r="Q143" s="13">
        <f>20+9</f>
        <v>29</v>
      </c>
      <c r="R143" s="13">
        <f>11+5</f>
        <v>16</v>
      </c>
      <c r="S143" s="13">
        <f>8+4</f>
        <v>12</v>
      </c>
      <c r="T143" s="13">
        <f>8+11</f>
        <v>19</v>
      </c>
      <c r="U143" s="13">
        <f>19+7</f>
        <v>26</v>
      </c>
      <c r="V143" s="13">
        <f>5+10</f>
        <v>15</v>
      </c>
      <c r="W143" s="13">
        <f>10+8</f>
        <v>18</v>
      </c>
      <c r="X143" s="13">
        <f>8+15</f>
        <v>23</v>
      </c>
      <c r="Y143" s="13">
        <f>10+11</f>
        <v>21</v>
      </c>
      <c r="Z143" s="13">
        <f>8+13</f>
        <v>21</v>
      </c>
      <c r="AA143" s="13">
        <f>15+8</f>
        <v>23</v>
      </c>
      <c r="AB143" s="13">
        <f>14+15</f>
        <v>29</v>
      </c>
      <c r="AC143" s="13">
        <f>14+2</f>
        <v>16</v>
      </c>
      <c r="AD143" s="13">
        <f>12+9</f>
        <v>21</v>
      </c>
      <c r="AE143" s="13">
        <f>7+11</f>
        <v>18</v>
      </c>
      <c r="AF143" s="14"/>
      <c r="AG143" s="108">
        <f t="shared" si="21"/>
        <v>557</v>
      </c>
    </row>
    <row r="144" spans="1:35" ht="19.5" thickBot="1" x14ac:dyDescent="0.3">
      <c r="A144" s="164" t="s">
        <v>89</v>
      </c>
      <c r="B144" s="165">
        <f t="shared" ref="B144:AD144" si="22">+B146+B156+B158+B167</f>
        <v>109</v>
      </c>
      <c r="C144" s="165">
        <f t="shared" si="22"/>
        <v>123</v>
      </c>
      <c r="D144" s="165">
        <f t="shared" si="22"/>
        <v>112</v>
      </c>
      <c r="E144" s="165">
        <f t="shared" si="22"/>
        <v>124</v>
      </c>
      <c r="F144" s="165">
        <f t="shared" si="22"/>
        <v>131</v>
      </c>
      <c r="G144" s="165">
        <f t="shared" si="22"/>
        <v>117</v>
      </c>
      <c r="H144" s="165">
        <f t="shared" si="22"/>
        <v>126</v>
      </c>
      <c r="I144" s="165">
        <f t="shared" si="22"/>
        <v>108</v>
      </c>
      <c r="J144" s="165">
        <f t="shared" si="22"/>
        <v>147</v>
      </c>
      <c r="K144" s="165">
        <f t="shared" si="22"/>
        <v>127</v>
      </c>
      <c r="L144" s="165">
        <f t="shared" si="22"/>
        <v>145</v>
      </c>
      <c r="M144" s="165">
        <f t="shared" si="22"/>
        <v>140</v>
      </c>
      <c r="N144" s="165">
        <f t="shared" si="22"/>
        <v>113</v>
      </c>
      <c r="O144" s="165">
        <f t="shared" si="22"/>
        <v>123</v>
      </c>
      <c r="P144" s="165">
        <f t="shared" si="22"/>
        <v>130</v>
      </c>
      <c r="Q144" s="165">
        <f t="shared" si="22"/>
        <v>125</v>
      </c>
      <c r="R144" s="165">
        <f t="shared" si="22"/>
        <v>112</v>
      </c>
      <c r="S144" s="165">
        <f t="shared" si="22"/>
        <v>107</v>
      </c>
      <c r="T144" s="165">
        <f t="shared" si="22"/>
        <v>122</v>
      </c>
      <c r="U144" s="165">
        <f t="shared" si="22"/>
        <v>133</v>
      </c>
      <c r="V144" s="165">
        <f t="shared" si="22"/>
        <v>120</v>
      </c>
      <c r="W144" s="165">
        <f t="shared" si="22"/>
        <v>142</v>
      </c>
      <c r="X144" s="165">
        <f t="shared" si="22"/>
        <v>160</v>
      </c>
      <c r="Y144" s="165">
        <f t="shared" si="22"/>
        <v>147</v>
      </c>
      <c r="Z144" s="165">
        <f t="shared" si="22"/>
        <v>134</v>
      </c>
      <c r="AA144" s="165">
        <f t="shared" si="22"/>
        <v>149</v>
      </c>
      <c r="AB144" s="165">
        <f t="shared" si="22"/>
        <v>126</v>
      </c>
      <c r="AC144" s="165">
        <f t="shared" si="22"/>
        <v>126</v>
      </c>
      <c r="AD144" s="165">
        <f t="shared" si="22"/>
        <v>123</v>
      </c>
      <c r="AE144" s="165">
        <f>+AE146+AE156+AE158+AE167</f>
        <v>173</v>
      </c>
      <c r="AF144" s="165">
        <f t="shared" ref="AF144" si="23">+AF146+AF156+AF158+AF167</f>
        <v>0</v>
      </c>
      <c r="AG144" s="116">
        <f t="shared" si="21"/>
        <v>3874</v>
      </c>
      <c r="AH144" s="38" t="str">
        <f>IF(AG144&lt;&gt;AG93,"*","")</f>
        <v/>
      </c>
      <c r="AI144" t="s">
        <v>140</v>
      </c>
    </row>
    <row r="145" spans="1:34" ht="19.5" thickBot="1" x14ac:dyDescent="0.3">
      <c r="A145" s="160" t="s">
        <v>98</v>
      </c>
      <c r="B145" s="161">
        <f t="shared" ref="B145:AD145" si="24">+B149+B155+B157+B172</f>
        <v>13</v>
      </c>
      <c r="C145" s="161">
        <f t="shared" si="24"/>
        <v>3</v>
      </c>
      <c r="D145" s="161">
        <f t="shared" si="24"/>
        <v>6</v>
      </c>
      <c r="E145" s="161">
        <f t="shared" si="24"/>
        <v>4</v>
      </c>
      <c r="F145" s="161">
        <f t="shared" si="24"/>
        <v>4</v>
      </c>
      <c r="G145" s="161">
        <f t="shared" si="24"/>
        <v>9</v>
      </c>
      <c r="H145" s="161">
        <f t="shared" si="24"/>
        <v>3</v>
      </c>
      <c r="I145" s="161">
        <f t="shared" si="24"/>
        <v>1</v>
      </c>
      <c r="J145" s="161">
        <f t="shared" si="24"/>
        <v>9</v>
      </c>
      <c r="K145" s="161">
        <f t="shared" si="24"/>
        <v>6</v>
      </c>
      <c r="L145" s="161">
        <f t="shared" si="24"/>
        <v>21</v>
      </c>
      <c r="M145" s="161">
        <f t="shared" si="24"/>
        <v>12</v>
      </c>
      <c r="N145" s="161">
        <f t="shared" si="24"/>
        <v>6</v>
      </c>
      <c r="O145" s="161">
        <f t="shared" si="24"/>
        <v>2</v>
      </c>
      <c r="P145" s="161">
        <f t="shared" si="24"/>
        <v>3</v>
      </c>
      <c r="Q145" s="161">
        <f t="shared" si="24"/>
        <v>21</v>
      </c>
      <c r="R145" s="161">
        <f t="shared" si="24"/>
        <v>8</v>
      </c>
      <c r="S145" s="161">
        <f t="shared" si="24"/>
        <v>6</v>
      </c>
      <c r="T145" s="161">
        <f t="shared" si="24"/>
        <v>5</v>
      </c>
      <c r="U145" s="161">
        <f t="shared" si="24"/>
        <v>4</v>
      </c>
      <c r="V145" s="161">
        <f t="shared" si="24"/>
        <v>4</v>
      </c>
      <c r="W145" s="161">
        <f t="shared" si="24"/>
        <v>9</v>
      </c>
      <c r="X145" s="161">
        <f t="shared" si="24"/>
        <v>15</v>
      </c>
      <c r="Y145" s="161">
        <f t="shared" si="24"/>
        <v>4</v>
      </c>
      <c r="Z145" s="161">
        <f t="shared" si="24"/>
        <v>8</v>
      </c>
      <c r="AA145" s="161">
        <f t="shared" si="24"/>
        <v>19</v>
      </c>
      <c r="AB145" s="161">
        <f t="shared" si="24"/>
        <v>8</v>
      </c>
      <c r="AC145" s="161">
        <f t="shared" si="24"/>
        <v>8</v>
      </c>
      <c r="AD145" s="161">
        <f t="shared" si="24"/>
        <v>10</v>
      </c>
      <c r="AE145" s="161">
        <f>+AE149+AE155+AE157+AE172</f>
        <v>13</v>
      </c>
      <c r="AF145" s="162">
        <f t="shared" ref="AF145" si="25">+AF149+AF155+AF157+AF172</f>
        <v>0</v>
      </c>
      <c r="AG145" s="163">
        <f t="shared" si="21"/>
        <v>244</v>
      </c>
      <c r="AH145" s="1"/>
    </row>
    <row r="146" spans="1:34" ht="19.5" thickBot="1" x14ac:dyDescent="0.3">
      <c r="A146" s="117" t="s">
        <v>69</v>
      </c>
      <c r="B146" s="118">
        <f t="shared" ref="B146:AG147" si="26">+B148+B154</f>
        <v>0</v>
      </c>
      <c r="C146" s="118">
        <f t="shared" si="26"/>
        <v>0</v>
      </c>
      <c r="D146" s="118">
        <f t="shared" si="26"/>
        <v>0</v>
      </c>
      <c r="E146" s="118">
        <f t="shared" si="26"/>
        <v>0</v>
      </c>
      <c r="F146" s="118">
        <f t="shared" si="26"/>
        <v>0</v>
      </c>
      <c r="G146" s="118">
        <f t="shared" si="26"/>
        <v>0</v>
      </c>
      <c r="H146" s="118">
        <f t="shared" si="26"/>
        <v>0</v>
      </c>
      <c r="I146" s="118">
        <f t="shared" si="26"/>
        <v>0</v>
      </c>
      <c r="J146" s="118">
        <f t="shared" si="26"/>
        <v>0</v>
      </c>
      <c r="K146" s="118">
        <f t="shared" si="26"/>
        <v>0</v>
      </c>
      <c r="L146" s="118">
        <f t="shared" si="26"/>
        <v>0</v>
      </c>
      <c r="M146" s="118">
        <f t="shared" si="26"/>
        <v>0</v>
      </c>
      <c r="N146" s="118">
        <f t="shared" si="26"/>
        <v>0</v>
      </c>
      <c r="O146" s="118">
        <f t="shared" si="26"/>
        <v>0</v>
      </c>
      <c r="P146" s="118">
        <f t="shared" si="26"/>
        <v>0</v>
      </c>
      <c r="Q146" s="118">
        <f t="shared" si="26"/>
        <v>0</v>
      </c>
      <c r="R146" s="118">
        <f t="shared" si="26"/>
        <v>0</v>
      </c>
      <c r="S146" s="118">
        <f t="shared" si="26"/>
        <v>0</v>
      </c>
      <c r="T146" s="118">
        <f t="shared" si="26"/>
        <v>0</v>
      </c>
      <c r="U146" s="118">
        <f t="shared" si="26"/>
        <v>0</v>
      </c>
      <c r="V146" s="118">
        <f t="shared" si="26"/>
        <v>0</v>
      </c>
      <c r="W146" s="118">
        <f t="shared" si="26"/>
        <v>0</v>
      </c>
      <c r="X146" s="118">
        <f t="shared" si="26"/>
        <v>0</v>
      </c>
      <c r="Y146" s="118">
        <f t="shared" si="26"/>
        <v>0</v>
      </c>
      <c r="Z146" s="118">
        <f t="shared" si="26"/>
        <v>0</v>
      </c>
      <c r="AA146" s="118">
        <f t="shared" si="26"/>
        <v>0</v>
      </c>
      <c r="AB146" s="118">
        <f t="shared" si="26"/>
        <v>0</v>
      </c>
      <c r="AC146" s="118">
        <f t="shared" si="26"/>
        <v>0</v>
      </c>
      <c r="AD146" s="118">
        <f t="shared" si="26"/>
        <v>0</v>
      </c>
      <c r="AE146" s="118">
        <f t="shared" si="26"/>
        <v>0</v>
      </c>
      <c r="AF146" s="119">
        <f t="shared" si="26"/>
        <v>0</v>
      </c>
      <c r="AG146" s="120">
        <f t="shared" si="26"/>
        <v>0</v>
      </c>
    </row>
    <row r="147" spans="1:34" ht="19.5" thickBot="1" x14ac:dyDescent="0.3">
      <c r="A147" s="153" t="s">
        <v>130</v>
      </c>
      <c r="B147" s="154">
        <f t="shared" si="26"/>
        <v>0</v>
      </c>
      <c r="C147" s="154">
        <f t="shared" si="26"/>
        <v>0</v>
      </c>
      <c r="D147" s="154">
        <f t="shared" si="26"/>
        <v>0</v>
      </c>
      <c r="E147" s="154">
        <f t="shared" si="26"/>
        <v>0</v>
      </c>
      <c r="F147" s="154">
        <f t="shared" si="26"/>
        <v>0</v>
      </c>
      <c r="G147" s="154">
        <f t="shared" si="26"/>
        <v>0</v>
      </c>
      <c r="H147" s="154">
        <f t="shared" si="26"/>
        <v>0</v>
      </c>
      <c r="I147" s="154">
        <f t="shared" si="26"/>
        <v>0</v>
      </c>
      <c r="J147" s="154">
        <f t="shared" si="26"/>
        <v>0</v>
      </c>
      <c r="K147" s="154">
        <f t="shared" si="26"/>
        <v>0</v>
      </c>
      <c r="L147" s="154">
        <f t="shared" si="26"/>
        <v>0</v>
      </c>
      <c r="M147" s="154">
        <f t="shared" si="26"/>
        <v>0</v>
      </c>
      <c r="N147" s="154">
        <f t="shared" si="26"/>
        <v>0</v>
      </c>
      <c r="O147" s="154">
        <f t="shared" si="26"/>
        <v>0</v>
      </c>
      <c r="P147" s="154">
        <f t="shared" si="26"/>
        <v>0</v>
      </c>
      <c r="Q147" s="154">
        <f t="shared" si="26"/>
        <v>0</v>
      </c>
      <c r="R147" s="154">
        <f t="shared" si="26"/>
        <v>0</v>
      </c>
      <c r="S147" s="154">
        <f t="shared" si="26"/>
        <v>0</v>
      </c>
      <c r="T147" s="154">
        <f t="shared" si="26"/>
        <v>0</v>
      </c>
      <c r="U147" s="154">
        <f t="shared" si="26"/>
        <v>0</v>
      </c>
      <c r="V147" s="154">
        <f t="shared" si="26"/>
        <v>0</v>
      </c>
      <c r="W147" s="154">
        <f t="shared" si="26"/>
        <v>0</v>
      </c>
      <c r="X147" s="154">
        <f t="shared" si="26"/>
        <v>0</v>
      </c>
      <c r="Y147" s="154">
        <f t="shared" si="26"/>
        <v>0</v>
      </c>
      <c r="Z147" s="154">
        <f t="shared" si="26"/>
        <v>0</v>
      </c>
      <c r="AA147" s="154">
        <f t="shared" si="26"/>
        <v>0</v>
      </c>
      <c r="AB147" s="154">
        <f>+AB149+AB155</f>
        <v>0</v>
      </c>
      <c r="AC147" s="154">
        <f t="shared" si="26"/>
        <v>0</v>
      </c>
      <c r="AD147" s="154">
        <f t="shared" si="26"/>
        <v>0</v>
      </c>
      <c r="AE147" s="154">
        <f t="shared" si="26"/>
        <v>0</v>
      </c>
      <c r="AF147" s="155"/>
      <c r="AG147" s="156">
        <f t="shared" si="21"/>
        <v>0</v>
      </c>
    </row>
    <row r="148" spans="1:34" ht="19.5" thickBot="1" x14ac:dyDescent="0.3">
      <c r="A148" s="125" t="s">
        <v>68</v>
      </c>
      <c r="B148" s="126">
        <f>SUM(B150:B153)</f>
        <v>0</v>
      </c>
      <c r="C148" s="126">
        <f t="shared" ref="C148:AF148" si="27">SUM(C150:C153)</f>
        <v>0</v>
      </c>
      <c r="D148" s="126">
        <f t="shared" si="27"/>
        <v>0</v>
      </c>
      <c r="E148" s="126">
        <f t="shared" si="27"/>
        <v>0</v>
      </c>
      <c r="F148" s="126">
        <f t="shared" si="27"/>
        <v>0</v>
      </c>
      <c r="G148" s="126">
        <f t="shared" si="27"/>
        <v>0</v>
      </c>
      <c r="H148" s="126">
        <f t="shared" si="27"/>
        <v>0</v>
      </c>
      <c r="I148" s="126">
        <f t="shared" si="27"/>
        <v>0</v>
      </c>
      <c r="J148" s="126">
        <f t="shared" si="27"/>
        <v>0</v>
      </c>
      <c r="K148" s="126">
        <f t="shared" si="27"/>
        <v>0</v>
      </c>
      <c r="L148" s="126">
        <f t="shared" si="27"/>
        <v>0</v>
      </c>
      <c r="M148" s="126">
        <f t="shared" si="27"/>
        <v>0</v>
      </c>
      <c r="N148" s="126">
        <f t="shared" si="27"/>
        <v>0</v>
      </c>
      <c r="O148" s="126">
        <f t="shared" si="27"/>
        <v>0</v>
      </c>
      <c r="P148" s="126">
        <f t="shared" si="27"/>
        <v>0</v>
      </c>
      <c r="Q148" s="126">
        <f t="shared" si="27"/>
        <v>0</v>
      </c>
      <c r="R148" s="126">
        <f t="shared" si="27"/>
        <v>0</v>
      </c>
      <c r="S148" s="126">
        <f t="shared" si="27"/>
        <v>0</v>
      </c>
      <c r="T148" s="126">
        <f t="shared" si="27"/>
        <v>0</v>
      </c>
      <c r="U148" s="126">
        <f t="shared" si="27"/>
        <v>0</v>
      </c>
      <c r="V148" s="126">
        <f t="shared" si="27"/>
        <v>0</v>
      </c>
      <c r="W148" s="126">
        <f t="shared" si="27"/>
        <v>0</v>
      </c>
      <c r="X148" s="126">
        <f t="shared" si="27"/>
        <v>0</v>
      </c>
      <c r="Y148" s="126">
        <f t="shared" si="27"/>
        <v>0</v>
      </c>
      <c r="Z148" s="126">
        <f t="shared" si="27"/>
        <v>0</v>
      </c>
      <c r="AA148" s="126">
        <f t="shared" si="27"/>
        <v>0</v>
      </c>
      <c r="AB148" s="126">
        <f t="shared" si="27"/>
        <v>0</v>
      </c>
      <c r="AC148" s="126">
        <f t="shared" si="27"/>
        <v>0</v>
      </c>
      <c r="AD148" s="126">
        <f t="shared" si="27"/>
        <v>0</v>
      </c>
      <c r="AE148" s="126">
        <f t="shared" si="27"/>
        <v>0</v>
      </c>
      <c r="AF148" s="127">
        <f t="shared" si="27"/>
        <v>0</v>
      </c>
      <c r="AG148" s="128">
        <f t="shared" ref="AG148:AG234" si="28">SUM(B148:AF148)</f>
        <v>0</v>
      </c>
    </row>
    <row r="149" spans="1:34" ht="19.5" thickBot="1" x14ac:dyDescent="0.3">
      <c r="A149" s="153" t="s">
        <v>131</v>
      </c>
      <c r="B149" s="154"/>
      <c r="C149" s="154"/>
      <c r="D149" s="154"/>
      <c r="E149" s="154"/>
      <c r="F149" s="154"/>
      <c r="G149" s="154"/>
      <c r="H149" s="154"/>
      <c r="I149" s="154"/>
      <c r="J149" s="154"/>
      <c r="K149" s="154"/>
      <c r="L149" s="154"/>
      <c r="M149" s="154"/>
      <c r="N149" s="154"/>
      <c r="O149" s="154"/>
      <c r="P149" s="154"/>
      <c r="Q149" s="154"/>
      <c r="R149" s="154"/>
      <c r="S149" s="154"/>
      <c r="T149" s="154"/>
      <c r="U149" s="154"/>
      <c r="V149" s="154"/>
      <c r="W149" s="154"/>
      <c r="X149" s="154"/>
      <c r="Y149" s="154"/>
      <c r="Z149" s="154"/>
      <c r="AA149" s="154"/>
      <c r="AB149" s="154"/>
      <c r="AC149" s="154"/>
      <c r="AD149" s="154"/>
      <c r="AE149" s="154"/>
      <c r="AF149" s="155"/>
      <c r="AG149" s="156">
        <f t="shared" si="28"/>
        <v>0</v>
      </c>
    </row>
    <row r="150" spans="1:34" ht="18.75" x14ac:dyDescent="0.25">
      <c r="A150" s="129" t="s">
        <v>100</v>
      </c>
      <c r="B150" s="130"/>
      <c r="C150" s="130"/>
      <c r="D150" s="130"/>
      <c r="E150" s="130"/>
      <c r="F150" s="130"/>
      <c r="G150" s="130"/>
      <c r="H150" s="130"/>
      <c r="I150" s="130"/>
      <c r="J150" s="130"/>
      <c r="K150" s="130"/>
      <c r="L150" s="130"/>
      <c r="M150" s="130"/>
      <c r="N150" s="130"/>
      <c r="O150" s="130"/>
      <c r="P150" s="130"/>
      <c r="Q150" s="130"/>
      <c r="R150" s="130"/>
      <c r="S150" s="130"/>
      <c r="T150" s="130"/>
      <c r="U150" s="130"/>
      <c r="V150" s="130"/>
      <c r="W150" s="130"/>
      <c r="X150" s="130"/>
      <c r="Y150" s="130"/>
      <c r="Z150" s="130"/>
      <c r="AA150" s="130"/>
      <c r="AB150" s="130"/>
      <c r="AC150" s="130"/>
      <c r="AD150" s="130"/>
      <c r="AE150" s="130"/>
      <c r="AF150" s="131"/>
      <c r="AG150" s="132">
        <f t="shared" si="28"/>
        <v>0</v>
      </c>
    </row>
    <row r="151" spans="1:34" ht="18.75" x14ac:dyDescent="0.25">
      <c r="A151" s="50" t="s">
        <v>101</v>
      </c>
      <c r="B151" s="29"/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  <c r="AA151" s="29"/>
      <c r="AB151" s="29"/>
      <c r="AC151" s="29"/>
      <c r="AD151" s="29"/>
      <c r="AE151" s="29"/>
      <c r="AF151" s="21"/>
      <c r="AG151" s="4">
        <f t="shared" si="28"/>
        <v>0</v>
      </c>
    </row>
    <row r="152" spans="1:34" ht="18.75" x14ac:dyDescent="0.25">
      <c r="A152" s="50" t="s">
        <v>102</v>
      </c>
      <c r="B152" s="29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  <c r="AA152" s="29"/>
      <c r="AB152" s="29"/>
      <c r="AC152" s="29"/>
      <c r="AD152" s="29"/>
      <c r="AE152" s="29"/>
      <c r="AF152" s="21"/>
      <c r="AG152" s="4">
        <f t="shared" si="28"/>
        <v>0</v>
      </c>
    </row>
    <row r="153" spans="1:34" ht="19.5" thickBot="1" x14ac:dyDescent="0.3">
      <c r="A153" s="71" t="s">
        <v>103</v>
      </c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  <c r="AA153" s="30"/>
      <c r="AB153" s="30"/>
      <c r="AC153" s="30"/>
      <c r="AD153" s="30"/>
      <c r="AE153" s="30"/>
      <c r="AF153" s="22"/>
      <c r="AG153" s="28">
        <f t="shared" si="28"/>
        <v>0</v>
      </c>
    </row>
    <row r="154" spans="1:34" ht="19.5" thickBot="1" x14ac:dyDescent="0.3">
      <c r="A154" s="125" t="s">
        <v>67</v>
      </c>
      <c r="B154" s="126"/>
      <c r="C154" s="126"/>
      <c r="D154" s="126"/>
      <c r="E154" s="126"/>
      <c r="F154" s="126"/>
      <c r="G154" s="126"/>
      <c r="H154" s="126"/>
      <c r="I154" s="126"/>
      <c r="J154" s="126"/>
      <c r="K154" s="126"/>
      <c r="L154" s="126"/>
      <c r="M154" s="126"/>
      <c r="N154" s="126"/>
      <c r="O154" s="126"/>
      <c r="P154" s="126"/>
      <c r="Q154" s="126"/>
      <c r="R154" s="126"/>
      <c r="S154" s="126"/>
      <c r="T154" s="126"/>
      <c r="U154" s="126"/>
      <c r="V154" s="126"/>
      <c r="W154" s="126"/>
      <c r="X154" s="126"/>
      <c r="Y154" s="126"/>
      <c r="Z154" s="126"/>
      <c r="AA154" s="126"/>
      <c r="AB154" s="126"/>
      <c r="AC154" s="126"/>
      <c r="AD154" s="126"/>
      <c r="AE154" s="126"/>
      <c r="AF154" s="127"/>
      <c r="AG154" s="128">
        <f t="shared" si="28"/>
        <v>0</v>
      </c>
    </row>
    <row r="155" spans="1:34" ht="19.5" thickBot="1" x14ac:dyDescent="0.3">
      <c r="A155" s="153" t="s">
        <v>132</v>
      </c>
      <c r="B155" s="154"/>
      <c r="C155" s="154"/>
      <c r="D155" s="154"/>
      <c r="E155" s="154"/>
      <c r="F155" s="154"/>
      <c r="G155" s="154"/>
      <c r="H155" s="154"/>
      <c r="I155" s="154"/>
      <c r="J155" s="154"/>
      <c r="K155" s="154"/>
      <c r="L155" s="154"/>
      <c r="M155" s="154"/>
      <c r="N155" s="154"/>
      <c r="O155" s="154"/>
      <c r="P155" s="154"/>
      <c r="Q155" s="154"/>
      <c r="R155" s="154"/>
      <c r="S155" s="154"/>
      <c r="T155" s="154"/>
      <c r="U155" s="154"/>
      <c r="V155" s="154"/>
      <c r="W155" s="154"/>
      <c r="X155" s="154"/>
      <c r="Y155" s="154"/>
      <c r="Z155" s="154"/>
      <c r="AA155" s="154"/>
      <c r="AB155" s="154"/>
      <c r="AC155" s="154"/>
      <c r="AD155" s="154"/>
      <c r="AE155" s="154"/>
      <c r="AF155" s="155"/>
      <c r="AG155" s="156">
        <f t="shared" si="28"/>
        <v>0</v>
      </c>
    </row>
    <row r="156" spans="1:34" ht="18.75" x14ac:dyDescent="0.25">
      <c r="A156" s="69" t="s">
        <v>62</v>
      </c>
      <c r="B156" s="56">
        <v>109</v>
      </c>
      <c r="C156" s="56">
        <v>122</v>
      </c>
      <c r="D156" s="56">
        <v>111</v>
      </c>
      <c r="E156" s="56">
        <v>124</v>
      </c>
      <c r="F156" s="56">
        <v>130</v>
      </c>
      <c r="G156" s="56">
        <v>116</v>
      </c>
      <c r="H156" s="56">
        <v>125</v>
      </c>
      <c r="I156" s="56">
        <v>108</v>
      </c>
      <c r="J156" s="56">
        <v>147</v>
      </c>
      <c r="K156" s="56">
        <v>126</v>
      </c>
      <c r="L156" s="56">
        <v>145</v>
      </c>
      <c r="M156" s="56">
        <v>128</v>
      </c>
      <c r="N156" s="56">
        <v>113</v>
      </c>
      <c r="O156" s="56">
        <v>122</v>
      </c>
      <c r="P156" s="56">
        <v>124</v>
      </c>
      <c r="Q156" s="56">
        <v>123</v>
      </c>
      <c r="R156" s="56">
        <v>112</v>
      </c>
      <c r="S156" s="56">
        <v>105</v>
      </c>
      <c r="T156" s="56">
        <v>122</v>
      </c>
      <c r="U156" s="56">
        <v>133</v>
      </c>
      <c r="V156" s="56">
        <v>120</v>
      </c>
      <c r="W156" s="56">
        <v>142</v>
      </c>
      <c r="X156" s="56">
        <v>159</v>
      </c>
      <c r="Y156" s="56">
        <v>145</v>
      </c>
      <c r="Z156" s="56">
        <v>134</v>
      </c>
      <c r="AA156" s="56">
        <v>149</v>
      </c>
      <c r="AB156" s="56">
        <v>126</v>
      </c>
      <c r="AC156" s="56">
        <v>123</v>
      </c>
      <c r="AD156" s="56">
        <v>123</v>
      </c>
      <c r="AE156" s="56">
        <v>171</v>
      </c>
      <c r="AF156" s="85"/>
      <c r="AG156" s="95">
        <f t="shared" si="28"/>
        <v>3837</v>
      </c>
      <c r="AH156" s="2" t="s">
        <v>84</v>
      </c>
    </row>
    <row r="157" spans="1:34" ht="19.5" thickBot="1" x14ac:dyDescent="0.3">
      <c r="A157" s="75" t="s">
        <v>1</v>
      </c>
      <c r="B157" s="13">
        <v>13</v>
      </c>
      <c r="C157" s="13">
        <v>3</v>
      </c>
      <c r="D157" s="13">
        <v>6</v>
      </c>
      <c r="E157" s="13">
        <v>4</v>
      </c>
      <c r="F157" s="13">
        <v>4</v>
      </c>
      <c r="G157" s="13">
        <v>9</v>
      </c>
      <c r="H157" s="13">
        <v>2</v>
      </c>
      <c r="I157" s="13">
        <v>1</v>
      </c>
      <c r="J157" s="13">
        <v>9</v>
      </c>
      <c r="K157" s="13">
        <v>6</v>
      </c>
      <c r="L157" s="13">
        <v>21</v>
      </c>
      <c r="M157" s="13">
        <v>11</v>
      </c>
      <c r="N157" s="13">
        <v>6</v>
      </c>
      <c r="O157" s="13">
        <v>2</v>
      </c>
      <c r="P157" s="13">
        <v>3</v>
      </c>
      <c r="Q157" s="13">
        <v>21</v>
      </c>
      <c r="R157" s="13">
        <v>8</v>
      </c>
      <c r="S157" s="13">
        <v>6</v>
      </c>
      <c r="T157" s="13">
        <v>5</v>
      </c>
      <c r="U157" s="13">
        <v>4</v>
      </c>
      <c r="V157" s="13">
        <v>4</v>
      </c>
      <c r="W157" s="13">
        <v>9</v>
      </c>
      <c r="X157" s="13">
        <v>15</v>
      </c>
      <c r="Y157" s="13">
        <v>4</v>
      </c>
      <c r="Z157" s="13">
        <v>8</v>
      </c>
      <c r="AA157" s="13">
        <v>19</v>
      </c>
      <c r="AB157" s="13">
        <v>8</v>
      </c>
      <c r="AC157" s="13">
        <v>8</v>
      </c>
      <c r="AD157" s="13">
        <v>10</v>
      </c>
      <c r="AE157" s="13">
        <v>13</v>
      </c>
      <c r="AF157" s="14"/>
      <c r="AG157" s="157">
        <f t="shared" si="28"/>
        <v>242</v>
      </c>
      <c r="AH157" s="2"/>
    </row>
    <row r="158" spans="1:34" ht="19.5" thickBot="1" x14ac:dyDescent="0.3">
      <c r="A158" s="121" t="s">
        <v>22</v>
      </c>
      <c r="B158" s="122">
        <f t="shared" ref="B158:AF158" si="29">SUM(B159:B166)</f>
        <v>0</v>
      </c>
      <c r="C158" s="122">
        <f t="shared" si="29"/>
        <v>1</v>
      </c>
      <c r="D158" s="122">
        <f t="shared" si="29"/>
        <v>1</v>
      </c>
      <c r="E158" s="122">
        <f t="shared" si="29"/>
        <v>0</v>
      </c>
      <c r="F158" s="122">
        <f t="shared" si="29"/>
        <v>1</v>
      </c>
      <c r="G158" s="122">
        <f t="shared" si="29"/>
        <v>0</v>
      </c>
      <c r="H158" s="122">
        <f t="shared" si="29"/>
        <v>0</v>
      </c>
      <c r="I158" s="122">
        <f t="shared" si="29"/>
        <v>0</v>
      </c>
      <c r="J158" s="122">
        <f t="shared" si="29"/>
        <v>0</v>
      </c>
      <c r="K158" s="122">
        <f t="shared" si="29"/>
        <v>0</v>
      </c>
      <c r="L158" s="122">
        <f t="shared" si="29"/>
        <v>0</v>
      </c>
      <c r="M158" s="122">
        <f t="shared" si="29"/>
        <v>12</v>
      </c>
      <c r="N158" s="122">
        <f t="shared" si="29"/>
        <v>0</v>
      </c>
      <c r="O158" s="122">
        <f t="shared" si="29"/>
        <v>0</v>
      </c>
      <c r="P158" s="122">
        <f t="shared" si="29"/>
        <v>6</v>
      </c>
      <c r="Q158" s="122">
        <f t="shared" si="29"/>
        <v>2</v>
      </c>
      <c r="R158" s="122">
        <f t="shared" si="29"/>
        <v>0</v>
      </c>
      <c r="S158" s="122">
        <f t="shared" si="29"/>
        <v>1</v>
      </c>
      <c r="T158" s="122">
        <f t="shared" si="29"/>
        <v>0</v>
      </c>
      <c r="U158" s="122">
        <f t="shared" si="29"/>
        <v>0</v>
      </c>
      <c r="V158" s="122">
        <f t="shared" si="29"/>
        <v>0</v>
      </c>
      <c r="W158" s="122">
        <f t="shared" si="29"/>
        <v>0</v>
      </c>
      <c r="X158" s="122">
        <f t="shared" si="29"/>
        <v>0</v>
      </c>
      <c r="Y158" s="122">
        <f t="shared" si="29"/>
        <v>2</v>
      </c>
      <c r="Z158" s="122">
        <f t="shared" si="29"/>
        <v>0</v>
      </c>
      <c r="AA158" s="122">
        <f t="shared" si="29"/>
        <v>0</v>
      </c>
      <c r="AB158" s="122">
        <f t="shared" si="29"/>
        <v>0</v>
      </c>
      <c r="AC158" s="122">
        <f t="shared" si="29"/>
        <v>2</v>
      </c>
      <c r="AD158" s="122">
        <f t="shared" si="29"/>
        <v>0</v>
      </c>
      <c r="AE158" s="122">
        <f t="shared" si="29"/>
        <v>1</v>
      </c>
      <c r="AF158" s="123">
        <f t="shared" si="29"/>
        <v>0</v>
      </c>
      <c r="AG158" s="124">
        <f t="shared" si="28"/>
        <v>29</v>
      </c>
    </row>
    <row r="159" spans="1:34" ht="18.75" x14ac:dyDescent="0.25">
      <c r="A159" s="129" t="s">
        <v>23</v>
      </c>
      <c r="B159" s="130"/>
      <c r="C159" s="130"/>
      <c r="D159" s="130"/>
      <c r="E159" s="130"/>
      <c r="F159" s="130">
        <v>1</v>
      </c>
      <c r="G159" s="130"/>
      <c r="H159" s="130"/>
      <c r="I159" s="130"/>
      <c r="J159" s="130"/>
      <c r="K159" s="130"/>
      <c r="L159" s="130"/>
      <c r="M159" s="130">
        <v>1</v>
      </c>
      <c r="N159" s="130"/>
      <c r="O159" s="130"/>
      <c r="P159" s="130">
        <v>1</v>
      </c>
      <c r="Q159" s="130"/>
      <c r="R159" s="130"/>
      <c r="S159" s="130"/>
      <c r="T159" s="130"/>
      <c r="U159" s="130"/>
      <c r="V159" s="130"/>
      <c r="W159" s="130"/>
      <c r="X159" s="130"/>
      <c r="Y159" s="130">
        <v>1</v>
      </c>
      <c r="Z159" s="130"/>
      <c r="AA159" s="130"/>
      <c r="AB159" s="130"/>
      <c r="AC159" s="130">
        <v>1</v>
      </c>
      <c r="AD159" s="130"/>
      <c r="AE159" s="130"/>
      <c r="AF159" s="131"/>
      <c r="AG159" s="132">
        <f t="shared" si="28"/>
        <v>5</v>
      </c>
    </row>
    <row r="160" spans="1:34" ht="18.75" x14ac:dyDescent="0.25">
      <c r="A160" s="50" t="s">
        <v>24</v>
      </c>
      <c r="B160" s="29"/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29">
        <v>2</v>
      </c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  <c r="AA160" s="29"/>
      <c r="AB160" s="29"/>
      <c r="AC160" s="29"/>
      <c r="AD160" s="29"/>
      <c r="AE160" s="29"/>
      <c r="AF160" s="21"/>
      <c r="AG160" s="4">
        <f t="shared" si="28"/>
        <v>2</v>
      </c>
    </row>
    <row r="161" spans="1:34" ht="18.75" x14ac:dyDescent="0.25">
      <c r="A161" s="50" t="s">
        <v>59</v>
      </c>
      <c r="B161" s="29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>
        <v>4</v>
      </c>
      <c r="N161" s="29"/>
      <c r="O161" s="29"/>
      <c r="P161" s="29">
        <v>5</v>
      </c>
      <c r="Q161" s="29"/>
      <c r="R161" s="29"/>
      <c r="S161" s="29"/>
      <c r="T161" s="29"/>
      <c r="U161" s="29"/>
      <c r="V161" s="29"/>
      <c r="W161" s="29"/>
      <c r="X161" s="29"/>
      <c r="Y161" s="29"/>
      <c r="Z161" s="29"/>
      <c r="AA161" s="29"/>
      <c r="AB161" s="29"/>
      <c r="AC161" s="29">
        <v>1</v>
      </c>
      <c r="AD161" s="29"/>
      <c r="AE161" s="29"/>
      <c r="AF161" s="21"/>
      <c r="AG161" s="4">
        <f t="shared" si="28"/>
        <v>10</v>
      </c>
    </row>
    <row r="162" spans="1:34" ht="18.75" x14ac:dyDescent="0.25">
      <c r="A162" s="50" t="s">
        <v>25</v>
      </c>
      <c r="B162" s="29"/>
      <c r="C162" s="29">
        <v>1</v>
      </c>
      <c r="D162" s="29"/>
      <c r="E162" s="29"/>
      <c r="F162" s="29"/>
      <c r="G162" s="29"/>
      <c r="H162" s="29"/>
      <c r="I162" s="29"/>
      <c r="J162" s="29"/>
      <c r="K162" s="29"/>
      <c r="L162" s="29"/>
      <c r="M162" s="29">
        <v>4</v>
      </c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  <c r="AF162" s="21"/>
      <c r="AG162" s="4">
        <f t="shared" si="28"/>
        <v>5</v>
      </c>
    </row>
    <row r="163" spans="1:34" ht="18.75" x14ac:dyDescent="0.25">
      <c r="A163" s="50" t="s">
        <v>26</v>
      </c>
      <c r="B163" s="29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  <c r="AA163" s="29"/>
      <c r="AB163" s="29"/>
      <c r="AC163" s="29"/>
      <c r="AD163" s="29"/>
      <c r="AE163" s="29"/>
      <c r="AF163" s="21"/>
      <c r="AG163" s="4">
        <f t="shared" si="28"/>
        <v>0</v>
      </c>
    </row>
    <row r="164" spans="1:34" ht="18.75" x14ac:dyDescent="0.25">
      <c r="A164" s="50" t="s">
        <v>27</v>
      </c>
      <c r="B164" s="29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>
        <v>1</v>
      </c>
      <c r="R164" s="29"/>
      <c r="S164" s="29">
        <v>1</v>
      </c>
      <c r="T164" s="29"/>
      <c r="U164" s="29"/>
      <c r="V164" s="29"/>
      <c r="W164" s="29"/>
      <c r="X164" s="29"/>
      <c r="Y164" s="29"/>
      <c r="Z164" s="29"/>
      <c r="AA164" s="29"/>
      <c r="AB164" s="29"/>
      <c r="AC164" s="29"/>
      <c r="AD164" s="29"/>
      <c r="AE164" s="29">
        <v>1</v>
      </c>
      <c r="AF164" s="21"/>
      <c r="AG164" s="4">
        <f t="shared" si="28"/>
        <v>3</v>
      </c>
    </row>
    <row r="165" spans="1:34" ht="18.75" x14ac:dyDescent="0.25">
      <c r="A165" s="50" t="s">
        <v>28</v>
      </c>
      <c r="B165" s="29"/>
      <c r="C165" s="29"/>
      <c r="D165" s="29">
        <v>1</v>
      </c>
      <c r="E165" s="29"/>
      <c r="F165" s="29"/>
      <c r="G165" s="29"/>
      <c r="H165" s="29"/>
      <c r="I165" s="29"/>
      <c r="J165" s="29"/>
      <c r="K165" s="29"/>
      <c r="L165" s="29"/>
      <c r="M165" s="29">
        <v>1</v>
      </c>
      <c r="N165" s="29"/>
      <c r="O165" s="29"/>
      <c r="P165" s="29"/>
      <c r="Q165" s="29">
        <v>1</v>
      </c>
      <c r="R165" s="29"/>
      <c r="S165" s="29"/>
      <c r="T165" s="29"/>
      <c r="U165" s="29"/>
      <c r="V165" s="29"/>
      <c r="W165" s="29"/>
      <c r="X165" s="29"/>
      <c r="Y165" s="29">
        <v>1</v>
      </c>
      <c r="Z165" s="29"/>
      <c r="AA165" s="29"/>
      <c r="AB165" s="29"/>
      <c r="AC165" s="29"/>
      <c r="AD165" s="29"/>
      <c r="AE165" s="29"/>
      <c r="AF165" s="21"/>
      <c r="AG165" s="4">
        <f t="shared" si="28"/>
        <v>4</v>
      </c>
    </row>
    <row r="166" spans="1:34" ht="19.5" thickBot="1" x14ac:dyDescent="0.3">
      <c r="A166" s="71" t="s">
        <v>29</v>
      </c>
      <c r="B166" s="30"/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  <c r="AA166" s="30"/>
      <c r="AB166" s="30"/>
      <c r="AC166" s="30"/>
      <c r="AD166" s="30"/>
      <c r="AE166" s="30"/>
      <c r="AF166" s="22"/>
      <c r="AG166" s="28">
        <f t="shared" si="28"/>
        <v>0</v>
      </c>
    </row>
    <row r="167" spans="1:34" ht="18.75" x14ac:dyDescent="0.25">
      <c r="A167" s="69" t="s">
        <v>71</v>
      </c>
      <c r="B167" s="56">
        <f t="shared" ref="B167:AF167" si="30">SUM(B168:B171)</f>
        <v>0</v>
      </c>
      <c r="C167" s="56">
        <f t="shared" si="30"/>
        <v>0</v>
      </c>
      <c r="D167" s="56">
        <f t="shared" si="30"/>
        <v>0</v>
      </c>
      <c r="E167" s="56">
        <f t="shared" si="30"/>
        <v>0</v>
      </c>
      <c r="F167" s="56">
        <f t="shared" si="30"/>
        <v>0</v>
      </c>
      <c r="G167" s="56">
        <f t="shared" si="30"/>
        <v>1</v>
      </c>
      <c r="H167" s="56">
        <f t="shared" si="30"/>
        <v>1</v>
      </c>
      <c r="I167" s="56">
        <f t="shared" si="30"/>
        <v>0</v>
      </c>
      <c r="J167" s="56">
        <f t="shared" si="30"/>
        <v>0</v>
      </c>
      <c r="K167" s="56">
        <f t="shared" si="30"/>
        <v>1</v>
      </c>
      <c r="L167" s="56">
        <f t="shared" si="30"/>
        <v>0</v>
      </c>
      <c r="M167" s="56">
        <f t="shared" si="30"/>
        <v>0</v>
      </c>
      <c r="N167" s="56">
        <f t="shared" si="30"/>
        <v>0</v>
      </c>
      <c r="O167" s="56">
        <f t="shared" si="30"/>
        <v>1</v>
      </c>
      <c r="P167" s="56">
        <f t="shared" si="30"/>
        <v>0</v>
      </c>
      <c r="Q167" s="56">
        <f t="shared" si="30"/>
        <v>0</v>
      </c>
      <c r="R167" s="56">
        <f t="shared" si="30"/>
        <v>0</v>
      </c>
      <c r="S167" s="56">
        <f t="shared" si="30"/>
        <v>1</v>
      </c>
      <c r="T167" s="56">
        <f t="shared" si="30"/>
        <v>0</v>
      </c>
      <c r="U167" s="56">
        <f t="shared" si="30"/>
        <v>0</v>
      </c>
      <c r="V167" s="56">
        <f t="shared" si="30"/>
        <v>0</v>
      </c>
      <c r="W167" s="56">
        <f t="shared" si="30"/>
        <v>0</v>
      </c>
      <c r="X167" s="56">
        <f t="shared" si="30"/>
        <v>1</v>
      </c>
      <c r="Y167" s="56">
        <f t="shared" si="30"/>
        <v>0</v>
      </c>
      <c r="Z167" s="56">
        <f t="shared" si="30"/>
        <v>0</v>
      </c>
      <c r="AA167" s="56">
        <f t="shared" si="30"/>
        <v>0</v>
      </c>
      <c r="AB167" s="56">
        <f t="shared" si="30"/>
        <v>0</v>
      </c>
      <c r="AC167" s="56">
        <f t="shared" si="30"/>
        <v>1</v>
      </c>
      <c r="AD167" s="56">
        <f t="shared" si="30"/>
        <v>0</v>
      </c>
      <c r="AE167" s="56">
        <f t="shared" si="30"/>
        <v>1</v>
      </c>
      <c r="AF167" s="85">
        <f t="shared" si="30"/>
        <v>0</v>
      </c>
      <c r="AG167" s="95">
        <f t="shared" si="28"/>
        <v>8</v>
      </c>
    </row>
    <row r="168" spans="1:34" ht="18.75" x14ac:dyDescent="0.25">
      <c r="A168" s="51" t="s">
        <v>30</v>
      </c>
      <c r="B168" s="29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>
        <v>1</v>
      </c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  <c r="AA168" s="29"/>
      <c r="AB168" s="29"/>
      <c r="AC168" s="29"/>
      <c r="AD168" s="29"/>
      <c r="AE168" s="29"/>
      <c r="AF168" s="21"/>
      <c r="AG168" s="4">
        <f t="shared" si="28"/>
        <v>1</v>
      </c>
    </row>
    <row r="169" spans="1:34" ht="18.75" x14ac:dyDescent="0.25">
      <c r="A169" s="51" t="s">
        <v>31</v>
      </c>
      <c r="B169" s="29"/>
      <c r="C169" s="29"/>
      <c r="D169" s="29"/>
      <c r="E169" s="29"/>
      <c r="F169" s="29"/>
      <c r="G169" s="29">
        <v>1</v>
      </c>
      <c r="H169" s="29">
        <v>1</v>
      </c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  <c r="AF169" s="21"/>
      <c r="AG169" s="4">
        <f t="shared" si="28"/>
        <v>2</v>
      </c>
    </row>
    <row r="170" spans="1:34" ht="18.75" x14ac:dyDescent="0.25">
      <c r="A170" s="51" t="s">
        <v>32</v>
      </c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1"/>
      <c r="AG170" s="4">
        <f t="shared" si="28"/>
        <v>0</v>
      </c>
    </row>
    <row r="171" spans="1:34" ht="19.5" thickBot="1" x14ac:dyDescent="0.3">
      <c r="A171" s="70" t="s">
        <v>87</v>
      </c>
      <c r="B171" s="30"/>
      <c r="C171" s="30"/>
      <c r="D171" s="30"/>
      <c r="E171" s="30"/>
      <c r="F171" s="30"/>
      <c r="G171" s="30"/>
      <c r="H171" s="30"/>
      <c r="I171" s="30"/>
      <c r="J171" s="30"/>
      <c r="K171" s="30">
        <v>1</v>
      </c>
      <c r="L171" s="30"/>
      <c r="M171" s="30"/>
      <c r="N171" s="30"/>
      <c r="O171" s="30"/>
      <c r="P171" s="30"/>
      <c r="Q171" s="30"/>
      <c r="R171" s="30"/>
      <c r="S171" s="30">
        <v>1</v>
      </c>
      <c r="T171" s="30"/>
      <c r="U171" s="30"/>
      <c r="V171" s="30"/>
      <c r="W171" s="30"/>
      <c r="X171" s="30">
        <v>1</v>
      </c>
      <c r="Y171" s="30"/>
      <c r="Z171" s="30"/>
      <c r="AA171" s="30"/>
      <c r="AB171" s="30"/>
      <c r="AC171" s="30">
        <v>1</v>
      </c>
      <c r="AD171" s="30"/>
      <c r="AE171" s="30">
        <v>1</v>
      </c>
      <c r="AF171" s="22"/>
      <c r="AG171" s="28">
        <f t="shared" si="28"/>
        <v>5</v>
      </c>
    </row>
    <row r="172" spans="1:34" ht="19.5" thickBot="1" x14ac:dyDescent="0.3">
      <c r="A172" s="158" t="s">
        <v>128</v>
      </c>
      <c r="B172" s="151"/>
      <c r="C172" s="151"/>
      <c r="D172" s="151"/>
      <c r="E172" s="151"/>
      <c r="F172" s="151"/>
      <c r="G172" s="151"/>
      <c r="H172" s="151">
        <v>1</v>
      </c>
      <c r="I172" s="151"/>
      <c r="J172" s="151"/>
      <c r="K172" s="151"/>
      <c r="L172" s="151"/>
      <c r="M172" s="151">
        <v>1</v>
      </c>
      <c r="N172" s="151"/>
      <c r="O172" s="151"/>
      <c r="P172" s="151"/>
      <c r="Q172" s="151"/>
      <c r="R172" s="151"/>
      <c r="S172" s="151"/>
      <c r="T172" s="151"/>
      <c r="U172" s="151"/>
      <c r="V172" s="151"/>
      <c r="W172" s="151"/>
      <c r="X172" s="151"/>
      <c r="Y172" s="151"/>
      <c r="Z172" s="151"/>
      <c r="AA172" s="151"/>
      <c r="AB172" s="151"/>
      <c r="AC172" s="151"/>
      <c r="AD172" s="151"/>
      <c r="AE172" s="151"/>
      <c r="AF172" s="152"/>
      <c r="AG172" s="159">
        <f t="shared" si="28"/>
        <v>2</v>
      </c>
    </row>
    <row r="173" spans="1:34" ht="18.75" x14ac:dyDescent="0.25">
      <c r="A173" s="68" t="s">
        <v>2</v>
      </c>
      <c r="B173" s="15">
        <v>0</v>
      </c>
      <c r="C173" s="15">
        <v>0</v>
      </c>
      <c r="D173" s="15">
        <v>1</v>
      </c>
      <c r="E173" s="15">
        <v>0</v>
      </c>
      <c r="F173" s="15">
        <v>0</v>
      </c>
      <c r="G173" s="15">
        <f>1+1</f>
        <v>2</v>
      </c>
      <c r="H173" s="15">
        <v>2</v>
      </c>
      <c r="I173" s="15">
        <v>1</v>
      </c>
      <c r="J173" s="15">
        <f>1+1</f>
        <v>2</v>
      </c>
      <c r="K173" s="15">
        <v>0</v>
      </c>
      <c r="L173" s="15">
        <v>0</v>
      </c>
      <c r="M173" s="15">
        <v>0</v>
      </c>
      <c r="N173" s="15">
        <v>1</v>
      </c>
      <c r="O173" s="15">
        <v>0</v>
      </c>
      <c r="P173" s="15">
        <v>2</v>
      </c>
      <c r="Q173" s="15">
        <v>2</v>
      </c>
      <c r="R173" s="15">
        <v>1</v>
      </c>
      <c r="S173" s="15">
        <v>0</v>
      </c>
      <c r="T173" s="15">
        <v>0</v>
      </c>
      <c r="U173" s="15">
        <v>3</v>
      </c>
      <c r="V173" s="15">
        <v>0</v>
      </c>
      <c r="W173" s="15">
        <v>0</v>
      </c>
      <c r="X173" s="15">
        <f>3+1</f>
        <v>4</v>
      </c>
      <c r="Y173" s="15">
        <v>2</v>
      </c>
      <c r="Z173" s="15">
        <v>1</v>
      </c>
      <c r="AA173" s="15">
        <v>1</v>
      </c>
      <c r="AB173" s="15">
        <v>2</v>
      </c>
      <c r="AC173" s="15">
        <v>2</v>
      </c>
      <c r="AD173" s="15">
        <f>2+1</f>
        <v>3</v>
      </c>
      <c r="AE173" s="15">
        <v>0</v>
      </c>
      <c r="AF173" s="23"/>
      <c r="AG173" s="5">
        <f t="shared" si="28"/>
        <v>32</v>
      </c>
      <c r="AH173" s="2" t="s">
        <v>137</v>
      </c>
    </row>
    <row r="174" spans="1:34" ht="19.5" thickBot="1" x14ac:dyDescent="0.3">
      <c r="A174" s="146" t="s">
        <v>3</v>
      </c>
      <c r="B174" s="16">
        <f>SUM(B175:B176)</f>
        <v>3</v>
      </c>
      <c r="C174" s="16">
        <f t="shared" ref="C174:AF174" si="31">SUM(C175:C176)</f>
        <v>4</v>
      </c>
      <c r="D174" s="16">
        <f t="shared" si="31"/>
        <v>1</v>
      </c>
      <c r="E174" s="16">
        <f t="shared" si="31"/>
        <v>4</v>
      </c>
      <c r="F174" s="16">
        <f t="shared" si="31"/>
        <v>5</v>
      </c>
      <c r="G174" s="16">
        <f t="shared" si="31"/>
        <v>2</v>
      </c>
      <c r="H174" s="16">
        <f t="shared" si="31"/>
        <v>1</v>
      </c>
      <c r="I174" s="16">
        <f t="shared" si="31"/>
        <v>1</v>
      </c>
      <c r="J174" s="16">
        <f t="shared" si="31"/>
        <v>2</v>
      </c>
      <c r="K174" s="16">
        <f t="shared" si="31"/>
        <v>4</v>
      </c>
      <c r="L174" s="16">
        <f t="shared" si="31"/>
        <v>2</v>
      </c>
      <c r="M174" s="16">
        <f t="shared" si="31"/>
        <v>3</v>
      </c>
      <c r="N174" s="16">
        <f t="shared" si="31"/>
        <v>2</v>
      </c>
      <c r="O174" s="16">
        <f t="shared" si="31"/>
        <v>3</v>
      </c>
      <c r="P174" s="16">
        <f t="shared" si="31"/>
        <v>3</v>
      </c>
      <c r="Q174" s="16">
        <f t="shared" si="31"/>
        <v>3</v>
      </c>
      <c r="R174" s="16">
        <f t="shared" si="31"/>
        <v>1</v>
      </c>
      <c r="S174" s="16">
        <f t="shared" si="31"/>
        <v>1</v>
      </c>
      <c r="T174" s="16">
        <f t="shared" si="31"/>
        <v>6</v>
      </c>
      <c r="U174" s="16">
        <f t="shared" si="31"/>
        <v>3</v>
      </c>
      <c r="V174" s="16">
        <f t="shared" si="31"/>
        <v>5</v>
      </c>
      <c r="W174" s="16">
        <f t="shared" si="31"/>
        <v>3</v>
      </c>
      <c r="X174" s="16">
        <f t="shared" si="31"/>
        <v>4</v>
      </c>
      <c r="Y174" s="16">
        <f t="shared" si="31"/>
        <v>2</v>
      </c>
      <c r="Z174" s="16">
        <f t="shared" si="31"/>
        <v>5</v>
      </c>
      <c r="AA174" s="16">
        <f t="shared" si="31"/>
        <v>5</v>
      </c>
      <c r="AB174" s="16">
        <f t="shared" si="31"/>
        <v>2</v>
      </c>
      <c r="AC174" s="16">
        <f t="shared" si="31"/>
        <v>9</v>
      </c>
      <c r="AD174" s="16">
        <f t="shared" si="31"/>
        <v>3</v>
      </c>
      <c r="AE174" s="16">
        <f t="shared" si="31"/>
        <v>2</v>
      </c>
      <c r="AF174" s="24">
        <f t="shared" si="31"/>
        <v>0</v>
      </c>
      <c r="AG174" s="6">
        <f t="shared" si="28"/>
        <v>94</v>
      </c>
      <c r="AH174" s="2" t="s">
        <v>138</v>
      </c>
    </row>
    <row r="175" spans="1:34" ht="18.75" x14ac:dyDescent="0.25">
      <c r="A175" s="133" t="s">
        <v>120</v>
      </c>
      <c r="B175" s="15">
        <v>0</v>
      </c>
      <c r="C175" s="15">
        <v>0</v>
      </c>
      <c r="D175" s="15">
        <v>0</v>
      </c>
      <c r="E175" s="15">
        <v>0</v>
      </c>
      <c r="F175" s="15">
        <v>1</v>
      </c>
      <c r="G175" s="15">
        <v>0</v>
      </c>
      <c r="H175" s="15">
        <v>0</v>
      </c>
      <c r="I175" s="15">
        <v>0</v>
      </c>
      <c r="J175" s="15">
        <v>0</v>
      </c>
      <c r="K175" s="15">
        <v>1</v>
      </c>
      <c r="L175" s="15">
        <v>0</v>
      </c>
      <c r="M175" s="15">
        <v>0</v>
      </c>
      <c r="N175" s="15">
        <v>0</v>
      </c>
      <c r="O175" s="15">
        <v>0</v>
      </c>
      <c r="P175" s="15">
        <v>0</v>
      </c>
      <c r="Q175" s="15">
        <v>0</v>
      </c>
      <c r="R175" s="15">
        <v>0</v>
      </c>
      <c r="S175" s="15">
        <v>0</v>
      </c>
      <c r="T175" s="15">
        <v>0</v>
      </c>
      <c r="U175" s="15">
        <v>0</v>
      </c>
      <c r="V175" s="15">
        <v>0</v>
      </c>
      <c r="W175" s="15">
        <v>0</v>
      </c>
      <c r="X175" s="15">
        <v>1</v>
      </c>
      <c r="Y175" s="15">
        <v>0</v>
      </c>
      <c r="Z175" s="15">
        <v>0</v>
      </c>
      <c r="AA175" s="15">
        <v>0</v>
      </c>
      <c r="AB175" s="15">
        <v>0</v>
      </c>
      <c r="AC175" s="15">
        <v>1</v>
      </c>
      <c r="AD175" s="15">
        <v>0</v>
      </c>
      <c r="AE175" s="15">
        <v>0</v>
      </c>
      <c r="AF175" s="23"/>
      <c r="AG175" s="5">
        <f t="shared" si="28"/>
        <v>4</v>
      </c>
      <c r="AH175" s="2" t="s">
        <v>138</v>
      </c>
    </row>
    <row r="176" spans="1:34" ht="19.5" thickBot="1" x14ac:dyDescent="0.3">
      <c r="A176" s="104" t="s">
        <v>119</v>
      </c>
      <c r="B176" s="101">
        <v>3</v>
      </c>
      <c r="C176" s="101">
        <v>4</v>
      </c>
      <c r="D176" s="101">
        <v>1</v>
      </c>
      <c r="E176" s="101">
        <v>4</v>
      </c>
      <c r="F176" s="101">
        <v>4</v>
      </c>
      <c r="G176" s="101">
        <v>2</v>
      </c>
      <c r="H176" s="101">
        <v>1</v>
      </c>
      <c r="I176" s="101">
        <v>1</v>
      </c>
      <c r="J176" s="101">
        <v>2</v>
      </c>
      <c r="K176" s="101">
        <v>3</v>
      </c>
      <c r="L176" s="101">
        <v>2</v>
      </c>
      <c r="M176" s="101">
        <v>3</v>
      </c>
      <c r="N176" s="101">
        <v>2</v>
      </c>
      <c r="O176" s="101">
        <v>3</v>
      </c>
      <c r="P176" s="101">
        <v>3</v>
      </c>
      <c r="Q176" s="101">
        <v>3</v>
      </c>
      <c r="R176" s="101">
        <v>1</v>
      </c>
      <c r="S176" s="101">
        <v>1</v>
      </c>
      <c r="T176" s="101">
        <v>6</v>
      </c>
      <c r="U176" s="101">
        <v>3</v>
      </c>
      <c r="V176" s="101">
        <v>5</v>
      </c>
      <c r="W176" s="101">
        <v>3</v>
      </c>
      <c r="X176" s="101">
        <v>3</v>
      </c>
      <c r="Y176" s="101">
        <v>2</v>
      </c>
      <c r="Z176" s="101">
        <v>5</v>
      </c>
      <c r="AA176" s="101">
        <v>5</v>
      </c>
      <c r="AB176" s="101">
        <v>2</v>
      </c>
      <c r="AC176" s="101">
        <v>8</v>
      </c>
      <c r="AD176" s="101">
        <v>3</v>
      </c>
      <c r="AE176" s="101">
        <v>2</v>
      </c>
      <c r="AF176" s="102"/>
      <c r="AG176" s="103">
        <f t="shared" si="28"/>
        <v>90</v>
      </c>
      <c r="AH176" s="2" t="s">
        <v>138</v>
      </c>
    </row>
    <row r="177" spans="1:34" ht="18.75" x14ac:dyDescent="0.25">
      <c r="A177" s="64" t="s">
        <v>105</v>
      </c>
      <c r="B177" s="65"/>
      <c r="C177" s="65"/>
      <c r="D177" s="65"/>
      <c r="E177" s="65"/>
      <c r="F177" s="65"/>
      <c r="G177" s="65"/>
      <c r="H177" s="65"/>
      <c r="I177" s="65"/>
      <c r="J177" s="65"/>
      <c r="K177" s="65"/>
      <c r="L177" s="65"/>
      <c r="M177" s="65"/>
      <c r="N177" s="65"/>
      <c r="O177" s="65"/>
      <c r="P177" s="65"/>
      <c r="Q177" s="65"/>
      <c r="R177" s="65"/>
      <c r="S177" s="65"/>
      <c r="T177" s="65"/>
      <c r="U177" s="65"/>
      <c r="V177" s="65"/>
      <c r="W177" s="65"/>
      <c r="X177" s="65"/>
      <c r="Y177" s="65"/>
      <c r="Z177" s="65"/>
      <c r="AA177" s="65"/>
      <c r="AB177" s="65"/>
      <c r="AC177" s="65"/>
      <c r="AD177" s="65"/>
      <c r="AE177" s="65"/>
      <c r="AF177" s="86"/>
      <c r="AG177" s="96">
        <f t="shared" si="28"/>
        <v>0</v>
      </c>
    </row>
    <row r="178" spans="1:34" ht="19.5" thickBot="1" x14ac:dyDescent="0.3">
      <c r="A178" s="66" t="s">
        <v>104</v>
      </c>
      <c r="B178" s="67"/>
      <c r="C178" s="67"/>
      <c r="D178" s="67"/>
      <c r="E178" s="67"/>
      <c r="F178" s="67"/>
      <c r="G178" s="67"/>
      <c r="H178" s="67"/>
      <c r="I178" s="67"/>
      <c r="J178" s="67"/>
      <c r="K178" s="67"/>
      <c r="L178" s="67"/>
      <c r="M178" s="67"/>
      <c r="N178" s="67"/>
      <c r="O178" s="67"/>
      <c r="P178" s="67"/>
      <c r="Q178" s="67"/>
      <c r="R178" s="67"/>
      <c r="S178" s="67"/>
      <c r="T178" s="67"/>
      <c r="U178" s="67"/>
      <c r="V178" s="67"/>
      <c r="W178" s="67"/>
      <c r="X178" s="67"/>
      <c r="Y178" s="67"/>
      <c r="Z178" s="67"/>
      <c r="AA178" s="67"/>
      <c r="AB178" s="67"/>
      <c r="AC178" s="67"/>
      <c r="AD178" s="67"/>
      <c r="AE178" s="67"/>
      <c r="AF178" s="87"/>
      <c r="AG178" s="32">
        <f t="shared" si="28"/>
        <v>0</v>
      </c>
    </row>
    <row r="179" spans="1:34" ht="19.5" thickBot="1" x14ac:dyDescent="0.3">
      <c r="A179" s="219" t="s">
        <v>149</v>
      </c>
      <c r="B179" s="220">
        <f t="shared" ref="B179:AF179" si="32">SUM(B180:B205)</f>
        <v>32</v>
      </c>
      <c r="C179" s="220">
        <f t="shared" si="32"/>
        <v>33</v>
      </c>
      <c r="D179" s="220">
        <f t="shared" si="32"/>
        <v>26</v>
      </c>
      <c r="E179" s="220">
        <f t="shared" si="32"/>
        <v>41</v>
      </c>
      <c r="F179" s="220">
        <f t="shared" si="32"/>
        <v>44</v>
      </c>
      <c r="G179" s="220">
        <f t="shared" si="32"/>
        <v>35</v>
      </c>
      <c r="H179" s="220">
        <f t="shared" si="32"/>
        <v>41</v>
      </c>
      <c r="I179" s="220">
        <f t="shared" si="32"/>
        <v>26</v>
      </c>
      <c r="J179" s="220">
        <f t="shared" si="32"/>
        <v>45</v>
      </c>
      <c r="K179" s="220">
        <f t="shared" si="32"/>
        <v>40</v>
      </c>
      <c r="L179" s="220">
        <f t="shared" si="32"/>
        <v>43</v>
      </c>
      <c r="M179" s="220">
        <f t="shared" si="32"/>
        <v>58</v>
      </c>
      <c r="N179" s="220">
        <f t="shared" si="32"/>
        <v>41</v>
      </c>
      <c r="O179" s="220">
        <f t="shared" si="32"/>
        <v>36</v>
      </c>
      <c r="P179" s="220">
        <f t="shared" si="32"/>
        <v>46</v>
      </c>
      <c r="Q179" s="220">
        <f t="shared" si="32"/>
        <v>53</v>
      </c>
      <c r="R179" s="220">
        <f t="shared" si="32"/>
        <v>54</v>
      </c>
      <c r="S179" s="220">
        <f t="shared" si="32"/>
        <v>49</v>
      </c>
      <c r="T179" s="220">
        <f t="shared" si="32"/>
        <v>37</v>
      </c>
      <c r="U179" s="220">
        <f t="shared" si="32"/>
        <v>55</v>
      </c>
      <c r="V179" s="220">
        <f t="shared" si="32"/>
        <v>24</v>
      </c>
      <c r="W179" s="220">
        <f t="shared" si="32"/>
        <v>39</v>
      </c>
      <c r="X179" s="220">
        <f t="shared" si="32"/>
        <v>69</v>
      </c>
      <c r="Y179" s="220">
        <f t="shared" si="32"/>
        <v>56</v>
      </c>
      <c r="Z179" s="220">
        <f t="shared" si="32"/>
        <v>44</v>
      </c>
      <c r="AA179" s="220">
        <f t="shared" si="32"/>
        <v>63</v>
      </c>
      <c r="AB179" s="220">
        <f t="shared" si="32"/>
        <v>57</v>
      </c>
      <c r="AC179" s="220">
        <f t="shared" si="32"/>
        <v>44</v>
      </c>
      <c r="AD179" s="220">
        <f t="shared" si="32"/>
        <v>50</v>
      </c>
      <c r="AE179" s="220">
        <f t="shared" si="32"/>
        <v>75</v>
      </c>
      <c r="AF179" s="221">
        <f t="shared" si="32"/>
        <v>0</v>
      </c>
      <c r="AG179" s="156">
        <f t="shared" si="28"/>
        <v>1356</v>
      </c>
      <c r="AH179" s="38"/>
    </row>
    <row r="180" spans="1:34" ht="18.75" x14ac:dyDescent="0.25">
      <c r="A180" s="109" t="s">
        <v>4</v>
      </c>
      <c r="B180" s="216">
        <v>6</v>
      </c>
      <c r="C180" s="216">
        <v>6</v>
      </c>
      <c r="D180" s="216">
        <v>6</v>
      </c>
      <c r="E180" s="216">
        <v>3</v>
      </c>
      <c r="F180" s="216">
        <v>6</v>
      </c>
      <c r="G180" s="216">
        <v>5</v>
      </c>
      <c r="H180" s="216">
        <v>5</v>
      </c>
      <c r="I180" s="216">
        <v>4</v>
      </c>
      <c r="J180" s="216">
        <v>4</v>
      </c>
      <c r="K180" s="216">
        <v>3</v>
      </c>
      <c r="L180" s="216">
        <v>1</v>
      </c>
      <c r="M180" s="216">
        <v>7</v>
      </c>
      <c r="N180" s="217">
        <v>1</v>
      </c>
      <c r="O180" s="217">
        <v>4</v>
      </c>
      <c r="P180" s="217">
        <v>4</v>
      </c>
      <c r="Q180" s="217">
        <v>7</v>
      </c>
      <c r="R180" s="217">
        <v>2</v>
      </c>
      <c r="S180" s="217">
        <v>3</v>
      </c>
      <c r="T180" s="217">
        <v>3</v>
      </c>
      <c r="U180" s="217">
        <v>6</v>
      </c>
      <c r="V180" s="217">
        <v>1</v>
      </c>
      <c r="W180" s="217">
        <v>8</v>
      </c>
      <c r="X180" s="217">
        <v>3</v>
      </c>
      <c r="Y180" s="217">
        <v>1</v>
      </c>
      <c r="Z180" s="217">
        <v>7</v>
      </c>
      <c r="AA180" s="217">
        <v>5</v>
      </c>
      <c r="AB180" s="217">
        <v>7</v>
      </c>
      <c r="AC180" s="217">
        <v>6</v>
      </c>
      <c r="AD180" s="217">
        <v>2</v>
      </c>
      <c r="AE180" s="217">
        <v>7</v>
      </c>
      <c r="AF180" s="218"/>
      <c r="AG180" s="31">
        <f t="shared" si="28"/>
        <v>133</v>
      </c>
    </row>
    <row r="181" spans="1:34" ht="18.75" x14ac:dyDescent="0.25">
      <c r="A181" s="109" t="s">
        <v>122</v>
      </c>
      <c r="B181" s="147"/>
      <c r="C181" s="147"/>
      <c r="D181" s="147"/>
      <c r="E181" s="147">
        <v>1</v>
      </c>
      <c r="F181" s="147"/>
      <c r="G181" s="147"/>
      <c r="H181" s="147"/>
      <c r="I181" s="147"/>
      <c r="J181" s="147"/>
      <c r="K181" s="147"/>
      <c r="L181" s="147"/>
      <c r="M181" s="147"/>
      <c r="N181" s="17"/>
      <c r="O181" s="17"/>
      <c r="P181" s="17"/>
      <c r="Q181" s="17"/>
      <c r="R181" s="17"/>
      <c r="S181" s="17"/>
      <c r="T181" s="17">
        <v>1</v>
      </c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  <c r="AE181" s="17"/>
      <c r="AF181" s="18"/>
      <c r="AG181" s="4">
        <f t="shared" si="28"/>
        <v>2</v>
      </c>
    </row>
    <row r="182" spans="1:34" ht="18.75" x14ac:dyDescent="0.25">
      <c r="A182" s="109" t="s">
        <v>123</v>
      </c>
      <c r="B182" s="147"/>
      <c r="C182" s="147"/>
      <c r="D182" s="147"/>
      <c r="E182" s="147"/>
      <c r="F182" s="147"/>
      <c r="G182" s="147"/>
      <c r="H182" s="147"/>
      <c r="I182" s="147"/>
      <c r="J182" s="147"/>
      <c r="K182" s="147"/>
      <c r="L182" s="147"/>
      <c r="M182" s="14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  <c r="AD182" s="17">
        <v>1</v>
      </c>
      <c r="AE182" s="17"/>
      <c r="AF182" s="18"/>
      <c r="AG182" s="4">
        <f t="shared" si="28"/>
        <v>1</v>
      </c>
    </row>
    <row r="183" spans="1:34" ht="18.75" x14ac:dyDescent="0.25">
      <c r="A183" s="109" t="s">
        <v>614</v>
      </c>
      <c r="B183" s="147"/>
      <c r="C183" s="147"/>
      <c r="D183" s="147"/>
      <c r="E183" s="147"/>
      <c r="F183" s="147"/>
      <c r="G183" s="147"/>
      <c r="H183" s="147"/>
      <c r="I183" s="147"/>
      <c r="J183" s="147"/>
      <c r="K183" s="147"/>
      <c r="L183" s="147"/>
      <c r="M183" s="14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  <c r="AE183" s="17"/>
      <c r="AF183" s="18"/>
      <c r="AG183" s="4">
        <f t="shared" si="28"/>
        <v>0</v>
      </c>
    </row>
    <row r="184" spans="1:34" ht="18.75" x14ac:dyDescent="0.25">
      <c r="A184" s="393" t="s">
        <v>621</v>
      </c>
      <c r="B184" s="394">
        <v>24</v>
      </c>
      <c r="C184" s="394">
        <v>25</v>
      </c>
      <c r="D184" s="394">
        <v>20</v>
      </c>
      <c r="E184" s="394">
        <v>35</v>
      </c>
      <c r="F184" s="394">
        <v>35</v>
      </c>
      <c r="G184" s="394">
        <v>30</v>
      </c>
      <c r="H184" s="394">
        <v>30</v>
      </c>
      <c r="I184" s="394">
        <v>21</v>
      </c>
      <c r="J184" s="394">
        <v>41</v>
      </c>
      <c r="K184" s="394">
        <v>34</v>
      </c>
      <c r="L184" s="394">
        <v>41</v>
      </c>
      <c r="M184" s="394">
        <v>40</v>
      </c>
      <c r="N184" s="395">
        <v>38</v>
      </c>
      <c r="O184" s="395">
        <v>29</v>
      </c>
      <c r="P184" s="395">
        <v>40</v>
      </c>
      <c r="Q184" s="395">
        <v>46</v>
      </c>
      <c r="R184" s="395">
        <v>51</v>
      </c>
      <c r="S184" s="395">
        <v>44</v>
      </c>
      <c r="T184" s="395">
        <v>30</v>
      </c>
      <c r="U184" s="395">
        <v>46</v>
      </c>
      <c r="V184" s="395">
        <v>22</v>
      </c>
      <c r="W184" s="395">
        <v>30</v>
      </c>
      <c r="X184" s="395">
        <v>61</v>
      </c>
      <c r="Y184" s="395">
        <v>55</v>
      </c>
      <c r="Z184" s="395">
        <v>37</v>
      </c>
      <c r="AA184" s="395">
        <v>58</v>
      </c>
      <c r="AB184" s="395">
        <v>50</v>
      </c>
      <c r="AC184" s="395">
        <v>38</v>
      </c>
      <c r="AD184" s="395">
        <v>47</v>
      </c>
      <c r="AE184" s="395">
        <v>66</v>
      </c>
      <c r="AF184" s="396"/>
      <c r="AG184" s="397">
        <f t="shared" si="28"/>
        <v>1164</v>
      </c>
    </row>
    <row r="185" spans="1:34" ht="18.75" x14ac:dyDescent="0.25">
      <c r="A185" s="109" t="s">
        <v>165</v>
      </c>
      <c r="B185" s="147"/>
      <c r="C185" s="147"/>
      <c r="D185" s="147"/>
      <c r="E185" s="147"/>
      <c r="F185" s="147"/>
      <c r="G185" s="147"/>
      <c r="H185" s="147"/>
      <c r="I185" s="147"/>
      <c r="J185" s="147"/>
      <c r="K185" s="147"/>
      <c r="L185" s="147"/>
      <c r="M185" s="14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  <c r="AF185" s="18"/>
      <c r="AG185" s="4">
        <f t="shared" si="28"/>
        <v>0</v>
      </c>
    </row>
    <row r="186" spans="1:34" ht="18.75" x14ac:dyDescent="0.25">
      <c r="A186" s="109" t="s">
        <v>141</v>
      </c>
      <c r="B186" s="147"/>
      <c r="C186" s="147"/>
      <c r="D186" s="147"/>
      <c r="E186" s="147"/>
      <c r="F186" s="147"/>
      <c r="G186" s="147"/>
      <c r="H186" s="147"/>
      <c r="I186" s="147"/>
      <c r="J186" s="147"/>
      <c r="K186" s="147"/>
      <c r="L186" s="147"/>
      <c r="M186" s="14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  <c r="AF186" s="18"/>
      <c r="AG186" s="4">
        <f t="shared" si="28"/>
        <v>0</v>
      </c>
    </row>
    <row r="187" spans="1:34" ht="18.75" x14ac:dyDescent="0.25">
      <c r="A187" s="109" t="s">
        <v>613</v>
      </c>
      <c r="B187" s="147"/>
      <c r="C187" s="147"/>
      <c r="D187" s="147"/>
      <c r="E187" s="147"/>
      <c r="F187" s="147"/>
      <c r="G187" s="147"/>
      <c r="H187" s="147"/>
      <c r="I187" s="147"/>
      <c r="J187" s="147"/>
      <c r="K187" s="147"/>
      <c r="L187" s="147"/>
      <c r="M187" s="14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  <c r="AF187" s="18"/>
      <c r="AG187" s="4">
        <f t="shared" si="28"/>
        <v>0</v>
      </c>
    </row>
    <row r="188" spans="1:34" ht="18.75" x14ac:dyDescent="0.25">
      <c r="A188" s="109" t="s">
        <v>139</v>
      </c>
      <c r="B188" s="147"/>
      <c r="C188" s="147"/>
      <c r="D188" s="147"/>
      <c r="E188" s="147"/>
      <c r="F188" s="147">
        <v>1</v>
      </c>
      <c r="G188" s="147"/>
      <c r="H188" s="147">
        <v>1</v>
      </c>
      <c r="I188" s="147"/>
      <c r="J188" s="147"/>
      <c r="K188" s="147"/>
      <c r="L188" s="147"/>
      <c r="M188" s="147"/>
      <c r="N188" s="17"/>
      <c r="O188" s="17"/>
      <c r="P188" s="17"/>
      <c r="Q188" s="17"/>
      <c r="R188" s="17"/>
      <c r="S188" s="17"/>
      <c r="T188" s="17">
        <v>2</v>
      </c>
      <c r="U188" s="17">
        <v>2</v>
      </c>
      <c r="V188" s="17"/>
      <c r="W188" s="17"/>
      <c r="X188" s="17"/>
      <c r="Y188" s="17"/>
      <c r="Z188" s="17"/>
      <c r="AA188" s="17"/>
      <c r="AB188" s="17"/>
      <c r="AC188" s="17"/>
      <c r="AD188" s="17"/>
      <c r="AE188" s="17">
        <v>1</v>
      </c>
      <c r="AF188" s="18"/>
      <c r="AG188" s="4">
        <f t="shared" si="28"/>
        <v>7</v>
      </c>
    </row>
    <row r="189" spans="1:34" ht="18.75" x14ac:dyDescent="0.25">
      <c r="A189" s="110" t="s">
        <v>63</v>
      </c>
      <c r="B189" s="147"/>
      <c r="C189" s="147"/>
      <c r="D189" s="147"/>
      <c r="E189" s="147"/>
      <c r="F189" s="147"/>
      <c r="G189" s="147"/>
      <c r="H189" s="147"/>
      <c r="I189" s="147"/>
      <c r="J189" s="147"/>
      <c r="K189" s="147"/>
      <c r="L189" s="147"/>
      <c r="M189" s="14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  <c r="AE189" s="17"/>
      <c r="AF189" s="18"/>
      <c r="AG189" s="4">
        <f t="shared" si="28"/>
        <v>0</v>
      </c>
    </row>
    <row r="190" spans="1:34" ht="18.75" x14ac:dyDescent="0.25">
      <c r="A190" s="110" t="s">
        <v>142</v>
      </c>
      <c r="B190" s="147"/>
      <c r="C190" s="147"/>
      <c r="D190" s="147"/>
      <c r="E190" s="147"/>
      <c r="F190" s="147"/>
      <c r="G190" s="147"/>
      <c r="H190" s="147"/>
      <c r="I190" s="147"/>
      <c r="J190" s="147"/>
      <c r="K190" s="147"/>
      <c r="L190" s="147"/>
      <c r="M190" s="14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  <c r="AE190" s="17"/>
      <c r="AF190" s="18"/>
      <c r="AG190" s="4">
        <f t="shared" si="28"/>
        <v>0</v>
      </c>
    </row>
    <row r="191" spans="1:34" ht="18.75" x14ac:dyDescent="0.25">
      <c r="A191" s="110" t="s">
        <v>168</v>
      </c>
      <c r="B191" s="147"/>
      <c r="C191" s="147"/>
      <c r="D191" s="147"/>
      <c r="E191" s="147"/>
      <c r="F191" s="147"/>
      <c r="G191" s="147"/>
      <c r="H191" s="147"/>
      <c r="I191" s="147"/>
      <c r="J191" s="147"/>
      <c r="K191" s="147"/>
      <c r="L191" s="147"/>
      <c r="M191" s="14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  <c r="AE191" s="17"/>
      <c r="AF191" s="18"/>
      <c r="AG191" s="4">
        <f t="shared" si="28"/>
        <v>0</v>
      </c>
    </row>
    <row r="192" spans="1:34" ht="18.75" x14ac:dyDescent="0.25">
      <c r="A192" s="110" t="s">
        <v>169</v>
      </c>
      <c r="B192" s="147"/>
      <c r="C192" s="147"/>
      <c r="D192" s="147"/>
      <c r="E192" s="147"/>
      <c r="F192" s="147"/>
      <c r="G192" s="147"/>
      <c r="H192" s="147"/>
      <c r="I192" s="147"/>
      <c r="J192" s="147"/>
      <c r="K192" s="147"/>
      <c r="L192" s="147"/>
      <c r="M192" s="14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  <c r="AE192" s="17"/>
      <c r="AF192" s="18"/>
      <c r="AG192" s="4">
        <f t="shared" si="28"/>
        <v>0</v>
      </c>
    </row>
    <row r="193" spans="1:34" ht="18.75" x14ac:dyDescent="0.25">
      <c r="A193" s="236" t="s">
        <v>5</v>
      </c>
      <c r="B193" s="237">
        <v>2</v>
      </c>
      <c r="C193" s="237">
        <v>1</v>
      </c>
      <c r="D193" s="237"/>
      <c r="E193" s="237">
        <v>2</v>
      </c>
      <c r="F193" s="237">
        <v>2</v>
      </c>
      <c r="G193" s="237"/>
      <c r="H193" s="237">
        <v>1</v>
      </c>
      <c r="I193" s="237"/>
      <c r="J193" s="237"/>
      <c r="K193" s="237">
        <v>3</v>
      </c>
      <c r="L193" s="237">
        <v>1</v>
      </c>
      <c r="M193" s="237">
        <v>7</v>
      </c>
      <c r="N193" s="238"/>
      <c r="O193" s="238">
        <v>2</v>
      </c>
      <c r="P193" s="238"/>
      <c r="Q193" s="238"/>
      <c r="R193" s="238">
        <v>1</v>
      </c>
      <c r="S193" s="238">
        <v>2</v>
      </c>
      <c r="T193" s="238">
        <v>1</v>
      </c>
      <c r="U193" s="238"/>
      <c r="V193" s="238"/>
      <c r="W193" s="238"/>
      <c r="X193" s="238">
        <v>4</v>
      </c>
      <c r="Y193" s="238"/>
      <c r="Z193" s="238"/>
      <c r="AA193" s="238"/>
      <c r="AB193" s="238"/>
      <c r="AC193" s="238"/>
      <c r="AD193" s="238"/>
      <c r="AE193" s="238"/>
      <c r="AF193" s="239"/>
      <c r="AG193" s="240">
        <f t="shared" si="28"/>
        <v>29</v>
      </c>
    </row>
    <row r="194" spans="1:34" ht="18.75" x14ac:dyDescent="0.25">
      <c r="A194" s="111" t="s">
        <v>174</v>
      </c>
      <c r="B194" s="147"/>
      <c r="C194" s="147"/>
      <c r="D194" s="147"/>
      <c r="E194" s="147"/>
      <c r="F194" s="147"/>
      <c r="G194" s="147"/>
      <c r="H194" s="147"/>
      <c r="I194" s="147"/>
      <c r="J194" s="147"/>
      <c r="K194" s="147"/>
      <c r="L194" s="147"/>
      <c r="M194" s="14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  <c r="AE194" s="17"/>
      <c r="AF194" s="18"/>
      <c r="AG194" s="4">
        <f t="shared" si="28"/>
        <v>0</v>
      </c>
    </row>
    <row r="195" spans="1:34" ht="18.75" x14ac:dyDescent="0.25">
      <c r="A195" s="111" t="s">
        <v>171</v>
      </c>
      <c r="B195" s="147"/>
      <c r="C195" s="147"/>
      <c r="D195" s="147"/>
      <c r="E195" s="147"/>
      <c r="F195" s="147"/>
      <c r="G195" s="147"/>
      <c r="H195" s="147"/>
      <c r="I195" s="147"/>
      <c r="J195" s="147"/>
      <c r="K195" s="147"/>
      <c r="L195" s="147"/>
      <c r="M195" s="147"/>
      <c r="N195" s="17"/>
      <c r="O195" s="17"/>
      <c r="P195" s="17">
        <v>1</v>
      </c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  <c r="AE195" s="17"/>
      <c r="AF195" s="18"/>
      <c r="AG195" s="4">
        <f t="shared" si="28"/>
        <v>1</v>
      </c>
    </row>
    <row r="196" spans="1:34" ht="18.75" x14ac:dyDescent="0.25">
      <c r="A196" s="111" t="s">
        <v>173</v>
      </c>
      <c r="B196" s="147"/>
      <c r="C196" s="147"/>
      <c r="D196" s="147"/>
      <c r="E196" s="147"/>
      <c r="F196" s="147"/>
      <c r="G196" s="147"/>
      <c r="H196" s="147"/>
      <c r="I196" s="147"/>
      <c r="J196" s="147"/>
      <c r="K196" s="147"/>
      <c r="L196" s="147"/>
      <c r="M196" s="14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  <c r="AE196" s="17"/>
      <c r="AF196" s="18"/>
      <c r="AG196" s="4">
        <f t="shared" si="28"/>
        <v>0</v>
      </c>
    </row>
    <row r="197" spans="1:34" ht="18.75" x14ac:dyDescent="0.25">
      <c r="A197" s="111" t="s">
        <v>88</v>
      </c>
      <c r="B197" s="147"/>
      <c r="C197" s="147"/>
      <c r="D197" s="147"/>
      <c r="E197" s="147"/>
      <c r="F197" s="147"/>
      <c r="G197" s="147"/>
      <c r="H197" s="147"/>
      <c r="I197" s="147"/>
      <c r="J197" s="147"/>
      <c r="K197" s="147"/>
      <c r="L197" s="147"/>
      <c r="M197" s="14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  <c r="AE197" s="17"/>
      <c r="AF197" s="18"/>
      <c r="AG197" s="4">
        <f t="shared" si="28"/>
        <v>0</v>
      </c>
    </row>
    <row r="198" spans="1:34" ht="18.75" x14ac:dyDescent="0.25">
      <c r="A198" s="111" t="s">
        <v>617</v>
      </c>
      <c r="B198" s="147"/>
      <c r="C198" s="147"/>
      <c r="D198" s="147"/>
      <c r="E198" s="147"/>
      <c r="F198" s="147"/>
      <c r="G198" s="147"/>
      <c r="H198" s="147"/>
      <c r="I198" s="147"/>
      <c r="J198" s="147"/>
      <c r="K198" s="147"/>
      <c r="L198" s="147"/>
      <c r="M198" s="147">
        <v>1</v>
      </c>
      <c r="N198" s="17"/>
      <c r="O198" s="17"/>
      <c r="P198" s="17"/>
      <c r="Q198" s="17"/>
      <c r="R198" s="17"/>
      <c r="S198" s="17"/>
      <c r="T198" s="17"/>
      <c r="U198" s="17"/>
      <c r="V198" s="17"/>
      <c r="W198" s="17">
        <v>1</v>
      </c>
      <c r="X198" s="17"/>
      <c r="Y198" s="17"/>
      <c r="Z198" s="17"/>
      <c r="AA198" s="17"/>
      <c r="AB198" s="17"/>
      <c r="AC198" s="17"/>
      <c r="AD198" s="17"/>
      <c r="AE198" s="17"/>
      <c r="AF198" s="18"/>
      <c r="AG198" s="4">
        <f t="shared" si="28"/>
        <v>2</v>
      </c>
    </row>
    <row r="199" spans="1:34" ht="18.75" x14ac:dyDescent="0.25">
      <c r="A199" s="111" t="s">
        <v>143</v>
      </c>
      <c r="B199" s="147"/>
      <c r="C199" s="147"/>
      <c r="D199" s="147"/>
      <c r="E199" s="147"/>
      <c r="F199" s="147"/>
      <c r="G199" s="147"/>
      <c r="H199" s="147"/>
      <c r="I199" s="147"/>
      <c r="J199" s="147"/>
      <c r="K199" s="147"/>
      <c r="L199" s="147"/>
      <c r="M199" s="14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  <c r="AE199" s="17"/>
      <c r="AF199" s="18"/>
      <c r="AG199" s="4">
        <f t="shared" si="28"/>
        <v>0</v>
      </c>
    </row>
    <row r="200" spans="1:34" ht="18.75" x14ac:dyDescent="0.25">
      <c r="A200" s="110" t="s">
        <v>124</v>
      </c>
      <c r="B200" s="147"/>
      <c r="C200" s="147"/>
      <c r="D200" s="147"/>
      <c r="E200" s="147"/>
      <c r="F200" s="147"/>
      <c r="G200" s="147"/>
      <c r="H200" s="147"/>
      <c r="I200" s="147"/>
      <c r="J200" s="147"/>
      <c r="K200" s="147"/>
      <c r="L200" s="147"/>
      <c r="M200" s="147">
        <v>1</v>
      </c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  <c r="AE200" s="17"/>
      <c r="AF200" s="18"/>
      <c r="AG200" s="4">
        <f t="shared" si="28"/>
        <v>1</v>
      </c>
    </row>
    <row r="201" spans="1:34" ht="18.75" x14ac:dyDescent="0.25">
      <c r="A201" s="110" t="s">
        <v>167</v>
      </c>
      <c r="B201" s="147"/>
      <c r="C201" s="147"/>
      <c r="D201" s="147"/>
      <c r="E201" s="147"/>
      <c r="F201" s="147"/>
      <c r="G201" s="147"/>
      <c r="H201" s="147"/>
      <c r="I201" s="147"/>
      <c r="J201" s="147"/>
      <c r="K201" s="147"/>
      <c r="L201" s="147"/>
      <c r="M201" s="14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  <c r="AD201" s="17"/>
      <c r="AE201" s="17"/>
      <c r="AF201" s="18"/>
      <c r="AG201" s="4">
        <f t="shared" si="28"/>
        <v>0</v>
      </c>
    </row>
    <row r="202" spans="1:34" ht="18.75" x14ac:dyDescent="0.25">
      <c r="A202" s="110" t="s">
        <v>125</v>
      </c>
      <c r="B202" s="147"/>
      <c r="C202" s="147"/>
      <c r="D202" s="147"/>
      <c r="E202" s="147"/>
      <c r="F202" s="147"/>
      <c r="G202" s="147"/>
      <c r="H202" s="147"/>
      <c r="I202" s="147"/>
      <c r="J202" s="147"/>
      <c r="K202" s="147"/>
      <c r="L202" s="147"/>
      <c r="M202" s="147"/>
      <c r="N202" s="17">
        <v>1</v>
      </c>
      <c r="O202" s="17">
        <v>1</v>
      </c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  <c r="AC202" s="17"/>
      <c r="AD202" s="17"/>
      <c r="AE202" s="17"/>
      <c r="AF202" s="18"/>
      <c r="AG202" s="4">
        <f t="shared" si="28"/>
        <v>2</v>
      </c>
    </row>
    <row r="203" spans="1:34" ht="18.75" x14ac:dyDescent="0.25">
      <c r="A203" s="110" t="s">
        <v>126</v>
      </c>
      <c r="B203" s="202"/>
      <c r="C203" s="202">
        <v>1</v>
      </c>
      <c r="D203" s="202"/>
      <c r="E203" s="202"/>
      <c r="F203" s="202"/>
      <c r="G203" s="202"/>
      <c r="H203" s="202">
        <v>2</v>
      </c>
      <c r="I203" s="202"/>
      <c r="J203" s="202"/>
      <c r="K203" s="202"/>
      <c r="L203" s="202"/>
      <c r="M203" s="202">
        <v>1</v>
      </c>
      <c r="N203" s="203">
        <v>1</v>
      </c>
      <c r="O203" s="203"/>
      <c r="P203" s="203"/>
      <c r="Q203" s="203"/>
      <c r="R203" s="203"/>
      <c r="S203" s="203"/>
      <c r="T203" s="203"/>
      <c r="U203" s="203">
        <v>1</v>
      </c>
      <c r="V203" s="203"/>
      <c r="W203" s="203"/>
      <c r="X203" s="203">
        <v>1</v>
      </c>
      <c r="Y203" s="203"/>
      <c r="Z203" s="203"/>
      <c r="AA203" s="203"/>
      <c r="AB203" s="203"/>
      <c r="AC203" s="203"/>
      <c r="AD203" s="203"/>
      <c r="AE203" s="203"/>
      <c r="AF203" s="204"/>
      <c r="AG203" s="4">
        <f t="shared" si="28"/>
        <v>7</v>
      </c>
    </row>
    <row r="204" spans="1:34" ht="18.75" x14ac:dyDescent="0.25">
      <c r="A204" s="112" t="s">
        <v>170</v>
      </c>
      <c r="B204" s="202"/>
      <c r="C204" s="202"/>
      <c r="D204" s="202"/>
      <c r="E204" s="202"/>
      <c r="F204" s="202"/>
      <c r="G204" s="202"/>
      <c r="H204" s="202">
        <v>1</v>
      </c>
      <c r="I204" s="202">
        <v>1</v>
      </c>
      <c r="J204" s="202"/>
      <c r="K204" s="202"/>
      <c r="L204" s="202"/>
      <c r="M204" s="202">
        <v>1</v>
      </c>
      <c r="N204" s="203"/>
      <c r="O204" s="203"/>
      <c r="P204" s="203">
        <v>1</v>
      </c>
      <c r="Q204" s="203"/>
      <c r="R204" s="203"/>
      <c r="S204" s="203"/>
      <c r="T204" s="203"/>
      <c r="U204" s="203"/>
      <c r="V204" s="203">
        <v>1</v>
      </c>
      <c r="W204" s="203"/>
      <c r="X204" s="203"/>
      <c r="Y204" s="203"/>
      <c r="Z204" s="203"/>
      <c r="AA204" s="203"/>
      <c r="AB204" s="203"/>
      <c r="AC204" s="203"/>
      <c r="AD204" s="203"/>
      <c r="AE204" s="203">
        <v>1</v>
      </c>
      <c r="AF204" s="204"/>
      <c r="AG204" s="4">
        <f t="shared" si="28"/>
        <v>6</v>
      </c>
    </row>
    <row r="205" spans="1:34" ht="19.5" thickBot="1" x14ac:dyDescent="0.3">
      <c r="A205" s="231" t="s">
        <v>166</v>
      </c>
      <c r="B205" s="202"/>
      <c r="C205" s="202"/>
      <c r="D205" s="202"/>
      <c r="E205" s="202"/>
      <c r="F205" s="202"/>
      <c r="G205" s="202"/>
      <c r="H205" s="202">
        <v>1</v>
      </c>
      <c r="I205" s="202"/>
      <c r="J205" s="202"/>
      <c r="K205" s="202"/>
      <c r="L205" s="202"/>
      <c r="M205" s="202"/>
      <c r="N205" s="203"/>
      <c r="O205" s="203"/>
      <c r="P205" s="203"/>
      <c r="Q205" s="203"/>
      <c r="R205" s="203"/>
      <c r="S205" s="203"/>
      <c r="T205" s="203"/>
      <c r="U205" s="203"/>
      <c r="V205" s="203"/>
      <c r="W205" s="203"/>
      <c r="X205" s="203"/>
      <c r="Y205" s="203"/>
      <c r="Z205" s="203"/>
      <c r="AA205" s="203"/>
      <c r="AB205" s="203"/>
      <c r="AC205" s="203"/>
      <c r="AD205" s="203"/>
      <c r="AE205" s="203"/>
      <c r="AF205" s="204"/>
      <c r="AG205" s="28">
        <f t="shared" si="28"/>
        <v>1</v>
      </c>
    </row>
    <row r="206" spans="1:34" ht="19.5" thickBot="1" x14ac:dyDescent="0.3">
      <c r="A206" s="215" t="s">
        <v>83</v>
      </c>
      <c r="B206" s="209">
        <f>SUM(B207:B211)</f>
        <v>109</v>
      </c>
      <c r="C206" s="210">
        <f t="shared" ref="C206:AF206" si="33">SUM(C207:C211)</f>
        <v>123</v>
      </c>
      <c r="D206" s="210">
        <f t="shared" si="33"/>
        <v>112</v>
      </c>
      <c r="E206" s="210">
        <f t="shared" si="33"/>
        <v>124</v>
      </c>
      <c r="F206" s="210">
        <f t="shared" si="33"/>
        <v>131</v>
      </c>
      <c r="G206" s="210">
        <f t="shared" si="33"/>
        <v>117</v>
      </c>
      <c r="H206" s="210">
        <f t="shared" si="33"/>
        <v>126</v>
      </c>
      <c r="I206" s="210">
        <f t="shared" si="33"/>
        <v>108</v>
      </c>
      <c r="J206" s="210">
        <f t="shared" si="33"/>
        <v>147</v>
      </c>
      <c r="K206" s="210">
        <f t="shared" si="33"/>
        <v>127</v>
      </c>
      <c r="L206" s="210">
        <f t="shared" si="33"/>
        <v>145</v>
      </c>
      <c r="M206" s="210">
        <f t="shared" si="33"/>
        <v>140</v>
      </c>
      <c r="N206" s="211">
        <f t="shared" si="33"/>
        <v>113</v>
      </c>
      <c r="O206" s="211">
        <f t="shared" si="33"/>
        <v>123</v>
      </c>
      <c r="P206" s="211">
        <f t="shared" si="33"/>
        <v>130</v>
      </c>
      <c r="Q206" s="211">
        <f t="shared" si="33"/>
        <v>125</v>
      </c>
      <c r="R206" s="211">
        <f t="shared" si="33"/>
        <v>112</v>
      </c>
      <c r="S206" s="211">
        <f t="shared" si="33"/>
        <v>107</v>
      </c>
      <c r="T206" s="211">
        <f t="shared" si="33"/>
        <v>122</v>
      </c>
      <c r="U206" s="211">
        <f t="shared" si="33"/>
        <v>133</v>
      </c>
      <c r="V206" s="211">
        <f t="shared" si="33"/>
        <v>120</v>
      </c>
      <c r="W206" s="211">
        <f t="shared" si="33"/>
        <v>142</v>
      </c>
      <c r="X206" s="211">
        <f t="shared" si="33"/>
        <v>160</v>
      </c>
      <c r="Y206" s="211">
        <f t="shared" si="33"/>
        <v>147</v>
      </c>
      <c r="Z206" s="211">
        <f t="shared" si="33"/>
        <v>134</v>
      </c>
      <c r="AA206" s="211">
        <f t="shared" si="33"/>
        <v>149</v>
      </c>
      <c r="AB206" s="211">
        <f t="shared" si="33"/>
        <v>126</v>
      </c>
      <c r="AC206" s="211">
        <f t="shared" si="33"/>
        <v>126</v>
      </c>
      <c r="AD206" s="211">
        <f t="shared" si="33"/>
        <v>123</v>
      </c>
      <c r="AE206" s="211">
        <f t="shared" si="33"/>
        <v>173</v>
      </c>
      <c r="AF206" s="212">
        <f t="shared" si="33"/>
        <v>0</v>
      </c>
      <c r="AG206" s="213">
        <f t="shared" si="28"/>
        <v>3874</v>
      </c>
      <c r="AH206" s="180" t="str">
        <f>IF(AG206&lt;&gt;AG93,"X","")</f>
        <v/>
      </c>
    </row>
    <row r="207" spans="1:34" ht="18.75" x14ac:dyDescent="0.25">
      <c r="A207" s="214" t="s">
        <v>72</v>
      </c>
      <c r="B207" s="205"/>
      <c r="C207" s="205">
        <v>1</v>
      </c>
      <c r="D207" s="205"/>
      <c r="E207" s="205"/>
      <c r="F207" s="205"/>
      <c r="G207" s="205"/>
      <c r="H207" s="205"/>
      <c r="I207" s="205"/>
      <c r="J207" s="205"/>
      <c r="K207" s="205"/>
      <c r="L207" s="205"/>
      <c r="M207" s="205"/>
      <c r="N207" s="206"/>
      <c r="O207" s="206"/>
      <c r="P207" s="206"/>
      <c r="Q207" s="206"/>
      <c r="R207" s="206"/>
      <c r="S207" s="206"/>
      <c r="T207" s="206"/>
      <c r="U207" s="206"/>
      <c r="V207" s="206"/>
      <c r="W207" s="206"/>
      <c r="X207" s="206"/>
      <c r="Y207" s="206"/>
      <c r="Z207" s="206"/>
      <c r="AA207" s="206"/>
      <c r="AB207" s="206"/>
      <c r="AC207" s="206"/>
      <c r="AD207" s="206"/>
      <c r="AE207" s="206"/>
      <c r="AF207" s="207"/>
      <c r="AG207" s="208">
        <f t="shared" si="28"/>
        <v>1</v>
      </c>
    </row>
    <row r="208" spans="1:34" ht="18.75" x14ac:dyDescent="0.25">
      <c r="A208" s="52" t="s">
        <v>73</v>
      </c>
      <c r="B208" s="148"/>
      <c r="C208" s="148"/>
      <c r="D208" s="148"/>
      <c r="E208" s="148"/>
      <c r="F208" s="148">
        <v>1</v>
      </c>
      <c r="G208" s="148"/>
      <c r="H208" s="148">
        <v>1</v>
      </c>
      <c r="I208" s="148"/>
      <c r="J208" s="148"/>
      <c r="K208" s="148">
        <v>2</v>
      </c>
      <c r="L208" s="148"/>
      <c r="M208" s="148">
        <v>3</v>
      </c>
      <c r="N208" s="33"/>
      <c r="O208" s="33"/>
      <c r="P208" s="33">
        <v>3</v>
      </c>
      <c r="Q208" s="33"/>
      <c r="R208" s="33"/>
      <c r="S208" s="33">
        <v>1</v>
      </c>
      <c r="T208" s="33"/>
      <c r="U208" s="33">
        <v>1</v>
      </c>
      <c r="V208" s="33"/>
      <c r="W208" s="33">
        <v>1</v>
      </c>
      <c r="X208" s="33">
        <v>2</v>
      </c>
      <c r="Y208" s="33">
        <v>2</v>
      </c>
      <c r="Z208" s="33"/>
      <c r="AA208" s="33">
        <v>1</v>
      </c>
      <c r="AB208" s="33">
        <v>1</v>
      </c>
      <c r="AC208" s="33">
        <v>2</v>
      </c>
      <c r="AD208" s="33">
        <v>1</v>
      </c>
      <c r="AE208" s="33">
        <v>1</v>
      </c>
      <c r="AF208" s="88"/>
      <c r="AG208" s="97">
        <f t="shared" si="28"/>
        <v>23</v>
      </c>
    </row>
    <row r="209" spans="1:34" ht="18.75" x14ac:dyDescent="0.25">
      <c r="A209" s="52" t="s">
        <v>74</v>
      </c>
      <c r="B209" s="148">
        <v>14</v>
      </c>
      <c r="C209" s="148">
        <v>15</v>
      </c>
      <c r="D209" s="148">
        <v>11</v>
      </c>
      <c r="E209" s="148">
        <v>8</v>
      </c>
      <c r="F209" s="148">
        <v>14</v>
      </c>
      <c r="G209" s="148">
        <v>10</v>
      </c>
      <c r="H209" s="148">
        <v>14</v>
      </c>
      <c r="I209" s="148">
        <v>13</v>
      </c>
      <c r="J209" s="148">
        <v>8</v>
      </c>
      <c r="K209" s="148">
        <v>9</v>
      </c>
      <c r="L209" s="148">
        <v>14</v>
      </c>
      <c r="M209" s="148">
        <v>31</v>
      </c>
      <c r="N209" s="33">
        <v>8</v>
      </c>
      <c r="O209" s="33">
        <v>12</v>
      </c>
      <c r="P209" s="33">
        <v>13</v>
      </c>
      <c r="Q209" s="33">
        <v>9</v>
      </c>
      <c r="R209" s="33">
        <v>8</v>
      </c>
      <c r="S209" s="33">
        <v>8</v>
      </c>
      <c r="T209" s="33">
        <v>11</v>
      </c>
      <c r="U209" s="33">
        <v>13</v>
      </c>
      <c r="V209" s="33">
        <v>6</v>
      </c>
      <c r="W209" s="33">
        <v>20</v>
      </c>
      <c r="X209" s="33">
        <v>10</v>
      </c>
      <c r="Y209" s="33">
        <v>7</v>
      </c>
      <c r="Z209" s="33">
        <v>9</v>
      </c>
      <c r="AA209" s="33">
        <v>11</v>
      </c>
      <c r="AB209" s="33">
        <v>13</v>
      </c>
      <c r="AC209" s="33">
        <v>9</v>
      </c>
      <c r="AD209" s="33">
        <v>14</v>
      </c>
      <c r="AE209" s="33">
        <v>14</v>
      </c>
      <c r="AF209" s="88"/>
      <c r="AG209" s="97">
        <f t="shared" si="28"/>
        <v>356</v>
      </c>
    </row>
    <row r="210" spans="1:34" ht="18.75" x14ac:dyDescent="0.25">
      <c r="A210" s="52" t="s">
        <v>75</v>
      </c>
      <c r="B210" s="148">
        <v>60</v>
      </c>
      <c r="C210" s="148">
        <v>59</v>
      </c>
      <c r="D210" s="148">
        <v>70</v>
      </c>
      <c r="E210" s="148">
        <v>71</v>
      </c>
      <c r="F210" s="148">
        <v>82</v>
      </c>
      <c r="G210" s="148">
        <v>58</v>
      </c>
      <c r="H210" s="148">
        <v>72</v>
      </c>
      <c r="I210" s="148">
        <v>63</v>
      </c>
      <c r="J210" s="148">
        <v>69</v>
      </c>
      <c r="K210" s="148">
        <v>61</v>
      </c>
      <c r="L210" s="148">
        <v>90</v>
      </c>
      <c r="M210" s="148">
        <v>68</v>
      </c>
      <c r="N210" s="33">
        <v>47</v>
      </c>
      <c r="O210" s="33">
        <v>60</v>
      </c>
      <c r="P210" s="33">
        <v>72</v>
      </c>
      <c r="Q210" s="33">
        <v>80</v>
      </c>
      <c r="R210" s="33">
        <v>43</v>
      </c>
      <c r="S210" s="33">
        <v>51</v>
      </c>
      <c r="T210" s="33">
        <v>83</v>
      </c>
      <c r="U210" s="33">
        <v>98</v>
      </c>
      <c r="V210" s="33">
        <v>86</v>
      </c>
      <c r="W210" s="33">
        <v>72</v>
      </c>
      <c r="X210" s="33">
        <v>111</v>
      </c>
      <c r="Y210" s="33">
        <v>111</v>
      </c>
      <c r="Z210" s="33">
        <v>84</v>
      </c>
      <c r="AA210" s="33">
        <v>75</v>
      </c>
      <c r="AB210" s="33">
        <v>80</v>
      </c>
      <c r="AC210" s="33">
        <v>102</v>
      </c>
      <c r="AD210" s="33">
        <v>64</v>
      </c>
      <c r="AE210" s="33">
        <v>87</v>
      </c>
      <c r="AF210" s="88"/>
      <c r="AG210" s="97">
        <f t="shared" si="28"/>
        <v>2229</v>
      </c>
    </row>
    <row r="211" spans="1:34" ht="19.5" thickBot="1" x14ac:dyDescent="0.3">
      <c r="A211" s="63" t="s">
        <v>76</v>
      </c>
      <c r="B211" s="149">
        <v>35</v>
      </c>
      <c r="C211" s="149">
        <v>48</v>
      </c>
      <c r="D211" s="149">
        <v>31</v>
      </c>
      <c r="E211" s="149">
        <v>45</v>
      </c>
      <c r="F211" s="149">
        <v>34</v>
      </c>
      <c r="G211" s="149">
        <v>49</v>
      </c>
      <c r="H211" s="149">
        <v>39</v>
      </c>
      <c r="I211" s="149">
        <v>32</v>
      </c>
      <c r="J211" s="149">
        <v>70</v>
      </c>
      <c r="K211" s="149">
        <v>55</v>
      </c>
      <c r="L211" s="149">
        <v>41</v>
      </c>
      <c r="M211" s="149">
        <v>38</v>
      </c>
      <c r="N211" s="34">
        <v>58</v>
      </c>
      <c r="O211" s="34">
        <v>51</v>
      </c>
      <c r="P211" s="34">
        <v>42</v>
      </c>
      <c r="Q211" s="34">
        <v>36</v>
      </c>
      <c r="R211" s="34">
        <v>61</v>
      </c>
      <c r="S211" s="34">
        <v>47</v>
      </c>
      <c r="T211" s="34">
        <v>28</v>
      </c>
      <c r="U211" s="34">
        <v>21</v>
      </c>
      <c r="V211" s="34">
        <v>28</v>
      </c>
      <c r="W211" s="34">
        <v>49</v>
      </c>
      <c r="X211" s="34">
        <v>37</v>
      </c>
      <c r="Y211" s="34">
        <v>27</v>
      </c>
      <c r="Z211" s="34">
        <v>41</v>
      </c>
      <c r="AA211" s="34">
        <v>62</v>
      </c>
      <c r="AB211" s="34">
        <v>32</v>
      </c>
      <c r="AC211" s="34">
        <v>13</v>
      </c>
      <c r="AD211" s="34">
        <v>44</v>
      </c>
      <c r="AE211" s="34">
        <v>71</v>
      </c>
      <c r="AF211" s="89"/>
      <c r="AG211" s="35">
        <f t="shared" si="28"/>
        <v>1265</v>
      </c>
    </row>
    <row r="212" spans="1:34" ht="19.5" thickBot="1" x14ac:dyDescent="0.3">
      <c r="A212" s="121" t="s">
        <v>622</v>
      </c>
      <c r="B212" s="404">
        <v>17</v>
      </c>
      <c r="C212" s="404">
        <v>21</v>
      </c>
      <c r="D212" s="404">
        <v>27</v>
      </c>
      <c r="E212" s="404">
        <v>29</v>
      </c>
      <c r="F212" s="404">
        <v>26</v>
      </c>
      <c r="G212" s="404">
        <v>22</v>
      </c>
      <c r="H212" s="404">
        <v>23</v>
      </c>
      <c r="I212" s="404">
        <v>18</v>
      </c>
      <c r="J212" s="404">
        <v>38</v>
      </c>
      <c r="K212" s="404">
        <v>29</v>
      </c>
      <c r="L212" s="404">
        <v>32</v>
      </c>
      <c r="M212" s="404">
        <v>35</v>
      </c>
      <c r="N212" s="122">
        <v>28</v>
      </c>
      <c r="O212" s="122">
        <v>26</v>
      </c>
      <c r="P212" s="122">
        <v>38</v>
      </c>
      <c r="Q212" s="122">
        <v>48</v>
      </c>
      <c r="R212" s="122">
        <v>37</v>
      </c>
      <c r="S212" s="122">
        <v>26</v>
      </c>
      <c r="T212" s="122">
        <v>28</v>
      </c>
      <c r="U212" s="122">
        <v>47</v>
      </c>
      <c r="V212" s="122">
        <v>23</v>
      </c>
      <c r="W212" s="122">
        <v>35</v>
      </c>
      <c r="X212" s="122">
        <v>48</v>
      </c>
      <c r="Y212" s="122">
        <v>44</v>
      </c>
      <c r="Z212" s="122">
        <v>36</v>
      </c>
      <c r="AA212" s="122">
        <v>50</v>
      </c>
      <c r="AB212" s="122">
        <v>58</v>
      </c>
      <c r="AC212" s="122">
        <v>42</v>
      </c>
      <c r="AD212" s="122">
        <v>39</v>
      </c>
      <c r="AE212" s="122">
        <v>57</v>
      </c>
      <c r="AF212" s="123"/>
      <c r="AG212" s="124">
        <f t="shared" ref="AG212:AG217" si="34">SUM(B212:AF212)</f>
        <v>1027</v>
      </c>
    </row>
    <row r="213" spans="1:34" ht="18.75" x14ac:dyDescent="0.25">
      <c r="A213" s="414" t="s">
        <v>624</v>
      </c>
      <c r="B213" s="415">
        <v>17</v>
      </c>
      <c r="C213" s="415">
        <v>18</v>
      </c>
      <c r="D213" s="415">
        <v>26</v>
      </c>
      <c r="E213" s="415">
        <v>26</v>
      </c>
      <c r="F213" s="415">
        <v>22</v>
      </c>
      <c r="G213" s="415">
        <v>14</v>
      </c>
      <c r="H213" s="415">
        <v>19</v>
      </c>
      <c r="I213" s="415">
        <v>16</v>
      </c>
      <c r="J213" s="415">
        <v>31</v>
      </c>
      <c r="K213" s="415">
        <v>26</v>
      </c>
      <c r="L213" s="415">
        <v>27</v>
      </c>
      <c r="M213" s="415">
        <v>30</v>
      </c>
      <c r="N213" s="416">
        <v>25</v>
      </c>
      <c r="O213" s="416">
        <v>24</v>
      </c>
      <c r="P213" s="416">
        <v>32</v>
      </c>
      <c r="Q213" s="416">
        <v>41</v>
      </c>
      <c r="R213" s="416">
        <v>29</v>
      </c>
      <c r="S213" s="416">
        <v>21</v>
      </c>
      <c r="T213" s="416">
        <v>21</v>
      </c>
      <c r="U213" s="416">
        <v>42</v>
      </c>
      <c r="V213" s="416">
        <v>18</v>
      </c>
      <c r="W213" s="416">
        <v>27</v>
      </c>
      <c r="X213" s="416">
        <v>37</v>
      </c>
      <c r="Y213" s="416">
        <v>36</v>
      </c>
      <c r="Z213" s="416">
        <v>27</v>
      </c>
      <c r="AA213" s="416">
        <v>40</v>
      </c>
      <c r="AB213" s="416">
        <v>48</v>
      </c>
      <c r="AC213" s="416">
        <v>31</v>
      </c>
      <c r="AD213" s="416">
        <v>31</v>
      </c>
      <c r="AE213" s="416">
        <v>50</v>
      </c>
      <c r="AF213" s="417"/>
      <c r="AG213" s="418">
        <f t="shared" si="34"/>
        <v>852</v>
      </c>
    </row>
    <row r="214" spans="1:34" ht="18.75" x14ac:dyDescent="0.25">
      <c r="A214" s="419" t="s">
        <v>626</v>
      </c>
      <c r="B214" s="420"/>
      <c r="C214" s="420">
        <v>1</v>
      </c>
      <c r="D214" s="420"/>
      <c r="E214" s="420"/>
      <c r="F214" s="420"/>
      <c r="G214" s="420">
        <v>1</v>
      </c>
      <c r="H214" s="420"/>
      <c r="I214" s="420"/>
      <c r="J214" s="420"/>
      <c r="K214" s="420"/>
      <c r="L214" s="420"/>
      <c r="M214" s="420"/>
      <c r="N214" s="421"/>
      <c r="O214" s="421"/>
      <c r="P214" s="421"/>
      <c r="Q214" s="421"/>
      <c r="R214" s="421"/>
      <c r="S214" s="421"/>
      <c r="T214" s="421"/>
      <c r="U214" s="421"/>
      <c r="V214" s="421"/>
      <c r="W214" s="421"/>
      <c r="X214" s="421"/>
      <c r="Y214" s="421"/>
      <c r="Z214" s="421"/>
      <c r="AA214" s="421"/>
      <c r="AB214" s="421"/>
      <c r="AC214" s="421"/>
      <c r="AD214" s="421"/>
      <c r="AE214" s="421"/>
      <c r="AF214" s="422"/>
      <c r="AG214" s="397">
        <f t="shared" si="34"/>
        <v>2</v>
      </c>
    </row>
    <row r="215" spans="1:34" ht="18.75" x14ac:dyDescent="0.25">
      <c r="A215" s="423" t="s">
        <v>630</v>
      </c>
      <c r="B215" s="420"/>
      <c r="C215" s="420"/>
      <c r="D215" s="420"/>
      <c r="E215" s="420"/>
      <c r="F215" s="420"/>
      <c r="G215" s="420"/>
      <c r="H215" s="420"/>
      <c r="I215" s="420"/>
      <c r="J215" s="420"/>
      <c r="K215" s="420"/>
      <c r="L215" s="420"/>
      <c r="M215" s="420"/>
      <c r="N215" s="421"/>
      <c r="O215" s="421"/>
      <c r="P215" s="421"/>
      <c r="Q215" s="421"/>
      <c r="R215" s="421"/>
      <c r="S215" s="421"/>
      <c r="T215" s="421"/>
      <c r="U215" s="421"/>
      <c r="V215" s="421"/>
      <c r="W215" s="421"/>
      <c r="X215" s="421"/>
      <c r="Y215" s="421"/>
      <c r="Z215" s="421"/>
      <c r="AA215" s="421"/>
      <c r="AB215" s="421"/>
      <c r="AC215" s="421"/>
      <c r="AD215" s="421">
        <v>1</v>
      </c>
      <c r="AE215" s="421"/>
      <c r="AF215" s="422"/>
      <c r="AG215" s="397">
        <f t="shared" si="34"/>
        <v>1</v>
      </c>
    </row>
    <row r="216" spans="1:34" ht="18.75" x14ac:dyDescent="0.25">
      <c r="A216" s="423" t="s">
        <v>631</v>
      </c>
      <c r="B216" s="420"/>
      <c r="C216" s="420"/>
      <c r="D216" s="420"/>
      <c r="E216" s="420"/>
      <c r="F216" s="420"/>
      <c r="G216" s="420"/>
      <c r="H216" s="420"/>
      <c r="I216" s="420"/>
      <c r="J216" s="420"/>
      <c r="K216" s="420"/>
      <c r="L216" s="420"/>
      <c r="M216" s="420"/>
      <c r="N216" s="421"/>
      <c r="O216" s="421"/>
      <c r="P216" s="421"/>
      <c r="Q216" s="421"/>
      <c r="R216" s="421"/>
      <c r="S216" s="421"/>
      <c r="T216" s="421"/>
      <c r="U216" s="421"/>
      <c r="V216" s="421"/>
      <c r="W216" s="421"/>
      <c r="X216" s="421"/>
      <c r="Y216" s="421"/>
      <c r="Z216" s="421"/>
      <c r="AA216" s="421"/>
      <c r="AB216" s="421">
        <v>1</v>
      </c>
      <c r="AC216" s="421"/>
      <c r="AD216" s="421"/>
      <c r="AE216" s="421"/>
      <c r="AF216" s="422"/>
      <c r="AG216" s="397">
        <f t="shared" si="34"/>
        <v>1</v>
      </c>
    </row>
    <row r="217" spans="1:34" ht="18.75" x14ac:dyDescent="0.25">
      <c r="A217" s="423" t="s">
        <v>627</v>
      </c>
      <c r="B217" s="420"/>
      <c r="C217" s="420"/>
      <c r="D217" s="420"/>
      <c r="E217" s="420"/>
      <c r="F217" s="420">
        <v>1</v>
      </c>
      <c r="G217" s="420"/>
      <c r="H217" s="420"/>
      <c r="I217" s="420"/>
      <c r="J217" s="420">
        <v>2</v>
      </c>
      <c r="K217" s="420"/>
      <c r="L217" s="420"/>
      <c r="M217" s="420"/>
      <c r="N217" s="421"/>
      <c r="O217" s="421"/>
      <c r="P217" s="421"/>
      <c r="Q217" s="421"/>
      <c r="R217" s="421"/>
      <c r="S217" s="421"/>
      <c r="T217" s="421"/>
      <c r="U217" s="421"/>
      <c r="V217" s="421"/>
      <c r="W217" s="421"/>
      <c r="X217" s="421"/>
      <c r="Y217" s="421"/>
      <c r="Z217" s="421"/>
      <c r="AA217" s="421"/>
      <c r="AB217" s="421"/>
      <c r="AC217" s="421"/>
      <c r="AD217" s="421">
        <v>1</v>
      </c>
      <c r="AE217" s="421"/>
      <c r="AF217" s="422"/>
      <c r="AG217" s="397">
        <f t="shared" si="34"/>
        <v>4</v>
      </c>
    </row>
    <row r="218" spans="1:34" ht="19.5" thickBot="1" x14ac:dyDescent="0.3">
      <c r="A218" s="424" t="s">
        <v>623</v>
      </c>
      <c r="B218" s="412"/>
      <c r="C218" s="412">
        <v>2</v>
      </c>
      <c r="D218" s="412">
        <v>1</v>
      </c>
      <c r="E218" s="412">
        <v>3</v>
      </c>
      <c r="F218" s="412">
        <v>3</v>
      </c>
      <c r="G218" s="412">
        <v>7</v>
      </c>
      <c r="H218" s="412">
        <v>4</v>
      </c>
      <c r="I218" s="412">
        <v>2</v>
      </c>
      <c r="J218" s="412">
        <v>5</v>
      </c>
      <c r="K218" s="412">
        <v>3</v>
      </c>
      <c r="L218" s="412">
        <v>5</v>
      </c>
      <c r="M218" s="412">
        <v>5</v>
      </c>
      <c r="N218" s="425">
        <v>3</v>
      </c>
      <c r="O218" s="425">
        <v>2</v>
      </c>
      <c r="P218" s="425">
        <v>6</v>
      </c>
      <c r="Q218" s="425">
        <v>7</v>
      </c>
      <c r="R218" s="425">
        <v>8</v>
      </c>
      <c r="S218" s="425">
        <v>5</v>
      </c>
      <c r="T218" s="425">
        <v>7</v>
      </c>
      <c r="U218" s="425">
        <v>5</v>
      </c>
      <c r="V218" s="425">
        <v>5</v>
      </c>
      <c r="W218" s="425">
        <v>8</v>
      </c>
      <c r="X218" s="425">
        <v>11</v>
      </c>
      <c r="Y218" s="425">
        <v>8</v>
      </c>
      <c r="Z218" s="425">
        <v>9</v>
      </c>
      <c r="AA218" s="425">
        <v>10</v>
      </c>
      <c r="AB218" s="425">
        <v>9</v>
      </c>
      <c r="AC218" s="425">
        <v>11</v>
      </c>
      <c r="AD218" s="425">
        <v>6</v>
      </c>
      <c r="AE218" s="425">
        <v>7</v>
      </c>
      <c r="AF218" s="426"/>
      <c r="AG218" s="397">
        <f>SUM(B218:AF218)</f>
        <v>167</v>
      </c>
    </row>
    <row r="219" spans="1:34" ht="18.75" x14ac:dyDescent="0.25">
      <c r="A219" s="69" t="s">
        <v>628</v>
      </c>
      <c r="B219" s="407">
        <v>17</v>
      </c>
      <c r="C219" s="407">
        <v>21</v>
      </c>
      <c r="D219" s="407">
        <v>27</v>
      </c>
      <c r="E219" s="407">
        <v>29</v>
      </c>
      <c r="F219" s="407">
        <v>26</v>
      </c>
      <c r="G219" s="407">
        <v>22</v>
      </c>
      <c r="H219" s="407">
        <v>23</v>
      </c>
      <c r="I219" s="407">
        <v>18</v>
      </c>
      <c r="J219" s="407">
        <v>38</v>
      </c>
      <c r="K219" s="407">
        <v>29</v>
      </c>
      <c r="L219" s="407">
        <v>32</v>
      </c>
      <c r="M219" s="407">
        <v>35</v>
      </c>
      <c r="N219" s="56">
        <v>28</v>
      </c>
      <c r="O219" s="56">
        <v>25</v>
      </c>
      <c r="P219" s="56">
        <v>38</v>
      </c>
      <c r="Q219" s="56">
        <v>47</v>
      </c>
      <c r="R219" s="56">
        <v>37</v>
      </c>
      <c r="S219" s="56">
        <v>26</v>
      </c>
      <c r="T219" s="56">
        <v>28</v>
      </c>
      <c r="U219" s="56">
        <v>47</v>
      </c>
      <c r="V219" s="56">
        <v>23</v>
      </c>
      <c r="W219" s="56">
        <v>35</v>
      </c>
      <c r="X219" s="56">
        <v>48</v>
      </c>
      <c r="Y219" s="56">
        <v>44</v>
      </c>
      <c r="Z219" s="56">
        <v>36</v>
      </c>
      <c r="AA219" s="56">
        <v>50</v>
      </c>
      <c r="AB219" s="56">
        <v>58</v>
      </c>
      <c r="AC219" s="56">
        <v>42</v>
      </c>
      <c r="AD219" s="56">
        <v>39</v>
      </c>
      <c r="AE219" s="56">
        <v>57</v>
      </c>
      <c r="AF219" s="85"/>
      <c r="AG219" s="95">
        <f>SUM(B219:AF219)</f>
        <v>1025</v>
      </c>
    </row>
    <row r="220" spans="1:34" ht="19.5" thickBot="1" x14ac:dyDescent="0.3">
      <c r="A220" s="424" t="s">
        <v>629</v>
      </c>
      <c r="B220" s="412">
        <f>+B212-B219</f>
        <v>0</v>
      </c>
      <c r="C220" s="412">
        <f t="shared" ref="C220:AF220" si="35">+C212-C219</f>
        <v>0</v>
      </c>
      <c r="D220" s="412">
        <f t="shared" si="35"/>
        <v>0</v>
      </c>
      <c r="E220" s="412">
        <f t="shared" si="35"/>
        <v>0</v>
      </c>
      <c r="F220" s="412">
        <f t="shared" si="35"/>
        <v>0</v>
      </c>
      <c r="G220" s="412">
        <f t="shared" si="35"/>
        <v>0</v>
      </c>
      <c r="H220" s="412">
        <f t="shared" si="35"/>
        <v>0</v>
      </c>
      <c r="I220" s="412">
        <f t="shared" si="35"/>
        <v>0</v>
      </c>
      <c r="J220" s="412">
        <f t="shared" si="35"/>
        <v>0</v>
      </c>
      <c r="K220" s="412">
        <f t="shared" si="35"/>
        <v>0</v>
      </c>
      <c r="L220" s="412">
        <f t="shared" si="35"/>
        <v>0</v>
      </c>
      <c r="M220" s="412">
        <f t="shared" si="35"/>
        <v>0</v>
      </c>
      <c r="N220" s="425">
        <f t="shared" si="35"/>
        <v>0</v>
      </c>
      <c r="O220" s="425">
        <f t="shared" si="35"/>
        <v>1</v>
      </c>
      <c r="P220" s="425">
        <f t="shared" si="35"/>
        <v>0</v>
      </c>
      <c r="Q220" s="425">
        <f t="shared" si="35"/>
        <v>1</v>
      </c>
      <c r="R220" s="425">
        <f t="shared" si="35"/>
        <v>0</v>
      </c>
      <c r="S220" s="425">
        <f t="shared" si="35"/>
        <v>0</v>
      </c>
      <c r="T220" s="425">
        <f t="shared" si="35"/>
        <v>0</v>
      </c>
      <c r="U220" s="425">
        <f t="shared" si="35"/>
        <v>0</v>
      </c>
      <c r="V220" s="425">
        <f t="shared" si="35"/>
        <v>0</v>
      </c>
      <c r="W220" s="425">
        <f t="shared" si="35"/>
        <v>0</v>
      </c>
      <c r="X220" s="425">
        <f t="shared" si="35"/>
        <v>0</v>
      </c>
      <c r="Y220" s="425">
        <f t="shared" si="35"/>
        <v>0</v>
      </c>
      <c r="Z220" s="425">
        <f t="shared" si="35"/>
        <v>0</v>
      </c>
      <c r="AA220" s="425">
        <f t="shared" si="35"/>
        <v>0</v>
      </c>
      <c r="AB220" s="425">
        <f t="shared" si="35"/>
        <v>0</v>
      </c>
      <c r="AC220" s="425">
        <f t="shared" si="35"/>
        <v>0</v>
      </c>
      <c r="AD220" s="425">
        <f t="shared" si="35"/>
        <v>0</v>
      </c>
      <c r="AE220" s="425">
        <f t="shared" si="35"/>
        <v>0</v>
      </c>
      <c r="AF220" s="428">
        <f t="shared" si="35"/>
        <v>0</v>
      </c>
      <c r="AG220" s="413">
        <f>SUM(B220:AF220)</f>
        <v>2</v>
      </c>
    </row>
    <row r="221" spans="1:34" ht="19.5" thickBot="1" x14ac:dyDescent="0.3">
      <c r="A221" s="60" t="s">
        <v>64</v>
      </c>
      <c r="B221" s="61"/>
      <c r="C221" s="61"/>
      <c r="D221" s="61"/>
      <c r="E221" s="61"/>
      <c r="F221" s="61"/>
      <c r="G221" s="61"/>
      <c r="H221" s="61"/>
      <c r="I221" s="61"/>
      <c r="J221" s="61"/>
      <c r="K221" s="61"/>
      <c r="L221" s="61"/>
      <c r="M221" s="61"/>
      <c r="N221" s="61"/>
      <c r="O221" s="61"/>
      <c r="P221" s="61"/>
      <c r="Q221" s="61"/>
      <c r="R221" s="61"/>
      <c r="S221" s="61"/>
      <c r="T221" s="61"/>
      <c r="U221" s="61"/>
      <c r="V221" s="61"/>
      <c r="W221" s="61"/>
      <c r="X221" s="61"/>
      <c r="Y221" s="61"/>
      <c r="Z221" s="61"/>
      <c r="AA221" s="61"/>
      <c r="AB221" s="61"/>
      <c r="AC221" s="61"/>
      <c r="AD221" s="61"/>
      <c r="AE221" s="61"/>
      <c r="AF221" s="90"/>
      <c r="AG221" s="98"/>
    </row>
    <row r="222" spans="1:34" ht="18.75" x14ac:dyDescent="0.25">
      <c r="A222" s="43" t="s">
        <v>77</v>
      </c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19"/>
      <c r="AF222" s="25"/>
      <c r="AG222" s="99">
        <f t="shared" si="28"/>
        <v>0</v>
      </c>
      <c r="AH222" s="437" t="s">
        <v>85</v>
      </c>
    </row>
    <row r="223" spans="1:34" ht="18.75" x14ac:dyDescent="0.25">
      <c r="A223" s="53" t="s">
        <v>110</v>
      </c>
      <c r="B223" s="39"/>
      <c r="C223" s="39"/>
      <c r="D223" s="39"/>
      <c r="E223" s="39"/>
      <c r="F223" s="39"/>
      <c r="G223" s="39"/>
      <c r="H223" s="39"/>
      <c r="I223" s="39"/>
      <c r="J223" s="39"/>
      <c r="K223" s="39"/>
      <c r="L223" s="39"/>
      <c r="M223" s="39"/>
      <c r="N223" s="39"/>
      <c r="O223" s="39"/>
      <c r="P223" s="39"/>
      <c r="Q223" s="39"/>
      <c r="R223" s="39"/>
      <c r="S223" s="39"/>
      <c r="T223" s="39"/>
      <c r="U223" s="39"/>
      <c r="V223" s="39"/>
      <c r="W223" s="39"/>
      <c r="X223" s="39"/>
      <c r="Y223" s="39"/>
      <c r="Z223" s="39"/>
      <c r="AA223" s="39"/>
      <c r="AB223" s="39"/>
      <c r="AC223" s="39"/>
      <c r="AD223" s="39"/>
      <c r="AE223" s="39"/>
      <c r="AF223" s="91"/>
      <c r="AG223" s="100">
        <f t="shared" si="28"/>
        <v>0</v>
      </c>
      <c r="AH223" s="438"/>
    </row>
    <row r="224" spans="1:34" ht="18.75" x14ac:dyDescent="0.25">
      <c r="A224" s="53" t="s">
        <v>111</v>
      </c>
      <c r="B224" s="39"/>
      <c r="C224" s="39"/>
      <c r="D224" s="39"/>
      <c r="E224" s="39"/>
      <c r="F224" s="39"/>
      <c r="G224" s="39"/>
      <c r="H224" s="39"/>
      <c r="I224" s="39"/>
      <c r="J224" s="39"/>
      <c r="K224" s="39"/>
      <c r="L224" s="39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  <c r="Y224" s="39"/>
      <c r="Z224" s="39"/>
      <c r="AA224" s="39"/>
      <c r="AB224" s="39"/>
      <c r="AC224" s="39"/>
      <c r="AD224" s="39"/>
      <c r="AE224" s="39"/>
      <c r="AF224" s="91"/>
      <c r="AG224" s="100">
        <f t="shared" si="28"/>
        <v>0</v>
      </c>
      <c r="AH224" s="438"/>
    </row>
    <row r="225" spans="1:34" ht="18.75" x14ac:dyDescent="0.25">
      <c r="A225" s="53" t="s">
        <v>112</v>
      </c>
      <c r="B225" s="39"/>
      <c r="C225" s="39"/>
      <c r="D225" s="39"/>
      <c r="E225" s="39"/>
      <c r="F225" s="39"/>
      <c r="G225" s="39"/>
      <c r="H225" s="39"/>
      <c r="I225" s="39"/>
      <c r="J225" s="39"/>
      <c r="K225" s="39"/>
      <c r="L225" s="39"/>
      <c r="M225" s="39"/>
      <c r="N225" s="39"/>
      <c r="O225" s="39"/>
      <c r="P225" s="39"/>
      <c r="Q225" s="39"/>
      <c r="R225" s="39"/>
      <c r="S225" s="39"/>
      <c r="T225" s="39"/>
      <c r="U225" s="39"/>
      <c r="V225" s="39"/>
      <c r="W225" s="39"/>
      <c r="X225" s="39"/>
      <c r="Y225" s="39"/>
      <c r="Z225" s="39"/>
      <c r="AA225" s="39"/>
      <c r="AB225" s="39"/>
      <c r="AC225" s="39"/>
      <c r="AD225" s="39"/>
      <c r="AE225" s="39"/>
      <c r="AF225" s="91"/>
      <c r="AG225" s="100">
        <f t="shared" si="28"/>
        <v>0</v>
      </c>
      <c r="AH225" s="438"/>
    </row>
    <row r="226" spans="1:34" ht="18.75" x14ac:dyDescent="0.25">
      <c r="A226" s="53" t="s">
        <v>113</v>
      </c>
      <c r="B226" s="39"/>
      <c r="C226" s="39"/>
      <c r="D226" s="39"/>
      <c r="E226" s="39"/>
      <c r="F226" s="39"/>
      <c r="G226" s="39"/>
      <c r="H226" s="39"/>
      <c r="I226" s="39"/>
      <c r="J226" s="39"/>
      <c r="K226" s="39"/>
      <c r="L226" s="39"/>
      <c r="M226" s="39"/>
      <c r="N226" s="39"/>
      <c r="O226" s="39"/>
      <c r="P226" s="39"/>
      <c r="Q226" s="39"/>
      <c r="R226" s="39"/>
      <c r="S226" s="39"/>
      <c r="T226" s="39"/>
      <c r="U226" s="39"/>
      <c r="V226" s="39"/>
      <c r="W226" s="39"/>
      <c r="X226" s="39"/>
      <c r="Y226" s="39"/>
      <c r="Z226" s="39"/>
      <c r="AA226" s="39"/>
      <c r="AB226" s="39"/>
      <c r="AC226" s="39"/>
      <c r="AD226" s="39"/>
      <c r="AE226" s="39"/>
      <c r="AF226" s="91"/>
      <c r="AG226" s="100">
        <f t="shared" si="28"/>
        <v>0</v>
      </c>
      <c r="AH226" s="438"/>
    </row>
    <row r="227" spans="1:34" ht="18.75" x14ac:dyDescent="0.25">
      <c r="A227" s="53" t="s">
        <v>114</v>
      </c>
      <c r="B227" s="39"/>
      <c r="C227" s="39"/>
      <c r="D227" s="39"/>
      <c r="E227" s="39"/>
      <c r="F227" s="39"/>
      <c r="G227" s="39"/>
      <c r="H227" s="39"/>
      <c r="I227" s="39"/>
      <c r="J227" s="39"/>
      <c r="K227" s="39"/>
      <c r="L227" s="39"/>
      <c r="M227" s="39"/>
      <c r="N227" s="39"/>
      <c r="O227" s="39"/>
      <c r="P227" s="39"/>
      <c r="Q227" s="39"/>
      <c r="R227" s="39"/>
      <c r="S227" s="39"/>
      <c r="T227" s="39"/>
      <c r="U227" s="39"/>
      <c r="V227" s="39"/>
      <c r="W227" s="39"/>
      <c r="X227" s="39"/>
      <c r="Y227" s="39"/>
      <c r="Z227" s="39"/>
      <c r="AA227" s="39"/>
      <c r="AB227" s="39"/>
      <c r="AC227" s="39"/>
      <c r="AD227" s="39"/>
      <c r="AE227" s="39"/>
      <c r="AF227" s="91"/>
      <c r="AG227" s="100">
        <f t="shared" si="28"/>
        <v>0</v>
      </c>
      <c r="AH227" s="438"/>
    </row>
    <row r="228" spans="1:34" ht="18.75" x14ac:dyDescent="0.25">
      <c r="A228" s="53" t="s">
        <v>115</v>
      </c>
      <c r="B228" s="39"/>
      <c r="C228" s="39"/>
      <c r="D228" s="39"/>
      <c r="E228" s="39"/>
      <c r="F228" s="39"/>
      <c r="G228" s="39"/>
      <c r="H228" s="39"/>
      <c r="I228" s="39"/>
      <c r="J228" s="39"/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39"/>
      <c r="AA228" s="39"/>
      <c r="AB228" s="39"/>
      <c r="AC228" s="39"/>
      <c r="AD228" s="39"/>
      <c r="AE228" s="39"/>
      <c r="AF228" s="91"/>
      <c r="AG228" s="100">
        <f t="shared" si="28"/>
        <v>0</v>
      </c>
      <c r="AH228" s="438"/>
    </row>
    <row r="229" spans="1:34" ht="18.75" x14ac:dyDescent="0.25">
      <c r="A229" s="53" t="s">
        <v>116</v>
      </c>
      <c r="B229" s="39"/>
      <c r="C229" s="39"/>
      <c r="D229" s="39"/>
      <c r="E229" s="39"/>
      <c r="F229" s="39"/>
      <c r="G229" s="39"/>
      <c r="H229" s="39"/>
      <c r="I229" s="39"/>
      <c r="J229" s="39"/>
      <c r="K229" s="39"/>
      <c r="L229" s="39"/>
      <c r="M229" s="39"/>
      <c r="N229" s="39"/>
      <c r="O229" s="39"/>
      <c r="P229" s="39"/>
      <c r="Q229" s="39"/>
      <c r="R229" s="39"/>
      <c r="S229" s="39"/>
      <c r="T229" s="39"/>
      <c r="U229" s="39"/>
      <c r="V229" s="39"/>
      <c r="W229" s="39"/>
      <c r="X229" s="39"/>
      <c r="Y229" s="39"/>
      <c r="Z229" s="39"/>
      <c r="AA229" s="39"/>
      <c r="AB229" s="39"/>
      <c r="AC229" s="39"/>
      <c r="AD229" s="39"/>
      <c r="AE229" s="39"/>
      <c r="AF229" s="91"/>
      <c r="AG229" s="100">
        <f t="shared" si="28"/>
        <v>0</v>
      </c>
      <c r="AH229" s="438"/>
    </row>
    <row r="230" spans="1:34" ht="18.75" x14ac:dyDescent="0.25">
      <c r="A230" s="53" t="s">
        <v>117</v>
      </c>
      <c r="B230" s="39"/>
      <c r="C230" s="39"/>
      <c r="D230" s="39"/>
      <c r="E230" s="39"/>
      <c r="F230" s="39"/>
      <c r="G230" s="39"/>
      <c r="H230" s="39"/>
      <c r="I230" s="39"/>
      <c r="J230" s="39"/>
      <c r="K230" s="39"/>
      <c r="L230" s="39"/>
      <c r="M230" s="39"/>
      <c r="N230" s="39"/>
      <c r="O230" s="39"/>
      <c r="P230" s="39"/>
      <c r="Q230" s="39"/>
      <c r="R230" s="39"/>
      <c r="S230" s="39"/>
      <c r="T230" s="39"/>
      <c r="U230" s="39"/>
      <c r="V230" s="39"/>
      <c r="W230" s="39"/>
      <c r="X230" s="39"/>
      <c r="Y230" s="39"/>
      <c r="Z230" s="39"/>
      <c r="AA230" s="39"/>
      <c r="AB230" s="39"/>
      <c r="AC230" s="39"/>
      <c r="AD230" s="39"/>
      <c r="AE230" s="39"/>
      <c r="AF230" s="91"/>
      <c r="AG230" s="100">
        <f t="shared" si="28"/>
        <v>0</v>
      </c>
      <c r="AH230" s="438"/>
    </row>
    <row r="231" spans="1:34" ht="18.75" x14ac:dyDescent="0.25">
      <c r="A231" s="43" t="s">
        <v>150</v>
      </c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19"/>
      <c r="AD231" s="19"/>
      <c r="AE231" s="19"/>
      <c r="AF231" s="25"/>
      <c r="AG231" s="99">
        <f t="shared" si="28"/>
        <v>0</v>
      </c>
      <c r="AH231" s="438"/>
    </row>
    <row r="232" spans="1:34" ht="18.75" x14ac:dyDescent="0.25">
      <c r="A232" s="43" t="s">
        <v>78</v>
      </c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  <c r="AC232" s="19"/>
      <c r="AD232" s="19"/>
      <c r="AE232" s="19"/>
      <c r="AF232" s="25"/>
      <c r="AG232" s="99">
        <f t="shared" si="28"/>
        <v>0</v>
      </c>
      <c r="AH232" s="438"/>
    </row>
    <row r="233" spans="1:34" ht="19.5" thickBot="1" x14ac:dyDescent="0.3">
      <c r="A233" s="43" t="s">
        <v>79</v>
      </c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  <c r="AE233" s="19"/>
      <c r="AF233" s="25"/>
      <c r="AG233" s="99">
        <f t="shared" si="28"/>
        <v>0</v>
      </c>
      <c r="AH233" s="439"/>
    </row>
    <row r="234" spans="1:34" ht="24" thickBot="1" x14ac:dyDescent="0.3">
      <c r="A234" s="62" t="s">
        <v>118</v>
      </c>
      <c r="B234" s="20">
        <f>+B233+B232+B222+B231</f>
        <v>0</v>
      </c>
      <c r="C234" s="20">
        <f t="shared" ref="C234:AF234" si="36">+C233+C232+C222+C231</f>
        <v>0</v>
      </c>
      <c r="D234" s="20">
        <f t="shared" si="36"/>
        <v>0</v>
      </c>
      <c r="E234" s="20">
        <f t="shared" si="36"/>
        <v>0</v>
      </c>
      <c r="F234" s="20">
        <f t="shared" si="36"/>
        <v>0</v>
      </c>
      <c r="G234" s="20">
        <f t="shared" si="36"/>
        <v>0</v>
      </c>
      <c r="H234" s="20">
        <f t="shared" si="36"/>
        <v>0</v>
      </c>
      <c r="I234" s="20">
        <f t="shared" si="36"/>
        <v>0</v>
      </c>
      <c r="J234" s="20">
        <f t="shared" si="36"/>
        <v>0</v>
      </c>
      <c r="K234" s="20">
        <f t="shared" si="36"/>
        <v>0</v>
      </c>
      <c r="L234" s="20">
        <f t="shared" si="36"/>
        <v>0</v>
      </c>
      <c r="M234" s="20">
        <f t="shared" si="36"/>
        <v>0</v>
      </c>
      <c r="N234" s="20">
        <f t="shared" si="36"/>
        <v>0</v>
      </c>
      <c r="O234" s="20">
        <f t="shared" si="36"/>
        <v>0</v>
      </c>
      <c r="P234" s="20">
        <f t="shared" si="36"/>
        <v>0</v>
      </c>
      <c r="Q234" s="20">
        <f t="shared" si="36"/>
        <v>0</v>
      </c>
      <c r="R234" s="20">
        <f t="shared" si="36"/>
        <v>0</v>
      </c>
      <c r="S234" s="20">
        <f t="shared" si="36"/>
        <v>0</v>
      </c>
      <c r="T234" s="20">
        <f t="shared" si="36"/>
        <v>0</v>
      </c>
      <c r="U234" s="20">
        <f t="shared" si="36"/>
        <v>0</v>
      </c>
      <c r="V234" s="20">
        <f t="shared" si="36"/>
        <v>0</v>
      </c>
      <c r="W234" s="20">
        <f t="shared" si="36"/>
        <v>0</v>
      </c>
      <c r="X234" s="20">
        <f t="shared" si="36"/>
        <v>0</v>
      </c>
      <c r="Y234" s="20">
        <f t="shared" si="36"/>
        <v>0</v>
      </c>
      <c r="Z234" s="20">
        <f t="shared" si="36"/>
        <v>0</v>
      </c>
      <c r="AA234" s="20">
        <f t="shared" si="36"/>
        <v>0</v>
      </c>
      <c r="AB234" s="20">
        <f t="shared" si="36"/>
        <v>0</v>
      </c>
      <c r="AC234" s="20">
        <f t="shared" si="36"/>
        <v>0</v>
      </c>
      <c r="AD234" s="20">
        <f t="shared" si="36"/>
        <v>0</v>
      </c>
      <c r="AE234" s="20">
        <f t="shared" si="36"/>
        <v>0</v>
      </c>
      <c r="AF234" s="26">
        <f t="shared" si="36"/>
        <v>0</v>
      </c>
      <c r="AG234" s="99">
        <f t="shared" si="28"/>
        <v>0</v>
      </c>
      <c r="AH234" s="36"/>
    </row>
    <row r="235" spans="1:34" ht="18.75" x14ac:dyDescent="0.25">
      <c r="A235" s="57" t="s">
        <v>90</v>
      </c>
      <c r="B235" s="27"/>
      <c r="C235" s="27"/>
      <c r="D235" s="27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  <c r="AA235" s="27"/>
      <c r="AB235" s="27"/>
      <c r="AC235" s="27"/>
      <c r="AD235" s="27"/>
      <c r="AE235" s="27"/>
      <c r="AF235" s="92"/>
      <c r="AG235" s="31">
        <f t="shared" ref="AG235:AG248" si="37">SUM(B235:AF235)</f>
        <v>0</v>
      </c>
      <c r="AH235" s="440" t="s">
        <v>96</v>
      </c>
    </row>
    <row r="236" spans="1:34" ht="18.75" x14ac:dyDescent="0.25">
      <c r="A236" s="54" t="s">
        <v>91</v>
      </c>
      <c r="B236" s="40"/>
      <c r="C236" s="40"/>
      <c r="D236" s="40"/>
      <c r="E236" s="40"/>
      <c r="F236" s="40"/>
      <c r="G236" s="40"/>
      <c r="H236" s="40"/>
      <c r="I236" s="40"/>
      <c r="J236" s="40"/>
      <c r="K236" s="40"/>
      <c r="L236" s="40"/>
      <c r="M236" s="40"/>
      <c r="N236" s="40"/>
      <c r="O236" s="40"/>
      <c r="P236" s="40"/>
      <c r="Q236" s="40"/>
      <c r="R236" s="40"/>
      <c r="S236" s="40"/>
      <c r="T236" s="40"/>
      <c r="U236" s="40"/>
      <c r="V236" s="40"/>
      <c r="W236" s="40"/>
      <c r="X236" s="40"/>
      <c r="Y236" s="40"/>
      <c r="Z236" s="40"/>
      <c r="AA236" s="40"/>
      <c r="AB236" s="40"/>
      <c r="AC236" s="40"/>
      <c r="AD236" s="40"/>
      <c r="AE236" s="40"/>
      <c r="AF236" s="93"/>
      <c r="AG236" s="99">
        <f t="shared" si="37"/>
        <v>0</v>
      </c>
      <c r="AH236" s="441"/>
    </row>
    <row r="237" spans="1:34" ht="19.5" thickBot="1" x14ac:dyDescent="0.3">
      <c r="A237" s="58" t="s">
        <v>97</v>
      </c>
      <c r="B237" s="59"/>
      <c r="C237" s="59"/>
      <c r="D237" s="59"/>
      <c r="E237" s="59"/>
      <c r="F237" s="59"/>
      <c r="G237" s="59"/>
      <c r="H237" s="59"/>
      <c r="I237" s="59"/>
      <c r="J237" s="59"/>
      <c r="K237" s="59"/>
      <c r="L237" s="59"/>
      <c r="M237" s="59"/>
      <c r="N237" s="59"/>
      <c r="O237" s="59"/>
      <c r="P237" s="59"/>
      <c r="Q237" s="59"/>
      <c r="R237" s="59"/>
      <c r="S237" s="59"/>
      <c r="T237" s="59"/>
      <c r="U237" s="59"/>
      <c r="V237" s="59"/>
      <c r="W237" s="59"/>
      <c r="X237" s="59"/>
      <c r="Y237" s="59"/>
      <c r="Z237" s="59"/>
      <c r="AA237" s="59"/>
      <c r="AB237" s="59"/>
      <c r="AC237" s="59"/>
      <c r="AD237" s="59"/>
      <c r="AE237" s="59"/>
      <c r="AF237" s="94"/>
      <c r="AG237" s="28">
        <f t="shared" si="37"/>
        <v>0</v>
      </c>
      <c r="AH237" s="442"/>
    </row>
    <row r="238" spans="1:34" ht="18.75" x14ac:dyDescent="0.25">
      <c r="A238" s="55" t="s">
        <v>92</v>
      </c>
      <c r="B238" s="118">
        <f>SUM(B239:B241)</f>
        <v>0</v>
      </c>
      <c r="C238" s="118">
        <f t="shared" ref="C238:AF238" si="38">SUM(C239:C241)</f>
        <v>0</v>
      </c>
      <c r="D238" s="118">
        <f t="shared" si="38"/>
        <v>0</v>
      </c>
      <c r="E238" s="118">
        <f t="shared" si="38"/>
        <v>0</v>
      </c>
      <c r="F238" s="118">
        <f t="shared" si="38"/>
        <v>0</v>
      </c>
      <c r="G238" s="118">
        <f t="shared" si="38"/>
        <v>0</v>
      </c>
      <c r="H238" s="118">
        <f t="shared" si="38"/>
        <v>0</v>
      </c>
      <c r="I238" s="118">
        <f t="shared" si="38"/>
        <v>0</v>
      </c>
      <c r="J238" s="118">
        <f t="shared" si="38"/>
        <v>0</v>
      </c>
      <c r="K238" s="118">
        <f t="shared" si="38"/>
        <v>0</v>
      </c>
      <c r="L238" s="118">
        <f t="shared" si="38"/>
        <v>0</v>
      </c>
      <c r="M238" s="118">
        <f t="shared" si="38"/>
        <v>0</v>
      </c>
      <c r="N238" s="118">
        <f t="shared" si="38"/>
        <v>0</v>
      </c>
      <c r="O238" s="118">
        <f t="shared" si="38"/>
        <v>0</v>
      </c>
      <c r="P238" s="118">
        <f t="shared" si="38"/>
        <v>0</v>
      </c>
      <c r="Q238" s="118">
        <f t="shared" si="38"/>
        <v>0</v>
      </c>
      <c r="R238" s="118">
        <f t="shared" si="38"/>
        <v>0</v>
      </c>
      <c r="S238" s="118">
        <f t="shared" si="38"/>
        <v>0</v>
      </c>
      <c r="T238" s="118">
        <f t="shared" si="38"/>
        <v>0</v>
      </c>
      <c r="U238" s="118">
        <f t="shared" si="38"/>
        <v>0</v>
      </c>
      <c r="V238" s="118">
        <f t="shared" si="38"/>
        <v>0</v>
      </c>
      <c r="W238" s="118">
        <f t="shared" si="38"/>
        <v>0</v>
      </c>
      <c r="X238" s="118">
        <f t="shared" si="38"/>
        <v>0</v>
      </c>
      <c r="Y238" s="118">
        <f t="shared" si="38"/>
        <v>0</v>
      </c>
      <c r="Z238" s="118">
        <f t="shared" si="38"/>
        <v>0</v>
      </c>
      <c r="AA238" s="118">
        <f t="shared" si="38"/>
        <v>0</v>
      </c>
      <c r="AB238" s="118">
        <f t="shared" si="38"/>
        <v>0</v>
      </c>
      <c r="AC238" s="118">
        <f t="shared" si="38"/>
        <v>0</v>
      </c>
      <c r="AD238" s="118">
        <f t="shared" si="38"/>
        <v>0</v>
      </c>
      <c r="AE238" s="118">
        <f t="shared" si="38"/>
        <v>0</v>
      </c>
      <c r="AF238" s="118">
        <f t="shared" si="38"/>
        <v>0</v>
      </c>
      <c r="AG238" s="95">
        <f t="shared" si="37"/>
        <v>0</v>
      </c>
      <c r="AH238" s="440" t="s">
        <v>93</v>
      </c>
    </row>
    <row r="239" spans="1:34" ht="18.75" x14ac:dyDescent="0.25">
      <c r="A239" s="139" t="s">
        <v>94</v>
      </c>
      <c r="B239" s="140"/>
      <c r="C239" s="140"/>
      <c r="D239" s="140"/>
      <c r="E239" s="140"/>
      <c r="F239" s="140"/>
      <c r="G239" s="140"/>
      <c r="H239" s="140"/>
      <c r="I239" s="140"/>
      <c r="J239" s="140"/>
      <c r="K239" s="140"/>
      <c r="L239" s="140"/>
      <c r="M239" s="140"/>
      <c r="N239" s="145"/>
      <c r="O239" s="140"/>
      <c r="P239" s="140"/>
      <c r="Q239" s="140"/>
      <c r="R239" s="140"/>
      <c r="S239" s="140"/>
      <c r="T239" s="140"/>
      <c r="U239" s="140"/>
      <c r="V239" s="140"/>
      <c r="W239" s="140"/>
      <c r="X239" s="140"/>
      <c r="Y239" s="140"/>
      <c r="Z239" s="142"/>
      <c r="AA239" s="140"/>
      <c r="AB239" s="140"/>
      <c r="AC239" s="140"/>
      <c r="AD239" s="140"/>
      <c r="AE239" s="140"/>
      <c r="AF239" s="144"/>
      <c r="AG239" s="143">
        <f t="shared" si="37"/>
        <v>0</v>
      </c>
      <c r="AH239" s="441"/>
    </row>
    <row r="240" spans="1:34" ht="18.75" x14ac:dyDescent="0.25">
      <c r="A240" s="139" t="s">
        <v>95</v>
      </c>
      <c r="B240" s="140"/>
      <c r="C240" s="140"/>
      <c r="D240" s="140"/>
      <c r="E240" s="140"/>
      <c r="F240" s="140"/>
      <c r="G240" s="140"/>
      <c r="H240" s="140"/>
      <c r="I240" s="140"/>
      <c r="J240" s="140"/>
      <c r="K240" s="140"/>
      <c r="L240" s="140"/>
      <c r="M240" s="140"/>
      <c r="N240" s="145"/>
      <c r="O240" s="140"/>
      <c r="P240" s="140"/>
      <c r="Q240" s="140"/>
      <c r="R240" s="140"/>
      <c r="S240" s="140"/>
      <c r="T240" s="140"/>
      <c r="U240" s="140"/>
      <c r="V240" s="140"/>
      <c r="W240" s="140"/>
      <c r="X240" s="140"/>
      <c r="Y240" s="140"/>
      <c r="Z240" s="142"/>
      <c r="AA240" s="140"/>
      <c r="AB240" s="140"/>
      <c r="AC240" s="140"/>
      <c r="AD240" s="140"/>
      <c r="AE240" s="140"/>
      <c r="AF240" s="144"/>
      <c r="AG240" s="143">
        <f t="shared" si="37"/>
        <v>0</v>
      </c>
      <c r="AH240" s="441"/>
    </row>
    <row r="241" spans="1:34" ht="19.5" thickBot="1" x14ac:dyDescent="0.3">
      <c r="A241" s="190" t="s">
        <v>106</v>
      </c>
      <c r="B241" s="191"/>
      <c r="C241" s="191"/>
      <c r="D241" s="191"/>
      <c r="E241" s="191"/>
      <c r="F241" s="191"/>
      <c r="G241" s="191"/>
      <c r="H241" s="191"/>
      <c r="I241" s="191"/>
      <c r="J241" s="191"/>
      <c r="K241" s="192"/>
      <c r="L241" s="192"/>
      <c r="M241" s="192"/>
      <c r="N241" s="193"/>
      <c r="O241" s="194"/>
      <c r="P241" s="194"/>
      <c r="Q241" s="194"/>
      <c r="R241" s="194"/>
      <c r="S241" s="194"/>
      <c r="T241" s="194"/>
      <c r="U241" s="194"/>
      <c r="V241" s="194"/>
      <c r="W241" s="194"/>
      <c r="X241" s="194"/>
      <c r="Y241" s="194"/>
      <c r="Z241" s="194"/>
      <c r="AA241" s="194"/>
      <c r="AB241" s="194"/>
      <c r="AC241" s="194"/>
      <c r="AD241" s="194"/>
      <c r="AE241" s="194"/>
      <c r="AF241" s="195"/>
      <c r="AG241" s="108">
        <f t="shared" si="37"/>
        <v>0</v>
      </c>
      <c r="AH241" s="442"/>
    </row>
    <row r="242" spans="1:34" ht="24" hidden="1" thickBot="1" x14ac:dyDescent="0.3">
      <c r="A242" s="198" t="s">
        <v>148</v>
      </c>
      <c r="B242" s="199">
        <f>SUM(B243:B248)</f>
        <v>0</v>
      </c>
      <c r="C242" s="199">
        <f t="shared" ref="C242:AF242" si="39">SUM(C243:C248)</f>
        <v>0</v>
      </c>
      <c r="D242" s="199">
        <f t="shared" si="39"/>
        <v>0</v>
      </c>
      <c r="E242" s="199">
        <f t="shared" si="39"/>
        <v>0</v>
      </c>
      <c r="F242" s="199">
        <f t="shared" si="39"/>
        <v>0</v>
      </c>
      <c r="G242" s="199">
        <f t="shared" si="39"/>
        <v>0</v>
      </c>
      <c r="H242" s="199">
        <f t="shared" si="39"/>
        <v>0</v>
      </c>
      <c r="I242" s="199">
        <f t="shared" si="39"/>
        <v>0</v>
      </c>
      <c r="J242" s="199">
        <f t="shared" si="39"/>
        <v>0</v>
      </c>
      <c r="K242" s="199">
        <f t="shared" si="39"/>
        <v>0</v>
      </c>
      <c r="L242" s="199">
        <f t="shared" si="39"/>
        <v>0</v>
      </c>
      <c r="M242" s="199">
        <f t="shared" si="39"/>
        <v>0</v>
      </c>
      <c r="N242" s="199">
        <f t="shared" si="39"/>
        <v>0</v>
      </c>
      <c r="O242" s="199">
        <f t="shared" si="39"/>
        <v>0</v>
      </c>
      <c r="P242" s="199">
        <f t="shared" si="39"/>
        <v>0</v>
      </c>
      <c r="Q242" s="199">
        <f t="shared" si="39"/>
        <v>0</v>
      </c>
      <c r="R242" s="199">
        <f t="shared" si="39"/>
        <v>0</v>
      </c>
      <c r="S242" s="199">
        <f t="shared" si="39"/>
        <v>0</v>
      </c>
      <c r="T242" s="199">
        <f t="shared" si="39"/>
        <v>0</v>
      </c>
      <c r="U242" s="199">
        <f t="shared" si="39"/>
        <v>0</v>
      </c>
      <c r="V242" s="199">
        <f t="shared" si="39"/>
        <v>0</v>
      </c>
      <c r="W242" s="199">
        <f t="shared" si="39"/>
        <v>0</v>
      </c>
      <c r="X242" s="199">
        <f t="shared" si="39"/>
        <v>0</v>
      </c>
      <c r="Y242" s="199">
        <f t="shared" si="39"/>
        <v>0</v>
      </c>
      <c r="Z242" s="199">
        <f t="shared" si="39"/>
        <v>0</v>
      </c>
      <c r="AA242" s="199">
        <f t="shared" si="39"/>
        <v>0</v>
      </c>
      <c r="AB242" s="199">
        <f t="shared" si="39"/>
        <v>0</v>
      </c>
      <c r="AC242" s="199">
        <f t="shared" si="39"/>
        <v>0</v>
      </c>
      <c r="AD242" s="199">
        <f t="shared" si="39"/>
        <v>0</v>
      </c>
      <c r="AE242" s="199">
        <f t="shared" si="39"/>
        <v>0</v>
      </c>
      <c r="AF242" s="200">
        <f t="shared" si="39"/>
        <v>0</v>
      </c>
      <c r="AG242" s="201">
        <f t="shared" si="37"/>
        <v>0</v>
      </c>
    </row>
    <row r="243" spans="1:34" ht="38.25" hidden="1" customHeight="1" x14ac:dyDescent="0.3">
      <c r="A243" s="227" t="s">
        <v>159</v>
      </c>
      <c r="B243" s="189"/>
      <c r="C243" s="189"/>
      <c r="D243" s="189"/>
      <c r="E243" s="189"/>
      <c r="F243" s="189"/>
      <c r="G243" s="189"/>
      <c r="H243" s="189"/>
      <c r="I243" s="189"/>
      <c r="J243" s="189"/>
      <c r="K243" s="189"/>
      <c r="L243" s="189"/>
      <c r="M243" s="189"/>
      <c r="N243" s="189"/>
      <c r="O243" s="189"/>
      <c r="P243" s="189"/>
      <c r="Q243" s="189"/>
      <c r="R243" s="189"/>
      <c r="S243" s="189"/>
      <c r="T243" s="189"/>
      <c r="U243" s="189"/>
      <c r="V243" s="189"/>
      <c r="W243" s="189"/>
      <c r="X243" s="189"/>
      <c r="Y243" s="189"/>
      <c r="Z243" s="189"/>
      <c r="AA243" s="189"/>
      <c r="AB243" s="189"/>
      <c r="AC243" s="189"/>
      <c r="AD243" s="189"/>
      <c r="AE243" s="189"/>
      <c r="AF243" s="196"/>
      <c r="AG243" s="197">
        <f t="shared" si="37"/>
        <v>0</v>
      </c>
    </row>
    <row r="244" spans="1:34" ht="40.5" hidden="1" customHeight="1" x14ac:dyDescent="0.3">
      <c r="A244" s="227" t="s">
        <v>160</v>
      </c>
      <c r="B244" s="189"/>
      <c r="C244" s="189"/>
      <c r="D244" s="189"/>
      <c r="E244" s="189"/>
      <c r="F244" s="189"/>
      <c r="G244" s="189"/>
      <c r="H244" s="189"/>
      <c r="I244" s="189"/>
      <c r="J244" s="189"/>
      <c r="K244" s="189"/>
      <c r="L244" s="189"/>
      <c r="M244" s="189"/>
      <c r="N244" s="189"/>
      <c r="O244" s="189"/>
      <c r="P244" s="189"/>
      <c r="Q244" s="189"/>
      <c r="R244" s="189"/>
      <c r="S244" s="189"/>
      <c r="T244" s="189"/>
      <c r="U244" s="189"/>
      <c r="V244" s="189"/>
      <c r="W244" s="189"/>
      <c r="X244" s="189"/>
      <c r="Y244" s="189"/>
      <c r="Z244" s="189"/>
      <c r="AA244" s="189"/>
      <c r="AB244" s="189"/>
      <c r="AC244" s="189"/>
      <c r="AD244" s="189"/>
      <c r="AE244" s="189"/>
      <c r="AF244" s="196"/>
      <c r="AG244" s="197"/>
    </row>
    <row r="245" spans="1:34" ht="40.5" hidden="1" customHeight="1" x14ac:dyDescent="0.3">
      <c r="A245" s="227" t="s">
        <v>161</v>
      </c>
      <c r="B245" s="189"/>
      <c r="C245" s="189"/>
      <c r="D245" s="189"/>
      <c r="E245" s="189"/>
      <c r="F245" s="189"/>
      <c r="G245" s="189"/>
      <c r="H245" s="189"/>
      <c r="I245" s="189"/>
      <c r="J245" s="189"/>
      <c r="K245" s="189"/>
      <c r="L245" s="189"/>
      <c r="M245" s="189"/>
      <c r="N245" s="189"/>
      <c r="O245" s="189"/>
      <c r="P245" s="189"/>
      <c r="Q245" s="189"/>
      <c r="R245" s="189"/>
      <c r="S245" s="189"/>
      <c r="T245" s="189"/>
      <c r="U245" s="189"/>
      <c r="V245" s="189"/>
      <c r="W245" s="189"/>
      <c r="X245" s="189"/>
      <c r="Y245" s="189"/>
      <c r="Z245" s="189"/>
      <c r="AA245" s="189"/>
      <c r="AB245" s="189"/>
      <c r="AC245" s="189"/>
      <c r="AD245" s="189"/>
      <c r="AE245" s="189"/>
      <c r="AF245" s="196"/>
      <c r="AG245" s="197"/>
    </row>
    <row r="246" spans="1:34" ht="40.5" hidden="1" customHeight="1" x14ac:dyDescent="0.3">
      <c r="A246" s="227" t="s">
        <v>162</v>
      </c>
      <c r="B246" s="189"/>
      <c r="C246" s="189"/>
      <c r="D246" s="189"/>
      <c r="E246" s="189"/>
      <c r="F246" s="189"/>
      <c r="G246" s="189"/>
      <c r="H246" s="189"/>
      <c r="I246" s="189"/>
      <c r="J246" s="189"/>
      <c r="K246" s="189"/>
      <c r="L246" s="189"/>
      <c r="M246" s="189"/>
      <c r="N246" s="189"/>
      <c r="O246" s="189"/>
      <c r="P246" s="189"/>
      <c r="Q246" s="189"/>
      <c r="R246" s="189"/>
      <c r="S246" s="189"/>
      <c r="T246" s="189"/>
      <c r="U246" s="189"/>
      <c r="V246" s="189"/>
      <c r="W246" s="189"/>
      <c r="X246" s="189"/>
      <c r="Y246" s="189"/>
      <c r="Z246" s="189"/>
      <c r="AA246" s="189"/>
      <c r="AB246" s="189"/>
      <c r="AC246" s="189"/>
      <c r="AD246" s="189"/>
      <c r="AE246" s="189"/>
      <c r="AF246" s="196"/>
      <c r="AG246" s="197"/>
    </row>
    <row r="247" spans="1:34" ht="40.5" hidden="1" customHeight="1" x14ac:dyDescent="0.3">
      <c r="A247" s="228" t="s">
        <v>163</v>
      </c>
      <c r="B247" s="137"/>
      <c r="C247" s="137"/>
      <c r="D247" s="137"/>
      <c r="E247" s="137"/>
      <c r="F247" s="137"/>
      <c r="G247" s="137"/>
      <c r="H247" s="137"/>
      <c r="I247" s="137"/>
      <c r="J247" s="137"/>
      <c r="K247" s="137"/>
      <c r="L247" s="137"/>
      <c r="M247" s="137"/>
      <c r="N247" s="137"/>
      <c r="O247" s="137"/>
      <c r="P247" s="137"/>
      <c r="Q247" s="137"/>
      <c r="R247" s="137"/>
      <c r="S247" s="137"/>
      <c r="T247" s="137"/>
      <c r="U247" s="137"/>
      <c r="V247" s="137"/>
      <c r="W247" s="137"/>
      <c r="X247" s="137"/>
      <c r="Y247" s="137"/>
      <c r="Z247" s="137"/>
      <c r="AA247" s="137"/>
      <c r="AB247" s="137"/>
      <c r="AC247" s="137"/>
      <c r="AD247" s="137"/>
      <c r="AE247" s="137"/>
      <c r="AF247" s="188"/>
      <c r="AG247" s="138">
        <f t="shared" si="37"/>
        <v>0</v>
      </c>
    </row>
    <row r="248" spans="1:34" ht="39.75" hidden="1" customHeight="1" thickBot="1" x14ac:dyDescent="0.3">
      <c r="A248" s="229" t="s">
        <v>164</v>
      </c>
      <c r="B248" s="222"/>
      <c r="C248" s="222"/>
      <c r="D248" s="222"/>
      <c r="E248" s="222"/>
      <c r="F248" s="222"/>
      <c r="G248" s="222"/>
      <c r="H248" s="222"/>
      <c r="I248" s="222"/>
      <c r="J248" s="222"/>
      <c r="K248" s="222"/>
      <c r="L248" s="222"/>
      <c r="M248" s="222"/>
      <c r="N248" s="222"/>
      <c r="O248" s="222"/>
      <c r="P248" s="222"/>
      <c r="Q248" s="222"/>
      <c r="R248" s="222"/>
      <c r="S248" s="222"/>
      <c r="T248" s="222"/>
      <c r="U248" s="222"/>
      <c r="V248" s="222"/>
      <c r="W248" s="222"/>
      <c r="X248" s="222"/>
      <c r="Y248" s="222"/>
      <c r="Z248" s="222"/>
      <c r="AA248" s="222"/>
      <c r="AB248" s="222"/>
      <c r="AC248" s="222"/>
      <c r="AD248" s="222"/>
      <c r="AE248" s="222"/>
      <c r="AF248" s="223"/>
      <c r="AG248" s="224">
        <f t="shared" si="37"/>
        <v>0</v>
      </c>
    </row>
    <row r="249" spans="1:34" ht="21.75" x14ac:dyDescent="0.25">
      <c r="A249" s="225" t="s">
        <v>151</v>
      </c>
      <c r="B249" s="363"/>
      <c r="C249" s="363"/>
      <c r="D249" s="363"/>
      <c r="E249" s="363"/>
      <c r="F249" s="363"/>
      <c r="G249" s="363"/>
      <c r="H249" s="363"/>
      <c r="I249" s="363"/>
      <c r="J249" s="363"/>
      <c r="K249" s="363"/>
      <c r="L249" s="363"/>
      <c r="M249" s="363"/>
      <c r="N249" s="363"/>
      <c r="O249" s="363"/>
      <c r="P249" s="363"/>
      <c r="Q249" s="363"/>
      <c r="R249" s="363"/>
      <c r="S249" s="363"/>
      <c r="T249" s="363"/>
      <c r="U249" s="363"/>
      <c r="V249" s="363"/>
      <c r="W249" s="363"/>
      <c r="X249" s="363"/>
      <c r="Y249" s="363"/>
      <c r="Z249" s="363"/>
      <c r="AA249" s="363"/>
      <c r="AB249" s="363"/>
      <c r="AC249" s="363"/>
      <c r="AD249" s="363"/>
      <c r="AE249" s="363"/>
      <c r="AF249" s="367"/>
      <c r="AG249" s="369">
        <f>SUM(B249:AF249)</f>
        <v>0</v>
      </c>
    </row>
    <row r="250" spans="1:34" ht="22.5" thickBot="1" x14ac:dyDescent="0.3">
      <c r="A250" s="226" t="s">
        <v>152</v>
      </c>
      <c r="B250" s="364"/>
      <c r="C250" s="364"/>
      <c r="D250" s="364"/>
      <c r="E250" s="364"/>
      <c r="F250" s="364"/>
      <c r="G250" s="364"/>
      <c r="H250" s="364"/>
      <c r="I250" s="364"/>
      <c r="J250" s="364"/>
      <c r="K250" s="364"/>
      <c r="L250" s="364"/>
      <c r="M250" s="364"/>
      <c r="N250" s="364"/>
      <c r="O250" s="364"/>
      <c r="P250" s="364"/>
      <c r="Q250" s="364"/>
      <c r="R250" s="364"/>
      <c r="S250" s="364"/>
      <c r="T250" s="364"/>
      <c r="U250" s="364"/>
      <c r="V250" s="364"/>
      <c r="W250" s="364"/>
      <c r="X250" s="364"/>
      <c r="Y250" s="364"/>
      <c r="Z250" s="364"/>
      <c r="AA250" s="364"/>
      <c r="AB250" s="364"/>
      <c r="AC250" s="364"/>
      <c r="AD250" s="364"/>
      <c r="AE250" s="364"/>
      <c r="AF250" s="368"/>
      <c r="AG250" s="370">
        <f>SUM(B250:AF250)</f>
        <v>0</v>
      </c>
    </row>
    <row r="270" ht="18.75" customHeight="1" x14ac:dyDescent="0.25"/>
    <row r="271" ht="18.75" customHeight="1" x14ac:dyDescent="0.25"/>
    <row r="272" ht="18.75" customHeight="1" x14ac:dyDescent="0.25"/>
    <row r="273" ht="18.75" customHeight="1" x14ac:dyDescent="0.25"/>
    <row r="274" ht="18.75" customHeight="1" x14ac:dyDescent="0.25"/>
    <row r="275" ht="18.75" customHeight="1" x14ac:dyDescent="0.25"/>
    <row r="276" ht="18.75" customHeight="1" x14ac:dyDescent="0.25"/>
    <row r="277" ht="18.75" customHeight="1" x14ac:dyDescent="0.25"/>
    <row r="278" ht="18.75" customHeight="1" x14ac:dyDescent="0.25"/>
    <row r="279" ht="18.75" customHeight="1" x14ac:dyDescent="0.25"/>
    <row r="280" ht="18.75" customHeight="1" x14ac:dyDescent="0.25"/>
    <row r="281" ht="19.5" customHeight="1" x14ac:dyDescent="0.25"/>
    <row r="283" ht="18.75" customHeight="1" x14ac:dyDescent="0.25"/>
    <row r="286" ht="18.75" customHeight="1" x14ac:dyDescent="0.25"/>
  </sheetData>
  <dataConsolidate/>
  <mergeCells count="5">
    <mergeCell ref="A1:AG1"/>
    <mergeCell ref="AI84:AI86"/>
    <mergeCell ref="AH222:AH233"/>
    <mergeCell ref="AH235:AH237"/>
    <mergeCell ref="AH238:AH241"/>
  </mergeCells>
  <conditionalFormatting sqref="B29:AF52">
    <cfRule type="cellIs" dxfId="20" priority="6" operator="lessThan">
      <formula>0</formula>
    </cfRule>
  </conditionalFormatting>
  <conditionalFormatting sqref="D54:D77">
    <cfRule type="cellIs" dxfId="19" priority="2" operator="lessThan">
      <formula>0</formula>
    </cfRule>
  </conditionalFormatting>
  <conditionalFormatting sqref="G54:G77">
    <cfRule type="cellIs" dxfId="18" priority="1" operator="lessThan">
      <formula>0</formula>
    </cfRule>
  </conditionalFormatting>
  <conditionalFormatting sqref="AH81">
    <cfRule type="cellIs" dxfId="17" priority="4" operator="equal">
      <formula>"*"</formula>
    </cfRule>
  </conditionalFormatting>
  <conditionalFormatting sqref="AH84 AH87">
    <cfRule type="cellIs" dxfId="16" priority="5" operator="equal">
      <formula>"*"</formula>
    </cfRule>
  </conditionalFormatting>
  <conditionalFormatting sqref="AH93">
    <cfRule type="cellIs" dxfId="15" priority="10" operator="equal">
      <formula>"*"</formula>
    </cfRule>
  </conditionalFormatting>
  <conditionalFormatting sqref="AH130">
    <cfRule type="cellIs" dxfId="14" priority="8" operator="equal">
      <formula>"*"</formula>
    </cfRule>
  </conditionalFormatting>
  <conditionalFormatting sqref="AH144:AH145">
    <cfRule type="cellIs" dxfId="13" priority="9" operator="equal">
      <formula>"*"</formula>
    </cfRule>
  </conditionalFormatting>
  <conditionalFormatting sqref="AH179">
    <cfRule type="cellIs" dxfId="12" priority="7" operator="equal">
      <formula>"*"</formula>
    </cfRule>
  </conditionalFormatting>
  <conditionalFormatting sqref="AH206">
    <cfRule type="cellIs" dxfId="11" priority="3" operator="equal">
      <formula>"X"</formula>
    </cfRule>
  </conditionalFormatting>
  <dataValidations disablePrompts="1" count="1">
    <dataValidation type="whole" allowBlank="1" showInputMessage="1" showErrorMessage="1" errorTitle="ERROR" error="Por favor ingrese solo Números" sqref="A98:A99 A101:A115" xr:uid="{00000000-0002-0000-0D00-000000000000}">
      <formula1>0</formula1>
      <formula2>1000000000</formula2>
    </dataValidation>
  </dataValidations>
  <pageMargins left="0.7" right="0.7" top="0.75" bottom="0.75" header="0.3" footer="0.3"/>
  <pageSetup orientation="portrait" horizontalDpi="0" verticalDpi="0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I286"/>
  <sheetViews>
    <sheetView zoomScale="80" zoomScaleNormal="80" workbookViewId="0">
      <pane xSplit="1" ySplit="3" topLeftCell="F201" activePane="bottomRight" state="frozen"/>
      <selection activeCell="AG3" sqref="AG3"/>
      <selection pane="topRight" activeCell="AG3" sqref="AG3"/>
      <selection pane="bottomLeft" activeCell="AG3" sqref="AG3"/>
      <selection pane="bottomRight" activeCell="AF218" sqref="AF218"/>
    </sheetView>
  </sheetViews>
  <sheetFormatPr baseColWidth="10" defaultRowHeight="15" x14ac:dyDescent="0.25"/>
  <cols>
    <col min="1" max="1" width="34.7109375" customWidth="1"/>
    <col min="2" max="13" width="8.28515625" customWidth="1"/>
    <col min="14" max="14" width="10.140625" customWidth="1"/>
    <col min="15" max="27" width="8.28515625" customWidth="1"/>
    <col min="28" max="28" width="9.7109375" customWidth="1"/>
    <col min="29" max="32" width="8.28515625" customWidth="1"/>
    <col min="33" max="33" width="11.140625" customWidth="1"/>
    <col min="34" max="34" width="12.42578125" customWidth="1"/>
  </cols>
  <sheetData>
    <row r="1" spans="1:33" ht="21.75" thickBot="1" x14ac:dyDescent="0.3">
      <c r="A1" s="431"/>
      <c r="B1" s="432"/>
      <c r="C1" s="432"/>
      <c r="D1" s="432"/>
      <c r="E1" s="432"/>
      <c r="F1" s="432"/>
      <c r="G1" s="432"/>
      <c r="H1" s="432"/>
      <c r="I1" s="432"/>
      <c r="J1" s="432"/>
      <c r="K1" s="432"/>
      <c r="L1" s="432"/>
      <c r="M1" s="432"/>
      <c r="N1" s="432"/>
      <c r="O1" s="432"/>
      <c r="P1" s="432"/>
      <c r="Q1" s="432"/>
      <c r="R1" s="432"/>
      <c r="S1" s="432"/>
      <c r="T1" s="432"/>
      <c r="U1" s="432"/>
      <c r="V1" s="432"/>
      <c r="W1" s="432"/>
      <c r="X1" s="432"/>
      <c r="Y1" s="432"/>
      <c r="Z1" s="432"/>
      <c r="AA1" s="432"/>
      <c r="AB1" s="432"/>
      <c r="AC1" s="432"/>
      <c r="AD1" s="432"/>
      <c r="AE1" s="432"/>
      <c r="AF1" s="432"/>
      <c r="AG1" s="433"/>
    </row>
    <row r="2" spans="1:33" ht="21.75" thickBot="1" x14ac:dyDescent="0.3">
      <c r="A2" s="82" t="s">
        <v>136</v>
      </c>
      <c r="B2" s="230">
        <v>1</v>
      </c>
      <c r="C2" s="230">
        <f t="shared" ref="C2:AA2" si="0">+B2+1</f>
        <v>2</v>
      </c>
      <c r="D2" s="230">
        <f t="shared" si="0"/>
        <v>3</v>
      </c>
      <c r="E2" s="230">
        <f t="shared" si="0"/>
        <v>4</v>
      </c>
      <c r="F2" s="106">
        <f t="shared" si="0"/>
        <v>5</v>
      </c>
      <c r="G2" s="106">
        <f t="shared" si="0"/>
        <v>6</v>
      </c>
      <c r="H2" s="230">
        <f t="shared" si="0"/>
        <v>7</v>
      </c>
      <c r="I2" s="106">
        <f t="shared" si="0"/>
        <v>8</v>
      </c>
      <c r="J2" s="230">
        <f t="shared" si="0"/>
        <v>9</v>
      </c>
      <c r="K2" s="230">
        <f t="shared" si="0"/>
        <v>10</v>
      </c>
      <c r="L2" s="230">
        <f t="shared" si="0"/>
        <v>11</v>
      </c>
      <c r="M2" s="106">
        <f t="shared" si="0"/>
        <v>12</v>
      </c>
      <c r="N2" s="106">
        <f t="shared" si="0"/>
        <v>13</v>
      </c>
      <c r="O2" s="230">
        <f t="shared" si="0"/>
        <v>14</v>
      </c>
      <c r="P2" s="230">
        <f t="shared" si="0"/>
        <v>15</v>
      </c>
      <c r="Q2" s="230">
        <f t="shared" si="0"/>
        <v>16</v>
      </c>
      <c r="R2" s="230">
        <f t="shared" si="0"/>
        <v>17</v>
      </c>
      <c r="S2" s="230">
        <f t="shared" si="0"/>
        <v>18</v>
      </c>
      <c r="T2" s="106">
        <f t="shared" si="0"/>
        <v>19</v>
      </c>
      <c r="U2" s="106">
        <f t="shared" si="0"/>
        <v>20</v>
      </c>
      <c r="V2" s="230">
        <f t="shared" si="0"/>
        <v>21</v>
      </c>
      <c r="W2" s="230">
        <f t="shared" si="0"/>
        <v>22</v>
      </c>
      <c r="X2" s="230">
        <f t="shared" si="0"/>
        <v>23</v>
      </c>
      <c r="Y2" s="230">
        <f t="shared" si="0"/>
        <v>24</v>
      </c>
      <c r="Z2" s="106">
        <f t="shared" si="0"/>
        <v>25</v>
      </c>
      <c r="AA2" s="106">
        <f t="shared" si="0"/>
        <v>26</v>
      </c>
      <c r="AB2" s="106">
        <v>27</v>
      </c>
      <c r="AC2" s="230">
        <f>+AB2+1</f>
        <v>28</v>
      </c>
      <c r="AD2" s="230">
        <v>29</v>
      </c>
      <c r="AE2" s="230">
        <v>30</v>
      </c>
      <c r="AF2" s="230">
        <v>31</v>
      </c>
      <c r="AG2" s="3" t="s">
        <v>80</v>
      </c>
    </row>
    <row r="3" spans="1:33" ht="19.5" thickBot="1" x14ac:dyDescent="0.3">
      <c r="A3" s="136" t="s">
        <v>0</v>
      </c>
      <c r="B3" s="135">
        <f t="shared" ref="B3:AF3" si="1">SUM(B4:B27)</f>
        <v>140</v>
      </c>
      <c r="C3" s="135">
        <f t="shared" si="1"/>
        <v>149</v>
      </c>
      <c r="D3" s="135">
        <f t="shared" si="1"/>
        <v>123</v>
      </c>
      <c r="E3" s="135">
        <f t="shared" si="1"/>
        <v>128</v>
      </c>
      <c r="F3" s="135">
        <f t="shared" si="1"/>
        <v>120</v>
      </c>
      <c r="G3" s="135">
        <f t="shared" si="1"/>
        <v>117</v>
      </c>
      <c r="H3" s="135">
        <f t="shared" si="1"/>
        <v>135</v>
      </c>
      <c r="I3" s="135">
        <f t="shared" si="1"/>
        <v>144</v>
      </c>
      <c r="J3" s="135">
        <f t="shared" si="1"/>
        <v>169</v>
      </c>
      <c r="K3" s="135">
        <f t="shared" si="1"/>
        <v>120</v>
      </c>
      <c r="L3" s="135">
        <f t="shared" si="1"/>
        <v>123</v>
      </c>
      <c r="M3" s="135">
        <f t="shared" si="1"/>
        <v>123</v>
      </c>
      <c r="N3" s="135">
        <f t="shared" si="1"/>
        <v>119</v>
      </c>
      <c r="O3" s="135">
        <f t="shared" si="1"/>
        <v>126</v>
      </c>
      <c r="P3" s="135">
        <f t="shared" si="1"/>
        <v>130</v>
      </c>
      <c r="Q3" s="135">
        <f t="shared" si="1"/>
        <v>160</v>
      </c>
      <c r="R3" s="135">
        <f t="shared" si="1"/>
        <v>132</v>
      </c>
      <c r="S3" s="135">
        <f t="shared" si="1"/>
        <v>115</v>
      </c>
      <c r="T3" s="135">
        <f t="shared" si="1"/>
        <v>136</v>
      </c>
      <c r="U3" s="135">
        <f t="shared" si="1"/>
        <v>99</v>
      </c>
      <c r="V3" s="135">
        <f t="shared" si="1"/>
        <v>143</v>
      </c>
      <c r="W3" s="135">
        <f t="shared" si="1"/>
        <v>135</v>
      </c>
      <c r="X3" s="135">
        <f t="shared" si="1"/>
        <v>135</v>
      </c>
      <c r="Y3" s="135">
        <f t="shared" si="1"/>
        <v>82</v>
      </c>
      <c r="Z3" s="135">
        <f t="shared" si="1"/>
        <v>132</v>
      </c>
      <c r="AA3" s="135">
        <f t="shared" si="1"/>
        <v>148</v>
      </c>
      <c r="AB3" s="135">
        <f t="shared" si="1"/>
        <v>168</v>
      </c>
      <c r="AC3" s="135">
        <f t="shared" si="1"/>
        <v>164</v>
      </c>
      <c r="AD3" s="135">
        <f t="shared" si="1"/>
        <v>152</v>
      </c>
      <c r="AE3" s="135">
        <f t="shared" si="1"/>
        <v>135</v>
      </c>
      <c r="AF3" s="135">
        <f t="shared" si="1"/>
        <v>97</v>
      </c>
      <c r="AG3" s="187">
        <f>SUM(B3:AF3)</f>
        <v>4099</v>
      </c>
    </row>
    <row r="4" spans="1:33" ht="18.75" x14ac:dyDescent="0.25">
      <c r="A4" s="113" t="s">
        <v>54</v>
      </c>
      <c r="B4" s="114">
        <v>2</v>
      </c>
      <c r="C4" s="114">
        <v>3</v>
      </c>
      <c r="D4" s="114">
        <v>2</v>
      </c>
      <c r="E4" s="114">
        <v>3</v>
      </c>
      <c r="F4" s="114">
        <v>3</v>
      </c>
      <c r="G4" s="114">
        <v>1</v>
      </c>
      <c r="H4" s="114">
        <v>4</v>
      </c>
      <c r="I4" s="114">
        <v>2</v>
      </c>
      <c r="J4" s="114">
        <v>6</v>
      </c>
      <c r="K4" s="114"/>
      <c r="L4" s="114">
        <v>1</v>
      </c>
      <c r="M4" s="114">
        <v>3</v>
      </c>
      <c r="N4" s="114"/>
      <c r="O4" s="114">
        <v>6</v>
      </c>
      <c r="P4" s="114"/>
      <c r="Q4" s="114">
        <v>2</v>
      </c>
      <c r="R4" s="114">
        <v>2</v>
      </c>
      <c r="S4" s="114">
        <v>2</v>
      </c>
      <c r="T4" s="114">
        <v>2</v>
      </c>
      <c r="U4" s="114">
        <v>6</v>
      </c>
      <c r="V4" s="114">
        <v>3</v>
      </c>
      <c r="W4" s="114">
        <v>2</v>
      </c>
      <c r="X4" s="114">
        <v>2</v>
      </c>
      <c r="Y4" s="114">
        <v>2</v>
      </c>
      <c r="Z4" s="114">
        <v>3</v>
      </c>
      <c r="AA4" s="114">
        <v>6</v>
      </c>
      <c r="AB4" s="114">
        <v>4</v>
      </c>
      <c r="AC4" s="114">
        <v>5</v>
      </c>
      <c r="AD4" s="114">
        <v>2</v>
      </c>
      <c r="AE4" s="114">
        <v>1</v>
      </c>
      <c r="AF4" s="115"/>
      <c r="AG4" s="132">
        <f t="shared" ref="AG4:AG83" si="2">SUM(B4:AF4)</f>
        <v>80</v>
      </c>
    </row>
    <row r="5" spans="1:33" ht="18.75" x14ac:dyDescent="0.25">
      <c r="A5" s="41" t="s">
        <v>55</v>
      </c>
      <c r="B5" s="7">
        <v>1</v>
      </c>
      <c r="C5" s="7">
        <v>1</v>
      </c>
      <c r="D5" s="7">
        <v>2</v>
      </c>
      <c r="E5" s="7">
        <v>4</v>
      </c>
      <c r="F5" s="7">
        <v>5</v>
      </c>
      <c r="G5" s="7">
        <v>5</v>
      </c>
      <c r="H5" s="7">
        <v>6</v>
      </c>
      <c r="I5" s="7">
        <v>6</v>
      </c>
      <c r="J5" s="7"/>
      <c r="K5" s="7">
        <v>3</v>
      </c>
      <c r="L5" s="7"/>
      <c r="M5" s="7">
        <v>3</v>
      </c>
      <c r="N5" s="7">
        <v>3</v>
      </c>
      <c r="O5" s="7">
        <v>3</v>
      </c>
      <c r="P5" s="7">
        <v>1</v>
      </c>
      <c r="Q5" s="7">
        <v>5</v>
      </c>
      <c r="R5" s="7">
        <v>7</v>
      </c>
      <c r="S5" s="7">
        <v>2</v>
      </c>
      <c r="T5" s="7">
        <v>12</v>
      </c>
      <c r="U5" s="7">
        <v>2</v>
      </c>
      <c r="V5" s="7">
        <v>5</v>
      </c>
      <c r="W5" s="7">
        <v>2</v>
      </c>
      <c r="X5" s="7">
        <v>3</v>
      </c>
      <c r="Y5" s="7">
        <v>2</v>
      </c>
      <c r="Z5" s="7">
        <v>2</v>
      </c>
      <c r="AA5" s="7">
        <v>6</v>
      </c>
      <c r="AB5" s="7">
        <v>4</v>
      </c>
      <c r="AC5" s="7">
        <v>5</v>
      </c>
      <c r="AD5" s="7">
        <v>6</v>
      </c>
      <c r="AE5" s="7">
        <v>1</v>
      </c>
      <c r="AF5" s="8">
        <v>3</v>
      </c>
      <c r="AG5" s="4">
        <f t="shared" si="2"/>
        <v>110</v>
      </c>
    </row>
    <row r="6" spans="1:33" ht="18.75" x14ac:dyDescent="0.25">
      <c r="A6" s="41" t="s">
        <v>56</v>
      </c>
      <c r="B6" s="7">
        <v>6</v>
      </c>
      <c r="C6" s="7">
        <v>1</v>
      </c>
      <c r="D6" s="7">
        <v>2</v>
      </c>
      <c r="E6" s="7">
        <v>3</v>
      </c>
      <c r="F6" s="7">
        <v>8</v>
      </c>
      <c r="G6" s="7">
        <v>6</v>
      </c>
      <c r="H6" s="7"/>
      <c r="I6" s="7">
        <v>11</v>
      </c>
      <c r="J6" s="7">
        <v>6</v>
      </c>
      <c r="K6" s="7">
        <v>3</v>
      </c>
      <c r="L6" s="7">
        <v>3</v>
      </c>
      <c r="M6" s="7">
        <v>5</v>
      </c>
      <c r="N6" s="7">
        <v>7</v>
      </c>
      <c r="O6" s="7">
        <v>3</v>
      </c>
      <c r="P6" s="7">
        <v>1</v>
      </c>
      <c r="Q6" s="7">
        <v>2</v>
      </c>
      <c r="R6" s="7">
        <v>4</v>
      </c>
      <c r="S6" s="7">
        <v>1</v>
      </c>
      <c r="T6" s="7">
        <v>6</v>
      </c>
      <c r="U6" s="7">
        <v>7</v>
      </c>
      <c r="V6" s="7">
        <v>7</v>
      </c>
      <c r="W6" s="7">
        <v>5</v>
      </c>
      <c r="X6" s="7">
        <v>1</v>
      </c>
      <c r="Y6" s="7">
        <v>2</v>
      </c>
      <c r="Z6" s="7">
        <v>7</v>
      </c>
      <c r="AA6" s="7">
        <v>5</v>
      </c>
      <c r="AB6" s="7">
        <v>10</v>
      </c>
      <c r="AC6" s="7">
        <v>4</v>
      </c>
      <c r="AD6" s="7">
        <v>2</v>
      </c>
      <c r="AE6" s="7">
        <v>2</v>
      </c>
      <c r="AF6" s="8"/>
      <c r="AG6" s="4">
        <f t="shared" si="2"/>
        <v>130</v>
      </c>
    </row>
    <row r="7" spans="1:33" ht="18.75" x14ac:dyDescent="0.25">
      <c r="A7" s="41" t="s">
        <v>38</v>
      </c>
      <c r="B7" s="7">
        <v>4</v>
      </c>
      <c r="C7" s="7">
        <v>3</v>
      </c>
      <c r="D7" s="7">
        <v>5</v>
      </c>
      <c r="E7" s="7">
        <v>2</v>
      </c>
      <c r="F7" s="7">
        <v>7</v>
      </c>
      <c r="G7" s="7">
        <v>11</v>
      </c>
      <c r="H7" s="7">
        <v>1</v>
      </c>
      <c r="I7" s="7">
        <v>5</v>
      </c>
      <c r="J7" s="7">
        <v>5</v>
      </c>
      <c r="K7" s="7">
        <v>7</v>
      </c>
      <c r="L7" s="7">
        <v>6</v>
      </c>
      <c r="M7" s="7">
        <v>4</v>
      </c>
      <c r="N7" s="7">
        <v>10</v>
      </c>
      <c r="O7" s="7"/>
      <c r="P7" s="7">
        <v>1</v>
      </c>
      <c r="Q7" s="7">
        <v>1</v>
      </c>
      <c r="R7" s="7">
        <v>2</v>
      </c>
      <c r="S7" s="7">
        <v>1</v>
      </c>
      <c r="T7" s="7">
        <v>9</v>
      </c>
      <c r="U7" s="7">
        <v>6</v>
      </c>
      <c r="V7" s="7">
        <v>2</v>
      </c>
      <c r="W7" s="7">
        <v>3</v>
      </c>
      <c r="X7" s="7">
        <v>1</v>
      </c>
      <c r="Y7" s="7"/>
      <c r="Z7" s="7">
        <v>11</v>
      </c>
      <c r="AA7" s="7">
        <v>17</v>
      </c>
      <c r="AB7" s="7">
        <v>18</v>
      </c>
      <c r="AC7" s="7">
        <v>6</v>
      </c>
      <c r="AD7" s="7">
        <v>5</v>
      </c>
      <c r="AE7" s="7">
        <v>5</v>
      </c>
      <c r="AF7" s="8">
        <v>1</v>
      </c>
      <c r="AG7" s="4">
        <f t="shared" si="2"/>
        <v>159</v>
      </c>
    </row>
    <row r="8" spans="1:33" ht="18.75" x14ac:dyDescent="0.25">
      <c r="A8" s="41" t="s">
        <v>39</v>
      </c>
      <c r="B8" s="7">
        <v>2</v>
      </c>
      <c r="C8" s="7">
        <v>4</v>
      </c>
      <c r="D8" s="7">
        <v>1</v>
      </c>
      <c r="E8" s="7">
        <v>6</v>
      </c>
      <c r="F8" s="7">
        <v>6</v>
      </c>
      <c r="G8" s="7">
        <v>13</v>
      </c>
      <c r="H8" s="7">
        <v>3</v>
      </c>
      <c r="I8" s="7">
        <v>7</v>
      </c>
      <c r="J8" s="7">
        <v>6</v>
      </c>
      <c r="K8" s="7">
        <v>3</v>
      </c>
      <c r="L8" s="7">
        <v>1</v>
      </c>
      <c r="M8" s="7">
        <v>8</v>
      </c>
      <c r="N8" s="7">
        <v>6</v>
      </c>
      <c r="O8" s="7">
        <v>3</v>
      </c>
      <c r="P8" s="7">
        <v>5</v>
      </c>
      <c r="Q8" s="7">
        <v>2</v>
      </c>
      <c r="R8" s="7">
        <v>3</v>
      </c>
      <c r="S8" s="7"/>
      <c r="T8" s="7">
        <v>6</v>
      </c>
      <c r="U8" s="7">
        <v>9</v>
      </c>
      <c r="V8" s="7">
        <v>3</v>
      </c>
      <c r="W8" s="7">
        <v>2</v>
      </c>
      <c r="X8" s="7">
        <v>1</v>
      </c>
      <c r="Y8" s="7">
        <v>3</v>
      </c>
      <c r="Z8" s="7">
        <v>5</v>
      </c>
      <c r="AA8" s="7">
        <v>10</v>
      </c>
      <c r="AB8" s="7">
        <v>15</v>
      </c>
      <c r="AC8" s="7">
        <v>7</v>
      </c>
      <c r="AD8" s="7">
        <v>1</v>
      </c>
      <c r="AE8" s="7">
        <v>6</v>
      </c>
      <c r="AF8" s="8">
        <v>13</v>
      </c>
      <c r="AG8" s="4">
        <f t="shared" si="2"/>
        <v>160</v>
      </c>
    </row>
    <row r="9" spans="1:33" ht="18.75" x14ac:dyDescent="0.25">
      <c r="A9" s="41" t="s">
        <v>40</v>
      </c>
      <c r="B9" s="7">
        <v>2</v>
      </c>
      <c r="C9" s="7">
        <v>2</v>
      </c>
      <c r="D9" s="7"/>
      <c r="E9" s="7">
        <v>3</v>
      </c>
      <c r="F9" s="7">
        <v>8</v>
      </c>
      <c r="G9" s="7">
        <v>8</v>
      </c>
      <c r="H9" s="7">
        <v>2</v>
      </c>
      <c r="I9" s="7">
        <v>4</v>
      </c>
      <c r="J9" s="7">
        <v>2</v>
      </c>
      <c r="K9" s="7">
        <v>2</v>
      </c>
      <c r="L9" s="7">
        <v>4</v>
      </c>
      <c r="M9" s="7">
        <v>3</v>
      </c>
      <c r="N9" s="7">
        <v>5</v>
      </c>
      <c r="O9" s="7">
        <v>4</v>
      </c>
      <c r="P9" s="7">
        <v>2</v>
      </c>
      <c r="Q9" s="7">
        <v>4</v>
      </c>
      <c r="R9" s="7">
        <v>5</v>
      </c>
      <c r="S9" s="7">
        <v>3</v>
      </c>
      <c r="T9" s="7">
        <v>3</v>
      </c>
      <c r="U9" s="7">
        <v>7</v>
      </c>
      <c r="V9" s="7">
        <v>6</v>
      </c>
      <c r="W9" s="7">
        <v>5</v>
      </c>
      <c r="X9" s="7">
        <v>4</v>
      </c>
      <c r="Y9" s="7">
        <v>6</v>
      </c>
      <c r="Z9" s="7">
        <v>13</v>
      </c>
      <c r="AA9" s="7">
        <v>9</v>
      </c>
      <c r="AB9" s="7">
        <v>9</v>
      </c>
      <c r="AC9" s="7">
        <v>1</v>
      </c>
      <c r="AD9" s="7">
        <v>1</v>
      </c>
      <c r="AE9" s="7">
        <v>2</v>
      </c>
      <c r="AF9" s="8">
        <v>7</v>
      </c>
      <c r="AG9" s="4">
        <f t="shared" si="2"/>
        <v>136</v>
      </c>
    </row>
    <row r="10" spans="1:33" ht="18.75" x14ac:dyDescent="0.25">
      <c r="A10" s="41" t="s">
        <v>41</v>
      </c>
      <c r="B10" s="7">
        <v>12</v>
      </c>
      <c r="C10" s="7">
        <v>17</v>
      </c>
      <c r="D10" s="7">
        <v>12</v>
      </c>
      <c r="E10" s="7">
        <v>13</v>
      </c>
      <c r="F10" s="7">
        <v>4</v>
      </c>
      <c r="G10" s="7">
        <v>2</v>
      </c>
      <c r="H10" s="7">
        <v>22</v>
      </c>
      <c r="I10" s="7">
        <v>8</v>
      </c>
      <c r="J10" s="7">
        <v>13</v>
      </c>
      <c r="K10" s="7">
        <v>12</v>
      </c>
      <c r="L10" s="7">
        <v>16</v>
      </c>
      <c r="M10" s="7">
        <v>12</v>
      </c>
      <c r="N10" s="7">
        <v>13</v>
      </c>
      <c r="O10" s="7">
        <v>18</v>
      </c>
      <c r="P10" s="7">
        <v>16</v>
      </c>
      <c r="Q10" s="7">
        <v>20</v>
      </c>
      <c r="R10" s="7">
        <v>13</v>
      </c>
      <c r="S10" s="7">
        <v>16</v>
      </c>
      <c r="T10" s="7">
        <v>6</v>
      </c>
      <c r="U10" s="7">
        <v>7</v>
      </c>
      <c r="V10" s="7">
        <v>21</v>
      </c>
      <c r="W10" s="7">
        <v>13</v>
      </c>
      <c r="X10" s="7">
        <v>21</v>
      </c>
      <c r="Y10" s="7">
        <v>12</v>
      </c>
      <c r="Z10" s="7">
        <v>18</v>
      </c>
      <c r="AA10" s="7">
        <v>10</v>
      </c>
      <c r="AB10" s="7">
        <v>12</v>
      </c>
      <c r="AC10" s="7">
        <v>16</v>
      </c>
      <c r="AD10" s="7">
        <v>19</v>
      </c>
      <c r="AE10" s="7">
        <v>18</v>
      </c>
      <c r="AF10" s="8">
        <v>7</v>
      </c>
      <c r="AG10" s="4">
        <f t="shared" si="2"/>
        <v>419</v>
      </c>
    </row>
    <row r="11" spans="1:33" ht="18.75" x14ac:dyDescent="0.25">
      <c r="A11" s="41" t="s">
        <v>42</v>
      </c>
      <c r="B11" s="7">
        <v>9</v>
      </c>
      <c r="C11" s="7">
        <v>12</v>
      </c>
      <c r="D11" s="7">
        <v>12</v>
      </c>
      <c r="E11" s="7">
        <v>6</v>
      </c>
      <c r="F11" s="7">
        <v>9</v>
      </c>
      <c r="G11" s="7">
        <v>6</v>
      </c>
      <c r="H11" s="7">
        <v>17</v>
      </c>
      <c r="I11" s="7">
        <v>12</v>
      </c>
      <c r="J11" s="7">
        <v>7</v>
      </c>
      <c r="K11" s="7">
        <v>10</v>
      </c>
      <c r="L11" s="7">
        <v>7</v>
      </c>
      <c r="M11" s="7">
        <v>6</v>
      </c>
      <c r="N11" s="7">
        <v>8</v>
      </c>
      <c r="O11" s="7">
        <v>8</v>
      </c>
      <c r="P11" s="7">
        <v>14</v>
      </c>
      <c r="Q11" s="7">
        <v>15</v>
      </c>
      <c r="R11" s="7">
        <v>6</v>
      </c>
      <c r="S11" s="7">
        <v>5</v>
      </c>
      <c r="T11" s="7">
        <v>7</v>
      </c>
      <c r="U11" s="7">
        <v>5</v>
      </c>
      <c r="V11" s="7">
        <v>8</v>
      </c>
      <c r="W11" s="7">
        <v>6</v>
      </c>
      <c r="X11" s="7">
        <v>9</v>
      </c>
      <c r="Y11" s="7">
        <v>7</v>
      </c>
      <c r="Z11" s="7">
        <v>5</v>
      </c>
      <c r="AA11" s="7">
        <v>9</v>
      </c>
      <c r="AB11" s="7">
        <v>20</v>
      </c>
      <c r="AC11" s="7">
        <v>4</v>
      </c>
      <c r="AD11" s="7">
        <v>16</v>
      </c>
      <c r="AE11" s="7">
        <v>14</v>
      </c>
      <c r="AF11" s="8">
        <v>8</v>
      </c>
      <c r="AG11" s="4">
        <f t="shared" si="2"/>
        <v>287</v>
      </c>
    </row>
    <row r="12" spans="1:33" ht="18.75" x14ac:dyDescent="0.25">
      <c r="A12" s="41" t="s">
        <v>43</v>
      </c>
      <c r="B12" s="7">
        <v>18</v>
      </c>
      <c r="C12" s="7">
        <v>11</v>
      </c>
      <c r="D12" s="7">
        <v>20</v>
      </c>
      <c r="E12" s="7">
        <v>17</v>
      </c>
      <c r="F12" s="7">
        <v>5</v>
      </c>
      <c r="G12" s="7">
        <v>5</v>
      </c>
      <c r="H12" s="7">
        <v>9</v>
      </c>
      <c r="I12" s="7">
        <v>11</v>
      </c>
      <c r="J12" s="7">
        <v>9</v>
      </c>
      <c r="K12" s="7">
        <v>11</v>
      </c>
      <c r="L12" s="7">
        <v>19</v>
      </c>
      <c r="M12" s="7">
        <v>6</v>
      </c>
      <c r="N12" s="7">
        <v>9</v>
      </c>
      <c r="O12" s="7">
        <v>9</v>
      </c>
      <c r="P12" s="7">
        <v>17</v>
      </c>
      <c r="Q12" s="7">
        <v>18</v>
      </c>
      <c r="R12" s="7">
        <v>17</v>
      </c>
      <c r="S12" s="7">
        <v>13</v>
      </c>
      <c r="T12" s="7">
        <v>9</v>
      </c>
      <c r="U12" s="7">
        <v>6</v>
      </c>
      <c r="V12" s="7">
        <v>6</v>
      </c>
      <c r="W12" s="7">
        <v>10</v>
      </c>
      <c r="X12" s="7">
        <v>14</v>
      </c>
      <c r="Y12" s="7">
        <v>11</v>
      </c>
      <c r="Z12" s="7">
        <v>17</v>
      </c>
      <c r="AA12" s="7">
        <v>7</v>
      </c>
      <c r="AB12" s="7">
        <v>7</v>
      </c>
      <c r="AC12" s="7">
        <v>16</v>
      </c>
      <c r="AD12" s="7">
        <v>12</v>
      </c>
      <c r="AE12" s="7">
        <v>13</v>
      </c>
      <c r="AF12" s="8">
        <v>7</v>
      </c>
      <c r="AG12" s="4">
        <f t="shared" si="2"/>
        <v>359</v>
      </c>
    </row>
    <row r="13" spans="1:33" ht="18.75" x14ac:dyDescent="0.25">
      <c r="A13" s="41" t="s">
        <v>44</v>
      </c>
      <c r="B13" s="7">
        <v>13</v>
      </c>
      <c r="C13" s="7">
        <v>12</v>
      </c>
      <c r="D13" s="7">
        <v>19</v>
      </c>
      <c r="E13" s="7">
        <v>11</v>
      </c>
      <c r="F13" s="7">
        <v>11</v>
      </c>
      <c r="G13" s="7">
        <v>7</v>
      </c>
      <c r="H13" s="7">
        <v>14</v>
      </c>
      <c r="I13" s="7">
        <v>11</v>
      </c>
      <c r="J13" s="7">
        <v>27</v>
      </c>
      <c r="K13" s="7">
        <v>16</v>
      </c>
      <c r="L13" s="7">
        <v>12</v>
      </c>
      <c r="M13" s="7">
        <v>13</v>
      </c>
      <c r="N13" s="7">
        <v>5</v>
      </c>
      <c r="O13" s="7">
        <v>16</v>
      </c>
      <c r="P13" s="7">
        <v>12</v>
      </c>
      <c r="Q13" s="7">
        <v>28</v>
      </c>
      <c r="R13" s="7">
        <v>12</v>
      </c>
      <c r="S13" s="7">
        <v>12</v>
      </c>
      <c r="T13" s="7">
        <v>14</v>
      </c>
      <c r="U13" s="7">
        <v>6</v>
      </c>
      <c r="V13" s="7">
        <v>13</v>
      </c>
      <c r="W13" s="7">
        <v>6</v>
      </c>
      <c r="X13" s="7">
        <v>16</v>
      </c>
      <c r="Y13" s="7">
        <v>4</v>
      </c>
      <c r="Z13" s="7">
        <v>9</v>
      </c>
      <c r="AA13" s="7">
        <v>10</v>
      </c>
      <c r="AB13" s="7">
        <v>7</v>
      </c>
      <c r="AC13" s="7">
        <v>12</v>
      </c>
      <c r="AD13" s="7">
        <v>14</v>
      </c>
      <c r="AE13" s="7">
        <v>17</v>
      </c>
      <c r="AF13" s="8">
        <v>11</v>
      </c>
      <c r="AG13" s="4">
        <f t="shared" si="2"/>
        <v>390</v>
      </c>
    </row>
    <row r="14" spans="1:33" ht="18.75" x14ac:dyDescent="0.25">
      <c r="A14" s="41" t="s">
        <v>45</v>
      </c>
      <c r="B14" s="7">
        <v>7</v>
      </c>
      <c r="C14" s="7">
        <v>16</v>
      </c>
      <c r="D14" s="7">
        <v>8</v>
      </c>
      <c r="E14" s="7">
        <v>11</v>
      </c>
      <c r="F14" s="7">
        <v>9</v>
      </c>
      <c r="G14" s="7">
        <v>6</v>
      </c>
      <c r="H14" s="7">
        <v>11</v>
      </c>
      <c r="I14" s="7">
        <v>15</v>
      </c>
      <c r="J14" s="7">
        <v>10</v>
      </c>
      <c r="K14" s="7">
        <v>10</v>
      </c>
      <c r="L14" s="7">
        <v>15</v>
      </c>
      <c r="M14" s="7">
        <v>17</v>
      </c>
      <c r="N14" s="7">
        <v>12</v>
      </c>
      <c r="O14" s="7">
        <v>17</v>
      </c>
      <c r="P14" s="7">
        <v>10</v>
      </c>
      <c r="Q14" s="7">
        <v>16</v>
      </c>
      <c r="R14" s="7">
        <v>14</v>
      </c>
      <c r="S14" s="7">
        <v>12</v>
      </c>
      <c r="T14" s="7">
        <v>7</v>
      </c>
      <c r="U14" s="7">
        <v>9</v>
      </c>
      <c r="V14" s="7">
        <v>10</v>
      </c>
      <c r="W14" s="7">
        <v>8</v>
      </c>
      <c r="X14" s="7">
        <v>7</v>
      </c>
      <c r="Y14" s="7">
        <v>5</v>
      </c>
      <c r="Z14" s="7">
        <v>6</v>
      </c>
      <c r="AA14" s="7">
        <v>7</v>
      </c>
      <c r="AB14" s="7">
        <v>7</v>
      </c>
      <c r="AC14" s="7">
        <v>13</v>
      </c>
      <c r="AD14" s="7">
        <v>12</v>
      </c>
      <c r="AE14" s="7">
        <v>7</v>
      </c>
      <c r="AF14" s="8">
        <v>12</v>
      </c>
      <c r="AG14" s="4">
        <f t="shared" si="2"/>
        <v>326</v>
      </c>
    </row>
    <row r="15" spans="1:33" ht="18.75" x14ac:dyDescent="0.25">
      <c r="A15" s="41" t="s">
        <v>46</v>
      </c>
      <c r="B15" s="7">
        <v>17</v>
      </c>
      <c r="C15" s="7">
        <v>13</v>
      </c>
      <c r="D15" s="7">
        <v>8</v>
      </c>
      <c r="E15" s="7">
        <v>6</v>
      </c>
      <c r="F15" s="7">
        <v>11</v>
      </c>
      <c r="G15" s="7">
        <v>13</v>
      </c>
      <c r="H15" s="7">
        <v>8</v>
      </c>
      <c r="I15" s="7">
        <v>9</v>
      </c>
      <c r="J15" s="7">
        <v>14</v>
      </c>
      <c r="K15" s="7">
        <v>5</v>
      </c>
      <c r="L15" s="7">
        <v>5</v>
      </c>
      <c r="M15" s="7">
        <v>7</v>
      </c>
      <c r="N15" s="7">
        <v>7</v>
      </c>
      <c r="O15" s="7">
        <v>5</v>
      </c>
      <c r="P15" s="7">
        <v>16</v>
      </c>
      <c r="Q15" s="7">
        <v>13</v>
      </c>
      <c r="R15" s="7">
        <v>9</v>
      </c>
      <c r="S15" s="7">
        <v>7</v>
      </c>
      <c r="T15" s="7">
        <v>13</v>
      </c>
      <c r="U15" s="7">
        <v>6</v>
      </c>
      <c r="V15" s="7">
        <v>4</v>
      </c>
      <c r="W15" s="7">
        <v>11</v>
      </c>
      <c r="X15" s="7">
        <v>14</v>
      </c>
      <c r="Y15" s="7">
        <v>4</v>
      </c>
      <c r="Z15" s="7">
        <v>9</v>
      </c>
      <c r="AA15" s="7">
        <v>9</v>
      </c>
      <c r="AB15" s="7">
        <v>14</v>
      </c>
      <c r="AC15" s="7">
        <v>21</v>
      </c>
      <c r="AD15" s="7">
        <v>10</v>
      </c>
      <c r="AE15" s="7">
        <v>12</v>
      </c>
      <c r="AF15" s="8">
        <v>7</v>
      </c>
      <c r="AG15" s="4">
        <f t="shared" si="2"/>
        <v>307</v>
      </c>
    </row>
    <row r="16" spans="1:33" ht="18.75" x14ac:dyDescent="0.25">
      <c r="A16" s="41" t="s">
        <v>47</v>
      </c>
      <c r="B16" s="7">
        <v>12</v>
      </c>
      <c r="C16" s="7">
        <v>14</v>
      </c>
      <c r="D16" s="7">
        <v>10</v>
      </c>
      <c r="E16" s="7">
        <v>6</v>
      </c>
      <c r="F16" s="7">
        <v>6</v>
      </c>
      <c r="G16" s="7">
        <v>7</v>
      </c>
      <c r="H16" s="7">
        <v>7</v>
      </c>
      <c r="I16" s="7">
        <v>9</v>
      </c>
      <c r="J16" s="7">
        <v>13</v>
      </c>
      <c r="K16" s="7">
        <v>7</v>
      </c>
      <c r="L16" s="7">
        <v>8</v>
      </c>
      <c r="M16" s="7">
        <v>11</v>
      </c>
      <c r="N16" s="7">
        <v>7</v>
      </c>
      <c r="O16" s="7">
        <v>10</v>
      </c>
      <c r="P16" s="7">
        <v>9</v>
      </c>
      <c r="Q16" s="7">
        <v>10</v>
      </c>
      <c r="R16" s="7">
        <v>9</v>
      </c>
      <c r="S16" s="7">
        <v>11</v>
      </c>
      <c r="T16" s="7">
        <v>7</v>
      </c>
      <c r="U16" s="7">
        <v>10</v>
      </c>
      <c r="V16" s="7">
        <v>12</v>
      </c>
      <c r="W16" s="7">
        <v>13</v>
      </c>
      <c r="X16" s="7">
        <v>5</v>
      </c>
      <c r="Y16" s="7">
        <v>2</v>
      </c>
      <c r="Z16" s="7">
        <v>5</v>
      </c>
      <c r="AA16" s="7">
        <v>7</v>
      </c>
      <c r="AB16" s="7">
        <v>10</v>
      </c>
      <c r="AC16" s="7">
        <v>7</v>
      </c>
      <c r="AD16" s="7">
        <v>12</v>
      </c>
      <c r="AE16" s="7">
        <v>10</v>
      </c>
      <c r="AF16" s="8">
        <v>4</v>
      </c>
      <c r="AG16" s="4">
        <f t="shared" si="2"/>
        <v>270</v>
      </c>
    </row>
    <row r="17" spans="1:33" ht="18.75" x14ac:dyDescent="0.25">
      <c r="A17" s="41" t="s">
        <v>48</v>
      </c>
      <c r="B17" s="7">
        <v>14</v>
      </c>
      <c r="C17" s="7">
        <v>13</v>
      </c>
      <c r="D17" s="7">
        <v>4</v>
      </c>
      <c r="E17" s="7">
        <v>20</v>
      </c>
      <c r="F17" s="7">
        <v>7</v>
      </c>
      <c r="G17" s="7">
        <v>6</v>
      </c>
      <c r="H17" s="7">
        <v>11</v>
      </c>
      <c r="I17" s="7">
        <v>9</v>
      </c>
      <c r="J17" s="7">
        <v>21</v>
      </c>
      <c r="K17" s="7">
        <v>8</v>
      </c>
      <c r="L17" s="7">
        <v>5</v>
      </c>
      <c r="M17" s="7">
        <v>7</v>
      </c>
      <c r="N17" s="7">
        <v>7</v>
      </c>
      <c r="O17" s="7">
        <v>4</v>
      </c>
      <c r="P17" s="7">
        <v>3</v>
      </c>
      <c r="Q17" s="7">
        <v>6</v>
      </c>
      <c r="R17" s="7">
        <v>5</v>
      </c>
      <c r="S17" s="7">
        <v>7</v>
      </c>
      <c r="T17" s="7">
        <v>6</v>
      </c>
      <c r="U17" s="7">
        <v>1</v>
      </c>
      <c r="V17" s="7">
        <v>8</v>
      </c>
      <c r="W17" s="7">
        <v>9</v>
      </c>
      <c r="X17" s="7">
        <v>5</v>
      </c>
      <c r="Y17" s="7">
        <v>4</v>
      </c>
      <c r="Z17" s="7">
        <v>6</v>
      </c>
      <c r="AA17" s="7">
        <v>9</v>
      </c>
      <c r="AB17" s="7">
        <v>18</v>
      </c>
      <c r="AC17" s="7">
        <v>15</v>
      </c>
      <c r="AD17" s="7">
        <v>25</v>
      </c>
      <c r="AE17" s="7">
        <v>5</v>
      </c>
      <c r="AF17" s="8"/>
      <c r="AG17" s="4">
        <f t="shared" si="2"/>
        <v>268</v>
      </c>
    </row>
    <row r="18" spans="1:33" ht="18.75" x14ac:dyDescent="0.25">
      <c r="A18" s="41" t="s">
        <v>49</v>
      </c>
      <c r="B18" s="7">
        <v>9</v>
      </c>
      <c r="C18" s="7">
        <v>4</v>
      </c>
      <c r="D18" s="7">
        <v>6</v>
      </c>
      <c r="E18" s="7">
        <v>5</v>
      </c>
      <c r="F18" s="7">
        <v>7</v>
      </c>
      <c r="G18" s="7">
        <v>6</v>
      </c>
      <c r="H18" s="7">
        <v>6</v>
      </c>
      <c r="I18" s="7">
        <v>8</v>
      </c>
      <c r="J18" s="7">
        <v>12</v>
      </c>
      <c r="K18" s="7">
        <v>10</v>
      </c>
      <c r="L18" s="7">
        <v>4</v>
      </c>
      <c r="M18" s="7">
        <v>5</v>
      </c>
      <c r="N18" s="7">
        <v>5</v>
      </c>
      <c r="O18" s="7">
        <v>9</v>
      </c>
      <c r="P18" s="7">
        <v>10</v>
      </c>
      <c r="Q18" s="7">
        <v>5</v>
      </c>
      <c r="R18" s="7">
        <v>6</v>
      </c>
      <c r="S18" s="7">
        <v>8</v>
      </c>
      <c r="T18" s="7">
        <v>6</v>
      </c>
      <c r="U18" s="7">
        <v>4</v>
      </c>
      <c r="V18" s="7">
        <v>11</v>
      </c>
      <c r="W18" s="7">
        <v>9</v>
      </c>
      <c r="X18" s="7">
        <v>8</v>
      </c>
      <c r="Y18" s="7">
        <v>3</v>
      </c>
      <c r="Z18" s="7">
        <v>7</v>
      </c>
      <c r="AA18" s="7">
        <v>5</v>
      </c>
      <c r="AB18" s="7">
        <v>4</v>
      </c>
      <c r="AC18" s="7">
        <v>14</v>
      </c>
      <c r="AD18" s="7">
        <v>3</v>
      </c>
      <c r="AE18" s="7">
        <v>6</v>
      </c>
      <c r="AF18" s="8"/>
      <c r="AG18" s="4">
        <f t="shared" si="2"/>
        <v>205</v>
      </c>
    </row>
    <row r="19" spans="1:33" ht="18.75" x14ac:dyDescent="0.25">
      <c r="A19" s="41" t="s">
        <v>50</v>
      </c>
      <c r="B19" s="7">
        <v>5</v>
      </c>
      <c r="C19" s="7">
        <v>10</v>
      </c>
      <c r="D19" s="7">
        <v>4</v>
      </c>
      <c r="E19" s="7">
        <v>2</v>
      </c>
      <c r="F19" s="7">
        <v>6</v>
      </c>
      <c r="G19" s="7">
        <v>2</v>
      </c>
      <c r="H19" s="7">
        <v>4</v>
      </c>
      <c r="I19" s="7">
        <v>6</v>
      </c>
      <c r="J19" s="7">
        <v>7</v>
      </c>
      <c r="K19" s="7">
        <v>2</v>
      </c>
      <c r="L19" s="7">
        <v>3</v>
      </c>
      <c r="M19" s="7">
        <v>4</v>
      </c>
      <c r="N19" s="7">
        <v>5</v>
      </c>
      <c r="O19" s="7">
        <v>2</v>
      </c>
      <c r="P19" s="7">
        <v>6</v>
      </c>
      <c r="Q19" s="7">
        <v>6</v>
      </c>
      <c r="R19" s="7">
        <v>4</v>
      </c>
      <c r="S19" s="7">
        <v>5</v>
      </c>
      <c r="T19" s="7">
        <v>5</v>
      </c>
      <c r="U19" s="7">
        <v>4</v>
      </c>
      <c r="V19" s="7">
        <v>7</v>
      </c>
      <c r="W19" s="7">
        <v>10</v>
      </c>
      <c r="X19" s="7">
        <v>7</v>
      </c>
      <c r="Y19" s="7">
        <v>2</v>
      </c>
      <c r="Z19" s="7">
        <v>3</v>
      </c>
      <c r="AA19" s="7">
        <v>7</v>
      </c>
      <c r="AB19" s="7">
        <v>4</v>
      </c>
      <c r="AC19" s="7">
        <v>8</v>
      </c>
      <c r="AD19" s="7">
        <v>2</v>
      </c>
      <c r="AE19" s="7">
        <v>5</v>
      </c>
      <c r="AF19" s="8"/>
      <c r="AG19" s="4">
        <f t="shared" si="2"/>
        <v>147</v>
      </c>
    </row>
    <row r="20" spans="1:33" ht="18.75" x14ac:dyDescent="0.25">
      <c r="A20" s="41" t="s">
        <v>33</v>
      </c>
      <c r="B20" s="7">
        <v>2</v>
      </c>
      <c r="C20" s="7">
        <v>2</v>
      </c>
      <c r="D20" s="7">
        <v>3</v>
      </c>
      <c r="E20" s="7">
        <v>5</v>
      </c>
      <c r="F20" s="7">
        <v>1</v>
      </c>
      <c r="G20" s="7">
        <v>2</v>
      </c>
      <c r="H20" s="7">
        <v>3</v>
      </c>
      <c r="I20" s="7">
        <v>4</v>
      </c>
      <c r="J20" s="7">
        <v>4</v>
      </c>
      <c r="K20" s="7">
        <v>5</v>
      </c>
      <c r="L20" s="7">
        <v>2</v>
      </c>
      <c r="M20" s="7">
        <v>2</v>
      </c>
      <c r="N20" s="7">
        <v>4</v>
      </c>
      <c r="O20" s="7">
        <v>2</v>
      </c>
      <c r="P20" s="7">
        <v>2</v>
      </c>
      <c r="Q20" s="7">
        <v>3</v>
      </c>
      <c r="R20" s="7">
        <v>8</v>
      </c>
      <c r="S20" s="7">
        <v>2</v>
      </c>
      <c r="T20" s="7">
        <v>4</v>
      </c>
      <c r="U20" s="7">
        <v>3</v>
      </c>
      <c r="V20" s="7">
        <v>6</v>
      </c>
      <c r="W20" s="7">
        <v>4</v>
      </c>
      <c r="X20" s="7">
        <v>9</v>
      </c>
      <c r="Y20" s="7">
        <v>3</v>
      </c>
      <c r="Z20" s="7">
        <v>3</v>
      </c>
      <c r="AA20" s="7">
        <v>4</v>
      </c>
      <c r="AB20" s="7">
        <v>1</v>
      </c>
      <c r="AC20" s="7">
        <v>3</v>
      </c>
      <c r="AD20" s="7">
        <v>5</v>
      </c>
      <c r="AE20" s="7">
        <v>5</v>
      </c>
      <c r="AF20" s="8">
        <v>4</v>
      </c>
      <c r="AG20" s="4">
        <f t="shared" si="2"/>
        <v>110</v>
      </c>
    </row>
    <row r="21" spans="1:33" ht="18.75" x14ac:dyDescent="0.25">
      <c r="A21" s="41" t="s">
        <v>34</v>
      </c>
      <c r="B21" s="7">
        <v>3</v>
      </c>
      <c r="C21" s="7">
        <v>3</v>
      </c>
      <c r="D21" s="7">
        <v>1</v>
      </c>
      <c r="E21" s="7">
        <v>3</v>
      </c>
      <c r="F21" s="7">
        <v>4</v>
      </c>
      <c r="G21" s="7">
        <v>6</v>
      </c>
      <c r="H21" s="7">
        <v>1</v>
      </c>
      <c r="I21" s="7">
        <v>3</v>
      </c>
      <c r="J21" s="7">
        <v>1</v>
      </c>
      <c r="K21" s="7">
        <v>2</v>
      </c>
      <c r="L21" s="7">
        <v>4</v>
      </c>
      <c r="M21" s="7"/>
      <c r="N21" s="7">
        <v>2</v>
      </c>
      <c r="O21" s="7">
        <v>3</v>
      </c>
      <c r="P21" s="7">
        <v>2</v>
      </c>
      <c r="Q21" s="7">
        <v>2</v>
      </c>
      <c r="R21" s="7">
        <v>4</v>
      </c>
      <c r="S21" s="7">
        <v>3</v>
      </c>
      <c r="T21" s="7">
        <v>5</v>
      </c>
      <c r="U21" s="7">
        <v>1</v>
      </c>
      <c r="V21" s="7">
        <v>4</v>
      </c>
      <c r="W21" s="7">
        <v>8</v>
      </c>
      <c r="X21" s="7">
        <v>4</v>
      </c>
      <c r="Y21" s="7">
        <v>3</v>
      </c>
      <c r="Z21" s="7"/>
      <c r="AA21" s="7">
        <v>2</v>
      </c>
      <c r="AB21" s="7"/>
      <c r="AC21" s="7">
        <v>2</v>
      </c>
      <c r="AD21" s="7">
        <v>2</v>
      </c>
      <c r="AE21" s="7">
        <v>2</v>
      </c>
      <c r="AF21" s="8">
        <v>5</v>
      </c>
      <c r="AG21" s="4">
        <f t="shared" si="2"/>
        <v>85</v>
      </c>
    </row>
    <row r="22" spans="1:33" ht="18.75" x14ac:dyDescent="0.25">
      <c r="A22" s="41" t="s">
        <v>35</v>
      </c>
      <c r="B22" s="7">
        <v>1</v>
      </c>
      <c r="C22" s="7">
        <v>1</v>
      </c>
      <c r="D22" s="7">
        <v>1</v>
      </c>
      <c r="E22" s="7"/>
      <c r="F22" s="7"/>
      <c r="G22" s="7"/>
      <c r="H22" s="7"/>
      <c r="I22" s="7"/>
      <c r="J22" s="7">
        <v>1</v>
      </c>
      <c r="K22" s="7">
        <v>2</v>
      </c>
      <c r="L22" s="7">
        <v>2</v>
      </c>
      <c r="M22" s="7">
        <v>2</v>
      </c>
      <c r="N22" s="7"/>
      <c r="O22" s="7"/>
      <c r="P22" s="7">
        <v>1</v>
      </c>
      <c r="Q22" s="7">
        <v>1</v>
      </c>
      <c r="R22" s="7">
        <v>1</v>
      </c>
      <c r="S22" s="7">
        <v>1</v>
      </c>
      <c r="T22" s="7">
        <v>1</v>
      </c>
      <c r="U22" s="7"/>
      <c r="V22" s="7">
        <v>2</v>
      </c>
      <c r="W22" s="7">
        <v>1</v>
      </c>
      <c r="X22" s="7"/>
      <c r="Y22" s="7">
        <v>1</v>
      </c>
      <c r="Z22" s="7">
        <v>1</v>
      </c>
      <c r="AA22" s="7">
        <v>4</v>
      </c>
      <c r="AB22" s="7"/>
      <c r="AC22" s="7">
        <v>3</v>
      </c>
      <c r="AD22" s="7">
        <v>2</v>
      </c>
      <c r="AE22" s="7"/>
      <c r="AF22" s="8">
        <v>1</v>
      </c>
      <c r="AG22" s="4">
        <f t="shared" si="2"/>
        <v>30</v>
      </c>
    </row>
    <row r="23" spans="1:33" ht="18.75" x14ac:dyDescent="0.25">
      <c r="A23" s="41" t="s">
        <v>36</v>
      </c>
      <c r="B23" s="7"/>
      <c r="C23" s="7">
        <v>3</v>
      </c>
      <c r="D23" s="7">
        <v>3</v>
      </c>
      <c r="E23" s="7">
        <v>1</v>
      </c>
      <c r="F23" s="7">
        <v>1</v>
      </c>
      <c r="G23" s="7">
        <v>1</v>
      </c>
      <c r="H23" s="7">
        <v>2</v>
      </c>
      <c r="I23" s="7">
        <v>2</v>
      </c>
      <c r="J23" s="7"/>
      <c r="K23" s="7"/>
      <c r="L23" s="7">
        <v>3</v>
      </c>
      <c r="M23" s="7">
        <v>2</v>
      </c>
      <c r="N23" s="7">
        <v>1</v>
      </c>
      <c r="O23" s="7">
        <v>2</v>
      </c>
      <c r="P23" s="7"/>
      <c r="Q23" s="7"/>
      <c r="R23" s="7"/>
      <c r="S23" s="7">
        <v>1</v>
      </c>
      <c r="T23" s="7"/>
      <c r="U23" s="7"/>
      <c r="V23" s="7">
        <v>1</v>
      </c>
      <c r="W23" s="7">
        <v>3</v>
      </c>
      <c r="X23" s="7">
        <v>1</v>
      </c>
      <c r="Y23" s="7">
        <v>2</v>
      </c>
      <c r="Z23" s="7"/>
      <c r="AA23" s="7">
        <v>3</v>
      </c>
      <c r="AB23" s="7">
        <v>1</v>
      </c>
      <c r="AC23" s="7">
        <v>2</v>
      </c>
      <c r="AD23" s="7">
        <v>1</v>
      </c>
      <c r="AE23" s="7"/>
      <c r="AF23" s="8">
        <v>2</v>
      </c>
      <c r="AG23" s="4">
        <f t="shared" si="2"/>
        <v>38</v>
      </c>
    </row>
    <row r="24" spans="1:33" ht="18.75" x14ac:dyDescent="0.25">
      <c r="A24" s="41" t="s">
        <v>51</v>
      </c>
      <c r="B24" s="7"/>
      <c r="C24" s="7"/>
      <c r="D24" s="7"/>
      <c r="E24" s="7">
        <v>1</v>
      </c>
      <c r="F24" s="7">
        <v>1</v>
      </c>
      <c r="G24" s="7">
        <v>1</v>
      </c>
      <c r="H24" s="7"/>
      <c r="I24" s="7"/>
      <c r="J24" s="7">
        <v>1</v>
      </c>
      <c r="K24" s="7"/>
      <c r="L24" s="7">
        <v>1</v>
      </c>
      <c r="M24" s="7">
        <v>1</v>
      </c>
      <c r="N24" s="7"/>
      <c r="O24" s="7"/>
      <c r="P24" s="7"/>
      <c r="Q24" s="7">
        <v>1</v>
      </c>
      <c r="R24" s="7"/>
      <c r="S24" s="7"/>
      <c r="T24" s="7">
        <v>1</v>
      </c>
      <c r="U24" s="7"/>
      <c r="V24" s="7"/>
      <c r="W24" s="7"/>
      <c r="X24" s="7">
        <v>1</v>
      </c>
      <c r="Y24" s="7">
        <v>3</v>
      </c>
      <c r="Z24" s="7"/>
      <c r="AA24" s="7"/>
      <c r="AB24" s="7">
        <v>1</v>
      </c>
      <c r="AC24" s="7"/>
      <c r="AD24" s="7"/>
      <c r="AE24" s="7">
        <v>1</v>
      </c>
      <c r="AF24" s="8"/>
      <c r="AG24" s="4">
        <f t="shared" si="2"/>
        <v>14</v>
      </c>
    </row>
    <row r="25" spans="1:33" ht="18.75" x14ac:dyDescent="0.25">
      <c r="A25" s="41" t="s">
        <v>52</v>
      </c>
      <c r="B25" s="7">
        <v>1</v>
      </c>
      <c r="C25" s="7">
        <v>2</v>
      </c>
      <c r="D25" s="7"/>
      <c r="E25" s="7"/>
      <c r="F25" s="7">
        <v>1</v>
      </c>
      <c r="G25" s="7">
        <v>1</v>
      </c>
      <c r="H25" s="7">
        <v>1</v>
      </c>
      <c r="I25" s="7">
        <v>1</v>
      </c>
      <c r="J25" s="7"/>
      <c r="K25" s="7">
        <v>1</v>
      </c>
      <c r="L25" s="7"/>
      <c r="M25" s="7"/>
      <c r="N25" s="7"/>
      <c r="O25" s="7"/>
      <c r="P25" s="7"/>
      <c r="Q25" s="7"/>
      <c r="R25" s="7">
        <v>1</v>
      </c>
      <c r="S25" s="7">
        <v>1</v>
      </c>
      <c r="T25" s="7">
        <v>5</v>
      </c>
      <c r="U25" s="7"/>
      <c r="V25" s="7">
        <v>1</v>
      </c>
      <c r="W25" s="7">
        <v>1</v>
      </c>
      <c r="X25" s="7"/>
      <c r="Y25" s="7">
        <v>1</v>
      </c>
      <c r="Z25" s="7">
        <v>1</v>
      </c>
      <c r="AA25" s="7"/>
      <c r="AB25" s="7">
        <v>2</v>
      </c>
      <c r="AC25" s="7"/>
      <c r="AD25" s="7"/>
      <c r="AE25" s="7">
        <v>2</v>
      </c>
      <c r="AF25" s="8">
        <v>2</v>
      </c>
      <c r="AG25" s="4">
        <f t="shared" si="2"/>
        <v>25</v>
      </c>
    </row>
    <row r="26" spans="1:33" ht="18.75" x14ac:dyDescent="0.25">
      <c r="A26" s="41" t="s">
        <v>37</v>
      </c>
      <c r="B26" s="7"/>
      <c r="C26" s="7">
        <v>2</v>
      </c>
      <c r="D26" s="7"/>
      <c r="E26" s="7"/>
      <c r="F26" s="7"/>
      <c r="G26" s="7">
        <v>1</v>
      </c>
      <c r="H26" s="7"/>
      <c r="I26" s="7">
        <v>1</v>
      </c>
      <c r="J26" s="7">
        <v>1</v>
      </c>
      <c r="K26" s="7">
        <v>1</v>
      </c>
      <c r="L26" s="7">
        <v>2</v>
      </c>
      <c r="M26" s="7"/>
      <c r="N26" s="7">
        <v>1</v>
      </c>
      <c r="O26" s="7"/>
      <c r="P26" s="7">
        <v>1</v>
      </c>
      <c r="Q26" s="7"/>
      <c r="R26" s="7"/>
      <c r="S26" s="7">
        <v>1</v>
      </c>
      <c r="T26" s="7">
        <v>1</v>
      </c>
      <c r="U26" s="7"/>
      <c r="V26" s="7">
        <v>1</v>
      </c>
      <c r="W26" s="7">
        <v>3</v>
      </c>
      <c r="X26" s="7">
        <v>1</v>
      </c>
      <c r="Y26" s="7"/>
      <c r="Z26" s="7"/>
      <c r="AA26" s="7">
        <v>1</v>
      </c>
      <c r="AB26" s="7"/>
      <c r="AC26" s="7"/>
      <c r="AD26" s="7"/>
      <c r="AE26" s="7"/>
      <c r="AF26" s="8">
        <v>3</v>
      </c>
      <c r="AG26" s="4">
        <f t="shared" si="2"/>
        <v>21</v>
      </c>
    </row>
    <row r="27" spans="1:33" ht="19.5" thickBot="1" x14ac:dyDescent="0.3">
      <c r="A27" s="81" t="s">
        <v>53</v>
      </c>
      <c r="B27" s="78"/>
      <c r="C27" s="78"/>
      <c r="D27" s="78"/>
      <c r="E27" s="78"/>
      <c r="F27" s="78"/>
      <c r="G27" s="78">
        <v>1</v>
      </c>
      <c r="H27" s="78">
        <v>3</v>
      </c>
      <c r="I27" s="78"/>
      <c r="J27" s="78">
        <v>3</v>
      </c>
      <c r="K27" s="78"/>
      <c r="L27" s="78"/>
      <c r="M27" s="78">
        <v>2</v>
      </c>
      <c r="N27" s="78">
        <v>2</v>
      </c>
      <c r="O27" s="78">
        <v>2</v>
      </c>
      <c r="P27" s="78">
        <v>1</v>
      </c>
      <c r="Q27" s="78"/>
      <c r="R27" s="78"/>
      <c r="S27" s="78">
        <v>1</v>
      </c>
      <c r="T27" s="78">
        <v>1</v>
      </c>
      <c r="U27" s="78"/>
      <c r="V27" s="78">
        <v>2</v>
      </c>
      <c r="W27" s="78">
        <v>1</v>
      </c>
      <c r="X27" s="78">
        <v>1</v>
      </c>
      <c r="Y27" s="78"/>
      <c r="Z27" s="78">
        <v>1</v>
      </c>
      <c r="AA27" s="78">
        <v>1</v>
      </c>
      <c r="AB27" s="78"/>
      <c r="AC27" s="78"/>
      <c r="AD27" s="78"/>
      <c r="AE27" s="78">
        <v>1</v>
      </c>
      <c r="AF27" s="83"/>
      <c r="AG27" s="4">
        <f t="shared" si="2"/>
        <v>23</v>
      </c>
    </row>
    <row r="28" spans="1:33" ht="18.75" x14ac:dyDescent="0.25">
      <c r="A28" s="79" t="s">
        <v>107</v>
      </c>
      <c r="B28" s="80">
        <f>SUM(B29:B52)</f>
        <v>135</v>
      </c>
      <c r="C28" s="80">
        <f t="shared" ref="C28:AF28" si="3">SUM(C29:C52)</f>
        <v>132</v>
      </c>
      <c r="D28" s="80">
        <f t="shared" si="3"/>
        <v>112</v>
      </c>
      <c r="E28" s="80">
        <f t="shared" si="3"/>
        <v>124</v>
      </c>
      <c r="F28" s="80">
        <f t="shared" si="3"/>
        <v>114</v>
      </c>
      <c r="G28" s="80">
        <f t="shared" si="3"/>
        <v>113</v>
      </c>
      <c r="H28" s="80">
        <f t="shared" si="3"/>
        <v>124</v>
      </c>
      <c r="I28" s="80">
        <f t="shared" si="3"/>
        <v>142</v>
      </c>
      <c r="J28" s="80">
        <f t="shared" si="3"/>
        <v>158</v>
      </c>
      <c r="K28" s="80">
        <f t="shared" si="3"/>
        <v>116</v>
      </c>
      <c r="L28" s="80">
        <f t="shared" si="3"/>
        <v>115</v>
      </c>
      <c r="M28" s="80">
        <f t="shared" si="3"/>
        <v>120</v>
      </c>
      <c r="N28" s="80">
        <f t="shared" si="3"/>
        <v>112</v>
      </c>
      <c r="O28" s="80">
        <f t="shared" si="3"/>
        <v>122</v>
      </c>
      <c r="P28" s="80">
        <f t="shared" si="3"/>
        <v>122</v>
      </c>
      <c r="Q28" s="80">
        <f t="shared" si="3"/>
        <v>149</v>
      </c>
      <c r="R28" s="80">
        <f t="shared" si="3"/>
        <v>127</v>
      </c>
      <c r="S28" s="80">
        <f t="shared" si="3"/>
        <v>112</v>
      </c>
      <c r="T28" s="80">
        <f t="shared" si="3"/>
        <v>124</v>
      </c>
      <c r="U28" s="80">
        <f t="shared" si="3"/>
        <v>97</v>
      </c>
      <c r="V28" s="80">
        <f t="shared" si="3"/>
        <v>138</v>
      </c>
      <c r="W28" s="80">
        <f t="shared" si="3"/>
        <v>128</v>
      </c>
      <c r="X28" s="80">
        <f t="shared" si="3"/>
        <v>129</v>
      </c>
      <c r="Y28" s="80">
        <f t="shared" si="3"/>
        <v>79</v>
      </c>
      <c r="Z28" s="80">
        <f t="shared" si="3"/>
        <v>128</v>
      </c>
      <c r="AA28" s="80">
        <f t="shared" si="3"/>
        <v>142</v>
      </c>
      <c r="AB28" s="80">
        <f t="shared" si="3"/>
        <v>162</v>
      </c>
      <c r="AC28" s="80">
        <f t="shared" si="3"/>
        <v>145</v>
      </c>
      <c r="AD28" s="80">
        <f t="shared" si="3"/>
        <v>141</v>
      </c>
      <c r="AE28" s="80">
        <f t="shared" ref="AE28" si="4">SUM(AE29:AE52)</f>
        <v>129</v>
      </c>
      <c r="AF28" s="80">
        <f t="shared" si="3"/>
        <v>90</v>
      </c>
      <c r="AG28" s="150">
        <f t="shared" si="2"/>
        <v>3881</v>
      </c>
    </row>
    <row r="29" spans="1:33" ht="18.75" x14ac:dyDescent="0.25">
      <c r="A29" s="41" t="s">
        <v>54</v>
      </c>
      <c r="B29" s="7">
        <v>1</v>
      </c>
      <c r="C29" s="7"/>
      <c r="D29" s="7"/>
      <c r="E29" s="7">
        <v>1</v>
      </c>
      <c r="F29" s="7">
        <v>2</v>
      </c>
      <c r="G29" s="7"/>
      <c r="H29" s="7">
        <v>2</v>
      </c>
      <c r="I29" s="7">
        <v>1</v>
      </c>
      <c r="J29" s="7">
        <v>2</v>
      </c>
      <c r="K29" s="7"/>
      <c r="L29" s="7">
        <v>1</v>
      </c>
      <c r="M29" s="7">
        <v>1</v>
      </c>
      <c r="N29" s="7">
        <v>2</v>
      </c>
      <c r="O29" s="7"/>
      <c r="P29" s="7">
        <v>1</v>
      </c>
      <c r="Q29" s="7">
        <v>1</v>
      </c>
      <c r="R29" s="7">
        <v>1</v>
      </c>
      <c r="S29" s="7">
        <v>2</v>
      </c>
      <c r="T29" s="7">
        <v>1</v>
      </c>
      <c r="U29" s="7">
        <v>1</v>
      </c>
      <c r="V29" s="7">
        <v>2</v>
      </c>
      <c r="W29" s="7">
        <v>2</v>
      </c>
      <c r="X29" s="7">
        <v>2</v>
      </c>
      <c r="Y29" s="7"/>
      <c r="Z29" s="7">
        <v>2</v>
      </c>
      <c r="AA29" s="7">
        <v>1</v>
      </c>
      <c r="AB29" s="7">
        <v>3</v>
      </c>
      <c r="AC29" s="7">
        <v>1</v>
      </c>
      <c r="AD29" s="7">
        <v>2</v>
      </c>
      <c r="AE29" s="7"/>
      <c r="AF29" s="8"/>
      <c r="AG29" s="4">
        <f t="shared" si="2"/>
        <v>35</v>
      </c>
    </row>
    <row r="30" spans="1:33" ht="18.75" x14ac:dyDescent="0.25">
      <c r="A30" s="41" t="s">
        <v>55</v>
      </c>
      <c r="B30" s="7">
        <v>1</v>
      </c>
      <c r="C30" s="7">
        <v>3</v>
      </c>
      <c r="D30" s="7">
        <v>2</v>
      </c>
      <c r="E30" s="7">
        <v>1</v>
      </c>
      <c r="F30" s="7">
        <v>3</v>
      </c>
      <c r="G30" s="7">
        <v>3</v>
      </c>
      <c r="H30" s="7">
        <v>4</v>
      </c>
      <c r="I30" s="7">
        <v>5</v>
      </c>
      <c r="J30" s="7">
        <v>2</v>
      </c>
      <c r="K30" s="7">
        <v>1</v>
      </c>
      <c r="L30" s="7"/>
      <c r="M30" s="7">
        <v>4</v>
      </c>
      <c r="N30" s="7">
        <v>1</v>
      </c>
      <c r="O30" s="7">
        <v>6</v>
      </c>
      <c r="P30" s="7"/>
      <c r="Q30" s="7">
        <v>4</v>
      </c>
      <c r="R30" s="7">
        <v>4</v>
      </c>
      <c r="S30" s="7"/>
      <c r="T30" s="7">
        <v>5</v>
      </c>
      <c r="U30" s="7">
        <v>6</v>
      </c>
      <c r="V30" s="7">
        <v>6</v>
      </c>
      <c r="W30" s="7">
        <v>1</v>
      </c>
      <c r="X30" s="7">
        <v>3</v>
      </c>
      <c r="Y30" s="7">
        <v>2</v>
      </c>
      <c r="Z30" s="7">
        <v>1</v>
      </c>
      <c r="AA30" s="7">
        <v>8</v>
      </c>
      <c r="AB30" s="7">
        <v>3</v>
      </c>
      <c r="AC30" s="7">
        <v>4</v>
      </c>
      <c r="AD30" s="7">
        <v>3</v>
      </c>
      <c r="AE30" s="7">
        <v>1</v>
      </c>
      <c r="AF30" s="8">
        <v>2</v>
      </c>
      <c r="AG30" s="4">
        <f t="shared" si="2"/>
        <v>89</v>
      </c>
    </row>
    <row r="31" spans="1:33" ht="18.75" x14ac:dyDescent="0.25">
      <c r="A31" s="41" t="s">
        <v>56</v>
      </c>
      <c r="B31" s="7">
        <v>3</v>
      </c>
      <c r="C31" s="7">
        <v>2</v>
      </c>
      <c r="D31" s="7">
        <v>2</v>
      </c>
      <c r="E31" s="7">
        <v>4</v>
      </c>
      <c r="F31" s="7">
        <v>7</v>
      </c>
      <c r="G31" s="7">
        <v>7</v>
      </c>
      <c r="H31" s="7">
        <v>2</v>
      </c>
      <c r="I31" s="7">
        <v>9</v>
      </c>
      <c r="J31" s="7">
        <v>2</v>
      </c>
      <c r="K31" s="7">
        <v>3</v>
      </c>
      <c r="L31" s="7">
        <v>1</v>
      </c>
      <c r="M31" s="7">
        <v>5</v>
      </c>
      <c r="N31" s="7">
        <v>6</v>
      </c>
      <c r="O31" s="7">
        <v>4</v>
      </c>
      <c r="P31" s="7">
        <v>1</v>
      </c>
      <c r="Q31" s="7">
        <v>3</v>
      </c>
      <c r="R31" s="7">
        <v>4</v>
      </c>
      <c r="S31" s="7">
        <v>2</v>
      </c>
      <c r="T31" s="7">
        <v>10</v>
      </c>
      <c r="U31" s="7">
        <v>6</v>
      </c>
      <c r="V31" s="7">
        <v>4</v>
      </c>
      <c r="W31" s="7">
        <v>1</v>
      </c>
      <c r="X31" s="7">
        <v>1</v>
      </c>
      <c r="Y31" s="7">
        <v>4</v>
      </c>
      <c r="Z31" s="7">
        <v>8</v>
      </c>
      <c r="AA31" s="7">
        <v>5</v>
      </c>
      <c r="AB31" s="7">
        <v>5</v>
      </c>
      <c r="AC31" s="7">
        <v>3</v>
      </c>
      <c r="AD31" s="7">
        <v>3</v>
      </c>
      <c r="AE31" s="7">
        <v>1</v>
      </c>
      <c r="AF31" s="8">
        <v>1</v>
      </c>
      <c r="AG31" s="4">
        <f t="shared" si="2"/>
        <v>119</v>
      </c>
    </row>
    <row r="32" spans="1:33" ht="18.75" x14ac:dyDescent="0.25">
      <c r="A32" s="41" t="s">
        <v>38</v>
      </c>
      <c r="B32" s="7">
        <v>3</v>
      </c>
      <c r="C32" s="7">
        <v>1</v>
      </c>
      <c r="D32" s="7">
        <v>1</v>
      </c>
      <c r="E32" s="7">
        <v>1</v>
      </c>
      <c r="F32" s="7">
        <v>6</v>
      </c>
      <c r="G32" s="7">
        <v>10</v>
      </c>
      <c r="H32" s="7">
        <v>1</v>
      </c>
      <c r="I32" s="7">
        <v>8</v>
      </c>
      <c r="J32" s="7">
        <v>3</v>
      </c>
      <c r="K32" s="7">
        <v>5</v>
      </c>
      <c r="L32" s="7">
        <v>4</v>
      </c>
      <c r="M32" s="7">
        <v>3</v>
      </c>
      <c r="N32" s="7">
        <v>5</v>
      </c>
      <c r="O32" s="7">
        <v>2</v>
      </c>
      <c r="P32" s="7">
        <v>2</v>
      </c>
      <c r="Q32" s="7">
        <v>2</v>
      </c>
      <c r="R32" s="7">
        <v>4</v>
      </c>
      <c r="S32" s="7">
        <v>2</v>
      </c>
      <c r="T32" s="7">
        <v>6</v>
      </c>
      <c r="U32" s="7">
        <v>6</v>
      </c>
      <c r="V32" s="7">
        <v>3</v>
      </c>
      <c r="W32" s="7">
        <v>3</v>
      </c>
      <c r="X32" s="7"/>
      <c r="Y32" s="7"/>
      <c r="Z32" s="7">
        <v>9</v>
      </c>
      <c r="AA32" s="7">
        <v>8</v>
      </c>
      <c r="AB32" s="7">
        <v>11</v>
      </c>
      <c r="AC32" s="7">
        <v>6</v>
      </c>
      <c r="AD32" s="7">
        <v>4</v>
      </c>
      <c r="AE32" s="7">
        <v>2</v>
      </c>
      <c r="AF32" s="8"/>
      <c r="AG32" s="4">
        <f t="shared" si="2"/>
        <v>121</v>
      </c>
    </row>
    <row r="33" spans="1:33" ht="18.75" x14ac:dyDescent="0.25">
      <c r="A33" s="41" t="s">
        <v>39</v>
      </c>
      <c r="B33" s="7">
        <v>6</v>
      </c>
      <c r="C33" s="7">
        <v>2</v>
      </c>
      <c r="D33" s="7">
        <v>4</v>
      </c>
      <c r="E33" s="7">
        <v>3</v>
      </c>
      <c r="F33" s="7">
        <v>7</v>
      </c>
      <c r="G33" s="7">
        <v>11</v>
      </c>
      <c r="H33" s="7">
        <v>2</v>
      </c>
      <c r="I33" s="7">
        <v>5</v>
      </c>
      <c r="J33" s="7">
        <v>6</v>
      </c>
      <c r="K33" s="7">
        <v>6</v>
      </c>
      <c r="L33" s="7">
        <v>3</v>
      </c>
      <c r="M33" s="7">
        <v>8</v>
      </c>
      <c r="N33" s="7">
        <v>8</v>
      </c>
      <c r="O33" s="7">
        <v>2</v>
      </c>
      <c r="P33" s="7">
        <v>2</v>
      </c>
      <c r="Q33" s="7">
        <v>1</v>
      </c>
      <c r="R33" s="7">
        <v>3</v>
      </c>
      <c r="S33" s="7"/>
      <c r="T33" s="7">
        <v>7</v>
      </c>
      <c r="U33" s="7">
        <v>8</v>
      </c>
      <c r="V33" s="7">
        <v>5</v>
      </c>
      <c r="W33" s="7">
        <v>3</v>
      </c>
      <c r="X33" s="7">
        <v>2</v>
      </c>
      <c r="Y33" s="7">
        <v>1</v>
      </c>
      <c r="Z33" s="7">
        <v>7</v>
      </c>
      <c r="AA33" s="7">
        <v>10</v>
      </c>
      <c r="AB33" s="7">
        <v>13</v>
      </c>
      <c r="AC33" s="7">
        <v>4</v>
      </c>
      <c r="AD33" s="7">
        <v>3</v>
      </c>
      <c r="AE33" s="7">
        <v>5</v>
      </c>
      <c r="AF33" s="8">
        <v>2</v>
      </c>
      <c r="AG33" s="4">
        <f t="shared" si="2"/>
        <v>149</v>
      </c>
    </row>
    <row r="34" spans="1:33" ht="18.75" x14ac:dyDescent="0.25">
      <c r="A34" s="41" t="s">
        <v>40</v>
      </c>
      <c r="B34" s="7">
        <v>1</v>
      </c>
      <c r="C34" s="7">
        <v>4</v>
      </c>
      <c r="D34" s="7">
        <v>2</v>
      </c>
      <c r="E34" s="7">
        <v>3</v>
      </c>
      <c r="F34" s="7">
        <v>5</v>
      </c>
      <c r="G34" s="7">
        <v>10</v>
      </c>
      <c r="H34" s="7">
        <v>3</v>
      </c>
      <c r="I34" s="7">
        <v>7</v>
      </c>
      <c r="J34" s="7">
        <v>5</v>
      </c>
      <c r="K34" s="7">
        <v>2</v>
      </c>
      <c r="L34" s="7">
        <v>3</v>
      </c>
      <c r="M34" s="7">
        <v>2</v>
      </c>
      <c r="N34" s="7">
        <v>8</v>
      </c>
      <c r="O34" s="7">
        <v>4</v>
      </c>
      <c r="P34" s="7">
        <v>3</v>
      </c>
      <c r="Q34" s="7">
        <v>3</v>
      </c>
      <c r="R34" s="7">
        <v>2</v>
      </c>
      <c r="S34" s="7">
        <v>1</v>
      </c>
      <c r="T34" s="7">
        <v>4</v>
      </c>
      <c r="U34" s="7">
        <v>9</v>
      </c>
      <c r="V34" s="7">
        <v>2</v>
      </c>
      <c r="W34" s="7">
        <v>1</v>
      </c>
      <c r="X34" s="7">
        <v>2</v>
      </c>
      <c r="Y34" s="7">
        <v>6</v>
      </c>
      <c r="Z34" s="7">
        <v>8</v>
      </c>
      <c r="AA34" s="7">
        <v>6</v>
      </c>
      <c r="AB34" s="7">
        <v>13</v>
      </c>
      <c r="AC34" s="7">
        <v>4</v>
      </c>
      <c r="AD34" s="7">
        <v>1</v>
      </c>
      <c r="AE34" s="7">
        <v>3</v>
      </c>
      <c r="AF34" s="8">
        <v>11</v>
      </c>
      <c r="AG34" s="4">
        <f t="shared" si="2"/>
        <v>138</v>
      </c>
    </row>
    <row r="35" spans="1:33" ht="18.75" x14ac:dyDescent="0.25">
      <c r="A35" s="41" t="s">
        <v>41</v>
      </c>
      <c r="B35" s="7">
        <v>11</v>
      </c>
      <c r="C35" s="7">
        <v>5</v>
      </c>
      <c r="D35" s="7">
        <v>8</v>
      </c>
      <c r="E35" s="7">
        <v>11</v>
      </c>
      <c r="F35" s="7">
        <v>3</v>
      </c>
      <c r="G35" s="7">
        <v>2</v>
      </c>
      <c r="H35" s="7">
        <v>5</v>
      </c>
      <c r="I35" s="7">
        <v>3</v>
      </c>
      <c r="J35" s="7">
        <v>10</v>
      </c>
      <c r="K35" s="7">
        <v>5</v>
      </c>
      <c r="L35" s="7">
        <v>6</v>
      </c>
      <c r="M35" s="7">
        <v>4</v>
      </c>
      <c r="N35" s="7">
        <v>5</v>
      </c>
      <c r="O35" s="7">
        <v>10</v>
      </c>
      <c r="P35" s="7">
        <v>9</v>
      </c>
      <c r="Q35" s="7">
        <v>12</v>
      </c>
      <c r="R35" s="7">
        <v>13</v>
      </c>
      <c r="S35" s="7">
        <v>14</v>
      </c>
      <c r="T35" s="7">
        <v>4</v>
      </c>
      <c r="U35" s="7">
        <v>5</v>
      </c>
      <c r="V35" s="7">
        <v>12</v>
      </c>
      <c r="W35" s="7">
        <v>9</v>
      </c>
      <c r="X35" s="7">
        <v>10</v>
      </c>
      <c r="Y35" s="7">
        <v>5</v>
      </c>
      <c r="Z35" s="7">
        <v>4</v>
      </c>
      <c r="AA35" s="7">
        <v>9</v>
      </c>
      <c r="AB35" s="7">
        <v>12</v>
      </c>
      <c r="AC35" s="7">
        <v>11</v>
      </c>
      <c r="AD35" s="7">
        <v>3</v>
      </c>
      <c r="AE35" s="7">
        <v>6</v>
      </c>
      <c r="AF35" s="8">
        <v>9</v>
      </c>
      <c r="AG35" s="4">
        <f t="shared" si="2"/>
        <v>235</v>
      </c>
    </row>
    <row r="36" spans="1:33" ht="18.75" x14ac:dyDescent="0.25">
      <c r="A36" s="41" t="s">
        <v>42</v>
      </c>
      <c r="B36" s="7">
        <v>6</v>
      </c>
      <c r="C36" s="7">
        <v>7</v>
      </c>
      <c r="D36" s="7">
        <v>13</v>
      </c>
      <c r="E36" s="7">
        <v>10</v>
      </c>
      <c r="F36" s="7">
        <v>12</v>
      </c>
      <c r="G36" s="7">
        <v>3</v>
      </c>
      <c r="H36" s="7">
        <v>20</v>
      </c>
      <c r="I36" s="7">
        <v>10</v>
      </c>
      <c r="J36" s="7">
        <v>9</v>
      </c>
      <c r="K36" s="7">
        <v>11</v>
      </c>
      <c r="L36" s="7">
        <v>9</v>
      </c>
      <c r="M36" s="7">
        <v>9</v>
      </c>
      <c r="N36" s="7">
        <v>6</v>
      </c>
      <c r="O36" s="7">
        <v>11</v>
      </c>
      <c r="P36" s="7">
        <v>14</v>
      </c>
      <c r="Q36" s="7">
        <v>17</v>
      </c>
      <c r="R36" s="7">
        <v>4</v>
      </c>
      <c r="S36" s="7">
        <v>6</v>
      </c>
      <c r="T36" s="7">
        <v>6</v>
      </c>
      <c r="U36" s="7">
        <v>4</v>
      </c>
      <c r="V36" s="7">
        <v>17</v>
      </c>
      <c r="W36" s="7">
        <v>10</v>
      </c>
      <c r="X36" s="7">
        <v>12</v>
      </c>
      <c r="Y36" s="7">
        <v>9</v>
      </c>
      <c r="Z36" s="7">
        <v>13</v>
      </c>
      <c r="AA36" s="7">
        <v>10</v>
      </c>
      <c r="AB36" s="7">
        <v>7</v>
      </c>
      <c r="AC36" s="7">
        <v>11</v>
      </c>
      <c r="AD36" s="7">
        <v>11</v>
      </c>
      <c r="AE36" s="7">
        <v>10</v>
      </c>
      <c r="AF36" s="8">
        <v>7</v>
      </c>
      <c r="AG36" s="4">
        <f t="shared" si="2"/>
        <v>304</v>
      </c>
    </row>
    <row r="37" spans="1:33" ht="18.75" x14ac:dyDescent="0.25">
      <c r="A37" s="41" t="s">
        <v>43</v>
      </c>
      <c r="B37" s="7">
        <v>12</v>
      </c>
      <c r="C37" s="7">
        <v>13</v>
      </c>
      <c r="D37" s="7">
        <v>9</v>
      </c>
      <c r="E37" s="7">
        <v>8</v>
      </c>
      <c r="F37" s="7">
        <v>5</v>
      </c>
      <c r="G37" s="7">
        <v>7</v>
      </c>
      <c r="H37" s="7">
        <v>12</v>
      </c>
      <c r="I37" s="7">
        <v>9</v>
      </c>
      <c r="J37" s="7">
        <v>10</v>
      </c>
      <c r="K37" s="7">
        <v>11</v>
      </c>
      <c r="L37" s="7">
        <v>13</v>
      </c>
      <c r="M37" s="7">
        <v>9</v>
      </c>
      <c r="N37" s="7">
        <v>11</v>
      </c>
      <c r="O37" s="7">
        <v>9</v>
      </c>
      <c r="P37" s="7">
        <v>11</v>
      </c>
      <c r="Q37" s="7">
        <v>17</v>
      </c>
      <c r="R37" s="7">
        <v>12</v>
      </c>
      <c r="S37" s="7">
        <v>11</v>
      </c>
      <c r="T37" s="7">
        <v>6</v>
      </c>
      <c r="U37" s="7">
        <v>9</v>
      </c>
      <c r="V37" s="7">
        <v>8</v>
      </c>
      <c r="W37" s="7">
        <v>9</v>
      </c>
      <c r="X37" s="7">
        <v>8</v>
      </c>
      <c r="Y37" s="7">
        <v>10</v>
      </c>
      <c r="Z37" s="7">
        <v>13</v>
      </c>
      <c r="AA37" s="7">
        <v>7</v>
      </c>
      <c r="AB37" s="7">
        <v>16</v>
      </c>
      <c r="AC37" s="7">
        <v>6</v>
      </c>
      <c r="AD37" s="7">
        <v>10</v>
      </c>
      <c r="AE37" s="7">
        <v>11</v>
      </c>
      <c r="AF37" s="8">
        <v>6</v>
      </c>
      <c r="AG37" s="4">
        <f t="shared" si="2"/>
        <v>308</v>
      </c>
    </row>
    <row r="38" spans="1:33" ht="18.75" x14ac:dyDescent="0.25">
      <c r="A38" s="41" t="s">
        <v>44</v>
      </c>
      <c r="B38" s="7">
        <v>10</v>
      </c>
      <c r="C38" s="7">
        <v>4</v>
      </c>
      <c r="D38" s="7">
        <v>9</v>
      </c>
      <c r="E38" s="7">
        <v>9</v>
      </c>
      <c r="F38" s="7">
        <v>7</v>
      </c>
      <c r="G38" s="7">
        <v>5</v>
      </c>
      <c r="H38" s="7">
        <v>4</v>
      </c>
      <c r="I38" s="7">
        <v>10</v>
      </c>
      <c r="J38" s="7">
        <v>10</v>
      </c>
      <c r="K38" s="7">
        <v>7</v>
      </c>
      <c r="L38" s="7">
        <v>10</v>
      </c>
      <c r="M38" s="7">
        <v>12</v>
      </c>
      <c r="N38" s="7">
        <v>9</v>
      </c>
      <c r="O38" s="7">
        <v>6</v>
      </c>
      <c r="P38" s="7">
        <v>10</v>
      </c>
      <c r="Q38" s="7">
        <v>10</v>
      </c>
      <c r="R38" s="7">
        <v>8</v>
      </c>
      <c r="S38" s="7">
        <v>7</v>
      </c>
      <c r="T38" s="7">
        <v>15</v>
      </c>
      <c r="U38" s="7">
        <v>5</v>
      </c>
      <c r="V38" s="7">
        <v>4</v>
      </c>
      <c r="W38" s="7">
        <v>6</v>
      </c>
      <c r="X38" s="7">
        <v>15</v>
      </c>
      <c r="Y38" s="7">
        <v>10</v>
      </c>
      <c r="Z38" s="7">
        <v>9</v>
      </c>
      <c r="AA38" s="7">
        <v>12</v>
      </c>
      <c r="AB38" s="7">
        <v>12</v>
      </c>
      <c r="AC38" s="7">
        <v>13</v>
      </c>
      <c r="AD38" s="7">
        <v>8</v>
      </c>
      <c r="AE38" s="7">
        <v>8</v>
      </c>
      <c r="AF38" s="8">
        <v>9</v>
      </c>
      <c r="AG38" s="4">
        <f t="shared" si="2"/>
        <v>273</v>
      </c>
    </row>
    <row r="39" spans="1:33" ht="18.75" x14ac:dyDescent="0.25">
      <c r="A39" s="41" t="s">
        <v>45</v>
      </c>
      <c r="B39" s="7">
        <v>9</v>
      </c>
      <c r="C39" s="7">
        <v>16</v>
      </c>
      <c r="D39" s="7">
        <v>10</v>
      </c>
      <c r="E39" s="7">
        <v>16</v>
      </c>
      <c r="F39" s="7">
        <v>7</v>
      </c>
      <c r="G39" s="7">
        <v>10</v>
      </c>
      <c r="H39" s="7">
        <v>12</v>
      </c>
      <c r="I39" s="7">
        <v>10</v>
      </c>
      <c r="J39" s="7">
        <v>11</v>
      </c>
      <c r="K39" s="7">
        <v>13</v>
      </c>
      <c r="L39" s="7">
        <v>9</v>
      </c>
      <c r="M39" s="7">
        <v>8</v>
      </c>
      <c r="N39" s="7">
        <v>5</v>
      </c>
      <c r="O39" s="7">
        <v>8</v>
      </c>
      <c r="P39" s="7">
        <v>13</v>
      </c>
      <c r="Q39" s="7">
        <v>10</v>
      </c>
      <c r="R39" s="7">
        <v>12</v>
      </c>
      <c r="S39" s="7">
        <v>14</v>
      </c>
      <c r="T39" s="7">
        <v>6</v>
      </c>
      <c r="U39" s="7">
        <v>5</v>
      </c>
      <c r="V39" s="7">
        <v>12</v>
      </c>
      <c r="W39" s="7">
        <v>8</v>
      </c>
      <c r="X39" s="7">
        <v>10</v>
      </c>
      <c r="Y39" s="7">
        <v>5</v>
      </c>
      <c r="Z39" s="7">
        <v>11</v>
      </c>
      <c r="AA39" s="7">
        <v>11</v>
      </c>
      <c r="AB39" s="7">
        <v>9</v>
      </c>
      <c r="AC39" s="7">
        <v>11</v>
      </c>
      <c r="AD39" s="7">
        <v>15</v>
      </c>
      <c r="AE39" s="7">
        <v>18</v>
      </c>
      <c r="AF39" s="8">
        <v>10</v>
      </c>
      <c r="AG39" s="4">
        <f t="shared" si="2"/>
        <v>324</v>
      </c>
    </row>
    <row r="40" spans="1:33" ht="18.75" x14ac:dyDescent="0.25">
      <c r="A40" s="41" t="s">
        <v>46</v>
      </c>
      <c r="B40" s="7">
        <v>17</v>
      </c>
      <c r="C40" s="7">
        <v>12</v>
      </c>
      <c r="D40" s="7">
        <v>11</v>
      </c>
      <c r="E40" s="7">
        <v>10</v>
      </c>
      <c r="F40" s="7">
        <v>11</v>
      </c>
      <c r="G40" s="7">
        <v>9</v>
      </c>
      <c r="H40" s="7">
        <v>12</v>
      </c>
      <c r="I40" s="7">
        <v>11</v>
      </c>
      <c r="J40" s="7">
        <v>19</v>
      </c>
      <c r="K40" s="7">
        <v>14</v>
      </c>
      <c r="L40" s="7">
        <v>14</v>
      </c>
      <c r="M40" s="7">
        <v>12</v>
      </c>
      <c r="N40" s="7">
        <v>9</v>
      </c>
      <c r="O40" s="7">
        <v>13</v>
      </c>
      <c r="P40" s="7">
        <v>7</v>
      </c>
      <c r="Q40" s="7">
        <v>18</v>
      </c>
      <c r="R40" s="7">
        <v>13</v>
      </c>
      <c r="S40" s="7">
        <v>11</v>
      </c>
      <c r="T40" s="7">
        <v>10</v>
      </c>
      <c r="U40" s="7">
        <v>6</v>
      </c>
      <c r="V40" s="7">
        <v>11</v>
      </c>
      <c r="W40" s="7">
        <v>10</v>
      </c>
      <c r="X40" s="7">
        <v>11</v>
      </c>
      <c r="Y40" s="7">
        <v>3</v>
      </c>
      <c r="Z40" s="7">
        <v>13</v>
      </c>
      <c r="AA40" s="7">
        <v>8</v>
      </c>
      <c r="AB40" s="7">
        <v>13</v>
      </c>
      <c r="AC40" s="7">
        <v>9</v>
      </c>
      <c r="AD40" s="7">
        <v>14</v>
      </c>
      <c r="AE40" s="7">
        <v>15</v>
      </c>
      <c r="AF40" s="8">
        <v>9</v>
      </c>
      <c r="AG40" s="4">
        <f t="shared" si="2"/>
        <v>355</v>
      </c>
    </row>
    <row r="41" spans="1:33" ht="18.75" x14ac:dyDescent="0.25">
      <c r="A41" s="41" t="s">
        <v>47</v>
      </c>
      <c r="B41" s="7">
        <v>13</v>
      </c>
      <c r="C41" s="7">
        <v>14</v>
      </c>
      <c r="D41" s="7">
        <v>11</v>
      </c>
      <c r="E41" s="7">
        <v>11</v>
      </c>
      <c r="F41" s="7">
        <v>4</v>
      </c>
      <c r="G41" s="7">
        <v>5</v>
      </c>
      <c r="H41" s="7">
        <v>9</v>
      </c>
      <c r="I41" s="7">
        <v>14</v>
      </c>
      <c r="J41" s="7">
        <v>12</v>
      </c>
      <c r="K41" s="7">
        <v>5</v>
      </c>
      <c r="L41" s="7">
        <v>6</v>
      </c>
      <c r="M41" s="7">
        <v>10</v>
      </c>
      <c r="N41" s="7">
        <v>6</v>
      </c>
      <c r="O41" s="7">
        <v>13</v>
      </c>
      <c r="P41" s="7">
        <v>9</v>
      </c>
      <c r="Q41" s="7">
        <v>12</v>
      </c>
      <c r="R41" s="7">
        <v>8</v>
      </c>
      <c r="S41" s="7">
        <v>6</v>
      </c>
      <c r="T41" s="7">
        <v>8</v>
      </c>
      <c r="U41" s="7">
        <v>10</v>
      </c>
      <c r="V41" s="7">
        <v>2</v>
      </c>
      <c r="W41" s="7">
        <v>8</v>
      </c>
      <c r="X41" s="7">
        <v>11</v>
      </c>
      <c r="Y41" s="7">
        <v>2</v>
      </c>
      <c r="Z41" s="7">
        <v>5</v>
      </c>
      <c r="AA41" s="7">
        <v>5</v>
      </c>
      <c r="AB41" s="7">
        <v>6</v>
      </c>
      <c r="AC41" s="7">
        <v>10</v>
      </c>
      <c r="AD41" s="7">
        <v>15</v>
      </c>
      <c r="AE41" s="7">
        <v>12</v>
      </c>
      <c r="AF41" s="8">
        <v>6</v>
      </c>
      <c r="AG41" s="4">
        <f t="shared" si="2"/>
        <v>268</v>
      </c>
    </row>
    <row r="42" spans="1:33" ht="18.75" x14ac:dyDescent="0.25">
      <c r="A42" s="41" t="s">
        <v>48</v>
      </c>
      <c r="B42" s="7">
        <v>13</v>
      </c>
      <c r="C42" s="7">
        <v>12</v>
      </c>
      <c r="D42" s="7">
        <v>11</v>
      </c>
      <c r="E42" s="7">
        <v>7</v>
      </c>
      <c r="F42" s="7">
        <v>7</v>
      </c>
      <c r="G42" s="7">
        <v>5</v>
      </c>
      <c r="H42" s="7">
        <v>8</v>
      </c>
      <c r="I42" s="7">
        <v>10</v>
      </c>
      <c r="J42" s="7">
        <v>12</v>
      </c>
      <c r="K42" s="7">
        <v>7</v>
      </c>
      <c r="L42" s="7">
        <v>8</v>
      </c>
      <c r="M42" s="7">
        <v>9</v>
      </c>
      <c r="N42" s="7">
        <v>4</v>
      </c>
      <c r="O42" s="7">
        <v>10</v>
      </c>
      <c r="P42" s="7">
        <v>13</v>
      </c>
      <c r="Q42" s="7">
        <v>14</v>
      </c>
      <c r="R42" s="7">
        <v>8</v>
      </c>
      <c r="S42" s="7">
        <v>11</v>
      </c>
      <c r="T42" s="7">
        <v>9</v>
      </c>
      <c r="U42" s="7">
        <v>4</v>
      </c>
      <c r="V42" s="7">
        <v>12</v>
      </c>
      <c r="W42" s="7">
        <v>11</v>
      </c>
      <c r="X42" s="7">
        <v>6</v>
      </c>
      <c r="Y42" s="7">
        <v>3</v>
      </c>
      <c r="Z42" s="7">
        <v>5</v>
      </c>
      <c r="AA42" s="7">
        <v>6</v>
      </c>
      <c r="AB42" s="7">
        <v>12</v>
      </c>
      <c r="AC42" s="7">
        <v>9</v>
      </c>
      <c r="AD42" s="7">
        <v>16</v>
      </c>
      <c r="AE42" s="7">
        <v>10</v>
      </c>
      <c r="AF42" s="8">
        <v>2</v>
      </c>
      <c r="AG42" s="4">
        <f t="shared" si="2"/>
        <v>274</v>
      </c>
    </row>
    <row r="43" spans="1:33" ht="18.75" x14ac:dyDescent="0.25">
      <c r="A43" s="41" t="s">
        <v>49</v>
      </c>
      <c r="B43" s="7">
        <v>9</v>
      </c>
      <c r="C43" s="7">
        <v>9</v>
      </c>
      <c r="D43" s="7">
        <v>4</v>
      </c>
      <c r="E43" s="7">
        <v>15</v>
      </c>
      <c r="F43" s="7">
        <v>6</v>
      </c>
      <c r="G43" s="7">
        <v>4</v>
      </c>
      <c r="H43" s="7">
        <v>13</v>
      </c>
      <c r="I43" s="7">
        <v>8</v>
      </c>
      <c r="J43" s="7">
        <v>17</v>
      </c>
      <c r="K43" s="7">
        <v>9</v>
      </c>
      <c r="L43" s="7">
        <v>11</v>
      </c>
      <c r="M43" s="7">
        <v>4</v>
      </c>
      <c r="N43" s="7">
        <v>7</v>
      </c>
      <c r="O43" s="7">
        <v>10</v>
      </c>
      <c r="P43" s="7">
        <v>8</v>
      </c>
      <c r="Q43" s="7">
        <v>9</v>
      </c>
      <c r="R43" s="7">
        <v>11</v>
      </c>
      <c r="S43" s="7">
        <v>9</v>
      </c>
      <c r="T43" s="7">
        <v>4</v>
      </c>
      <c r="U43" s="7">
        <v>2</v>
      </c>
      <c r="V43" s="7">
        <v>10</v>
      </c>
      <c r="W43" s="7">
        <v>12</v>
      </c>
      <c r="X43" s="7">
        <v>11</v>
      </c>
      <c r="Y43" s="7">
        <v>3</v>
      </c>
      <c r="Z43" s="7">
        <v>5</v>
      </c>
      <c r="AA43" s="7">
        <v>5</v>
      </c>
      <c r="AB43" s="7">
        <v>7</v>
      </c>
      <c r="AC43" s="7">
        <v>14</v>
      </c>
      <c r="AD43" s="7">
        <v>13</v>
      </c>
      <c r="AE43" s="7">
        <v>8</v>
      </c>
      <c r="AF43" s="8"/>
      <c r="AG43" s="4">
        <f t="shared" si="2"/>
        <v>257</v>
      </c>
    </row>
    <row r="44" spans="1:33" ht="18.75" x14ac:dyDescent="0.25">
      <c r="A44" s="41" t="s">
        <v>50</v>
      </c>
      <c r="B44" s="7">
        <v>8</v>
      </c>
      <c r="C44" s="7">
        <v>12</v>
      </c>
      <c r="D44" s="7">
        <v>6</v>
      </c>
      <c r="E44" s="7">
        <v>6</v>
      </c>
      <c r="F44" s="7">
        <v>4</v>
      </c>
      <c r="G44" s="7">
        <v>9</v>
      </c>
      <c r="H44" s="7">
        <v>5</v>
      </c>
      <c r="I44" s="7">
        <v>6</v>
      </c>
      <c r="J44" s="7">
        <v>16</v>
      </c>
      <c r="K44" s="7">
        <v>5</v>
      </c>
      <c r="L44" s="7">
        <v>2</v>
      </c>
      <c r="M44" s="7">
        <v>5</v>
      </c>
      <c r="N44" s="7">
        <v>7</v>
      </c>
      <c r="O44" s="7">
        <v>4</v>
      </c>
      <c r="P44" s="7">
        <v>4</v>
      </c>
      <c r="Q44" s="7">
        <v>7</v>
      </c>
      <c r="R44" s="7">
        <v>4</v>
      </c>
      <c r="S44" s="7">
        <v>6</v>
      </c>
      <c r="T44" s="7">
        <v>6</v>
      </c>
      <c r="U44" s="7">
        <v>5</v>
      </c>
      <c r="V44" s="7">
        <v>7</v>
      </c>
      <c r="W44" s="7">
        <v>5</v>
      </c>
      <c r="X44" s="7">
        <v>5</v>
      </c>
      <c r="Y44" s="7">
        <v>2</v>
      </c>
      <c r="Z44" s="7">
        <v>8</v>
      </c>
      <c r="AA44" s="7">
        <v>13</v>
      </c>
      <c r="AB44" s="7">
        <v>12</v>
      </c>
      <c r="AC44" s="7">
        <v>8</v>
      </c>
      <c r="AD44" s="7">
        <v>10</v>
      </c>
      <c r="AE44" s="7">
        <v>6</v>
      </c>
      <c r="AF44" s="8"/>
      <c r="AG44" s="4">
        <f t="shared" si="2"/>
        <v>203</v>
      </c>
    </row>
    <row r="45" spans="1:33" ht="18.75" x14ac:dyDescent="0.25">
      <c r="A45" s="41" t="s">
        <v>33</v>
      </c>
      <c r="B45" s="7">
        <v>6</v>
      </c>
      <c r="C45" s="7">
        <v>4</v>
      </c>
      <c r="D45" s="7">
        <v>3</v>
      </c>
      <c r="E45" s="7">
        <v>4</v>
      </c>
      <c r="F45" s="7">
        <v>6</v>
      </c>
      <c r="G45" s="7">
        <v>3</v>
      </c>
      <c r="H45" s="7">
        <v>4</v>
      </c>
      <c r="I45" s="7">
        <v>7</v>
      </c>
      <c r="J45" s="7">
        <v>5</v>
      </c>
      <c r="K45" s="7">
        <v>5</v>
      </c>
      <c r="L45" s="7">
        <v>1</v>
      </c>
      <c r="M45" s="7">
        <v>8</v>
      </c>
      <c r="N45" s="7">
        <v>6</v>
      </c>
      <c r="O45" s="7">
        <v>2</v>
      </c>
      <c r="P45" s="7">
        <v>8</v>
      </c>
      <c r="Q45" s="7">
        <v>4</v>
      </c>
      <c r="R45" s="7">
        <v>4</v>
      </c>
      <c r="S45" s="7">
        <v>3</v>
      </c>
      <c r="T45" s="7">
        <v>7</v>
      </c>
      <c r="U45" s="7">
        <v>3</v>
      </c>
      <c r="V45" s="7">
        <v>6</v>
      </c>
      <c r="W45" s="7">
        <v>12</v>
      </c>
      <c r="X45" s="7">
        <v>7</v>
      </c>
      <c r="Y45" s="7">
        <v>3</v>
      </c>
      <c r="Z45" s="7">
        <v>4</v>
      </c>
      <c r="AA45" s="7">
        <v>3</v>
      </c>
      <c r="AB45" s="7">
        <v>4</v>
      </c>
      <c r="AC45" s="7">
        <v>7</v>
      </c>
      <c r="AD45" s="7">
        <v>3</v>
      </c>
      <c r="AE45" s="7">
        <v>7</v>
      </c>
      <c r="AF45" s="8">
        <v>1</v>
      </c>
      <c r="AG45" s="4">
        <f t="shared" si="2"/>
        <v>150</v>
      </c>
    </row>
    <row r="46" spans="1:33" ht="18.75" x14ac:dyDescent="0.25">
      <c r="A46" s="41" t="s">
        <v>34</v>
      </c>
      <c r="B46" s="7">
        <v>3</v>
      </c>
      <c r="C46" s="7">
        <v>3</v>
      </c>
      <c r="D46" s="7">
        <v>2</v>
      </c>
      <c r="E46" s="7">
        <v>2</v>
      </c>
      <c r="F46" s="7">
        <v>5</v>
      </c>
      <c r="G46" s="7"/>
      <c r="H46" s="7">
        <v>2</v>
      </c>
      <c r="I46" s="7">
        <v>3</v>
      </c>
      <c r="J46" s="7">
        <v>2</v>
      </c>
      <c r="K46" s="7">
        <v>3</v>
      </c>
      <c r="L46" s="7">
        <v>5</v>
      </c>
      <c r="M46" s="7">
        <v>1</v>
      </c>
      <c r="N46" s="7">
        <v>4</v>
      </c>
      <c r="O46" s="7">
        <v>2</v>
      </c>
      <c r="P46" s="7">
        <v>5</v>
      </c>
      <c r="Q46" s="7">
        <v>1</v>
      </c>
      <c r="R46" s="7">
        <v>7</v>
      </c>
      <c r="S46" s="7">
        <v>2</v>
      </c>
      <c r="T46" s="7">
        <v>4</v>
      </c>
      <c r="U46" s="7">
        <v>2</v>
      </c>
      <c r="V46" s="7">
        <v>7</v>
      </c>
      <c r="W46" s="7">
        <v>5</v>
      </c>
      <c r="X46" s="7">
        <v>8</v>
      </c>
      <c r="Y46" s="7">
        <v>4</v>
      </c>
      <c r="Z46" s="7"/>
      <c r="AA46" s="7">
        <v>6</v>
      </c>
      <c r="AB46" s="7"/>
      <c r="AC46" s="7">
        <v>9</v>
      </c>
      <c r="AD46" s="7">
        <v>4</v>
      </c>
      <c r="AE46" s="7"/>
      <c r="AF46" s="8">
        <v>5</v>
      </c>
      <c r="AG46" s="4">
        <f t="shared" si="2"/>
        <v>106</v>
      </c>
    </row>
    <row r="47" spans="1:33" ht="18.75" x14ac:dyDescent="0.25">
      <c r="A47" s="41" t="s">
        <v>35</v>
      </c>
      <c r="B47" s="7">
        <v>1</v>
      </c>
      <c r="C47" s="7">
        <v>2</v>
      </c>
      <c r="D47" s="7">
        <v>1</v>
      </c>
      <c r="E47" s="7"/>
      <c r="F47" s="7">
        <v>2</v>
      </c>
      <c r="G47" s="7">
        <v>4</v>
      </c>
      <c r="H47" s="7"/>
      <c r="I47" s="7">
        <v>2</v>
      </c>
      <c r="J47" s="7">
        <v>1</v>
      </c>
      <c r="K47" s="7">
        <v>2</v>
      </c>
      <c r="L47" s="7">
        <v>1</v>
      </c>
      <c r="M47" s="7">
        <v>2</v>
      </c>
      <c r="N47" s="7">
        <v>1</v>
      </c>
      <c r="O47" s="7">
        <v>2</v>
      </c>
      <c r="P47" s="7">
        <v>1</v>
      </c>
      <c r="Q47" s="7">
        <v>2</v>
      </c>
      <c r="R47" s="7">
        <v>4</v>
      </c>
      <c r="S47" s="7">
        <v>1</v>
      </c>
      <c r="T47" s="7"/>
      <c r="U47" s="7">
        <v>1</v>
      </c>
      <c r="V47" s="7">
        <v>3</v>
      </c>
      <c r="W47" s="7">
        <v>5</v>
      </c>
      <c r="X47" s="7">
        <v>1</v>
      </c>
      <c r="Y47" s="7">
        <v>1</v>
      </c>
      <c r="Z47" s="7">
        <v>1</v>
      </c>
      <c r="AA47" s="7">
        <v>3</v>
      </c>
      <c r="AB47" s="7"/>
      <c r="AC47" s="7">
        <v>2</v>
      </c>
      <c r="AD47" s="7">
        <v>1</v>
      </c>
      <c r="AE47" s="7">
        <v>2</v>
      </c>
      <c r="AF47" s="8">
        <v>2</v>
      </c>
      <c r="AG47" s="4">
        <f t="shared" si="2"/>
        <v>51</v>
      </c>
    </row>
    <row r="48" spans="1:33" ht="18.75" x14ac:dyDescent="0.25">
      <c r="A48" s="41" t="s">
        <v>36</v>
      </c>
      <c r="B48" s="7">
        <v>1</v>
      </c>
      <c r="C48" s="7">
        <v>2</v>
      </c>
      <c r="D48" s="7">
        <v>3</v>
      </c>
      <c r="E48" s="7">
        <v>1</v>
      </c>
      <c r="F48" s="7">
        <v>1</v>
      </c>
      <c r="G48" s="7">
        <v>3</v>
      </c>
      <c r="H48" s="7">
        <v>1</v>
      </c>
      <c r="I48" s="7">
        <v>2</v>
      </c>
      <c r="J48" s="7"/>
      <c r="K48" s="7"/>
      <c r="L48" s="7">
        <v>5</v>
      </c>
      <c r="M48" s="7"/>
      <c r="N48" s="7">
        <v>1</v>
      </c>
      <c r="O48" s="7">
        <v>2</v>
      </c>
      <c r="P48" s="7"/>
      <c r="Q48" s="7">
        <v>1</v>
      </c>
      <c r="R48" s="7"/>
      <c r="S48" s="7">
        <v>1</v>
      </c>
      <c r="T48" s="7">
        <v>1</v>
      </c>
      <c r="U48" s="7"/>
      <c r="V48" s="7"/>
      <c r="W48" s="7">
        <v>2</v>
      </c>
      <c r="X48" s="7">
        <v>1</v>
      </c>
      <c r="Y48" s="7">
        <v>2</v>
      </c>
      <c r="Z48" s="7"/>
      <c r="AA48" s="7">
        <v>4</v>
      </c>
      <c r="AB48" s="7">
        <v>1</v>
      </c>
      <c r="AC48" s="7">
        <v>2</v>
      </c>
      <c r="AD48" s="7">
        <v>2</v>
      </c>
      <c r="AE48" s="7"/>
      <c r="AF48" s="8">
        <v>3</v>
      </c>
      <c r="AG48" s="4">
        <f t="shared" si="2"/>
        <v>42</v>
      </c>
    </row>
    <row r="49" spans="1:33" ht="18.75" x14ac:dyDescent="0.25">
      <c r="A49" s="41" t="s">
        <v>51</v>
      </c>
      <c r="B49" s="7"/>
      <c r="C49" s="7">
        <v>1</v>
      </c>
      <c r="D49" s="7"/>
      <c r="E49" s="7">
        <v>1</v>
      </c>
      <c r="F49" s="7">
        <v>3</v>
      </c>
      <c r="G49" s="7">
        <v>1</v>
      </c>
      <c r="H49" s="7">
        <v>1</v>
      </c>
      <c r="I49" s="7"/>
      <c r="J49" s="7"/>
      <c r="K49" s="7"/>
      <c r="L49" s="7">
        <v>1</v>
      </c>
      <c r="M49" s="7">
        <v>2</v>
      </c>
      <c r="N49" s="7"/>
      <c r="O49" s="7"/>
      <c r="P49" s="7"/>
      <c r="Q49" s="7"/>
      <c r="R49" s="7"/>
      <c r="S49" s="7"/>
      <c r="T49" s="7">
        <v>1</v>
      </c>
      <c r="U49" s="7"/>
      <c r="V49" s="7">
        <v>1</v>
      </c>
      <c r="W49" s="7"/>
      <c r="X49" s="7">
        <v>1</v>
      </c>
      <c r="Y49" s="7">
        <v>2</v>
      </c>
      <c r="Z49" s="7"/>
      <c r="AA49" s="7"/>
      <c r="AB49" s="7"/>
      <c r="AC49" s="7">
        <v>1</v>
      </c>
      <c r="AD49" s="7"/>
      <c r="AE49" s="7"/>
      <c r="AF49" s="8"/>
      <c r="AG49" s="4">
        <f t="shared" si="2"/>
        <v>16</v>
      </c>
    </row>
    <row r="50" spans="1:33" ht="18.75" x14ac:dyDescent="0.25">
      <c r="A50" s="41" t="s">
        <v>52</v>
      </c>
      <c r="B50" s="7"/>
      <c r="C50" s="7">
        <v>1</v>
      </c>
      <c r="D50" s="7"/>
      <c r="E50" s="7"/>
      <c r="F50" s="7"/>
      <c r="G50" s="7"/>
      <c r="H50" s="7"/>
      <c r="I50" s="7">
        <v>1</v>
      </c>
      <c r="J50" s="7">
        <v>1</v>
      </c>
      <c r="K50" s="7"/>
      <c r="L50" s="7"/>
      <c r="M50" s="7"/>
      <c r="N50" s="7"/>
      <c r="O50" s="7"/>
      <c r="P50" s="7"/>
      <c r="Q50" s="7">
        <v>1</v>
      </c>
      <c r="R50" s="7">
        <v>1</v>
      </c>
      <c r="S50" s="7">
        <v>1</v>
      </c>
      <c r="T50" s="7">
        <v>3</v>
      </c>
      <c r="U50" s="7"/>
      <c r="V50" s="7">
        <v>1</v>
      </c>
      <c r="W50" s="7">
        <v>1</v>
      </c>
      <c r="X50" s="7"/>
      <c r="Y50" s="7">
        <v>2</v>
      </c>
      <c r="Z50" s="7">
        <v>1</v>
      </c>
      <c r="AA50" s="7"/>
      <c r="AB50" s="7">
        <v>3</v>
      </c>
      <c r="AC50" s="7"/>
      <c r="AD50" s="7"/>
      <c r="AE50" s="7">
        <v>2</v>
      </c>
      <c r="AF50" s="8">
        <v>1</v>
      </c>
      <c r="AG50" s="4">
        <f t="shared" si="2"/>
        <v>20</v>
      </c>
    </row>
    <row r="51" spans="1:33" ht="18.75" x14ac:dyDescent="0.25">
      <c r="A51" s="41" t="s">
        <v>37</v>
      </c>
      <c r="B51" s="7">
        <v>1</v>
      </c>
      <c r="C51" s="7">
        <v>1</v>
      </c>
      <c r="D51" s="7"/>
      <c r="E51" s="7"/>
      <c r="F51" s="7">
        <v>1</v>
      </c>
      <c r="G51" s="7">
        <v>1</v>
      </c>
      <c r="H51" s="7">
        <v>1</v>
      </c>
      <c r="I51" s="7"/>
      <c r="J51" s="7"/>
      <c r="K51" s="7">
        <v>1</v>
      </c>
      <c r="L51" s="7"/>
      <c r="M51" s="7"/>
      <c r="N51" s="7">
        <v>1</v>
      </c>
      <c r="O51" s="7"/>
      <c r="P51" s="7"/>
      <c r="Q51" s="7"/>
      <c r="R51" s="7"/>
      <c r="S51" s="7">
        <v>1</v>
      </c>
      <c r="T51" s="7">
        <v>1</v>
      </c>
      <c r="U51" s="7"/>
      <c r="V51" s="7"/>
      <c r="W51" s="7">
        <v>3</v>
      </c>
      <c r="X51" s="7">
        <v>1</v>
      </c>
      <c r="Y51" s="7"/>
      <c r="Z51" s="7"/>
      <c r="AA51" s="7">
        <v>1</v>
      </c>
      <c r="AB51" s="7"/>
      <c r="AC51" s="7"/>
      <c r="AD51" s="7"/>
      <c r="AE51" s="7">
        <v>1</v>
      </c>
      <c r="AF51" s="8">
        <v>1</v>
      </c>
      <c r="AG51" s="4">
        <f t="shared" si="2"/>
        <v>16</v>
      </c>
    </row>
    <row r="52" spans="1:33" ht="19.5" thickBot="1" x14ac:dyDescent="0.3">
      <c r="A52" s="77" t="s">
        <v>53</v>
      </c>
      <c r="B52" s="9"/>
      <c r="C52" s="9">
        <v>2</v>
      </c>
      <c r="D52" s="9"/>
      <c r="E52" s="9"/>
      <c r="F52" s="9"/>
      <c r="G52" s="9">
        <v>1</v>
      </c>
      <c r="H52" s="9">
        <v>1</v>
      </c>
      <c r="I52" s="9">
        <v>1</v>
      </c>
      <c r="J52" s="9">
        <v>3</v>
      </c>
      <c r="K52" s="9">
        <v>1</v>
      </c>
      <c r="L52" s="9">
        <v>2</v>
      </c>
      <c r="M52" s="9">
        <v>2</v>
      </c>
      <c r="N52" s="9"/>
      <c r="O52" s="9">
        <v>2</v>
      </c>
      <c r="P52" s="9">
        <v>1</v>
      </c>
      <c r="Q52" s="9"/>
      <c r="R52" s="9"/>
      <c r="S52" s="9">
        <v>1</v>
      </c>
      <c r="T52" s="9"/>
      <c r="U52" s="9"/>
      <c r="V52" s="9">
        <v>3</v>
      </c>
      <c r="W52" s="9">
        <v>1</v>
      </c>
      <c r="X52" s="9">
        <v>1</v>
      </c>
      <c r="Y52" s="9"/>
      <c r="Z52" s="9">
        <v>1</v>
      </c>
      <c r="AA52" s="9">
        <v>1</v>
      </c>
      <c r="AB52" s="9"/>
      <c r="AC52" s="9"/>
      <c r="AD52" s="9"/>
      <c r="AE52" s="9">
        <v>1</v>
      </c>
      <c r="AF52" s="10">
        <v>3</v>
      </c>
      <c r="AG52" s="108">
        <f t="shared" si="2"/>
        <v>28</v>
      </c>
    </row>
    <row r="53" spans="1:33" ht="19.5" thickBot="1" x14ac:dyDescent="0.3">
      <c r="A53" s="136" t="s">
        <v>108</v>
      </c>
      <c r="B53" s="135">
        <f t="shared" ref="B53:AF53" si="5">SUM(B54:B77)</f>
        <v>5</v>
      </c>
      <c r="C53" s="135">
        <f t="shared" si="5"/>
        <v>17</v>
      </c>
      <c r="D53" s="135">
        <f t="shared" si="5"/>
        <v>11</v>
      </c>
      <c r="E53" s="135">
        <f t="shared" si="5"/>
        <v>4</v>
      </c>
      <c r="F53" s="135">
        <f t="shared" si="5"/>
        <v>6</v>
      </c>
      <c r="G53" s="135">
        <f t="shared" si="5"/>
        <v>4</v>
      </c>
      <c r="H53" s="135">
        <f t="shared" si="5"/>
        <v>11</v>
      </c>
      <c r="I53" s="135">
        <f t="shared" si="5"/>
        <v>2</v>
      </c>
      <c r="J53" s="135">
        <f t="shared" si="5"/>
        <v>11</v>
      </c>
      <c r="K53" s="135">
        <f t="shared" si="5"/>
        <v>4</v>
      </c>
      <c r="L53" s="135">
        <f t="shared" si="5"/>
        <v>8</v>
      </c>
      <c r="M53" s="135">
        <f t="shared" si="5"/>
        <v>3</v>
      </c>
      <c r="N53" s="135">
        <f t="shared" si="5"/>
        <v>7</v>
      </c>
      <c r="O53" s="135">
        <f t="shared" si="5"/>
        <v>4</v>
      </c>
      <c r="P53" s="135">
        <f t="shared" si="5"/>
        <v>8</v>
      </c>
      <c r="Q53" s="135">
        <f t="shared" si="5"/>
        <v>11</v>
      </c>
      <c r="R53" s="135">
        <f t="shared" si="5"/>
        <v>5</v>
      </c>
      <c r="S53" s="135">
        <f t="shared" si="5"/>
        <v>3</v>
      </c>
      <c r="T53" s="135">
        <f t="shared" si="5"/>
        <v>12</v>
      </c>
      <c r="U53" s="135">
        <f t="shared" si="5"/>
        <v>2</v>
      </c>
      <c r="V53" s="135">
        <f t="shared" si="5"/>
        <v>5</v>
      </c>
      <c r="W53" s="135">
        <f t="shared" si="5"/>
        <v>7</v>
      </c>
      <c r="X53" s="135">
        <f t="shared" si="5"/>
        <v>6</v>
      </c>
      <c r="Y53" s="135">
        <f t="shared" si="5"/>
        <v>3</v>
      </c>
      <c r="Z53" s="135">
        <f t="shared" si="5"/>
        <v>4</v>
      </c>
      <c r="AA53" s="135">
        <f t="shared" si="5"/>
        <v>6</v>
      </c>
      <c r="AB53" s="135">
        <f t="shared" si="5"/>
        <v>6</v>
      </c>
      <c r="AC53" s="135">
        <f t="shared" si="5"/>
        <v>19</v>
      </c>
      <c r="AD53" s="135">
        <f t="shared" si="5"/>
        <v>11</v>
      </c>
      <c r="AE53" s="135">
        <f t="shared" ref="AE53" si="6">SUM(AE54:AE77)</f>
        <v>6</v>
      </c>
      <c r="AF53" s="135">
        <f t="shared" si="5"/>
        <v>7</v>
      </c>
      <c r="AG53" s="116">
        <f t="shared" si="2"/>
        <v>218</v>
      </c>
    </row>
    <row r="54" spans="1:33" ht="18.75" x14ac:dyDescent="0.25">
      <c r="A54" s="113" t="s">
        <v>54</v>
      </c>
      <c r="B54" s="114"/>
      <c r="C54" s="114"/>
      <c r="D54" s="7"/>
      <c r="E54" s="114"/>
      <c r="F54" s="114"/>
      <c r="G54" s="7"/>
      <c r="H54" s="114"/>
      <c r="I54" s="114"/>
      <c r="J54" s="114">
        <v>1</v>
      </c>
      <c r="K54" s="114"/>
      <c r="L54" s="114"/>
      <c r="M54" s="114"/>
      <c r="N54" s="114"/>
      <c r="O54" s="114"/>
      <c r="P54" s="114"/>
      <c r="Q54" s="114"/>
      <c r="R54" s="114"/>
      <c r="S54" s="114">
        <v>1</v>
      </c>
      <c r="T54" s="114"/>
      <c r="U54" s="114"/>
      <c r="V54" s="114"/>
      <c r="W54" s="114"/>
      <c r="X54" s="114"/>
      <c r="Y54" s="114"/>
      <c r="Z54" s="114"/>
      <c r="AA54" s="114"/>
      <c r="AB54" s="114"/>
      <c r="AC54" s="114"/>
      <c r="AD54" s="7"/>
      <c r="AE54" s="7">
        <v>1</v>
      </c>
      <c r="AF54" s="115"/>
      <c r="AG54" s="132">
        <f t="shared" si="2"/>
        <v>3</v>
      </c>
    </row>
    <row r="55" spans="1:33" ht="18.75" x14ac:dyDescent="0.25">
      <c r="A55" s="41" t="s">
        <v>55</v>
      </c>
      <c r="B55" s="7"/>
      <c r="C55" s="7"/>
      <c r="D55" s="7"/>
      <c r="E55" s="7"/>
      <c r="F55" s="7"/>
      <c r="G55" s="7"/>
      <c r="H55" s="7">
        <v>1</v>
      </c>
      <c r="I55" s="7"/>
      <c r="J55" s="7"/>
      <c r="K55" s="7"/>
      <c r="L55" s="7"/>
      <c r="M55" s="7"/>
      <c r="N55" s="7"/>
      <c r="O55" s="7"/>
      <c r="P55" s="7"/>
      <c r="Q55" s="7"/>
      <c r="R55" s="7">
        <v>2</v>
      </c>
      <c r="S55" s="7"/>
      <c r="T55" s="7"/>
      <c r="U55" s="7"/>
      <c r="V55" s="7"/>
      <c r="W55" s="7"/>
      <c r="X55" s="7"/>
      <c r="Y55" s="7"/>
      <c r="Z55" s="7"/>
      <c r="AA55" s="7">
        <v>1</v>
      </c>
      <c r="AB55" s="7"/>
      <c r="AC55" s="7"/>
      <c r="AD55" s="7">
        <v>2</v>
      </c>
      <c r="AE55" s="7"/>
      <c r="AF55" s="8"/>
      <c r="AG55" s="4">
        <f t="shared" si="2"/>
        <v>6</v>
      </c>
    </row>
    <row r="56" spans="1:33" ht="18.75" x14ac:dyDescent="0.25">
      <c r="A56" s="41" t="s">
        <v>56</v>
      </c>
      <c r="B56" s="7"/>
      <c r="C56" s="7"/>
      <c r="D56" s="7">
        <v>1</v>
      </c>
      <c r="E56" s="7">
        <v>1</v>
      </c>
      <c r="F56" s="7">
        <v>1</v>
      </c>
      <c r="G56" s="7">
        <v>1</v>
      </c>
      <c r="H56" s="7">
        <v>2</v>
      </c>
      <c r="I56" s="7"/>
      <c r="J56" s="7">
        <v>1</v>
      </c>
      <c r="K56" s="7"/>
      <c r="L56" s="7"/>
      <c r="M56" s="7"/>
      <c r="N56" s="7"/>
      <c r="O56" s="7"/>
      <c r="P56" s="7"/>
      <c r="Q56" s="7"/>
      <c r="R56" s="7"/>
      <c r="S56" s="7"/>
      <c r="T56" s="7">
        <v>1</v>
      </c>
      <c r="U56" s="7"/>
      <c r="V56" s="7"/>
      <c r="W56" s="7">
        <v>3</v>
      </c>
      <c r="X56" s="7"/>
      <c r="Y56" s="7"/>
      <c r="Z56" s="7"/>
      <c r="AA56" s="7"/>
      <c r="AB56" s="7"/>
      <c r="AC56" s="7"/>
      <c r="AD56" s="7"/>
      <c r="AE56" s="7"/>
      <c r="AF56" s="8"/>
      <c r="AG56" s="4">
        <f t="shared" si="2"/>
        <v>11</v>
      </c>
    </row>
    <row r="57" spans="1:33" ht="18.75" x14ac:dyDescent="0.25">
      <c r="A57" s="41" t="s">
        <v>38</v>
      </c>
      <c r="B57" s="7"/>
      <c r="C57" s="7"/>
      <c r="D57" s="7"/>
      <c r="E57" s="7"/>
      <c r="F57" s="7"/>
      <c r="G57" s="7"/>
      <c r="H57" s="7">
        <v>1</v>
      </c>
      <c r="I57" s="7"/>
      <c r="J57" s="7"/>
      <c r="K57" s="7"/>
      <c r="L57" s="7"/>
      <c r="M57" s="7"/>
      <c r="N57" s="7">
        <v>1</v>
      </c>
      <c r="O57" s="7"/>
      <c r="P57" s="7"/>
      <c r="Q57" s="7"/>
      <c r="R57" s="7"/>
      <c r="S57" s="7"/>
      <c r="T57" s="7">
        <v>1</v>
      </c>
      <c r="U57" s="7"/>
      <c r="V57" s="7"/>
      <c r="W57" s="7"/>
      <c r="X57" s="7"/>
      <c r="Y57" s="7"/>
      <c r="Z57" s="7"/>
      <c r="AA57" s="7"/>
      <c r="AB57" s="7"/>
      <c r="AC57" s="7"/>
      <c r="AD57" s="7">
        <v>1</v>
      </c>
      <c r="AE57" s="7"/>
      <c r="AF57" s="8"/>
      <c r="AG57" s="4">
        <f t="shared" si="2"/>
        <v>4</v>
      </c>
    </row>
    <row r="58" spans="1:33" ht="18.75" x14ac:dyDescent="0.25">
      <c r="A58" s="41" t="s">
        <v>39</v>
      </c>
      <c r="B58" s="7"/>
      <c r="C58" s="7">
        <v>1</v>
      </c>
      <c r="D58" s="7"/>
      <c r="E58" s="7"/>
      <c r="F58" s="7"/>
      <c r="G58" s="7">
        <v>2</v>
      </c>
      <c r="H58" s="7"/>
      <c r="I58" s="7"/>
      <c r="J58" s="7"/>
      <c r="K58" s="7"/>
      <c r="L58" s="7"/>
      <c r="M58" s="7"/>
      <c r="N58" s="7">
        <v>1</v>
      </c>
      <c r="O58" s="7"/>
      <c r="P58" s="7"/>
      <c r="Q58" s="7"/>
      <c r="R58" s="7"/>
      <c r="S58" s="7"/>
      <c r="T58" s="7">
        <v>1</v>
      </c>
      <c r="U58" s="7"/>
      <c r="V58" s="7"/>
      <c r="W58" s="7"/>
      <c r="X58" s="7"/>
      <c r="Y58" s="7"/>
      <c r="Z58" s="7"/>
      <c r="AA58" s="7"/>
      <c r="AB58" s="7">
        <v>1</v>
      </c>
      <c r="AC58" s="7"/>
      <c r="AD58" s="7"/>
      <c r="AE58" s="7"/>
      <c r="AF58" s="8">
        <v>1</v>
      </c>
      <c r="AG58" s="4">
        <f t="shared" si="2"/>
        <v>7</v>
      </c>
    </row>
    <row r="59" spans="1:33" ht="18.75" x14ac:dyDescent="0.25">
      <c r="A59" s="41" t="s">
        <v>40</v>
      </c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>
        <v>3</v>
      </c>
      <c r="AA59" s="7">
        <v>2</v>
      </c>
      <c r="AB59" s="7"/>
      <c r="AC59" s="7"/>
      <c r="AD59" s="7"/>
      <c r="AE59" s="7"/>
      <c r="AF59" s="8"/>
      <c r="AG59" s="4">
        <f t="shared" si="2"/>
        <v>5</v>
      </c>
    </row>
    <row r="60" spans="1:33" ht="18.75" x14ac:dyDescent="0.25">
      <c r="A60" s="41" t="s">
        <v>41</v>
      </c>
      <c r="B60" s="7"/>
      <c r="C60" s="7">
        <v>2</v>
      </c>
      <c r="D60" s="7"/>
      <c r="E60" s="7">
        <v>1</v>
      </c>
      <c r="F60" s="7">
        <v>1</v>
      </c>
      <c r="G60" s="7"/>
      <c r="H60" s="7">
        <v>2</v>
      </c>
      <c r="I60" s="7"/>
      <c r="J60" s="7"/>
      <c r="K60" s="7"/>
      <c r="L60" s="7">
        <v>1</v>
      </c>
      <c r="M60" s="7"/>
      <c r="N60" s="7">
        <v>1</v>
      </c>
      <c r="O60" s="7">
        <v>1</v>
      </c>
      <c r="P60" s="7"/>
      <c r="Q60" s="7"/>
      <c r="R60" s="7"/>
      <c r="S60" s="7"/>
      <c r="T60" s="7">
        <v>2</v>
      </c>
      <c r="U60" s="7"/>
      <c r="V60" s="7"/>
      <c r="W60" s="7">
        <v>2</v>
      </c>
      <c r="X60" s="7">
        <v>1</v>
      </c>
      <c r="Y60" s="7"/>
      <c r="Z60" s="7">
        <v>1</v>
      </c>
      <c r="AA60" s="7"/>
      <c r="AB60" s="7">
        <v>1</v>
      </c>
      <c r="AC60" s="7"/>
      <c r="AD60" s="7"/>
      <c r="AE60" s="7"/>
      <c r="AF60" s="8">
        <v>1</v>
      </c>
      <c r="AG60" s="4">
        <f t="shared" si="2"/>
        <v>17</v>
      </c>
    </row>
    <row r="61" spans="1:33" ht="18.75" x14ac:dyDescent="0.25">
      <c r="A61" s="41" t="s">
        <v>42</v>
      </c>
      <c r="B61" s="7"/>
      <c r="C61" s="7">
        <v>1</v>
      </c>
      <c r="D61" s="7"/>
      <c r="E61" s="7"/>
      <c r="F61" s="7"/>
      <c r="G61" s="7"/>
      <c r="H61" s="7"/>
      <c r="I61" s="7"/>
      <c r="J61" s="7">
        <v>1</v>
      </c>
      <c r="K61" s="7"/>
      <c r="L61" s="7"/>
      <c r="M61" s="7">
        <v>1</v>
      </c>
      <c r="N61" s="7">
        <v>1</v>
      </c>
      <c r="O61" s="7">
        <v>1</v>
      </c>
      <c r="P61" s="7">
        <v>2</v>
      </c>
      <c r="Q61" s="7"/>
      <c r="R61" s="7"/>
      <c r="S61" s="7"/>
      <c r="T61" s="7"/>
      <c r="U61" s="7"/>
      <c r="V61" s="7">
        <v>1</v>
      </c>
      <c r="W61" s="7"/>
      <c r="X61" s="7">
        <v>2</v>
      </c>
      <c r="Y61" s="7">
        <v>1</v>
      </c>
      <c r="Z61" s="7"/>
      <c r="AA61" s="7"/>
      <c r="AB61" s="7">
        <v>1</v>
      </c>
      <c r="AC61" s="7">
        <v>1</v>
      </c>
      <c r="AD61" s="7"/>
      <c r="AE61" s="7"/>
      <c r="AF61" s="8">
        <v>1</v>
      </c>
      <c r="AG61" s="4">
        <f t="shared" si="2"/>
        <v>14</v>
      </c>
    </row>
    <row r="62" spans="1:33" ht="18.75" x14ac:dyDescent="0.25">
      <c r="A62" s="41" t="s">
        <v>43</v>
      </c>
      <c r="B62" s="7">
        <v>2</v>
      </c>
      <c r="C62" s="7">
        <v>2</v>
      </c>
      <c r="D62" s="7"/>
      <c r="E62" s="7"/>
      <c r="F62" s="7"/>
      <c r="G62" s="7"/>
      <c r="H62" s="7"/>
      <c r="I62" s="7"/>
      <c r="J62" s="7"/>
      <c r="K62" s="7"/>
      <c r="L62" s="7">
        <v>4</v>
      </c>
      <c r="M62" s="7"/>
      <c r="N62" s="7">
        <v>1</v>
      </c>
      <c r="O62" s="7"/>
      <c r="P62" s="7">
        <v>1</v>
      </c>
      <c r="Q62" s="7">
        <v>1</v>
      </c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>
        <v>1</v>
      </c>
      <c r="AD62" s="7"/>
      <c r="AE62" s="7"/>
      <c r="AF62" s="8"/>
      <c r="AG62" s="4">
        <f t="shared" si="2"/>
        <v>12</v>
      </c>
    </row>
    <row r="63" spans="1:33" ht="18.75" x14ac:dyDescent="0.25">
      <c r="A63" s="41" t="s">
        <v>44</v>
      </c>
      <c r="B63" s="7"/>
      <c r="C63" s="7"/>
      <c r="D63" s="7">
        <v>1</v>
      </c>
      <c r="E63" s="7"/>
      <c r="F63" s="7"/>
      <c r="G63" s="7"/>
      <c r="H63" s="7"/>
      <c r="I63" s="7"/>
      <c r="J63" s="7"/>
      <c r="K63" s="7">
        <v>1</v>
      </c>
      <c r="L63" s="7"/>
      <c r="M63" s="7"/>
      <c r="N63" s="7"/>
      <c r="O63" s="7"/>
      <c r="P63" s="7"/>
      <c r="Q63" s="7">
        <v>1</v>
      </c>
      <c r="R63" s="7"/>
      <c r="S63" s="7"/>
      <c r="T63" s="7">
        <v>1</v>
      </c>
      <c r="U63" s="7"/>
      <c r="V63" s="7"/>
      <c r="W63" s="7"/>
      <c r="X63" s="7">
        <v>1</v>
      </c>
      <c r="Y63" s="7">
        <v>1</v>
      </c>
      <c r="Z63" s="7"/>
      <c r="AA63" s="7">
        <v>1</v>
      </c>
      <c r="AB63" s="7">
        <v>1</v>
      </c>
      <c r="AC63" s="7">
        <v>1</v>
      </c>
      <c r="AD63" s="7"/>
      <c r="AE63" s="7"/>
      <c r="AF63" s="8"/>
      <c r="AG63" s="4">
        <f t="shared" si="2"/>
        <v>9</v>
      </c>
    </row>
    <row r="64" spans="1:33" ht="18.75" x14ac:dyDescent="0.25">
      <c r="A64" s="41" t="s">
        <v>45</v>
      </c>
      <c r="B64" s="7"/>
      <c r="C64" s="7">
        <v>3</v>
      </c>
      <c r="D64" s="7">
        <v>7</v>
      </c>
      <c r="E64" s="7"/>
      <c r="F64" s="7">
        <v>2</v>
      </c>
      <c r="G64" s="7"/>
      <c r="H64" s="7">
        <v>2</v>
      </c>
      <c r="I64" s="7"/>
      <c r="J64" s="7">
        <v>1</v>
      </c>
      <c r="K64" s="7"/>
      <c r="L64" s="7"/>
      <c r="M64" s="7"/>
      <c r="N64" s="7"/>
      <c r="O64" s="7">
        <v>1</v>
      </c>
      <c r="P64" s="7"/>
      <c r="Q64" s="7"/>
      <c r="R64" s="7">
        <v>3</v>
      </c>
      <c r="S64" s="7"/>
      <c r="T64" s="7">
        <v>1</v>
      </c>
      <c r="U64" s="7">
        <v>2</v>
      </c>
      <c r="V64" s="7"/>
      <c r="W64" s="7"/>
      <c r="X64" s="7"/>
      <c r="Y64" s="7"/>
      <c r="Z64" s="7"/>
      <c r="AA64" s="7"/>
      <c r="AB64" s="7"/>
      <c r="AC64" s="7"/>
      <c r="AD64" s="7"/>
      <c r="AE64" s="7"/>
      <c r="AF64" s="8">
        <v>2</v>
      </c>
      <c r="AG64" s="4">
        <f t="shared" si="2"/>
        <v>24</v>
      </c>
    </row>
    <row r="65" spans="1:33" ht="18.75" x14ac:dyDescent="0.25">
      <c r="A65" s="41" t="s">
        <v>46</v>
      </c>
      <c r="B65" s="7"/>
      <c r="C65" s="7">
        <v>1</v>
      </c>
      <c r="D65" s="7">
        <v>1</v>
      </c>
      <c r="E65" s="7"/>
      <c r="F65" s="7"/>
      <c r="G65" s="7"/>
      <c r="H65" s="7"/>
      <c r="I65" s="7"/>
      <c r="J65" s="7">
        <v>1</v>
      </c>
      <c r="K65" s="7">
        <v>1</v>
      </c>
      <c r="L65" s="7">
        <v>3</v>
      </c>
      <c r="M65" s="7"/>
      <c r="N65" s="7"/>
      <c r="O65" s="7">
        <v>1</v>
      </c>
      <c r="P65" s="7">
        <v>3</v>
      </c>
      <c r="Q65" s="7">
        <v>3</v>
      </c>
      <c r="R65" s="7"/>
      <c r="S65" s="7">
        <v>1</v>
      </c>
      <c r="T65" s="7"/>
      <c r="U65" s="7"/>
      <c r="V65" s="7">
        <v>1</v>
      </c>
      <c r="W65" s="7"/>
      <c r="X65" s="7"/>
      <c r="Y65" s="7"/>
      <c r="Z65" s="7"/>
      <c r="AA65" s="7"/>
      <c r="AB65" s="7"/>
      <c r="AC65" s="7">
        <v>2</v>
      </c>
      <c r="AD65" s="7"/>
      <c r="AE65" s="7"/>
      <c r="AF65" s="8">
        <v>1</v>
      </c>
      <c r="AG65" s="4">
        <f t="shared" si="2"/>
        <v>19</v>
      </c>
    </row>
    <row r="66" spans="1:33" ht="18.75" x14ac:dyDescent="0.25">
      <c r="A66" s="41" t="s">
        <v>47</v>
      </c>
      <c r="B66" s="7"/>
      <c r="C66" s="7"/>
      <c r="D66" s="7">
        <v>1</v>
      </c>
      <c r="E66" s="7"/>
      <c r="F66" s="7"/>
      <c r="G66" s="7"/>
      <c r="H66" s="7">
        <v>3</v>
      </c>
      <c r="I66" s="7"/>
      <c r="J66" s="7">
        <v>2</v>
      </c>
      <c r="K66" s="7">
        <v>1</v>
      </c>
      <c r="L66" s="7"/>
      <c r="M66" s="7">
        <v>1</v>
      </c>
      <c r="N66" s="7"/>
      <c r="O66" s="7"/>
      <c r="P66" s="7">
        <v>2</v>
      </c>
      <c r="Q66" s="7">
        <v>3</v>
      </c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>
        <v>7</v>
      </c>
      <c r="AD66" s="7"/>
      <c r="AE66" s="7"/>
      <c r="AF66" s="8"/>
      <c r="AG66" s="4">
        <f t="shared" si="2"/>
        <v>20</v>
      </c>
    </row>
    <row r="67" spans="1:33" ht="18.75" x14ac:dyDescent="0.25">
      <c r="A67" s="41" t="s">
        <v>48</v>
      </c>
      <c r="B67" s="7"/>
      <c r="C67" s="7">
        <v>5</v>
      </c>
      <c r="D67" s="7"/>
      <c r="E67" s="7"/>
      <c r="F67" s="7">
        <v>2</v>
      </c>
      <c r="G67" s="7"/>
      <c r="H67" s="7"/>
      <c r="I67" s="7"/>
      <c r="J67" s="7"/>
      <c r="K67" s="7"/>
      <c r="L67" s="7"/>
      <c r="M67" s="7"/>
      <c r="N67" s="7"/>
      <c r="O67" s="7"/>
      <c r="P67" s="7"/>
      <c r="Q67" s="7">
        <v>2</v>
      </c>
      <c r="R67" s="7"/>
      <c r="S67" s="7"/>
      <c r="T67" s="7"/>
      <c r="U67" s="7"/>
      <c r="V67" s="7"/>
      <c r="W67" s="7"/>
      <c r="X67" s="7"/>
      <c r="Y67" s="7"/>
      <c r="Z67" s="7"/>
      <c r="AA67" s="7"/>
      <c r="AB67" s="7">
        <v>1</v>
      </c>
      <c r="AC67" s="7"/>
      <c r="AD67" s="7"/>
      <c r="AE67" s="7"/>
      <c r="AF67" s="8"/>
      <c r="AG67" s="4">
        <f t="shared" si="2"/>
        <v>10</v>
      </c>
    </row>
    <row r="68" spans="1:33" ht="18.75" x14ac:dyDescent="0.25">
      <c r="A68" s="41" t="s">
        <v>49</v>
      </c>
      <c r="B68" s="7">
        <v>1</v>
      </c>
      <c r="C68" s="7">
        <v>2</v>
      </c>
      <c r="D68" s="7"/>
      <c r="E68" s="7"/>
      <c r="F68" s="7"/>
      <c r="G68" s="7"/>
      <c r="H68" s="7"/>
      <c r="I68" s="7">
        <v>2</v>
      </c>
      <c r="J68" s="7">
        <v>1</v>
      </c>
      <c r="K68" s="7">
        <v>1</v>
      </c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>
        <v>1</v>
      </c>
      <c r="Y68" s="7"/>
      <c r="Z68" s="7"/>
      <c r="AA68" s="7">
        <v>1</v>
      </c>
      <c r="AB68" s="7"/>
      <c r="AC68" s="7">
        <v>1</v>
      </c>
      <c r="AD68" s="7"/>
      <c r="AE68" s="7"/>
      <c r="AF68" s="8"/>
      <c r="AG68" s="4">
        <f t="shared" si="2"/>
        <v>10</v>
      </c>
    </row>
    <row r="69" spans="1:33" ht="18.75" x14ac:dyDescent="0.25">
      <c r="A69" s="41" t="s">
        <v>50</v>
      </c>
      <c r="B69" s="7">
        <v>1</v>
      </c>
      <c r="C69" s="7"/>
      <c r="D69" s="7"/>
      <c r="E69" s="7"/>
      <c r="F69" s="7"/>
      <c r="G69" s="7">
        <v>1</v>
      </c>
      <c r="H69" s="7"/>
      <c r="I69" s="7"/>
      <c r="J69" s="7">
        <v>1</v>
      </c>
      <c r="K69" s="7"/>
      <c r="L69" s="7"/>
      <c r="M69" s="7"/>
      <c r="N69" s="7">
        <v>1</v>
      </c>
      <c r="O69" s="7"/>
      <c r="P69" s="7"/>
      <c r="Q69" s="7">
        <v>1</v>
      </c>
      <c r="R69" s="7"/>
      <c r="S69" s="7"/>
      <c r="T69" s="7">
        <v>1</v>
      </c>
      <c r="U69" s="7"/>
      <c r="V69" s="7">
        <v>3</v>
      </c>
      <c r="W69" s="7">
        <v>1</v>
      </c>
      <c r="X69" s="7">
        <v>1</v>
      </c>
      <c r="Y69" s="7">
        <v>1</v>
      </c>
      <c r="Z69" s="7"/>
      <c r="AA69" s="7">
        <v>1</v>
      </c>
      <c r="AB69" s="7"/>
      <c r="AC69" s="7">
        <v>6</v>
      </c>
      <c r="AD69" s="7"/>
      <c r="AE69" s="7"/>
      <c r="AF69" s="8"/>
      <c r="AG69" s="4">
        <f t="shared" si="2"/>
        <v>19</v>
      </c>
    </row>
    <row r="70" spans="1:33" ht="18.75" x14ac:dyDescent="0.25">
      <c r="A70" s="41" t="s">
        <v>33</v>
      </c>
      <c r="B70" s="114">
        <v>1</v>
      </c>
      <c r="C70" s="114"/>
      <c r="D70" s="7"/>
      <c r="E70" s="114">
        <v>1</v>
      </c>
      <c r="F70" s="114"/>
      <c r="G70" s="7"/>
      <c r="H70" s="114"/>
      <c r="I70" s="7"/>
      <c r="J70" s="114">
        <v>2</v>
      </c>
      <c r="K70" s="114"/>
      <c r="L70" s="114"/>
      <c r="M70" s="114"/>
      <c r="N70" s="114"/>
      <c r="O70" s="114"/>
      <c r="P70" s="114"/>
      <c r="Q70" s="114"/>
      <c r="R70" s="114"/>
      <c r="S70" s="114"/>
      <c r="T70" s="114"/>
      <c r="U70" s="114"/>
      <c r="V70" s="114"/>
      <c r="W70" s="114"/>
      <c r="X70" s="114"/>
      <c r="Y70" s="114"/>
      <c r="Z70" s="114"/>
      <c r="AA70" s="114"/>
      <c r="AB70" s="114">
        <v>1</v>
      </c>
      <c r="AC70" s="114"/>
      <c r="AD70" s="7"/>
      <c r="AE70" s="7"/>
      <c r="AF70" s="115">
        <v>1</v>
      </c>
      <c r="AG70" s="4">
        <f t="shared" si="2"/>
        <v>6</v>
      </c>
    </row>
    <row r="71" spans="1:33" ht="18.75" x14ac:dyDescent="0.25">
      <c r="A71" s="41" t="s">
        <v>34</v>
      </c>
      <c r="B71" s="114"/>
      <c r="C71" s="114"/>
      <c r="D71" s="7"/>
      <c r="E71" s="114">
        <v>1</v>
      </c>
      <c r="F71" s="114"/>
      <c r="G71" s="7"/>
      <c r="H71" s="114"/>
      <c r="I71" s="7"/>
      <c r="J71" s="114"/>
      <c r="K71" s="114"/>
      <c r="L71" s="114"/>
      <c r="M71" s="114"/>
      <c r="N71" s="114">
        <v>1</v>
      </c>
      <c r="O71" s="114"/>
      <c r="P71" s="114"/>
      <c r="Q71" s="114"/>
      <c r="R71" s="114"/>
      <c r="S71" s="114"/>
      <c r="T71" s="114">
        <v>1</v>
      </c>
      <c r="U71" s="114"/>
      <c r="V71" s="114"/>
      <c r="W71" s="114"/>
      <c r="X71" s="114"/>
      <c r="Y71" s="114"/>
      <c r="Z71" s="114"/>
      <c r="AA71" s="114"/>
      <c r="AB71" s="114"/>
      <c r="AC71" s="114"/>
      <c r="AD71" s="7"/>
      <c r="AE71" s="7"/>
      <c r="AF71" s="115"/>
      <c r="AG71" s="4">
        <f t="shared" si="2"/>
        <v>3</v>
      </c>
    </row>
    <row r="72" spans="1:33" ht="18.75" x14ac:dyDescent="0.25">
      <c r="A72" s="41" t="s">
        <v>35</v>
      </c>
      <c r="B72" s="114"/>
      <c r="C72" s="114"/>
      <c r="D72" s="7"/>
      <c r="E72" s="114"/>
      <c r="F72" s="114"/>
      <c r="G72" s="7"/>
      <c r="H72" s="114"/>
      <c r="I72" s="7"/>
      <c r="J72" s="114"/>
      <c r="K72" s="114"/>
      <c r="L72" s="114"/>
      <c r="M72" s="114"/>
      <c r="N72" s="114"/>
      <c r="O72" s="114"/>
      <c r="P72" s="114"/>
      <c r="Q72" s="114"/>
      <c r="R72" s="114"/>
      <c r="S72" s="114"/>
      <c r="T72" s="114"/>
      <c r="U72" s="114"/>
      <c r="V72" s="114"/>
      <c r="W72" s="114"/>
      <c r="X72" s="114"/>
      <c r="Y72" s="114"/>
      <c r="Z72" s="114"/>
      <c r="AA72" s="114"/>
      <c r="AB72" s="114"/>
      <c r="AC72" s="114"/>
      <c r="AD72" s="7"/>
      <c r="AE72" s="7">
        <v>2</v>
      </c>
      <c r="AF72" s="115"/>
      <c r="AG72" s="4">
        <f t="shared" si="2"/>
        <v>2</v>
      </c>
    </row>
    <row r="73" spans="1:33" ht="18.75" x14ac:dyDescent="0.25">
      <c r="A73" s="41" t="s">
        <v>36</v>
      </c>
      <c r="B73" s="114"/>
      <c r="C73" s="114"/>
      <c r="D73" s="7"/>
      <c r="E73" s="114"/>
      <c r="F73" s="114"/>
      <c r="G73" s="7"/>
      <c r="H73" s="114"/>
      <c r="I73" s="7"/>
      <c r="J73" s="114"/>
      <c r="K73" s="114"/>
      <c r="L73" s="114"/>
      <c r="M73" s="114"/>
      <c r="N73" s="114"/>
      <c r="O73" s="114"/>
      <c r="P73" s="114"/>
      <c r="Q73" s="114"/>
      <c r="R73" s="114"/>
      <c r="S73" s="114"/>
      <c r="T73" s="114"/>
      <c r="U73" s="114"/>
      <c r="V73" s="114"/>
      <c r="W73" s="114">
        <v>1</v>
      </c>
      <c r="X73" s="114"/>
      <c r="Y73" s="114"/>
      <c r="Z73" s="114"/>
      <c r="AA73" s="114"/>
      <c r="AB73" s="114"/>
      <c r="AC73" s="114"/>
      <c r="AD73" s="7">
        <v>4</v>
      </c>
      <c r="AE73" s="7">
        <v>1</v>
      </c>
      <c r="AF73" s="115"/>
      <c r="AG73" s="4">
        <f t="shared" si="2"/>
        <v>6</v>
      </c>
    </row>
    <row r="74" spans="1:33" ht="18.75" x14ac:dyDescent="0.25">
      <c r="A74" s="41" t="s">
        <v>51</v>
      </c>
      <c r="B74" s="114"/>
      <c r="C74" s="114"/>
      <c r="D74" s="7"/>
      <c r="E74" s="114"/>
      <c r="F74" s="114"/>
      <c r="G74" s="7"/>
      <c r="H74" s="114"/>
      <c r="I74" s="7"/>
      <c r="J74" s="114"/>
      <c r="K74" s="114"/>
      <c r="L74" s="114"/>
      <c r="M74" s="114">
        <v>1</v>
      </c>
      <c r="N74" s="114"/>
      <c r="O74" s="114"/>
      <c r="P74" s="114"/>
      <c r="Q74" s="114"/>
      <c r="R74" s="114"/>
      <c r="S74" s="114">
        <v>1</v>
      </c>
      <c r="T74" s="114"/>
      <c r="U74" s="114"/>
      <c r="V74" s="114"/>
      <c r="W74" s="114"/>
      <c r="X74" s="114"/>
      <c r="Y74" s="114"/>
      <c r="Z74" s="114"/>
      <c r="AA74" s="114"/>
      <c r="AB74" s="114"/>
      <c r="AC74" s="114"/>
      <c r="AD74" s="7">
        <v>1</v>
      </c>
      <c r="AE74" s="7"/>
      <c r="AF74" s="115"/>
      <c r="AG74" s="4">
        <f t="shared" si="2"/>
        <v>3</v>
      </c>
    </row>
    <row r="75" spans="1:33" ht="18.75" x14ac:dyDescent="0.25">
      <c r="A75" s="41" t="s">
        <v>52</v>
      </c>
      <c r="B75" s="114"/>
      <c r="C75" s="114"/>
      <c r="D75" s="7"/>
      <c r="E75" s="114"/>
      <c r="F75" s="114"/>
      <c r="G75" s="7"/>
      <c r="H75" s="114"/>
      <c r="I75" s="7"/>
      <c r="J75" s="114"/>
      <c r="K75" s="114"/>
      <c r="L75" s="114"/>
      <c r="M75" s="114"/>
      <c r="N75" s="114"/>
      <c r="O75" s="114"/>
      <c r="P75" s="114"/>
      <c r="Q75" s="114"/>
      <c r="R75" s="114"/>
      <c r="S75" s="114"/>
      <c r="T75" s="114">
        <v>2</v>
      </c>
      <c r="U75" s="114"/>
      <c r="V75" s="114"/>
      <c r="W75" s="114"/>
      <c r="X75" s="114"/>
      <c r="Y75" s="114"/>
      <c r="Z75" s="114"/>
      <c r="AA75" s="114"/>
      <c r="AB75" s="114"/>
      <c r="AC75" s="114"/>
      <c r="AD75" s="7">
        <v>3</v>
      </c>
      <c r="AE75" s="7"/>
      <c r="AF75" s="115"/>
      <c r="AG75" s="4">
        <f t="shared" si="2"/>
        <v>5</v>
      </c>
    </row>
    <row r="76" spans="1:33" ht="18.75" x14ac:dyDescent="0.25">
      <c r="A76" s="41" t="s">
        <v>37</v>
      </c>
      <c r="B76" s="114"/>
      <c r="C76" s="114"/>
      <c r="D76" s="7"/>
      <c r="E76" s="114"/>
      <c r="F76" s="114"/>
      <c r="G76" s="7"/>
      <c r="H76" s="114"/>
      <c r="I76" s="7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X76" s="114"/>
      <c r="Y76" s="114"/>
      <c r="Z76" s="114"/>
      <c r="AA76" s="114"/>
      <c r="AB76" s="114"/>
      <c r="AC76" s="114"/>
      <c r="AD76" s="7"/>
      <c r="AE76" s="7">
        <v>2</v>
      </c>
      <c r="AF76" s="115"/>
      <c r="AG76" s="4">
        <f t="shared" si="2"/>
        <v>2</v>
      </c>
    </row>
    <row r="77" spans="1:33" ht="19.5" thickBot="1" x14ac:dyDescent="0.3">
      <c r="A77" s="134" t="s">
        <v>53</v>
      </c>
      <c r="B77" s="166"/>
      <c r="C77" s="166"/>
      <c r="D77" s="9"/>
      <c r="E77" s="166"/>
      <c r="F77" s="166"/>
      <c r="G77" s="9"/>
      <c r="H77" s="166"/>
      <c r="I77" s="9"/>
      <c r="J77" s="166"/>
      <c r="K77" s="166"/>
      <c r="L77" s="166"/>
      <c r="M77" s="166"/>
      <c r="N77" s="166"/>
      <c r="O77" s="166"/>
      <c r="P77" s="166"/>
      <c r="Q77" s="166"/>
      <c r="R77" s="166"/>
      <c r="S77" s="166"/>
      <c r="T77" s="166">
        <v>1</v>
      </c>
      <c r="U77" s="166"/>
      <c r="V77" s="166"/>
      <c r="W77" s="166"/>
      <c r="X77" s="166"/>
      <c r="Y77" s="166"/>
      <c r="Z77" s="166"/>
      <c r="AA77" s="166"/>
      <c r="AB77" s="166"/>
      <c r="AC77" s="166"/>
      <c r="AD77" s="9"/>
      <c r="AE77" s="9"/>
      <c r="AF77" s="167"/>
      <c r="AG77" s="108">
        <f t="shared" si="2"/>
        <v>1</v>
      </c>
    </row>
    <row r="78" spans="1:33" ht="19.5" hidden="1" customHeight="1" thickBot="1" x14ac:dyDescent="0.3">
      <c r="A78" s="183" t="s">
        <v>99</v>
      </c>
      <c r="B78" s="185">
        <f t="shared" ref="B78:AF78" si="7">SUM(B79:B80)</f>
        <v>140</v>
      </c>
      <c r="C78" s="185">
        <f t="shared" si="7"/>
        <v>149</v>
      </c>
      <c r="D78" s="185">
        <f t="shared" si="7"/>
        <v>123</v>
      </c>
      <c r="E78" s="184">
        <f t="shared" si="7"/>
        <v>128</v>
      </c>
      <c r="F78" s="184">
        <f t="shared" si="7"/>
        <v>120</v>
      </c>
      <c r="G78" s="184">
        <f t="shared" si="7"/>
        <v>117</v>
      </c>
      <c r="H78" s="184">
        <f t="shared" si="7"/>
        <v>135</v>
      </c>
      <c r="I78" s="184">
        <f t="shared" si="7"/>
        <v>144</v>
      </c>
      <c r="J78" s="184">
        <f t="shared" si="7"/>
        <v>169</v>
      </c>
      <c r="K78" s="184">
        <f t="shared" si="7"/>
        <v>120</v>
      </c>
      <c r="L78" s="184">
        <f t="shared" si="7"/>
        <v>123</v>
      </c>
      <c r="M78" s="184">
        <f t="shared" si="7"/>
        <v>123</v>
      </c>
      <c r="N78" s="184">
        <f t="shared" si="7"/>
        <v>119</v>
      </c>
      <c r="O78" s="184">
        <f>SUM(O79:O80)</f>
        <v>126</v>
      </c>
      <c r="P78" s="184">
        <f t="shared" si="7"/>
        <v>130</v>
      </c>
      <c r="Q78" s="184">
        <f t="shared" si="7"/>
        <v>160</v>
      </c>
      <c r="R78" s="184">
        <f t="shared" si="7"/>
        <v>132</v>
      </c>
      <c r="S78" s="184">
        <f t="shared" si="7"/>
        <v>115</v>
      </c>
      <c r="T78" s="184">
        <f t="shared" si="7"/>
        <v>136</v>
      </c>
      <c r="U78" s="184">
        <f t="shared" si="7"/>
        <v>99</v>
      </c>
      <c r="V78" s="184">
        <f t="shared" si="7"/>
        <v>143</v>
      </c>
      <c r="W78" s="184">
        <f t="shared" si="7"/>
        <v>135</v>
      </c>
      <c r="X78" s="184">
        <f t="shared" si="7"/>
        <v>135</v>
      </c>
      <c r="Y78" s="184">
        <f t="shared" si="7"/>
        <v>82</v>
      </c>
      <c r="Z78" s="184">
        <f t="shared" si="7"/>
        <v>132</v>
      </c>
      <c r="AA78" s="184">
        <f t="shared" si="7"/>
        <v>148</v>
      </c>
      <c r="AB78" s="184">
        <f t="shared" si="7"/>
        <v>168</v>
      </c>
      <c r="AC78" s="184">
        <f t="shared" si="7"/>
        <v>164</v>
      </c>
      <c r="AD78" s="184">
        <f t="shared" si="7"/>
        <v>152</v>
      </c>
      <c r="AE78" s="184">
        <f t="shared" ref="AE78" si="8">SUM(AE79:AE80)</f>
        <v>135</v>
      </c>
      <c r="AF78" s="186">
        <f t="shared" si="7"/>
        <v>97</v>
      </c>
      <c r="AG78" s="116">
        <f t="shared" si="2"/>
        <v>4099</v>
      </c>
    </row>
    <row r="79" spans="1:33" ht="19.5" hidden="1" customHeight="1" thickBot="1" x14ac:dyDescent="0.3">
      <c r="A79" s="181" t="s">
        <v>58</v>
      </c>
      <c r="B79" s="114">
        <f t="shared" ref="B79:AF79" si="9">SUM(B4:B27)-B80</f>
        <v>140</v>
      </c>
      <c r="C79" s="114">
        <f t="shared" si="9"/>
        <v>149</v>
      </c>
      <c r="D79" s="114">
        <f t="shared" si="9"/>
        <v>123</v>
      </c>
      <c r="E79" s="114">
        <f t="shared" si="9"/>
        <v>128</v>
      </c>
      <c r="F79" s="114">
        <f t="shared" si="9"/>
        <v>65</v>
      </c>
      <c r="G79" s="114">
        <f t="shared" si="9"/>
        <v>60</v>
      </c>
      <c r="H79" s="114">
        <f t="shared" si="9"/>
        <v>71</v>
      </c>
      <c r="I79" s="114">
        <f t="shared" si="9"/>
        <v>144</v>
      </c>
      <c r="J79" s="114">
        <f t="shared" si="9"/>
        <v>169</v>
      </c>
      <c r="K79" s="114">
        <f t="shared" si="9"/>
        <v>120</v>
      </c>
      <c r="L79" s="114">
        <f t="shared" si="9"/>
        <v>123</v>
      </c>
      <c r="M79" s="114">
        <f t="shared" si="9"/>
        <v>73</v>
      </c>
      <c r="N79" s="114">
        <f t="shared" si="9"/>
        <v>58</v>
      </c>
      <c r="O79" s="114">
        <f t="shared" si="9"/>
        <v>72</v>
      </c>
      <c r="P79" s="114">
        <f t="shared" si="9"/>
        <v>130</v>
      </c>
      <c r="Q79" s="114">
        <f t="shared" si="9"/>
        <v>160</v>
      </c>
      <c r="R79" s="114">
        <f t="shared" si="9"/>
        <v>73</v>
      </c>
      <c r="S79" s="114">
        <f t="shared" si="9"/>
        <v>72</v>
      </c>
      <c r="T79" s="114">
        <f t="shared" si="9"/>
        <v>76</v>
      </c>
      <c r="U79" s="114">
        <f t="shared" si="9"/>
        <v>44</v>
      </c>
      <c r="V79" s="114">
        <f t="shared" si="9"/>
        <v>82</v>
      </c>
      <c r="W79" s="114">
        <f t="shared" si="9"/>
        <v>135</v>
      </c>
      <c r="X79" s="114">
        <f t="shared" si="9"/>
        <v>135</v>
      </c>
      <c r="Y79" s="114">
        <f t="shared" si="9"/>
        <v>37</v>
      </c>
      <c r="Z79" s="114">
        <f t="shared" si="9"/>
        <v>132</v>
      </c>
      <c r="AA79" s="114">
        <f t="shared" si="9"/>
        <v>69</v>
      </c>
      <c r="AB79" s="114">
        <f t="shared" si="9"/>
        <v>69</v>
      </c>
      <c r="AC79" s="114">
        <f t="shared" si="9"/>
        <v>100</v>
      </c>
      <c r="AD79" s="114">
        <f t="shared" si="9"/>
        <v>152</v>
      </c>
      <c r="AE79" s="114">
        <f t="shared" ref="AE79" si="10">SUM(AE4:AE27)-AE80</f>
        <v>135</v>
      </c>
      <c r="AF79" s="114">
        <f t="shared" si="9"/>
        <v>51</v>
      </c>
      <c r="AG79" s="132">
        <f t="shared" si="2"/>
        <v>3147</v>
      </c>
    </row>
    <row r="80" spans="1:33" ht="19.5" hidden="1" customHeight="1" thickBot="1" x14ac:dyDescent="0.3">
      <c r="A80" s="107" t="s">
        <v>57</v>
      </c>
      <c r="B80" s="11"/>
      <c r="C80" s="11"/>
      <c r="D80" s="9">
        <v>0</v>
      </c>
      <c r="E80" s="9">
        <v>0</v>
      </c>
      <c r="F80" s="9">
        <f>SUM(F4:F12)</f>
        <v>55</v>
      </c>
      <c r="G80" s="9">
        <f>SUM(G4:G12)</f>
        <v>57</v>
      </c>
      <c r="H80" s="9">
        <f>SUM(H4:H12)</f>
        <v>64</v>
      </c>
      <c r="I80" s="11"/>
      <c r="J80" s="11"/>
      <c r="K80" s="9">
        <v>0</v>
      </c>
      <c r="L80" s="9">
        <v>0</v>
      </c>
      <c r="M80" s="9">
        <f>SUM(M4:M12)</f>
        <v>50</v>
      </c>
      <c r="N80" s="9">
        <f>SUM(N4:N12)</f>
        <v>61</v>
      </c>
      <c r="O80" s="9">
        <f>SUM(O4:O12)</f>
        <v>54</v>
      </c>
      <c r="P80" s="11"/>
      <c r="Q80" s="11"/>
      <c r="R80" s="9">
        <f>SUM(R4:R12)</f>
        <v>59</v>
      </c>
      <c r="S80" s="9">
        <f>SUM(S4:S12)</f>
        <v>43</v>
      </c>
      <c r="T80" s="9">
        <f>SUM(T4:T12)</f>
        <v>60</v>
      </c>
      <c r="U80" s="9">
        <f>SUM(U4:U12)</f>
        <v>55</v>
      </c>
      <c r="V80" s="9">
        <f>SUM(V4:V12)</f>
        <v>61</v>
      </c>
      <c r="W80" s="11"/>
      <c r="X80" s="11"/>
      <c r="Y80" s="9">
        <f>SUM(Y4:Y12)</f>
        <v>45</v>
      </c>
      <c r="Z80" s="11"/>
      <c r="AA80" s="9">
        <f>SUM(AA4:AA12)</f>
        <v>79</v>
      </c>
      <c r="AB80" s="9">
        <f>SUM(AB4:AB12)</f>
        <v>99</v>
      </c>
      <c r="AC80" s="9">
        <f>SUM(AC4:AC12)</f>
        <v>64</v>
      </c>
      <c r="AD80" s="11"/>
      <c r="AE80" s="11"/>
      <c r="AF80" s="9">
        <f>SUM(AF4:AF12)</f>
        <v>46</v>
      </c>
      <c r="AG80" s="108">
        <f t="shared" si="2"/>
        <v>952</v>
      </c>
    </row>
    <row r="81" spans="1:35" ht="19.5" thickBot="1" x14ac:dyDescent="0.3">
      <c r="A81" s="183" t="s">
        <v>98</v>
      </c>
      <c r="B81" s="184">
        <f t="shared" ref="B81:AF81" si="11">SUM(B82:B83)</f>
        <v>5</v>
      </c>
      <c r="C81" s="184">
        <f t="shared" si="11"/>
        <v>17</v>
      </c>
      <c r="D81" s="184">
        <f t="shared" si="11"/>
        <v>11</v>
      </c>
      <c r="E81" s="184">
        <f t="shared" si="11"/>
        <v>4</v>
      </c>
      <c r="F81" s="184">
        <f t="shared" si="11"/>
        <v>6</v>
      </c>
      <c r="G81" s="184">
        <f t="shared" si="11"/>
        <v>4</v>
      </c>
      <c r="H81" s="184">
        <f t="shared" si="11"/>
        <v>11</v>
      </c>
      <c r="I81" s="184">
        <f t="shared" si="11"/>
        <v>2</v>
      </c>
      <c r="J81" s="184">
        <f t="shared" si="11"/>
        <v>11</v>
      </c>
      <c r="K81" s="184">
        <f t="shared" si="11"/>
        <v>4</v>
      </c>
      <c r="L81" s="184">
        <f t="shared" si="11"/>
        <v>8</v>
      </c>
      <c r="M81" s="184">
        <f t="shared" si="11"/>
        <v>3</v>
      </c>
      <c r="N81" s="184">
        <f t="shared" si="11"/>
        <v>7</v>
      </c>
      <c r="O81" s="184">
        <f t="shared" si="11"/>
        <v>4</v>
      </c>
      <c r="P81" s="184">
        <f t="shared" si="11"/>
        <v>8</v>
      </c>
      <c r="Q81" s="184">
        <f t="shared" si="11"/>
        <v>11</v>
      </c>
      <c r="R81" s="184">
        <f t="shared" si="11"/>
        <v>5</v>
      </c>
      <c r="S81" s="184">
        <f t="shared" si="11"/>
        <v>3</v>
      </c>
      <c r="T81" s="184">
        <f t="shared" si="11"/>
        <v>12</v>
      </c>
      <c r="U81" s="184">
        <f t="shared" si="11"/>
        <v>2</v>
      </c>
      <c r="V81" s="184">
        <f t="shared" si="11"/>
        <v>5</v>
      </c>
      <c r="W81" s="184">
        <f t="shared" si="11"/>
        <v>7</v>
      </c>
      <c r="X81" s="184">
        <f t="shared" si="11"/>
        <v>6</v>
      </c>
      <c r="Y81" s="184">
        <f t="shared" si="11"/>
        <v>3</v>
      </c>
      <c r="Z81" s="184">
        <f>SUM(Z82:Z83)</f>
        <v>4</v>
      </c>
      <c r="AA81" s="184">
        <f t="shared" si="11"/>
        <v>6</v>
      </c>
      <c r="AB81" s="184">
        <f t="shared" si="11"/>
        <v>6</v>
      </c>
      <c r="AC81" s="184">
        <f t="shared" si="11"/>
        <v>19</v>
      </c>
      <c r="AD81" s="184">
        <f t="shared" si="11"/>
        <v>11</v>
      </c>
      <c r="AE81" s="184">
        <f t="shared" ref="AE81" si="12">SUM(AE82:AE83)</f>
        <v>6</v>
      </c>
      <c r="AF81" s="184">
        <f t="shared" si="11"/>
        <v>7</v>
      </c>
      <c r="AG81" s="116">
        <f t="shared" si="2"/>
        <v>218</v>
      </c>
      <c r="AH81" s="180" t="str">
        <f>IF(AG81&lt;&gt;AG53,"*","")</f>
        <v/>
      </c>
    </row>
    <row r="82" spans="1:35" ht="18.75" x14ac:dyDescent="0.25">
      <c r="A82" s="181" t="s">
        <v>57</v>
      </c>
      <c r="B82" s="114">
        <f t="shared" ref="B82:AF82" si="13">SUM(B54:B62)</f>
        <v>2</v>
      </c>
      <c r="C82" s="114">
        <f t="shared" si="13"/>
        <v>6</v>
      </c>
      <c r="D82" s="114">
        <f t="shared" si="13"/>
        <v>1</v>
      </c>
      <c r="E82" s="114">
        <f t="shared" si="13"/>
        <v>2</v>
      </c>
      <c r="F82" s="182"/>
      <c r="G82" s="182"/>
      <c r="H82" s="114">
        <f t="shared" si="13"/>
        <v>6</v>
      </c>
      <c r="I82" s="182"/>
      <c r="J82" s="114">
        <f t="shared" si="13"/>
        <v>3</v>
      </c>
      <c r="K82" s="114">
        <f t="shared" si="13"/>
        <v>0</v>
      </c>
      <c r="L82" s="114">
        <f t="shared" si="13"/>
        <v>5</v>
      </c>
      <c r="M82" s="182"/>
      <c r="N82" s="182"/>
      <c r="O82" s="114">
        <f t="shared" si="13"/>
        <v>2</v>
      </c>
      <c r="P82" s="114">
        <f t="shared" si="13"/>
        <v>3</v>
      </c>
      <c r="Q82" s="114">
        <f t="shared" si="13"/>
        <v>1</v>
      </c>
      <c r="R82" s="114">
        <f t="shared" si="13"/>
        <v>2</v>
      </c>
      <c r="S82" s="114">
        <f t="shared" si="13"/>
        <v>1</v>
      </c>
      <c r="T82" s="182"/>
      <c r="U82" s="182"/>
      <c r="V82" s="114">
        <f t="shared" si="13"/>
        <v>1</v>
      </c>
      <c r="W82" s="114">
        <f t="shared" si="13"/>
        <v>5</v>
      </c>
      <c r="X82" s="114">
        <f t="shared" si="13"/>
        <v>3</v>
      </c>
      <c r="Y82" s="114">
        <f t="shared" si="13"/>
        <v>1</v>
      </c>
      <c r="Z82" s="182"/>
      <c r="AA82" s="182"/>
      <c r="AB82" s="182"/>
      <c r="AC82" s="114">
        <f t="shared" si="13"/>
        <v>2</v>
      </c>
      <c r="AD82" s="114">
        <f t="shared" si="13"/>
        <v>3</v>
      </c>
      <c r="AE82" s="114">
        <f t="shared" ref="AE82" si="14">SUM(AE54:AE62)</f>
        <v>1</v>
      </c>
      <c r="AF82" s="114">
        <f t="shared" si="13"/>
        <v>3</v>
      </c>
      <c r="AG82" s="132">
        <f t="shared" si="2"/>
        <v>53</v>
      </c>
    </row>
    <row r="83" spans="1:35" ht="19.5" thickBot="1" x14ac:dyDescent="0.3">
      <c r="A83" s="107" t="s">
        <v>58</v>
      </c>
      <c r="B83" s="9">
        <f t="shared" ref="B83" si="15">SUM(B54:B77)-B82</f>
        <v>3</v>
      </c>
      <c r="C83" s="9">
        <f t="shared" ref="C83" si="16">SUM(C54:C77)-C82</f>
        <v>11</v>
      </c>
      <c r="D83" s="9">
        <f t="shared" ref="D83:AF83" si="17">SUM(D54:D77)-D82</f>
        <v>10</v>
      </c>
      <c r="E83" s="9">
        <f t="shared" si="17"/>
        <v>2</v>
      </c>
      <c r="F83" s="9">
        <f t="shared" si="17"/>
        <v>6</v>
      </c>
      <c r="G83" s="9">
        <f t="shared" si="17"/>
        <v>4</v>
      </c>
      <c r="H83" s="9">
        <f t="shared" si="17"/>
        <v>5</v>
      </c>
      <c r="I83" s="9">
        <f t="shared" si="17"/>
        <v>2</v>
      </c>
      <c r="J83" s="9">
        <f t="shared" si="17"/>
        <v>8</v>
      </c>
      <c r="K83" s="9">
        <f t="shared" si="17"/>
        <v>4</v>
      </c>
      <c r="L83" s="9">
        <f t="shared" si="17"/>
        <v>3</v>
      </c>
      <c r="M83" s="9">
        <f t="shared" si="17"/>
        <v>3</v>
      </c>
      <c r="N83" s="9">
        <f t="shared" si="17"/>
        <v>7</v>
      </c>
      <c r="O83" s="9">
        <f t="shared" si="17"/>
        <v>2</v>
      </c>
      <c r="P83" s="9">
        <f t="shared" si="17"/>
        <v>5</v>
      </c>
      <c r="Q83" s="9">
        <f t="shared" si="17"/>
        <v>10</v>
      </c>
      <c r="R83" s="9">
        <f t="shared" si="17"/>
        <v>3</v>
      </c>
      <c r="S83" s="9">
        <f t="shared" si="17"/>
        <v>2</v>
      </c>
      <c r="T83" s="9">
        <f t="shared" si="17"/>
        <v>12</v>
      </c>
      <c r="U83" s="9">
        <f t="shared" si="17"/>
        <v>2</v>
      </c>
      <c r="V83" s="9">
        <f t="shared" si="17"/>
        <v>4</v>
      </c>
      <c r="W83" s="9">
        <f t="shared" si="17"/>
        <v>2</v>
      </c>
      <c r="X83" s="9">
        <f t="shared" si="17"/>
        <v>3</v>
      </c>
      <c r="Y83" s="9">
        <f t="shared" si="17"/>
        <v>2</v>
      </c>
      <c r="Z83" s="9">
        <f t="shared" si="17"/>
        <v>4</v>
      </c>
      <c r="AA83" s="9">
        <f t="shared" si="17"/>
        <v>6</v>
      </c>
      <c r="AB83" s="9">
        <f t="shared" si="17"/>
        <v>6</v>
      </c>
      <c r="AC83" s="9">
        <f t="shared" si="17"/>
        <v>17</v>
      </c>
      <c r="AD83" s="9">
        <f t="shared" si="17"/>
        <v>8</v>
      </c>
      <c r="AE83" s="9">
        <f t="shared" ref="AE83" si="18">SUM(AE54:AE77)-AE82</f>
        <v>5</v>
      </c>
      <c r="AF83" s="9">
        <f t="shared" si="17"/>
        <v>4</v>
      </c>
      <c r="AG83" s="4">
        <f t="shared" si="2"/>
        <v>165</v>
      </c>
    </row>
    <row r="84" spans="1:35" ht="19.5" thickBot="1" x14ac:dyDescent="0.3">
      <c r="A84" s="164" t="s">
        <v>146</v>
      </c>
      <c r="B84" s="165">
        <f>SUM(B85:B86)</f>
        <v>5</v>
      </c>
      <c r="C84" s="165">
        <f t="shared" ref="C84:AF84" si="19">SUM(C85:C86)</f>
        <v>17</v>
      </c>
      <c r="D84" s="165">
        <f t="shared" si="19"/>
        <v>11</v>
      </c>
      <c r="E84" s="165">
        <f t="shared" si="19"/>
        <v>4</v>
      </c>
      <c r="F84" s="165">
        <f t="shared" si="19"/>
        <v>6</v>
      </c>
      <c r="G84" s="165">
        <f t="shared" si="19"/>
        <v>4</v>
      </c>
      <c r="H84" s="165">
        <f t="shared" si="19"/>
        <v>11</v>
      </c>
      <c r="I84" s="165">
        <f t="shared" si="19"/>
        <v>2</v>
      </c>
      <c r="J84" s="165">
        <f t="shared" si="19"/>
        <v>11</v>
      </c>
      <c r="K84" s="165">
        <f t="shared" si="19"/>
        <v>4</v>
      </c>
      <c r="L84" s="165">
        <f t="shared" si="19"/>
        <v>8</v>
      </c>
      <c r="M84" s="165">
        <f t="shared" si="19"/>
        <v>3</v>
      </c>
      <c r="N84" s="165">
        <f t="shared" si="19"/>
        <v>7</v>
      </c>
      <c r="O84" s="165">
        <f t="shared" si="19"/>
        <v>4</v>
      </c>
      <c r="P84" s="165">
        <f t="shared" si="19"/>
        <v>8</v>
      </c>
      <c r="Q84" s="165">
        <f t="shared" si="19"/>
        <v>11</v>
      </c>
      <c r="R84" s="165">
        <f t="shared" si="19"/>
        <v>5</v>
      </c>
      <c r="S84" s="165">
        <f t="shared" si="19"/>
        <v>3</v>
      </c>
      <c r="T84" s="165">
        <f t="shared" si="19"/>
        <v>12</v>
      </c>
      <c r="U84" s="165">
        <f t="shared" si="19"/>
        <v>2</v>
      </c>
      <c r="V84" s="165">
        <f t="shared" si="19"/>
        <v>5</v>
      </c>
      <c r="W84" s="165">
        <f t="shared" si="19"/>
        <v>7</v>
      </c>
      <c r="X84" s="165">
        <f t="shared" si="19"/>
        <v>6</v>
      </c>
      <c r="Y84" s="165">
        <f t="shared" si="19"/>
        <v>3</v>
      </c>
      <c r="Z84" s="165">
        <f t="shared" si="19"/>
        <v>4</v>
      </c>
      <c r="AA84" s="165">
        <f t="shared" si="19"/>
        <v>6</v>
      </c>
      <c r="AB84" s="165">
        <f t="shared" si="19"/>
        <v>6</v>
      </c>
      <c r="AC84" s="165">
        <f t="shared" si="19"/>
        <v>19</v>
      </c>
      <c r="AD84" s="165">
        <f t="shared" si="19"/>
        <v>11</v>
      </c>
      <c r="AE84" s="165">
        <f t="shared" si="19"/>
        <v>6</v>
      </c>
      <c r="AF84" s="165">
        <f t="shared" si="19"/>
        <v>7</v>
      </c>
      <c r="AG84" s="171">
        <f t="shared" ref="AG84:AG126" si="20">SUM(B84:AF84)</f>
        <v>218</v>
      </c>
      <c r="AH84" s="180" t="str">
        <f>IF(AG84&lt;&gt;AG82+AG83,"*","")</f>
        <v/>
      </c>
      <c r="AI84" s="434" t="s">
        <v>1</v>
      </c>
    </row>
    <row r="85" spans="1:35" ht="18.75" x14ac:dyDescent="0.25">
      <c r="A85" s="72" t="s">
        <v>144</v>
      </c>
      <c r="B85" s="169">
        <v>1</v>
      </c>
      <c r="C85" s="169">
        <v>5</v>
      </c>
      <c r="D85" s="169">
        <v>0</v>
      </c>
      <c r="E85" s="169">
        <v>1</v>
      </c>
      <c r="F85" s="169">
        <v>2</v>
      </c>
      <c r="G85" s="169">
        <v>1</v>
      </c>
      <c r="H85" s="169">
        <v>2</v>
      </c>
      <c r="I85" s="169">
        <v>0</v>
      </c>
      <c r="J85" s="169">
        <v>3</v>
      </c>
      <c r="K85" s="169">
        <v>0</v>
      </c>
      <c r="L85" s="169">
        <v>0</v>
      </c>
      <c r="M85" s="169">
        <v>0</v>
      </c>
      <c r="N85" s="169">
        <v>1</v>
      </c>
      <c r="O85" s="169">
        <v>0</v>
      </c>
      <c r="P85" s="169">
        <v>1</v>
      </c>
      <c r="Q85" s="169">
        <v>3</v>
      </c>
      <c r="R85" s="169">
        <v>0</v>
      </c>
      <c r="S85" s="169">
        <v>0</v>
      </c>
      <c r="T85" s="169">
        <v>1</v>
      </c>
      <c r="U85" s="169">
        <v>0</v>
      </c>
      <c r="V85" s="169">
        <v>0</v>
      </c>
      <c r="W85" s="169">
        <v>0</v>
      </c>
      <c r="X85" s="169">
        <v>2</v>
      </c>
      <c r="Y85" s="169">
        <v>2</v>
      </c>
      <c r="Z85" s="169">
        <v>1</v>
      </c>
      <c r="AA85" s="169">
        <v>0</v>
      </c>
      <c r="AB85" s="169">
        <v>1</v>
      </c>
      <c r="AC85" s="169">
        <v>2</v>
      </c>
      <c r="AD85" s="169">
        <v>2</v>
      </c>
      <c r="AE85" s="169">
        <v>0</v>
      </c>
      <c r="AF85" s="170">
        <v>0</v>
      </c>
      <c r="AG85" s="168">
        <f t="shared" si="20"/>
        <v>31</v>
      </c>
      <c r="AI85" s="435"/>
    </row>
    <row r="86" spans="1:35" ht="19.5" thickBot="1" x14ac:dyDescent="0.3">
      <c r="A86" s="172" t="s">
        <v>145</v>
      </c>
      <c r="B86" s="173">
        <v>4</v>
      </c>
      <c r="C86" s="173">
        <v>12</v>
      </c>
      <c r="D86" s="173">
        <v>11</v>
      </c>
      <c r="E86" s="173">
        <v>3</v>
      </c>
      <c r="F86" s="173">
        <v>4</v>
      </c>
      <c r="G86" s="173">
        <v>3</v>
      </c>
      <c r="H86" s="173">
        <v>9</v>
      </c>
      <c r="I86" s="173">
        <v>2</v>
      </c>
      <c r="J86" s="173">
        <v>8</v>
      </c>
      <c r="K86" s="173">
        <v>4</v>
      </c>
      <c r="L86" s="173">
        <v>8</v>
      </c>
      <c r="M86" s="173">
        <v>3</v>
      </c>
      <c r="N86" s="173">
        <v>6</v>
      </c>
      <c r="O86" s="173">
        <v>4</v>
      </c>
      <c r="P86" s="173">
        <v>7</v>
      </c>
      <c r="Q86" s="173">
        <v>8</v>
      </c>
      <c r="R86" s="173">
        <v>5</v>
      </c>
      <c r="S86" s="173">
        <v>3</v>
      </c>
      <c r="T86" s="173">
        <v>11</v>
      </c>
      <c r="U86" s="173">
        <v>2</v>
      </c>
      <c r="V86" s="173">
        <v>5</v>
      </c>
      <c r="W86" s="173">
        <v>7</v>
      </c>
      <c r="X86" s="173">
        <v>4</v>
      </c>
      <c r="Y86" s="173">
        <v>1</v>
      </c>
      <c r="Z86" s="173">
        <v>3</v>
      </c>
      <c r="AA86" s="173">
        <v>6</v>
      </c>
      <c r="AB86" s="173">
        <v>5</v>
      </c>
      <c r="AC86" s="173">
        <v>17</v>
      </c>
      <c r="AD86" s="173">
        <v>9</v>
      </c>
      <c r="AE86" s="173">
        <v>6</v>
      </c>
      <c r="AF86" s="174">
        <v>7</v>
      </c>
      <c r="AG86" s="176">
        <f t="shared" si="20"/>
        <v>187</v>
      </c>
      <c r="AI86" s="436"/>
    </row>
    <row r="87" spans="1:35" ht="19.5" thickBot="1" x14ac:dyDescent="0.3">
      <c r="A87" s="177" t="s">
        <v>147</v>
      </c>
      <c r="B87" s="178">
        <f>SUM(B88:B92)</f>
        <v>5</v>
      </c>
      <c r="C87" s="178">
        <f t="shared" ref="C87:AF87" si="21">SUM(C88:C92)</f>
        <v>17</v>
      </c>
      <c r="D87" s="178">
        <f t="shared" si="21"/>
        <v>11</v>
      </c>
      <c r="E87" s="178">
        <f t="shared" si="21"/>
        <v>4</v>
      </c>
      <c r="F87" s="178">
        <f t="shared" si="21"/>
        <v>6</v>
      </c>
      <c r="G87" s="178">
        <f t="shared" si="21"/>
        <v>4</v>
      </c>
      <c r="H87" s="178">
        <f t="shared" si="21"/>
        <v>11</v>
      </c>
      <c r="I87" s="178">
        <f t="shared" si="21"/>
        <v>2</v>
      </c>
      <c r="J87" s="178">
        <f t="shared" si="21"/>
        <v>11</v>
      </c>
      <c r="K87" s="178">
        <f t="shared" si="21"/>
        <v>4</v>
      </c>
      <c r="L87" s="178">
        <f t="shared" si="21"/>
        <v>8</v>
      </c>
      <c r="M87" s="178">
        <f t="shared" si="21"/>
        <v>3</v>
      </c>
      <c r="N87" s="178">
        <f t="shared" si="21"/>
        <v>7</v>
      </c>
      <c r="O87" s="178">
        <f t="shared" si="21"/>
        <v>4</v>
      </c>
      <c r="P87" s="178">
        <f t="shared" si="21"/>
        <v>8</v>
      </c>
      <c r="Q87" s="178">
        <f t="shared" si="21"/>
        <v>11</v>
      </c>
      <c r="R87" s="178">
        <f t="shared" si="21"/>
        <v>5</v>
      </c>
      <c r="S87" s="178">
        <f t="shared" si="21"/>
        <v>3</v>
      </c>
      <c r="T87" s="178">
        <f t="shared" si="21"/>
        <v>12</v>
      </c>
      <c r="U87" s="178">
        <f t="shared" si="21"/>
        <v>2</v>
      </c>
      <c r="V87" s="178">
        <f t="shared" si="21"/>
        <v>5</v>
      </c>
      <c r="W87" s="178">
        <f t="shared" si="21"/>
        <v>7</v>
      </c>
      <c r="X87" s="178">
        <f t="shared" si="21"/>
        <v>6</v>
      </c>
      <c r="Y87" s="178">
        <f t="shared" si="21"/>
        <v>3</v>
      </c>
      <c r="Z87" s="178">
        <f t="shared" si="21"/>
        <v>4</v>
      </c>
      <c r="AA87" s="178">
        <f t="shared" si="21"/>
        <v>6</v>
      </c>
      <c r="AB87" s="178">
        <f t="shared" si="21"/>
        <v>6</v>
      </c>
      <c r="AC87" s="178">
        <f t="shared" si="21"/>
        <v>19</v>
      </c>
      <c r="AD87" s="178">
        <f t="shared" si="21"/>
        <v>11</v>
      </c>
      <c r="AE87" s="178">
        <f t="shared" si="21"/>
        <v>6</v>
      </c>
      <c r="AF87" s="178">
        <f t="shared" si="21"/>
        <v>7</v>
      </c>
      <c r="AG87" s="179">
        <f t="shared" si="20"/>
        <v>218</v>
      </c>
      <c r="AH87" s="175" t="str">
        <f>IF(AG87&lt;&gt;AG84,"*","")</f>
        <v/>
      </c>
    </row>
    <row r="88" spans="1:35" ht="18.75" x14ac:dyDescent="0.25">
      <c r="A88" s="104" t="s">
        <v>127</v>
      </c>
      <c r="B88" s="166"/>
      <c r="C88" s="166">
        <v>6</v>
      </c>
      <c r="D88" s="166">
        <v>3</v>
      </c>
      <c r="E88" s="166">
        <v>2</v>
      </c>
      <c r="F88" s="166">
        <v>2</v>
      </c>
      <c r="G88" s="166">
        <v>2</v>
      </c>
      <c r="H88" s="166">
        <v>5</v>
      </c>
      <c r="I88" s="166">
        <v>1</v>
      </c>
      <c r="J88" s="166">
        <v>1</v>
      </c>
      <c r="K88" s="166">
        <v>3</v>
      </c>
      <c r="L88" s="166">
        <v>7</v>
      </c>
      <c r="M88" s="166">
        <v>1</v>
      </c>
      <c r="N88" s="166">
        <v>5</v>
      </c>
      <c r="O88" s="166">
        <v>3</v>
      </c>
      <c r="P88" s="166">
        <v>5</v>
      </c>
      <c r="Q88" s="166">
        <v>7</v>
      </c>
      <c r="R88" s="166">
        <v>5</v>
      </c>
      <c r="S88" s="166">
        <v>2</v>
      </c>
      <c r="T88" s="166">
        <v>12</v>
      </c>
      <c r="U88" s="166">
        <v>1</v>
      </c>
      <c r="V88" s="166">
        <v>4</v>
      </c>
      <c r="W88" s="166">
        <v>5</v>
      </c>
      <c r="X88" s="166">
        <v>4</v>
      </c>
      <c r="Y88" s="166">
        <v>1</v>
      </c>
      <c r="Z88" s="166">
        <v>2</v>
      </c>
      <c r="AA88" s="166">
        <v>3</v>
      </c>
      <c r="AB88" s="166">
        <v>2</v>
      </c>
      <c r="AC88" s="166">
        <v>11</v>
      </c>
      <c r="AD88" s="166">
        <v>5</v>
      </c>
      <c r="AE88" s="166">
        <v>3</v>
      </c>
      <c r="AF88" s="167">
        <v>4</v>
      </c>
      <c r="AG88" s="132">
        <f t="shared" si="20"/>
        <v>117</v>
      </c>
    </row>
    <row r="89" spans="1:35" ht="18.75" x14ac:dyDescent="0.25">
      <c r="A89" s="105" t="s">
        <v>73</v>
      </c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10"/>
      <c r="AG89" s="4">
        <f t="shared" si="20"/>
        <v>0</v>
      </c>
    </row>
    <row r="90" spans="1:35" ht="18.75" x14ac:dyDescent="0.25">
      <c r="A90" s="105" t="s">
        <v>74</v>
      </c>
      <c r="B90" s="9">
        <v>1</v>
      </c>
      <c r="C90" s="9">
        <v>1</v>
      </c>
      <c r="D90" s="9"/>
      <c r="E90" s="9"/>
      <c r="F90" s="9"/>
      <c r="G90" s="9"/>
      <c r="H90" s="9">
        <v>1</v>
      </c>
      <c r="I90" s="9"/>
      <c r="J90" s="9"/>
      <c r="K90" s="9"/>
      <c r="L90" s="9"/>
      <c r="M90" s="9"/>
      <c r="N90" s="9"/>
      <c r="O90" s="9"/>
      <c r="P90" s="9">
        <v>1</v>
      </c>
      <c r="Q90" s="9"/>
      <c r="R90" s="9"/>
      <c r="S90" s="9"/>
      <c r="T90" s="9"/>
      <c r="U90" s="9"/>
      <c r="V90" s="9"/>
      <c r="W90" s="9"/>
      <c r="X90" s="9"/>
      <c r="Y90" s="9"/>
      <c r="Z90" s="9">
        <v>1</v>
      </c>
      <c r="AA90" s="9"/>
      <c r="AB90" s="9"/>
      <c r="AC90" s="9"/>
      <c r="AD90" s="9"/>
      <c r="AE90" s="9"/>
      <c r="AF90" s="10"/>
      <c r="AG90" s="4">
        <f t="shared" si="20"/>
        <v>5</v>
      </c>
    </row>
    <row r="91" spans="1:35" ht="18.75" x14ac:dyDescent="0.25">
      <c r="A91" s="105" t="s">
        <v>75</v>
      </c>
      <c r="B91" s="9">
        <v>2</v>
      </c>
      <c r="C91" s="9">
        <v>8</v>
      </c>
      <c r="D91" s="9">
        <v>1</v>
      </c>
      <c r="E91" s="9">
        <v>2</v>
      </c>
      <c r="F91" s="9">
        <v>4</v>
      </c>
      <c r="G91" s="9">
        <v>1</v>
      </c>
      <c r="H91" s="9">
        <v>3</v>
      </c>
      <c r="I91" s="9">
        <v>1</v>
      </c>
      <c r="J91" s="9">
        <v>8</v>
      </c>
      <c r="K91" s="9">
        <v>1</v>
      </c>
      <c r="L91" s="9"/>
      <c r="M91" s="9">
        <v>1</v>
      </c>
      <c r="N91" s="9">
        <v>1</v>
      </c>
      <c r="O91" s="9">
        <v>1</v>
      </c>
      <c r="P91" s="9"/>
      <c r="Q91" s="9">
        <v>1</v>
      </c>
      <c r="R91" s="9"/>
      <c r="S91" s="9"/>
      <c r="T91" s="9"/>
      <c r="U91" s="9">
        <v>1</v>
      </c>
      <c r="V91" s="9"/>
      <c r="W91" s="9">
        <v>2</v>
      </c>
      <c r="X91" s="9">
        <v>1</v>
      </c>
      <c r="Y91" s="9">
        <v>1</v>
      </c>
      <c r="Z91" s="9"/>
      <c r="AA91" s="9"/>
      <c r="AB91" s="9">
        <v>1</v>
      </c>
      <c r="AC91" s="9">
        <v>5</v>
      </c>
      <c r="AD91" s="9">
        <v>2</v>
      </c>
      <c r="AE91" s="9">
        <v>1</v>
      </c>
      <c r="AF91" s="10"/>
      <c r="AG91" s="4">
        <f t="shared" si="20"/>
        <v>49</v>
      </c>
    </row>
    <row r="92" spans="1:35" ht="19.5" thickBot="1" x14ac:dyDescent="0.3">
      <c r="A92" s="105" t="s">
        <v>76</v>
      </c>
      <c r="B92" s="9">
        <v>2</v>
      </c>
      <c r="C92" s="9">
        <v>2</v>
      </c>
      <c r="D92" s="9">
        <v>7</v>
      </c>
      <c r="E92" s="9"/>
      <c r="F92" s="9"/>
      <c r="G92" s="9">
        <v>1</v>
      </c>
      <c r="H92" s="9">
        <v>2</v>
      </c>
      <c r="I92" s="9"/>
      <c r="J92" s="9">
        <v>2</v>
      </c>
      <c r="K92" s="9"/>
      <c r="L92" s="9">
        <v>1</v>
      </c>
      <c r="M92" s="9">
        <v>1</v>
      </c>
      <c r="N92" s="9">
        <v>1</v>
      </c>
      <c r="O92" s="9"/>
      <c r="P92" s="9">
        <v>2</v>
      </c>
      <c r="Q92" s="9">
        <v>3</v>
      </c>
      <c r="R92" s="9"/>
      <c r="S92" s="9">
        <v>1</v>
      </c>
      <c r="T92" s="9"/>
      <c r="U92" s="9"/>
      <c r="V92" s="9">
        <v>1</v>
      </c>
      <c r="W92" s="9"/>
      <c r="X92" s="9">
        <v>1</v>
      </c>
      <c r="Y92" s="9">
        <v>1</v>
      </c>
      <c r="Z92" s="9">
        <v>1</v>
      </c>
      <c r="AA92" s="9">
        <v>3</v>
      </c>
      <c r="AB92" s="9">
        <v>3</v>
      </c>
      <c r="AC92" s="9">
        <v>3</v>
      </c>
      <c r="AD92" s="9">
        <v>4</v>
      </c>
      <c r="AE92" s="9">
        <v>2</v>
      </c>
      <c r="AF92" s="10">
        <v>3</v>
      </c>
      <c r="AG92" s="4">
        <f t="shared" si="20"/>
        <v>47</v>
      </c>
    </row>
    <row r="93" spans="1:35" ht="18.75" x14ac:dyDescent="0.25">
      <c r="A93" s="73" t="s">
        <v>615</v>
      </c>
      <c r="B93" s="74">
        <f t="shared" ref="B93:AF93" si="22">+B94+B100</f>
        <v>135</v>
      </c>
      <c r="C93" s="74">
        <f t="shared" si="22"/>
        <v>132</v>
      </c>
      <c r="D93" s="74">
        <f t="shared" si="22"/>
        <v>112</v>
      </c>
      <c r="E93" s="74">
        <f t="shared" si="22"/>
        <v>124</v>
      </c>
      <c r="F93" s="74">
        <f t="shared" si="22"/>
        <v>114</v>
      </c>
      <c r="G93" s="74">
        <f t="shared" si="22"/>
        <v>113</v>
      </c>
      <c r="H93" s="74">
        <f t="shared" si="22"/>
        <v>124</v>
      </c>
      <c r="I93" s="74">
        <f t="shared" si="22"/>
        <v>142</v>
      </c>
      <c r="J93" s="74">
        <f t="shared" si="22"/>
        <v>158</v>
      </c>
      <c r="K93" s="74">
        <f t="shared" si="22"/>
        <v>116</v>
      </c>
      <c r="L93" s="74">
        <f t="shared" si="22"/>
        <v>115</v>
      </c>
      <c r="M93" s="74">
        <f t="shared" si="22"/>
        <v>120</v>
      </c>
      <c r="N93" s="74">
        <f t="shared" si="22"/>
        <v>112</v>
      </c>
      <c r="O93" s="74">
        <f t="shared" si="22"/>
        <v>122</v>
      </c>
      <c r="P93" s="74">
        <f t="shared" si="22"/>
        <v>122</v>
      </c>
      <c r="Q93" s="74">
        <f t="shared" si="22"/>
        <v>149</v>
      </c>
      <c r="R93" s="74">
        <f t="shared" si="22"/>
        <v>127</v>
      </c>
      <c r="S93" s="74">
        <f t="shared" si="22"/>
        <v>112</v>
      </c>
      <c r="T93" s="74">
        <f t="shared" si="22"/>
        <v>124</v>
      </c>
      <c r="U93" s="74">
        <f t="shared" si="22"/>
        <v>97</v>
      </c>
      <c r="V93" s="74">
        <f t="shared" si="22"/>
        <v>138</v>
      </c>
      <c r="W93" s="74">
        <f t="shared" si="22"/>
        <v>128</v>
      </c>
      <c r="X93" s="74">
        <f t="shared" si="22"/>
        <v>129</v>
      </c>
      <c r="Y93" s="74">
        <f t="shared" si="22"/>
        <v>79</v>
      </c>
      <c r="Z93" s="74">
        <f t="shared" si="22"/>
        <v>128</v>
      </c>
      <c r="AA93" s="74">
        <f t="shared" si="22"/>
        <v>142</v>
      </c>
      <c r="AB93" s="74">
        <f t="shared" si="22"/>
        <v>162</v>
      </c>
      <c r="AC93" s="74">
        <f t="shared" si="22"/>
        <v>145</v>
      </c>
      <c r="AD93" s="74">
        <f t="shared" si="22"/>
        <v>141</v>
      </c>
      <c r="AE93" s="74">
        <f t="shared" si="22"/>
        <v>129</v>
      </c>
      <c r="AF93" s="84">
        <f t="shared" si="22"/>
        <v>90</v>
      </c>
      <c r="AG93" s="150">
        <f t="shared" si="20"/>
        <v>3881</v>
      </c>
      <c r="AH93" s="37" t="str">
        <f>IF(AG93&lt;&gt;AG28,"*","")</f>
        <v/>
      </c>
    </row>
    <row r="94" spans="1:35" ht="18.75" x14ac:dyDescent="0.25">
      <c r="A94" s="42" t="s">
        <v>65</v>
      </c>
      <c r="B94" s="17">
        <f t="shared" ref="B94:AF94" si="23">SUM(B95:B99)</f>
        <v>19</v>
      </c>
      <c r="C94" s="17">
        <f t="shared" si="23"/>
        <v>15</v>
      </c>
      <c r="D94" s="17">
        <f t="shared" si="23"/>
        <v>9</v>
      </c>
      <c r="E94" s="17">
        <f t="shared" si="23"/>
        <v>8</v>
      </c>
      <c r="F94" s="17">
        <f t="shared" si="23"/>
        <v>8</v>
      </c>
      <c r="G94" s="17">
        <f t="shared" si="23"/>
        <v>9</v>
      </c>
      <c r="H94" s="17">
        <f t="shared" si="23"/>
        <v>12</v>
      </c>
      <c r="I94" s="17">
        <f t="shared" si="23"/>
        <v>23</v>
      </c>
      <c r="J94" s="17">
        <f t="shared" si="23"/>
        <v>14</v>
      </c>
      <c r="K94" s="17">
        <f t="shared" si="23"/>
        <v>10</v>
      </c>
      <c r="L94" s="17">
        <f t="shared" si="23"/>
        <v>8</v>
      </c>
      <c r="M94" s="17">
        <f t="shared" si="23"/>
        <v>7</v>
      </c>
      <c r="N94" s="17">
        <f t="shared" si="23"/>
        <v>8</v>
      </c>
      <c r="O94" s="17">
        <f t="shared" si="23"/>
        <v>10</v>
      </c>
      <c r="P94" s="17">
        <f t="shared" si="23"/>
        <v>9</v>
      </c>
      <c r="Q94" s="17">
        <f t="shared" si="23"/>
        <v>9</v>
      </c>
      <c r="R94" s="17">
        <f t="shared" si="23"/>
        <v>5</v>
      </c>
      <c r="S94" s="17">
        <f t="shared" si="23"/>
        <v>18</v>
      </c>
      <c r="T94" s="17">
        <f t="shared" si="23"/>
        <v>13</v>
      </c>
      <c r="U94" s="17">
        <f t="shared" si="23"/>
        <v>6</v>
      </c>
      <c r="V94" s="17">
        <f t="shared" si="23"/>
        <v>3</v>
      </c>
      <c r="W94" s="17">
        <f t="shared" si="23"/>
        <v>12</v>
      </c>
      <c r="X94" s="17">
        <f t="shared" si="23"/>
        <v>5</v>
      </c>
      <c r="Y94" s="17">
        <f t="shared" si="23"/>
        <v>4</v>
      </c>
      <c r="Z94" s="17">
        <f t="shared" si="23"/>
        <v>10</v>
      </c>
      <c r="AA94" s="17">
        <f t="shared" si="23"/>
        <v>12</v>
      </c>
      <c r="AB94" s="17">
        <f t="shared" si="23"/>
        <v>15</v>
      </c>
      <c r="AC94" s="17">
        <f t="shared" si="23"/>
        <v>9</v>
      </c>
      <c r="AD94" s="17">
        <f t="shared" si="23"/>
        <v>14</v>
      </c>
      <c r="AE94" s="17">
        <f t="shared" si="23"/>
        <v>6</v>
      </c>
      <c r="AF94" s="18">
        <f t="shared" si="23"/>
        <v>6</v>
      </c>
      <c r="AG94" s="4">
        <f t="shared" si="20"/>
        <v>316</v>
      </c>
    </row>
    <row r="95" spans="1:35" ht="18.75" x14ac:dyDescent="0.25">
      <c r="A95" s="44" t="s">
        <v>81</v>
      </c>
      <c r="B95" s="7"/>
      <c r="C95" s="7">
        <v>1</v>
      </c>
      <c r="D95" s="7"/>
      <c r="E95" s="7">
        <v>1</v>
      </c>
      <c r="F95" s="7">
        <v>1</v>
      </c>
      <c r="G95" s="7">
        <v>1</v>
      </c>
      <c r="H95" s="7">
        <v>1</v>
      </c>
      <c r="I95" s="7">
        <v>1</v>
      </c>
      <c r="J95" s="7"/>
      <c r="K95" s="7"/>
      <c r="L95" s="7"/>
      <c r="M95" s="7"/>
      <c r="N95" s="7"/>
      <c r="O95" s="7"/>
      <c r="P95" s="7"/>
      <c r="Q95" s="7">
        <v>2</v>
      </c>
      <c r="R95" s="7">
        <v>1</v>
      </c>
      <c r="S95" s="7"/>
      <c r="T95" s="7">
        <v>1</v>
      </c>
      <c r="U95" s="7"/>
      <c r="V95" s="7"/>
      <c r="W95" s="7">
        <v>1</v>
      </c>
      <c r="X95" s="7"/>
      <c r="Y95" s="7"/>
      <c r="Z95" s="7"/>
      <c r="AA95" s="7">
        <v>1</v>
      </c>
      <c r="AB95" s="7"/>
      <c r="AC95" s="7"/>
      <c r="AD95" s="7">
        <v>1</v>
      </c>
      <c r="AE95" s="7"/>
      <c r="AF95" s="8">
        <v>1</v>
      </c>
      <c r="AG95" s="4">
        <f t="shared" si="20"/>
        <v>14</v>
      </c>
    </row>
    <row r="96" spans="1:35" ht="18.75" x14ac:dyDescent="0.25">
      <c r="A96" s="45" t="s">
        <v>82</v>
      </c>
      <c r="B96" s="7">
        <v>5</v>
      </c>
      <c r="C96" s="7">
        <v>3</v>
      </c>
      <c r="D96" s="7"/>
      <c r="E96" s="7">
        <v>1</v>
      </c>
      <c r="F96" s="7"/>
      <c r="G96" s="7">
        <v>3</v>
      </c>
      <c r="H96" s="7">
        <v>2</v>
      </c>
      <c r="I96" s="7">
        <v>1</v>
      </c>
      <c r="J96" s="7">
        <v>2</v>
      </c>
      <c r="K96" s="7">
        <v>2</v>
      </c>
      <c r="L96" s="7"/>
      <c r="M96" s="7">
        <v>1</v>
      </c>
      <c r="N96" s="7"/>
      <c r="O96" s="7"/>
      <c r="P96" s="7"/>
      <c r="Q96" s="7">
        <v>2</v>
      </c>
      <c r="R96" s="7">
        <v>1</v>
      </c>
      <c r="S96" s="141"/>
      <c r="T96" s="7">
        <v>1</v>
      </c>
      <c r="U96" s="7">
        <v>2</v>
      </c>
      <c r="V96" s="7"/>
      <c r="W96" s="7"/>
      <c r="X96" s="7"/>
      <c r="Y96" s="7">
        <v>1</v>
      </c>
      <c r="Z96" s="7">
        <v>1</v>
      </c>
      <c r="AA96" s="7">
        <v>1</v>
      </c>
      <c r="AB96" s="7"/>
      <c r="AC96" s="7"/>
      <c r="AD96" s="7">
        <v>1</v>
      </c>
      <c r="AE96" s="7"/>
      <c r="AF96" s="8">
        <v>1</v>
      </c>
      <c r="AG96" s="4">
        <f t="shared" si="20"/>
        <v>31</v>
      </c>
    </row>
    <row r="97" spans="1:33" ht="18.75" x14ac:dyDescent="0.25">
      <c r="A97" s="46" t="s">
        <v>70</v>
      </c>
      <c r="B97" s="7">
        <v>5</v>
      </c>
      <c r="C97" s="7">
        <v>3</v>
      </c>
      <c r="D97" s="7">
        <v>1</v>
      </c>
      <c r="E97" s="7">
        <v>2</v>
      </c>
      <c r="F97" s="7">
        <v>1</v>
      </c>
      <c r="G97" s="7">
        <v>1</v>
      </c>
      <c r="H97" s="7">
        <v>1</v>
      </c>
      <c r="I97" s="7">
        <v>4</v>
      </c>
      <c r="J97" s="7">
        <v>1</v>
      </c>
      <c r="K97" s="7">
        <v>1</v>
      </c>
      <c r="L97" s="7">
        <v>2</v>
      </c>
      <c r="M97" s="7">
        <v>3</v>
      </c>
      <c r="N97" s="7">
        <v>1</v>
      </c>
      <c r="O97" s="7">
        <v>2</v>
      </c>
      <c r="P97" s="7">
        <v>4</v>
      </c>
      <c r="Q97" s="7">
        <v>2</v>
      </c>
      <c r="R97" s="7"/>
      <c r="S97" s="7">
        <v>4</v>
      </c>
      <c r="T97" s="7">
        <v>5</v>
      </c>
      <c r="U97" s="7">
        <v>1</v>
      </c>
      <c r="V97" s="7">
        <v>1</v>
      </c>
      <c r="W97" s="7">
        <v>2</v>
      </c>
      <c r="X97" s="7"/>
      <c r="Y97" s="7">
        <v>1</v>
      </c>
      <c r="Z97" s="7">
        <v>4</v>
      </c>
      <c r="AA97" s="7">
        <v>5</v>
      </c>
      <c r="AB97" s="7">
        <v>7</v>
      </c>
      <c r="AC97" s="7">
        <v>3</v>
      </c>
      <c r="AD97" s="7">
        <v>3</v>
      </c>
      <c r="AE97" s="7">
        <v>3</v>
      </c>
      <c r="AF97" s="8"/>
      <c r="AG97" s="4">
        <f t="shared" si="20"/>
        <v>73</v>
      </c>
    </row>
    <row r="98" spans="1:33" ht="18.75" x14ac:dyDescent="0.25">
      <c r="A98" s="47" t="s">
        <v>6</v>
      </c>
      <c r="B98" s="7">
        <v>5</v>
      </c>
      <c r="C98" s="7">
        <v>5</v>
      </c>
      <c r="D98" s="7">
        <v>3</v>
      </c>
      <c r="E98" s="7">
        <v>1</v>
      </c>
      <c r="F98" s="7">
        <v>4</v>
      </c>
      <c r="G98" s="7"/>
      <c r="H98" s="7">
        <v>6</v>
      </c>
      <c r="I98" s="7">
        <v>11</v>
      </c>
      <c r="J98" s="7">
        <v>5</v>
      </c>
      <c r="K98" s="7">
        <v>2</v>
      </c>
      <c r="L98" s="7">
        <v>3</v>
      </c>
      <c r="M98" s="7">
        <v>2</v>
      </c>
      <c r="N98" s="7">
        <v>5</v>
      </c>
      <c r="O98" s="7">
        <v>2</v>
      </c>
      <c r="P98" s="7">
        <v>2</v>
      </c>
      <c r="Q98" s="7"/>
      <c r="R98" s="7">
        <v>2</v>
      </c>
      <c r="S98" s="7">
        <v>9</v>
      </c>
      <c r="T98" s="7">
        <v>3</v>
      </c>
      <c r="U98" s="7">
        <v>1</v>
      </c>
      <c r="V98" s="7">
        <v>1</v>
      </c>
      <c r="W98" s="7">
        <v>2</v>
      </c>
      <c r="X98" s="7">
        <v>2</v>
      </c>
      <c r="Y98" s="7"/>
      <c r="Z98" s="7">
        <v>3</v>
      </c>
      <c r="AA98" s="7">
        <v>2</v>
      </c>
      <c r="AB98" s="7">
        <v>5</v>
      </c>
      <c r="AC98" s="7">
        <v>2</v>
      </c>
      <c r="AD98" s="7">
        <v>5</v>
      </c>
      <c r="AE98" s="7">
        <v>1</v>
      </c>
      <c r="AF98" s="8">
        <v>2</v>
      </c>
      <c r="AG98" s="4">
        <f t="shared" si="20"/>
        <v>96</v>
      </c>
    </row>
    <row r="99" spans="1:33" ht="18.75" x14ac:dyDescent="0.25">
      <c r="A99" s="48" t="s">
        <v>7</v>
      </c>
      <c r="B99" s="7">
        <v>4</v>
      </c>
      <c r="C99" s="7">
        <v>3</v>
      </c>
      <c r="D99" s="7">
        <v>5</v>
      </c>
      <c r="E99" s="7">
        <v>3</v>
      </c>
      <c r="F99" s="7">
        <v>2</v>
      </c>
      <c r="G99" s="7">
        <v>4</v>
      </c>
      <c r="H99" s="7">
        <v>2</v>
      </c>
      <c r="I99" s="7">
        <v>6</v>
      </c>
      <c r="J99" s="7">
        <v>6</v>
      </c>
      <c r="K99" s="7">
        <v>5</v>
      </c>
      <c r="L99" s="7">
        <v>3</v>
      </c>
      <c r="M99" s="7">
        <v>1</v>
      </c>
      <c r="N99" s="7">
        <v>2</v>
      </c>
      <c r="O99" s="7">
        <v>6</v>
      </c>
      <c r="P99" s="7">
        <v>3</v>
      </c>
      <c r="Q99" s="7">
        <v>3</v>
      </c>
      <c r="R99" s="7">
        <v>1</v>
      </c>
      <c r="S99" s="7">
        <v>5</v>
      </c>
      <c r="T99" s="7">
        <v>3</v>
      </c>
      <c r="U99" s="7">
        <v>2</v>
      </c>
      <c r="V99" s="7">
        <v>1</v>
      </c>
      <c r="W99" s="7">
        <v>7</v>
      </c>
      <c r="X99" s="7">
        <v>3</v>
      </c>
      <c r="Y99" s="7">
        <v>2</v>
      </c>
      <c r="Z99" s="7">
        <v>2</v>
      </c>
      <c r="AA99" s="7">
        <v>3</v>
      </c>
      <c r="AB99" s="7">
        <v>3</v>
      </c>
      <c r="AC99" s="7">
        <v>4</v>
      </c>
      <c r="AD99" s="7">
        <v>4</v>
      </c>
      <c r="AE99" s="7">
        <v>2</v>
      </c>
      <c r="AF99" s="8">
        <v>2</v>
      </c>
      <c r="AG99" s="4">
        <f t="shared" si="20"/>
        <v>102</v>
      </c>
    </row>
    <row r="100" spans="1:33" ht="18.75" x14ac:dyDescent="0.25">
      <c r="A100" s="42" t="s">
        <v>66</v>
      </c>
      <c r="B100" s="17">
        <f t="shared" ref="B100:AF100" si="24">SUM(B101:B115)</f>
        <v>116</v>
      </c>
      <c r="C100" s="17">
        <f t="shared" si="24"/>
        <v>117</v>
      </c>
      <c r="D100" s="17">
        <f t="shared" si="24"/>
        <v>103</v>
      </c>
      <c r="E100" s="17">
        <f t="shared" si="24"/>
        <v>116</v>
      </c>
      <c r="F100" s="17">
        <f t="shared" si="24"/>
        <v>106</v>
      </c>
      <c r="G100" s="17">
        <f t="shared" si="24"/>
        <v>104</v>
      </c>
      <c r="H100" s="17">
        <f t="shared" si="24"/>
        <v>112</v>
      </c>
      <c r="I100" s="17">
        <f t="shared" si="24"/>
        <v>119</v>
      </c>
      <c r="J100" s="17">
        <f t="shared" si="24"/>
        <v>144</v>
      </c>
      <c r="K100" s="17">
        <f t="shared" si="24"/>
        <v>106</v>
      </c>
      <c r="L100" s="17">
        <f t="shared" si="24"/>
        <v>107</v>
      </c>
      <c r="M100" s="17">
        <f t="shared" si="24"/>
        <v>113</v>
      </c>
      <c r="N100" s="17">
        <f t="shared" si="24"/>
        <v>104</v>
      </c>
      <c r="O100" s="17">
        <f t="shared" si="24"/>
        <v>112</v>
      </c>
      <c r="P100" s="17">
        <f t="shared" si="24"/>
        <v>113</v>
      </c>
      <c r="Q100" s="17">
        <f t="shared" si="24"/>
        <v>140</v>
      </c>
      <c r="R100" s="17">
        <f t="shared" si="24"/>
        <v>122</v>
      </c>
      <c r="S100" s="17">
        <f t="shared" si="24"/>
        <v>94</v>
      </c>
      <c r="T100" s="17">
        <f t="shared" si="24"/>
        <v>111</v>
      </c>
      <c r="U100" s="17">
        <f t="shared" si="24"/>
        <v>91</v>
      </c>
      <c r="V100" s="17">
        <f t="shared" si="24"/>
        <v>135</v>
      </c>
      <c r="W100" s="17">
        <f t="shared" si="24"/>
        <v>116</v>
      </c>
      <c r="X100" s="17">
        <f t="shared" si="24"/>
        <v>124</v>
      </c>
      <c r="Y100" s="17">
        <f t="shared" si="24"/>
        <v>75</v>
      </c>
      <c r="Z100" s="17">
        <f t="shared" si="24"/>
        <v>118</v>
      </c>
      <c r="AA100" s="17">
        <f t="shared" si="24"/>
        <v>130</v>
      </c>
      <c r="AB100" s="17">
        <f t="shared" si="24"/>
        <v>147</v>
      </c>
      <c r="AC100" s="17">
        <f t="shared" si="24"/>
        <v>136</v>
      </c>
      <c r="AD100" s="17">
        <f t="shared" si="24"/>
        <v>127</v>
      </c>
      <c r="AE100" s="17">
        <f t="shared" si="24"/>
        <v>123</v>
      </c>
      <c r="AF100" s="18">
        <f t="shared" si="24"/>
        <v>84</v>
      </c>
      <c r="AG100" s="4">
        <f t="shared" si="20"/>
        <v>3565</v>
      </c>
    </row>
    <row r="101" spans="1:33" ht="18.75" x14ac:dyDescent="0.25">
      <c r="A101" s="48" t="s">
        <v>8</v>
      </c>
      <c r="B101" s="7">
        <v>13</v>
      </c>
      <c r="C101" s="7">
        <v>5</v>
      </c>
      <c r="D101" s="7">
        <v>5</v>
      </c>
      <c r="E101" s="7">
        <v>8</v>
      </c>
      <c r="F101" s="7">
        <v>6</v>
      </c>
      <c r="G101" s="7">
        <v>11</v>
      </c>
      <c r="H101" s="7">
        <v>10</v>
      </c>
      <c r="I101" s="7">
        <v>11</v>
      </c>
      <c r="J101" s="7">
        <v>19</v>
      </c>
      <c r="K101" s="7">
        <v>7</v>
      </c>
      <c r="L101" s="7">
        <v>7</v>
      </c>
      <c r="M101" s="7">
        <v>5</v>
      </c>
      <c r="N101" s="7">
        <v>11</v>
      </c>
      <c r="O101" s="7">
        <v>4</v>
      </c>
      <c r="P101" s="7">
        <v>7</v>
      </c>
      <c r="Q101" s="7">
        <v>7</v>
      </c>
      <c r="R101" s="7">
        <v>13</v>
      </c>
      <c r="S101" s="7">
        <v>3</v>
      </c>
      <c r="T101" s="7">
        <v>6</v>
      </c>
      <c r="U101" s="7">
        <v>2</v>
      </c>
      <c r="V101" s="7">
        <v>13</v>
      </c>
      <c r="W101" s="7">
        <v>8</v>
      </c>
      <c r="X101" s="7">
        <v>6</v>
      </c>
      <c r="Y101" s="7">
        <v>2</v>
      </c>
      <c r="Z101" s="7">
        <v>7</v>
      </c>
      <c r="AA101" s="7">
        <v>6</v>
      </c>
      <c r="AB101" s="7">
        <v>9</v>
      </c>
      <c r="AC101" s="7">
        <v>10</v>
      </c>
      <c r="AD101" s="7">
        <v>12</v>
      </c>
      <c r="AE101" s="7">
        <v>5</v>
      </c>
      <c r="AF101" s="8">
        <v>4</v>
      </c>
      <c r="AG101" s="4">
        <f t="shared" si="20"/>
        <v>242</v>
      </c>
    </row>
    <row r="102" spans="1:33" ht="18.75" x14ac:dyDescent="0.25">
      <c r="A102" s="48" t="s">
        <v>9</v>
      </c>
      <c r="B102" s="7">
        <v>14</v>
      </c>
      <c r="C102" s="7">
        <v>9</v>
      </c>
      <c r="D102" s="7">
        <v>11</v>
      </c>
      <c r="E102" s="7">
        <v>10</v>
      </c>
      <c r="F102" s="7">
        <v>14</v>
      </c>
      <c r="G102" s="7">
        <v>9</v>
      </c>
      <c r="H102" s="7">
        <v>17</v>
      </c>
      <c r="I102" s="7">
        <v>9</v>
      </c>
      <c r="J102" s="7">
        <v>14</v>
      </c>
      <c r="K102" s="7">
        <v>15</v>
      </c>
      <c r="L102" s="7">
        <v>20</v>
      </c>
      <c r="M102" s="7">
        <v>12</v>
      </c>
      <c r="N102" s="7">
        <v>15</v>
      </c>
      <c r="O102" s="7">
        <v>9</v>
      </c>
      <c r="P102" s="7">
        <v>18</v>
      </c>
      <c r="Q102" s="7">
        <v>26</v>
      </c>
      <c r="R102" s="7">
        <v>16</v>
      </c>
      <c r="S102" s="7">
        <v>10</v>
      </c>
      <c r="T102" s="7">
        <v>11</v>
      </c>
      <c r="U102" s="7">
        <v>13</v>
      </c>
      <c r="V102" s="7">
        <v>21</v>
      </c>
      <c r="W102" s="7">
        <v>21</v>
      </c>
      <c r="X102" s="7">
        <v>14</v>
      </c>
      <c r="Y102" s="7">
        <v>10</v>
      </c>
      <c r="Z102" s="7">
        <v>16</v>
      </c>
      <c r="AA102" s="7">
        <v>8</v>
      </c>
      <c r="AB102" s="7">
        <v>20</v>
      </c>
      <c r="AC102" s="7">
        <v>15</v>
      </c>
      <c r="AD102" s="7">
        <v>14</v>
      </c>
      <c r="AE102" s="7">
        <v>12</v>
      </c>
      <c r="AF102" s="8">
        <v>10</v>
      </c>
      <c r="AG102" s="4">
        <f t="shared" si="20"/>
        <v>433</v>
      </c>
    </row>
    <row r="103" spans="1:33" ht="18.75" x14ac:dyDescent="0.25">
      <c r="A103" s="49" t="s">
        <v>10</v>
      </c>
      <c r="B103" s="7">
        <v>14</v>
      </c>
      <c r="C103" s="7">
        <v>15</v>
      </c>
      <c r="D103" s="7">
        <v>18</v>
      </c>
      <c r="E103" s="7">
        <v>13</v>
      </c>
      <c r="F103" s="7">
        <v>14</v>
      </c>
      <c r="G103" s="7">
        <v>16</v>
      </c>
      <c r="H103" s="7">
        <v>11</v>
      </c>
      <c r="I103" s="7">
        <v>13</v>
      </c>
      <c r="J103" s="7">
        <v>22</v>
      </c>
      <c r="K103" s="7">
        <v>6</v>
      </c>
      <c r="L103" s="7">
        <v>9</v>
      </c>
      <c r="M103" s="7">
        <v>8</v>
      </c>
      <c r="N103" s="7">
        <v>6</v>
      </c>
      <c r="O103" s="7">
        <v>12</v>
      </c>
      <c r="P103" s="7">
        <v>12</v>
      </c>
      <c r="Q103" s="7">
        <v>8</v>
      </c>
      <c r="R103" s="7">
        <v>11</v>
      </c>
      <c r="S103" s="7">
        <v>11</v>
      </c>
      <c r="T103" s="7">
        <v>9</v>
      </c>
      <c r="U103" s="7">
        <v>14</v>
      </c>
      <c r="V103" s="7">
        <v>20</v>
      </c>
      <c r="W103" s="7">
        <v>14</v>
      </c>
      <c r="X103" s="7">
        <v>17</v>
      </c>
      <c r="Y103" s="7">
        <v>6</v>
      </c>
      <c r="Z103" s="7">
        <v>12</v>
      </c>
      <c r="AA103" s="7">
        <v>12</v>
      </c>
      <c r="AB103" s="7">
        <v>15</v>
      </c>
      <c r="AC103" s="7">
        <v>13</v>
      </c>
      <c r="AD103" s="7">
        <v>14</v>
      </c>
      <c r="AE103" s="7">
        <v>15</v>
      </c>
      <c r="AF103" s="8">
        <v>9</v>
      </c>
      <c r="AG103" s="4">
        <f t="shared" si="20"/>
        <v>389</v>
      </c>
    </row>
    <row r="104" spans="1:33" ht="18.75" x14ac:dyDescent="0.25">
      <c r="A104" s="49" t="s">
        <v>11</v>
      </c>
      <c r="B104" s="7">
        <v>14</v>
      </c>
      <c r="C104" s="7">
        <v>14</v>
      </c>
      <c r="D104" s="7">
        <v>1</v>
      </c>
      <c r="E104" s="7">
        <v>14</v>
      </c>
      <c r="F104" s="7">
        <v>5</v>
      </c>
      <c r="G104" s="7">
        <v>6</v>
      </c>
      <c r="H104" s="7">
        <v>9</v>
      </c>
      <c r="I104" s="7">
        <v>11</v>
      </c>
      <c r="J104" s="7">
        <v>14</v>
      </c>
      <c r="K104" s="7">
        <v>8</v>
      </c>
      <c r="L104" s="7">
        <v>6</v>
      </c>
      <c r="M104" s="7">
        <v>8</v>
      </c>
      <c r="N104" s="7">
        <v>9</v>
      </c>
      <c r="O104" s="7">
        <v>11</v>
      </c>
      <c r="P104" s="7">
        <v>11</v>
      </c>
      <c r="Q104" s="7">
        <v>12</v>
      </c>
      <c r="R104" s="7">
        <v>14</v>
      </c>
      <c r="S104" s="7">
        <v>9</v>
      </c>
      <c r="T104" s="7">
        <v>8</v>
      </c>
      <c r="U104" s="7">
        <v>8</v>
      </c>
      <c r="V104" s="7">
        <v>14</v>
      </c>
      <c r="W104" s="7">
        <v>8</v>
      </c>
      <c r="X104" s="7">
        <v>12</v>
      </c>
      <c r="Y104" s="7">
        <v>6</v>
      </c>
      <c r="Z104" s="7">
        <v>14</v>
      </c>
      <c r="AA104" s="7">
        <v>13</v>
      </c>
      <c r="AB104" s="7">
        <v>23</v>
      </c>
      <c r="AC104" s="7">
        <v>15</v>
      </c>
      <c r="AD104" s="7">
        <v>9</v>
      </c>
      <c r="AE104" s="7">
        <v>13</v>
      </c>
      <c r="AF104" s="8">
        <v>9</v>
      </c>
      <c r="AG104" s="4">
        <f t="shared" si="20"/>
        <v>328</v>
      </c>
    </row>
    <row r="105" spans="1:33" ht="18.75" x14ac:dyDescent="0.25">
      <c r="A105" s="49" t="s">
        <v>12</v>
      </c>
      <c r="B105" s="7">
        <v>12</v>
      </c>
      <c r="C105" s="7">
        <v>10</v>
      </c>
      <c r="D105" s="7">
        <v>8</v>
      </c>
      <c r="E105" s="7">
        <v>16</v>
      </c>
      <c r="F105" s="7">
        <v>6</v>
      </c>
      <c r="G105" s="7">
        <v>10</v>
      </c>
      <c r="H105" s="7">
        <v>6</v>
      </c>
      <c r="I105" s="7">
        <v>10</v>
      </c>
      <c r="J105" s="7">
        <v>8</v>
      </c>
      <c r="K105" s="7">
        <v>8</v>
      </c>
      <c r="L105" s="7">
        <v>5</v>
      </c>
      <c r="M105" s="7">
        <v>11</v>
      </c>
      <c r="N105" s="7">
        <v>11</v>
      </c>
      <c r="O105" s="7">
        <v>7</v>
      </c>
      <c r="P105" s="7">
        <v>10</v>
      </c>
      <c r="Q105" s="7">
        <v>11</v>
      </c>
      <c r="R105" s="7">
        <v>12</v>
      </c>
      <c r="S105" s="7">
        <v>13</v>
      </c>
      <c r="T105" s="7">
        <v>6</v>
      </c>
      <c r="U105" s="7">
        <v>9</v>
      </c>
      <c r="V105" s="7">
        <v>9</v>
      </c>
      <c r="W105" s="7">
        <v>12</v>
      </c>
      <c r="X105" s="7">
        <v>9</v>
      </c>
      <c r="Y105" s="7">
        <v>1</v>
      </c>
      <c r="Z105" s="7">
        <v>11</v>
      </c>
      <c r="AA105" s="7">
        <v>13</v>
      </c>
      <c r="AB105" s="7">
        <v>16</v>
      </c>
      <c r="AC105" s="7">
        <v>13</v>
      </c>
      <c r="AD105" s="7">
        <v>13</v>
      </c>
      <c r="AE105" s="7">
        <v>10</v>
      </c>
      <c r="AF105" s="8">
        <v>6</v>
      </c>
      <c r="AG105" s="4">
        <f t="shared" si="20"/>
        <v>302</v>
      </c>
    </row>
    <row r="106" spans="1:33" ht="18.75" x14ac:dyDescent="0.25">
      <c r="A106" s="49" t="s">
        <v>13</v>
      </c>
      <c r="B106" s="7">
        <v>6</v>
      </c>
      <c r="C106" s="7">
        <v>10</v>
      </c>
      <c r="D106" s="7">
        <v>8</v>
      </c>
      <c r="E106" s="7">
        <v>5</v>
      </c>
      <c r="F106" s="7">
        <v>6</v>
      </c>
      <c r="G106" s="7">
        <v>5</v>
      </c>
      <c r="H106" s="7">
        <v>7</v>
      </c>
      <c r="I106" s="7">
        <v>6</v>
      </c>
      <c r="J106" s="7">
        <v>9</v>
      </c>
      <c r="K106" s="7">
        <v>8</v>
      </c>
      <c r="L106" s="7">
        <v>6</v>
      </c>
      <c r="M106" s="7">
        <v>8</v>
      </c>
      <c r="N106" s="7">
        <v>11</v>
      </c>
      <c r="O106" s="7">
        <v>14</v>
      </c>
      <c r="P106" s="7">
        <v>8</v>
      </c>
      <c r="Q106" s="7">
        <v>9</v>
      </c>
      <c r="R106" s="7">
        <v>7</v>
      </c>
      <c r="S106" s="7">
        <v>8</v>
      </c>
      <c r="T106" s="7">
        <v>13</v>
      </c>
      <c r="U106" s="7">
        <v>9</v>
      </c>
      <c r="V106" s="7">
        <v>6</v>
      </c>
      <c r="W106" s="7">
        <v>11</v>
      </c>
      <c r="X106" s="7">
        <v>9</v>
      </c>
      <c r="Y106" s="7">
        <v>6</v>
      </c>
      <c r="Z106" s="7">
        <v>5</v>
      </c>
      <c r="AA106" s="7">
        <v>10</v>
      </c>
      <c r="AB106" s="7">
        <v>11</v>
      </c>
      <c r="AC106" s="7">
        <v>11</v>
      </c>
      <c r="AD106" s="7">
        <v>10</v>
      </c>
      <c r="AE106" s="7">
        <v>10</v>
      </c>
      <c r="AF106" s="8">
        <v>8</v>
      </c>
      <c r="AG106" s="4">
        <f t="shared" si="20"/>
        <v>260</v>
      </c>
    </row>
    <row r="107" spans="1:33" ht="18.75" x14ac:dyDescent="0.25">
      <c r="A107" s="49" t="s">
        <v>14</v>
      </c>
      <c r="B107" s="7">
        <v>5</v>
      </c>
      <c r="C107" s="7">
        <v>10</v>
      </c>
      <c r="D107" s="7">
        <v>10</v>
      </c>
      <c r="E107" s="7">
        <v>3</v>
      </c>
      <c r="F107" s="7">
        <v>6</v>
      </c>
      <c r="G107" s="7">
        <v>12</v>
      </c>
      <c r="H107" s="7">
        <v>9</v>
      </c>
      <c r="I107" s="7">
        <v>9</v>
      </c>
      <c r="J107" s="7">
        <v>9</v>
      </c>
      <c r="K107" s="7">
        <v>10</v>
      </c>
      <c r="L107" s="7">
        <v>6</v>
      </c>
      <c r="M107" s="7">
        <v>9</v>
      </c>
      <c r="N107" s="7">
        <v>7</v>
      </c>
      <c r="O107" s="7">
        <v>7</v>
      </c>
      <c r="P107" s="7">
        <v>11</v>
      </c>
      <c r="Q107" s="7">
        <v>9</v>
      </c>
      <c r="R107" s="7">
        <v>9</v>
      </c>
      <c r="S107" s="7">
        <v>10</v>
      </c>
      <c r="T107" s="7">
        <v>9</v>
      </c>
      <c r="U107" s="7">
        <v>2</v>
      </c>
      <c r="V107" s="7">
        <v>9</v>
      </c>
      <c r="W107" s="7">
        <v>8</v>
      </c>
      <c r="X107" s="7">
        <v>15</v>
      </c>
      <c r="Y107" s="7">
        <v>13</v>
      </c>
      <c r="Z107" s="7">
        <v>8</v>
      </c>
      <c r="AA107" s="7">
        <v>7</v>
      </c>
      <c r="AB107" s="7">
        <v>11</v>
      </c>
      <c r="AC107" s="7">
        <v>7</v>
      </c>
      <c r="AD107" s="7">
        <v>8</v>
      </c>
      <c r="AE107" s="7">
        <v>10</v>
      </c>
      <c r="AF107" s="8">
        <v>4</v>
      </c>
      <c r="AG107" s="4">
        <f t="shared" si="20"/>
        <v>262</v>
      </c>
    </row>
    <row r="108" spans="1:33" ht="18.75" x14ac:dyDescent="0.25">
      <c r="A108" s="49" t="s">
        <v>15</v>
      </c>
      <c r="B108" s="7">
        <v>9</v>
      </c>
      <c r="C108" s="7">
        <v>8</v>
      </c>
      <c r="D108" s="7">
        <v>10</v>
      </c>
      <c r="E108" s="7">
        <v>10</v>
      </c>
      <c r="F108" s="7">
        <v>15</v>
      </c>
      <c r="G108" s="7">
        <v>4</v>
      </c>
      <c r="H108" s="7">
        <v>11</v>
      </c>
      <c r="I108" s="7">
        <v>15</v>
      </c>
      <c r="J108" s="7">
        <v>9</v>
      </c>
      <c r="K108" s="7">
        <v>9</v>
      </c>
      <c r="L108" s="7">
        <v>13</v>
      </c>
      <c r="M108" s="7">
        <v>17</v>
      </c>
      <c r="N108" s="7">
        <v>9</v>
      </c>
      <c r="O108" s="7">
        <v>12</v>
      </c>
      <c r="P108" s="7">
        <v>10</v>
      </c>
      <c r="Q108" s="7">
        <v>12</v>
      </c>
      <c r="R108" s="7">
        <v>7</v>
      </c>
      <c r="S108" s="7">
        <v>6</v>
      </c>
      <c r="T108" s="7">
        <v>15</v>
      </c>
      <c r="U108" s="7">
        <v>7</v>
      </c>
      <c r="V108" s="7">
        <v>11</v>
      </c>
      <c r="W108" s="7">
        <v>9</v>
      </c>
      <c r="X108" s="7">
        <v>10</v>
      </c>
      <c r="Y108" s="7">
        <v>6</v>
      </c>
      <c r="Z108" s="7">
        <v>10</v>
      </c>
      <c r="AA108" s="7">
        <v>15</v>
      </c>
      <c r="AB108" s="7">
        <v>8</v>
      </c>
      <c r="AC108" s="7">
        <v>14</v>
      </c>
      <c r="AD108" s="7">
        <v>7</v>
      </c>
      <c r="AE108" s="7">
        <v>12</v>
      </c>
      <c r="AF108" s="8">
        <v>9</v>
      </c>
      <c r="AG108" s="4">
        <f t="shared" si="20"/>
        <v>319</v>
      </c>
    </row>
    <row r="109" spans="1:33" ht="18.75" x14ac:dyDescent="0.25">
      <c r="A109" s="49" t="s">
        <v>16</v>
      </c>
      <c r="B109" s="7">
        <v>8</v>
      </c>
      <c r="C109" s="7">
        <v>7</v>
      </c>
      <c r="D109" s="7">
        <v>5</v>
      </c>
      <c r="E109" s="7">
        <v>8</v>
      </c>
      <c r="F109" s="7">
        <v>10</v>
      </c>
      <c r="G109" s="7">
        <v>9</v>
      </c>
      <c r="H109" s="7">
        <v>10</v>
      </c>
      <c r="I109" s="7">
        <v>9</v>
      </c>
      <c r="J109" s="7">
        <v>9</v>
      </c>
      <c r="K109" s="7">
        <v>15</v>
      </c>
      <c r="L109" s="7">
        <v>5</v>
      </c>
      <c r="M109" s="7">
        <v>8</v>
      </c>
      <c r="N109" s="7">
        <v>8</v>
      </c>
      <c r="O109" s="7">
        <v>8</v>
      </c>
      <c r="P109" s="7">
        <v>9</v>
      </c>
      <c r="Q109" s="7">
        <v>9</v>
      </c>
      <c r="R109" s="7">
        <v>9</v>
      </c>
      <c r="S109" s="7">
        <v>4</v>
      </c>
      <c r="T109" s="7">
        <v>9</v>
      </c>
      <c r="U109" s="7">
        <v>8</v>
      </c>
      <c r="V109" s="7">
        <v>12</v>
      </c>
      <c r="W109" s="7">
        <v>7</v>
      </c>
      <c r="X109" s="7">
        <v>10</v>
      </c>
      <c r="Y109" s="7">
        <v>4</v>
      </c>
      <c r="Z109" s="7">
        <v>8</v>
      </c>
      <c r="AA109" s="7">
        <v>15</v>
      </c>
      <c r="AB109" s="7">
        <v>15</v>
      </c>
      <c r="AC109" s="7">
        <v>14</v>
      </c>
      <c r="AD109" s="7">
        <v>9</v>
      </c>
      <c r="AE109" s="7">
        <v>8</v>
      </c>
      <c r="AF109" s="8">
        <v>8</v>
      </c>
      <c r="AG109" s="4">
        <f t="shared" si="20"/>
        <v>277</v>
      </c>
    </row>
    <row r="110" spans="1:33" ht="18.75" x14ac:dyDescent="0.25">
      <c r="A110" s="49" t="s">
        <v>17</v>
      </c>
      <c r="B110" s="7">
        <v>5</v>
      </c>
      <c r="C110" s="7">
        <v>6</v>
      </c>
      <c r="D110" s="7">
        <v>4</v>
      </c>
      <c r="E110" s="7">
        <v>7</v>
      </c>
      <c r="F110" s="7">
        <v>6</v>
      </c>
      <c r="G110" s="7">
        <v>10</v>
      </c>
      <c r="H110" s="7">
        <v>6</v>
      </c>
      <c r="I110" s="7">
        <v>8</v>
      </c>
      <c r="J110" s="7">
        <v>11</v>
      </c>
      <c r="K110" s="7">
        <v>9</v>
      </c>
      <c r="L110" s="7">
        <v>4</v>
      </c>
      <c r="M110" s="7">
        <v>8</v>
      </c>
      <c r="N110" s="7">
        <v>5</v>
      </c>
      <c r="O110" s="7">
        <v>5</v>
      </c>
      <c r="P110" s="7">
        <v>3</v>
      </c>
      <c r="Q110" s="7">
        <v>9</v>
      </c>
      <c r="R110" s="7">
        <v>8</v>
      </c>
      <c r="S110" s="7">
        <v>5</v>
      </c>
      <c r="T110" s="7">
        <v>3</v>
      </c>
      <c r="U110" s="7">
        <v>5</v>
      </c>
      <c r="V110" s="7">
        <v>6</v>
      </c>
      <c r="W110" s="7">
        <v>3</v>
      </c>
      <c r="X110" s="7">
        <v>5</v>
      </c>
      <c r="Y110" s="7">
        <v>8</v>
      </c>
      <c r="Z110" s="7">
        <v>10</v>
      </c>
      <c r="AA110" s="7">
        <v>9</v>
      </c>
      <c r="AB110" s="7">
        <v>5</v>
      </c>
      <c r="AC110" s="7">
        <v>10</v>
      </c>
      <c r="AD110" s="7">
        <v>9</v>
      </c>
      <c r="AE110" s="7">
        <v>12</v>
      </c>
      <c r="AF110" s="8">
        <v>3</v>
      </c>
      <c r="AG110" s="4">
        <f t="shared" si="20"/>
        <v>207</v>
      </c>
    </row>
    <row r="111" spans="1:33" ht="18.75" x14ac:dyDescent="0.25">
      <c r="A111" s="49" t="s">
        <v>18</v>
      </c>
      <c r="B111" s="7">
        <v>8</v>
      </c>
      <c r="C111" s="7">
        <v>4</v>
      </c>
      <c r="D111" s="7">
        <v>6</v>
      </c>
      <c r="E111" s="7">
        <v>8</v>
      </c>
      <c r="F111" s="7">
        <v>6</v>
      </c>
      <c r="G111" s="7">
        <v>3</v>
      </c>
      <c r="H111" s="7">
        <v>2</v>
      </c>
      <c r="I111" s="7">
        <v>5</v>
      </c>
      <c r="J111" s="7">
        <v>1</v>
      </c>
      <c r="K111" s="7">
        <v>3</v>
      </c>
      <c r="L111" s="7">
        <v>8</v>
      </c>
      <c r="M111" s="7">
        <v>4</v>
      </c>
      <c r="N111" s="7">
        <v>1</v>
      </c>
      <c r="O111" s="7">
        <v>9</v>
      </c>
      <c r="P111" s="7">
        <v>3</v>
      </c>
      <c r="Q111" s="7">
        <v>13</v>
      </c>
      <c r="R111" s="7">
        <v>1</v>
      </c>
      <c r="S111" s="7">
        <v>5</v>
      </c>
      <c r="T111" s="7">
        <v>3</v>
      </c>
      <c r="U111" s="7">
        <v>4</v>
      </c>
      <c r="V111" s="7">
        <v>5</v>
      </c>
      <c r="W111" s="7">
        <v>2</v>
      </c>
      <c r="X111" s="7">
        <v>5</v>
      </c>
      <c r="Y111" s="7">
        <v>4</v>
      </c>
      <c r="Z111" s="7">
        <v>5</v>
      </c>
      <c r="AA111" s="7">
        <v>7</v>
      </c>
      <c r="AB111" s="7">
        <v>4</v>
      </c>
      <c r="AC111" s="7">
        <v>2</v>
      </c>
      <c r="AD111" s="7">
        <v>12</v>
      </c>
      <c r="AE111" s="7">
        <v>7</v>
      </c>
      <c r="AF111" s="8">
        <v>8</v>
      </c>
      <c r="AG111" s="4">
        <f t="shared" si="20"/>
        <v>158</v>
      </c>
    </row>
    <row r="112" spans="1:33" ht="18.75" x14ac:dyDescent="0.25">
      <c r="A112" s="49" t="s">
        <v>19</v>
      </c>
      <c r="B112" s="7">
        <v>5</v>
      </c>
      <c r="C112" s="7">
        <v>6</v>
      </c>
      <c r="D112" s="7">
        <v>7</v>
      </c>
      <c r="E112" s="7">
        <v>8</v>
      </c>
      <c r="F112" s="7">
        <v>5</v>
      </c>
      <c r="G112" s="7">
        <v>3</v>
      </c>
      <c r="H112" s="7">
        <v>4</v>
      </c>
      <c r="I112" s="7">
        <v>4</v>
      </c>
      <c r="J112" s="7">
        <v>11</v>
      </c>
      <c r="K112" s="7">
        <v>2</v>
      </c>
      <c r="L112" s="7">
        <v>9</v>
      </c>
      <c r="M112" s="7">
        <v>4</v>
      </c>
      <c r="N112" s="7">
        <v>4</v>
      </c>
      <c r="O112" s="7">
        <v>5</v>
      </c>
      <c r="P112" s="7">
        <v>7</v>
      </c>
      <c r="Q112" s="7">
        <v>5</v>
      </c>
      <c r="R112" s="7">
        <v>3</v>
      </c>
      <c r="S112" s="7">
        <v>4</v>
      </c>
      <c r="T112" s="7">
        <v>10</v>
      </c>
      <c r="U112" s="7">
        <v>4</v>
      </c>
      <c r="V112" s="7">
        <v>1</v>
      </c>
      <c r="W112" s="7">
        <v>3</v>
      </c>
      <c r="X112" s="7">
        <v>3</v>
      </c>
      <c r="Y112" s="7">
        <v>7</v>
      </c>
      <c r="Z112" s="7">
        <v>5</v>
      </c>
      <c r="AA112" s="7">
        <v>6</v>
      </c>
      <c r="AB112" s="7">
        <v>3</v>
      </c>
      <c r="AC112" s="7">
        <v>2</v>
      </c>
      <c r="AD112" s="7">
        <v>2</v>
      </c>
      <c r="AE112" s="7">
        <v>2</v>
      </c>
      <c r="AF112" s="8">
        <v>2</v>
      </c>
      <c r="AG112" s="4">
        <f>SUM(B112:AF112)</f>
        <v>146</v>
      </c>
    </row>
    <row r="113" spans="1:33" ht="18.75" x14ac:dyDescent="0.25">
      <c r="A113" s="49" t="s">
        <v>20</v>
      </c>
      <c r="B113" s="7">
        <v>1</v>
      </c>
      <c r="C113" s="7">
        <v>6</v>
      </c>
      <c r="D113" s="7">
        <v>6</v>
      </c>
      <c r="E113" s="7">
        <v>2</v>
      </c>
      <c r="F113" s="7">
        <v>3</v>
      </c>
      <c r="G113" s="7">
        <v>1</v>
      </c>
      <c r="H113" s="7">
        <v>8</v>
      </c>
      <c r="I113" s="7">
        <v>5</v>
      </c>
      <c r="J113" s="7">
        <v>5</v>
      </c>
      <c r="K113" s="7"/>
      <c r="L113" s="7">
        <v>5</v>
      </c>
      <c r="M113" s="7">
        <v>3</v>
      </c>
      <c r="N113" s="7">
        <v>3</v>
      </c>
      <c r="O113" s="7">
        <v>2</v>
      </c>
      <c r="P113" s="7">
        <v>2</v>
      </c>
      <c r="Q113" s="7">
        <v>6</v>
      </c>
      <c r="R113" s="7">
        <v>7</v>
      </c>
      <c r="S113" s="7">
        <v>3</v>
      </c>
      <c r="T113" s="7">
        <v>5</v>
      </c>
      <c r="U113" s="7">
        <v>3</v>
      </c>
      <c r="V113" s="7">
        <v>3</v>
      </c>
      <c r="W113" s="7">
        <v>6</v>
      </c>
      <c r="X113" s="7">
        <v>4</v>
      </c>
      <c r="Y113" s="7">
        <v>1</v>
      </c>
      <c r="Z113" s="7">
        <v>5</v>
      </c>
      <c r="AA113" s="7">
        <v>3</v>
      </c>
      <c r="AB113" s="7">
        <v>3</v>
      </c>
      <c r="AC113" s="7">
        <v>3</v>
      </c>
      <c r="AD113" s="7">
        <v>5</v>
      </c>
      <c r="AE113" s="7">
        <v>1</v>
      </c>
      <c r="AF113" s="8">
        <v>1</v>
      </c>
      <c r="AG113" s="4">
        <f t="shared" si="20"/>
        <v>111</v>
      </c>
    </row>
    <row r="114" spans="1:33" ht="18.75" x14ac:dyDescent="0.25">
      <c r="A114" s="49" t="s">
        <v>21</v>
      </c>
      <c r="B114" s="7">
        <v>2</v>
      </c>
      <c r="C114" s="7">
        <v>7</v>
      </c>
      <c r="D114" s="7">
        <v>4</v>
      </c>
      <c r="E114" s="7">
        <v>4</v>
      </c>
      <c r="F114" s="7">
        <v>4</v>
      </c>
      <c r="G114" s="7">
        <v>5</v>
      </c>
      <c r="H114" s="7">
        <v>2</v>
      </c>
      <c r="I114" s="7">
        <v>4</v>
      </c>
      <c r="J114" s="7">
        <v>3</v>
      </c>
      <c r="K114" s="7">
        <v>6</v>
      </c>
      <c r="L114" s="7">
        <v>4</v>
      </c>
      <c r="M114" s="7">
        <v>8</v>
      </c>
      <c r="N114" s="7">
        <v>4</v>
      </c>
      <c r="O114" s="7">
        <v>7</v>
      </c>
      <c r="P114" s="7">
        <v>2</v>
      </c>
      <c r="Q114" s="7">
        <v>4</v>
      </c>
      <c r="R114" s="7">
        <v>5</v>
      </c>
      <c r="S114" s="7">
        <v>3</v>
      </c>
      <c r="T114" s="7">
        <v>4</v>
      </c>
      <c r="U114" s="7">
        <v>3</v>
      </c>
      <c r="V114" s="7">
        <v>5</v>
      </c>
      <c r="W114" s="7">
        <v>4</v>
      </c>
      <c r="X114" s="7">
        <v>5</v>
      </c>
      <c r="Y114" s="7">
        <v>1</v>
      </c>
      <c r="Z114" s="7">
        <v>2</v>
      </c>
      <c r="AA114" s="7">
        <v>6</v>
      </c>
      <c r="AB114" s="7">
        <v>4</v>
      </c>
      <c r="AC114" s="7">
        <v>7</v>
      </c>
      <c r="AD114" s="7">
        <v>3</v>
      </c>
      <c r="AE114" s="7">
        <v>6</v>
      </c>
      <c r="AF114" s="8">
        <v>3</v>
      </c>
      <c r="AG114" s="4">
        <f t="shared" si="20"/>
        <v>131</v>
      </c>
    </row>
    <row r="115" spans="1:33" ht="19.5" thickBot="1" x14ac:dyDescent="0.3">
      <c r="A115" s="76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2"/>
      <c r="AG115" s="4">
        <f t="shared" si="20"/>
        <v>0</v>
      </c>
    </row>
    <row r="116" spans="1:33" ht="18.75" x14ac:dyDescent="0.25">
      <c r="A116" s="73" t="s">
        <v>61</v>
      </c>
      <c r="B116" s="74">
        <f t="shared" ref="B116:AF116" si="25">SUM(B117:B129)</f>
        <v>74</v>
      </c>
      <c r="C116" s="74">
        <f t="shared" si="25"/>
        <v>78</v>
      </c>
      <c r="D116" s="74">
        <f t="shared" si="25"/>
        <v>63</v>
      </c>
      <c r="E116" s="74">
        <f t="shared" si="25"/>
        <v>60</v>
      </c>
      <c r="F116" s="74">
        <f t="shared" si="25"/>
        <v>62</v>
      </c>
      <c r="G116" s="74">
        <f t="shared" si="25"/>
        <v>57</v>
      </c>
      <c r="H116" s="74">
        <f t="shared" si="25"/>
        <v>76</v>
      </c>
      <c r="I116" s="74">
        <f t="shared" si="25"/>
        <v>74</v>
      </c>
      <c r="J116" s="74">
        <f t="shared" si="25"/>
        <v>79</v>
      </c>
      <c r="K116" s="74">
        <f t="shared" si="25"/>
        <v>62</v>
      </c>
      <c r="L116" s="74">
        <f t="shared" si="25"/>
        <v>67</v>
      </c>
      <c r="M116" s="74">
        <f t="shared" si="25"/>
        <v>56</v>
      </c>
      <c r="N116" s="74">
        <f t="shared" si="25"/>
        <v>62</v>
      </c>
      <c r="O116" s="74">
        <f t="shared" si="25"/>
        <v>70</v>
      </c>
      <c r="P116" s="74">
        <f t="shared" si="25"/>
        <v>70</v>
      </c>
      <c r="Q116" s="74">
        <f t="shared" si="25"/>
        <v>84</v>
      </c>
      <c r="R116" s="74">
        <f t="shared" si="25"/>
        <v>73</v>
      </c>
      <c r="S116" s="74">
        <f t="shared" si="25"/>
        <v>48</v>
      </c>
      <c r="T116" s="74">
        <f t="shared" si="25"/>
        <v>67</v>
      </c>
      <c r="U116" s="74">
        <f t="shared" si="25"/>
        <v>53</v>
      </c>
      <c r="V116" s="74">
        <f t="shared" si="25"/>
        <v>78</v>
      </c>
      <c r="W116" s="74">
        <f t="shared" si="25"/>
        <v>76</v>
      </c>
      <c r="X116" s="74">
        <f t="shared" si="25"/>
        <v>75</v>
      </c>
      <c r="Y116" s="74">
        <f t="shared" si="25"/>
        <v>44</v>
      </c>
      <c r="Z116" s="74">
        <f t="shared" si="25"/>
        <v>65</v>
      </c>
      <c r="AA116" s="74">
        <f t="shared" si="25"/>
        <v>65</v>
      </c>
      <c r="AB116" s="74">
        <f t="shared" si="25"/>
        <v>80</v>
      </c>
      <c r="AC116" s="74">
        <f t="shared" si="25"/>
        <v>91</v>
      </c>
      <c r="AD116" s="74">
        <f t="shared" si="25"/>
        <v>90</v>
      </c>
      <c r="AE116" s="74">
        <f t="shared" si="25"/>
        <v>71</v>
      </c>
      <c r="AF116" s="84">
        <f t="shared" si="25"/>
        <v>44</v>
      </c>
      <c r="AG116" s="4">
        <f t="shared" si="20"/>
        <v>2114</v>
      </c>
    </row>
    <row r="117" spans="1:33" ht="18.75" x14ac:dyDescent="0.25">
      <c r="A117" s="43" t="s">
        <v>59</v>
      </c>
      <c r="B117" s="7">
        <v>49</v>
      </c>
      <c r="C117" s="7">
        <v>55</v>
      </c>
      <c r="D117" s="7">
        <v>42</v>
      </c>
      <c r="E117" s="7">
        <v>47</v>
      </c>
      <c r="F117" s="7">
        <v>50</v>
      </c>
      <c r="G117" s="7">
        <v>44</v>
      </c>
      <c r="H117" s="7">
        <v>55</v>
      </c>
      <c r="I117" s="7">
        <v>53</v>
      </c>
      <c r="J117" s="7">
        <v>52</v>
      </c>
      <c r="K117" s="7">
        <v>51</v>
      </c>
      <c r="L117" s="7">
        <v>57</v>
      </c>
      <c r="M117" s="7">
        <v>43</v>
      </c>
      <c r="N117" s="7">
        <v>47</v>
      </c>
      <c r="O117" s="7">
        <v>53</v>
      </c>
      <c r="P117" s="7">
        <v>44</v>
      </c>
      <c r="Q117" s="7">
        <v>65</v>
      </c>
      <c r="R117" s="7">
        <v>46</v>
      </c>
      <c r="S117" s="7">
        <v>33</v>
      </c>
      <c r="T117" s="7">
        <v>44</v>
      </c>
      <c r="U117" s="7">
        <v>38</v>
      </c>
      <c r="V117" s="7">
        <v>49</v>
      </c>
      <c r="W117" s="7">
        <v>54</v>
      </c>
      <c r="X117" s="7">
        <v>51</v>
      </c>
      <c r="Y117" s="7">
        <v>32</v>
      </c>
      <c r="Z117" s="7">
        <v>44</v>
      </c>
      <c r="AA117" s="7">
        <v>51</v>
      </c>
      <c r="AB117" s="7">
        <v>57</v>
      </c>
      <c r="AC117" s="7">
        <v>59</v>
      </c>
      <c r="AD117" s="7">
        <v>62</v>
      </c>
      <c r="AE117" s="7">
        <v>52</v>
      </c>
      <c r="AF117" s="8">
        <v>30</v>
      </c>
      <c r="AG117" s="4">
        <f t="shared" si="20"/>
        <v>1509</v>
      </c>
    </row>
    <row r="118" spans="1:33" ht="19.5" hidden="1" customHeight="1" thickBot="1" x14ac:dyDescent="0.25">
      <c r="A118" s="43" t="s">
        <v>23</v>
      </c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8"/>
      <c r="AG118" s="4">
        <f t="shared" si="20"/>
        <v>0</v>
      </c>
    </row>
    <row r="119" spans="1:33" ht="19.5" hidden="1" customHeight="1" thickBot="1" x14ac:dyDescent="0.25">
      <c r="A119" s="43" t="s">
        <v>24</v>
      </c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8"/>
      <c r="AG119" s="4">
        <f t="shared" si="20"/>
        <v>0</v>
      </c>
    </row>
    <row r="120" spans="1:33" ht="19.5" hidden="1" customHeight="1" thickBot="1" x14ac:dyDescent="0.25">
      <c r="A120" s="43" t="s">
        <v>25</v>
      </c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8"/>
      <c r="AG120" s="4">
        <f t="shared" si="20"/>
        <v>0</v>
      </c>
    </row>
    <row r="121" spans="1:33" ht="19.5" hidden="1" customHeight="1" thickBot="1" x14ac:dyDescent="0.25">
      <c r="A121" s="43" t="s">
        <v>26</v>
      </c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8"/>
      <c r="AG121" s="4">
        <f t="shared" si="20"/>
        <v>0</v>
      </c>
    </row>
    <row r="122" spans="1:33" ht="19.5" hidden="1" customHeight="1" thickBot="1" x14ac:dyDescent="0.25">
      <c r="A122" s="43" t="s">
        <v>27</v>
      </c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8"/>
      <c r="AG122" s="4">
        <f t="shared" si="20"/>
        <v>0</v>
      </c>
    </row>
    <row r="123" spans="1:33" ht="19.5" hidden="1" customHeight="1" thickBot="1" x14ac:dyDescent="0.25">
      <c r="A123" s="43" t="s">
        <v>28</v>
      </c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8"/>
      <c r="AG123" s="4">
        <f t="shared" si="20"/>
        <v>0</v>
      </c>
    </row>
    <row r="124" spans="1:33" ht="19.5" hidden="1" customHeight="1" thickBot="1" x14ac:dyDescent="0.25">
      <c r="A124" s="43" t="s">
        <v>29</v>
      </c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8"/>
      <c r="AG124" s="4">
        <f t="shared" si="20"/>
        <v>0</v>
      </c>
    </row>
    <row r="125" spans="1:33" ht="19.5" hidden="1" customHeight="1" thickBot="1" x14ac:dyDescent="0.25">
      <c r="A125" s="41" t="s">
        <v>30</v>
      </c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8"/>
      <c r="AG125" s="4">
        <f t="shared" si="20"/>
        <v>0</v>
      </c>
    </row>
    <row r="126" spans="1:33" ht="19.5" hidden="1" customHeight="1" thickBot="1" x14ac:dyDescent="0.25">
      <c r="A126" s="41" t="s">
        <v>31</v>
      </c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8"/>
      <c r="AG126" s="4">
        <f t="shared" si="20"/>
        <v>0</v>
      </c>
    </row>
    <row r="127" spans="1:33" ht="19.5" hidden="1" customHeight="1" thickBot="1" x14ac:dyDescent="0.25">
      <c r="A127" s="41" t="s">
        <v>32</v>
      </c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8"/>
      <c r="AG127" s="4">
        <f t="shared" ref="AG127:AG133" si="26">SUM(B127:AF127)</f>
        <v>0</v>
      </c>
    </row>
    <row r="128" spans="1:33" ht="19.5" hidden="1" customHeight="1" thickBot="1" x14ac:dyDescent="0.25">
      <c r="A128" s="43" t="s">
        <v>60</v>
      </c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8"/>
      <c r="AG128" s="4">
        <f t="shared" si="26"/>
        <v>0</v>
      </c>
    </row>
    <row r="129" spans="1:35" ht="19.5" thickBot="1" x14ac:dyDescent="0.3">
      <c r="A129" s="75" t="s">
        <v>86</v>
      </c>
      <c r="B129" s="13">
        <f>14+1+10</f>
        <v>25</v>
      </c>
      <c r="C129" s="13">
        <f>12+11</f>
        <v>23</v>
      </c>
      <c r="D129" s="13">
        <f>12+9</f>
        <v>21</v>
      </c>
      <c r="E129" s="13">
        <f>9+4</f>
        <v>13</v>
      </c>
      <c r="F129" s="13">
        <f>8+4</f>
        <v>12</v>
      </c>
      <c r="G129" s="13">
        <f>4+8+1</f>
        <v>13</v>
      </c>
      <c r="H129" s="13">
        <f>1+10+10</f>
        <v>21</v>
      </c>
      <c r="I129" s="13">
        <f>15+6</f>
        <v>21</v>
      </c>
      <c r="J129" s="13">
        <f>18+9</f>
        <v>27</v>
      </c>
      <c r="K129" s="13">
        <f>5+6</f>
        <v>11</v>
      </c>
      <c r="L129" s="13">
        <f>7+3</f>
        <v>10</v>
      </c>
      <c r="M129" s="13">
        <f>4+9</f>
        <v>13</v>
      </c>
      <c r="N129" s="13">
        <f>8+7</f>
        <v>15</v>
      </c>
      <c r="O129" s="13">
        <f>8+9</f>
        <v>17</v>
      </c>
      <c r="P129" s="13">
        <f>11+15</f>
        <v>26</v>
      </c>
      <c r="Q129" s="13">
        <f>10+9</f>
        <v>19</v>
      </c>
      <c r="R129" s="13">
        <f>11+1+15</f>
        <v>27</v>
      </c>
      <c r="S129" s="13">
        <f>8+7</f>
        <v>15</v>
      </c>
      <c r="T129" s="13">
        <f>14+9</f>
        <v>23</v>
      </c>
      <c r="U129" s="13">
        <f>10+5</f>
        <v>15</v>
      </c>
      <c r="V129" s="13">
        <f>13+16</f>
        <v>29</v>
      </c>
      <c r="W129" s="13">
        <f>7+15</f>
        <v>22</v>
      </c>
      <c r="X129" s="13">
        <f>16+8</f>
        <v>24</v>
      </c>
      <c r="Y129" s="13">
        <f>6+6</f>
        <v>12</v>
      </c>
      <c r="Z129" s="13">
        <f>13+8</f>
        <v>21</v>
      </c>
      <c r="AA129" s="13">
        <f>7+7</f>
        <v>14</v>
      </c>
      <c r="AB129" s="13">
        <f>11+1+11</f>
        <v>23</v>
      </c>
      <c r="AC129" s="13">
        <f>21+1+10</f>
        <v>32</v>
      </c>
      <c r="AD129" s="13">
        <f>15+13</f>
        <v>28</v>
      </c>
      <c r="AE129" s="13">
        <f>7+12</f>
        <v>19</v>
      </c>
      <c r="AF129" s="14">
        <f>7+1+6</f>
        <v>14</v>
      </c>
      <c r="AG129" s="4">
        <f t="shared" si="26"/>
        <v>605</v>
      </c>
    </row>
    <row r="130" spans="1:35" ht="18.75" x14ac:dyDescent="0.25">
      <c r="A130" s="73" t="s">
        <v>109</v>
      </c>
      <c r="B130" s="74">
        <f t="shared" ref="B130:AF130" si="27">SUM(B131:B143)</f>
        <v>135</v>
      </c>
      <c r="C130" s="74">
        <f t="shared" si="27"/>
        <v>132</v>
      </c>
      <c r="D130" s="74">
        <f t="shared" si="27"/>
        <v>112</v>
      </c>
      <c r="E130" s="74">
        <f t="shared" si="27"/>
        <v>124</v>
      </c>
      <c r="F130" s="74">
        <f t="shared" si="27"/>
        <v>114</v>
      </c>
      <c r="G130" s="74">
        <f t="shared" si="27"/>
        <v>113</v>
      </c>
      <c r="H130" s="74">
        <f t="shared" si="27"/>
        <v>124</v>
      </c>
      <c r="I130" s="74">
        <f t="shared" si="27"/>
        <v>142</v>
      </c>
      <c r="J130" s="74">
        <f t="shared" si="27"/>
        <v>158</v>
      </c>
      <c r="K130" s="74">
        <f t="shared" si="27"/>
        <v>116</v>
      </c>
      <c r="L130" s="74">
        <f t="shared" si="27"/>
        <v>115</v>
      </c>
      <c r="M130" s="74">
        <f t="shared" si="27"/>
        <v>120</v>
      </c>
      <c r="N130" s="74">
        <f t="shared" si="27"/>
        <v>112</v>
      </c>
      <c r="O130" s="74">
        <f t="shared" si="27"/>
        <v>122</v>
      </c>
      <c r="P130" s="74">
        <f t="shared" si="27"/>
        <v>122</v>
      </c>
      <c r="Q130" s="74">
        <f t="shared" si="27"/>
        <v>149</v>
      </c>
      <c r="R130" s="74">
        <f t="shared" si="27"/>
        <v>127</v>
      </c>
      <c r="S130" s="74">
        <f t="shared" si="27"/>
        <v>112</v>
      </c>
      <c r="T130" s="74">
        <f t="shared" si="27"/>
        <v>124</v>
      </c>
      <c r="U130" s="74">
        <f t="shared" si="27"/>
        <v>97</v>
      </c>
      <c r="V130" s="74">
        <f t="shared" si="27"/>
        <v>138</v>
      </c>
      <c r="W130" s="74">
        <f t="shared" si="27"/>
        <v>128</v>
      </c>
      <c r="X130" s="74">
        <f t="shared" si="27"/>
        <v>129</v>
      </c>
      <c r="Y130" s="74">
        <f t="shared" si="27"/>
        <v>79</v>
      </c>
      <c r="Z130" s="74">
        <f t="shared" si="27"/>
        <v>128</v>
      </c>
      <c r="AA130" s="74">
        <f t="shared" si="27"/>
        <v>142</v>
      </c>
      <c r="AB130" s="74">
        <f t="shared" si="27"/>
        <v>162</v>
      </c>
      <c r="AC130" s="74">
        <f t="shared" si="27"/>
        <v>145</v>
      </c>
      <c r="AD130" s="74">
        <f t="shared" si="27"/>
        <v>141</v>
      </c>
      <c r="AE130" s="74">
        <f t="shared" si="27"/>
        <v>129</v>
      </c>
      <c r="AF130" s="84">
        <f t="shared" si="27"/>
        <v>90</v>
      </c>
      <c r="AG130" s="150">
        <f t="shared" si="26"/>
        <v>3881</v>
      </c>
      <c r="AH130" s="1" t="str">
        <f>IF(AG130&lt;&gt;AG93,"*","")</f>
        <v/>
      </c>
    </row>
    <row r="131" spans="1:35" ht="18.75" x14ac:dyDescent="0.25">
      <c r="A131" s="43" t="s">
        <v>59</v>
      </c>
      <c r="B131" s="7">
        <v>47</v>
      </c>
      <c r="C131" s="7">
        <v>49</v>
      </c>
      <c r="D131" s="7">
        <v>40</v>
      </c>
      <c r="E131" s="7">
        <v>43</v>
      </c>
      <c r="F131" s="7">
        <v>49</v>
      </c>
      <c r="G131" s="7">
        <v>43</v>
      </c>
      <c r="H131" s="7">
        <v>49</v>
      </c>
      <c r="I131" s="7">
        <v>53</v>
      </c>
      <c r="J131" s="7">
        <v>48</v>
      </c>
      <c r="K131" s="7">
        <v>49</v>
      </c>
      <c r="L131" s="7">
        <v>51</v>
      </c>
      <c r="M131" s="7">
        <v>42</v>
      </c>
      <c r="N131" s="7">
        <v>44</v>
      </c>
      <c r="O131" s="7">
        <v>51</v>
      </c>
      <c r="P131" s="7">
        <v>43</v>
      </c>
      <c r="Q131" s="7">
        <v>61</v>
      </c>
      <c r="R131" s="7">
        <v>44</v>
      </c>
      <c r="S131" s="7">
        <v>32</v>
      </c>
      <c r="T131" s="7">
        <v>42</v>
      </c>
      <c r="U131" s="7">
        <v>38</v>
      </c>
      <c r="V131" s="7">
        <v>47</v>
      </c>
      <c r="W131" s="7">
        <v>51</v>
      </c>
      <c r="X131" s="7">
        <v>48</v>
      </c>
      <c r="Y131" s="7">
        <v>31</v>
      </c>
      <c r="Z131" s="7">
        <v>43</v>
      </c>
      <c r="AA131" s="7">
        <v>47</v>
      </c>
      <c r="AB131" s="7">
        <v>55</v>
      </c>
      <c r="AC131" s="7">
        <v>49</v>
      </c>
      <c r="AD131" s="7">
        <v>57</v>
      </c>
      <c r="AE131" s="7">
        <v>48</v>
      </c>
      <c r="AF131" s="8">
        <v>26</v>
      </c>
      <c r="AG131" s="4">
        <f t="shared" si="26"/>
        <v>1420</v>
      </c>
    </row>
    <row r="132" spans="1:35" ht="18.75" x14ac:dyDescent="0.25">
      <c r="A132" s="43" t="s">
        <v>23</v>
      </c>
      <c r="B132" s="7">
        <v>9</v>
      </c>
      <c r="C132" s="7">
        <v>6</v>
      </c>
      <c r="D132" s="7">
        <v>7</v>
      </c>
      <c r="E132" s="7">
        <v>12</v>
      </c>
      <c r="F132" s="7">
        <v>6</v>
      </c>
      <c r="G132" s="7">
        <v>13</v>
      </c>
      <c r="H132" s="7">
        <v>5</v>
      </c>
      <c r="I132" s="7">
        <v>9</v>
      </c>
      <c r="J132" s="7">
        <v>15</v>
      </c>
      <c r="K132" s="7">
        <v>5</v>
      </c>
      <c r="L132" s="7">
        <v>8</v>
      </c>
      <c r="M132" s="7">
        <v>4</v>
      </c>
      <c r="N132" s="7">
        <v>8</v>
      </c>
      <c r="O132" s="7">
        <v>3</v>
      </c>
      <c r="P132" s="7">
        <v>6</v>
      </c>
      <c r="Q132" s="7">
        <v>5</v>
      </c>
      <c r="R132" s="7">
        <v>4</v>
      </c>
      <c r="S132" s="7">
        <v>3</v>
      </c>
      <c r="T132" s="7">
        <v>7</v>
      </c>
      <c r="U132" s="7">
        <v>8</v>
      </c>
      <c r="V132" s="7">
        <v>9</v>
      </c>
      <c r="W132" s="7">
        <v>8</v>
      </c>
      <c r="X132" s="7">
        <v>7</v>
      </c>
      <c r="Y132" s="7">
        <v>8</v>
      </c>
      <c r="Z132" s="7">
        <v>9</v>
      </c>
      <c r="AA132" s="7">
        <v>10</v>
      </c>
      <c r="AB132" s="7">
        <v>12</v>
      </c>
      <c r="AC132" s="7">
        <v>10</v>
      </c>
      <c r="AD132" s="7">
        <v>7</v>
      </c>
      <c r="AE132" s="7">
        <v>6</v>
      </c>
      <c r="AF132" s="8">
        <v>7</v>
      </c>
      <c r="AG132" s="4">
        <f t="shared" si="26"/>
        <v>236</v>
      </c>
    </row>
    <row r="133" spans="1:35" ht="18.75" x14ac:dyDescent="0.25">
      <c r="A133" s="43" t="s">
        <v>24</v>
      </c>
      <c r="B133" s="7">
        <v>7</v>
      </c>
      <c r="C133" s="7">
        <v>7</v>
      </c>
      <c r="D133" s="7">
        <v>9</v>
      </c>
      <c r="E133" s="7">
        <v>8</v>
      </c>
      <c r="F133" s="7">
        <v>10</v>
      </c>
      <c r="G133" s="7">
        <v>9</v>
      </c>
      <c r="H133" s="7">
        <v>9</v>
      </c>
      <c r="I133" s="7">
        <v>12</v>
      </c>
      <c r="J133" s="7">
        <v>14</v>
      </c>
      <c r="K133" s="7">
        <v>8</v>
      </c>
      <c r="L133" s="7">
        <v>5</v>
      </c>
      <c r="M133" s="7">
        <v>10</v>
      </c>
      <c r="N133" s="7">
        <v>4</v>
      </c>
      <c r="O133" s="7">
        <v>5</v>
      </c>
      <c r="P133" s="7">
        <v>11</v>
      </c>
      <c r="Q133" s="7">
        <v>15</v>
      </c>
      <c r="R133" s="7">
        <v>8</v>
      </c>
      <c r="S133" s="7">
        <v>11</v>
      </c>
      <c r="T133" s="7">
        <v>8</v>
      </c>
      <c r="U133" s="7">
        <v>6</v>
      </c>
      <c r="V133" s="7">
        <v>8</v>
      </c>
      <c r="W133" s="7">
        <v>5</v>
      </c>
      <c r="X133" s="7">
        <v>10</v>
      </c>
      <c r="Y133" s="7">
        <v>2</v>
      </c>
      <c r="Z133" s="7">
        <v>6</v>
      </c>
      <c r="AA133" s="7">
        <v>11</v>
      </c>
      <c r="AB133" s="7">
        <v>15</v>
      </c>
      <c r="AC133" s="7">
        <v>12</v>
      </c>
      <c r="AD133" s="7">
        <v>11</v>
      </c>
      <c r="AE133" s="7">
        <v>9</v>
      </c>
      <c r="AF133" s="8">
        <v>6</v>
      </c>
      <c r="AG133" s="4">
        <f t="shared" si="26"/>
        <v>271</v>
      </c>
    </row>
    <row r="134" spans="1:35" ht="18.75" x14ac:dyDescent="0.25">
      <c r="A134" s="43" t="s">
        <v>25</v>
      </c>
      <c r="B134" s="7">
        <f>1+5</f>
        <v>6</v>
      </c>
      <c r="C134" s="7">
        <v>8</v>
      </c>
      <c r="D134" s="7">
        <v>4</v>
      </c>
      <c r="E134" s="7">
        <v>10</v>
      </c>
      <c r="F134" s="7">
        <v>4</v>
      </c>
      <c r="G134" s="7">
        <v>3</v>
      </c>
      <c r="H134" s="7">
        <f>8+1</f>
        <v>9</v>
      </c>
      <c r="I134" s="7">
        <f>2+7</f>
        <v>9</v>
      </c>
      <c r="J134" s="7">
        <v>8</v>
      </c>
      <c r="K134" s="7">
        <v>3</v>
      </c>
      <c r="L134" s="7">
        <v>6</v>
      </c>
      <c r="M134" s="7">
        <f>1+5+1</f>
        <v>7</v>
      </c>
      <c r="N134" s="7">
        <v>5</v>
      </c>
      <c r="O134" s="7">
        <f>1+4</f>
        <v>5</v>
      </c>
      <c r="P134" s="7">
        <f>1+5</f>
        <v>6</v>
      </c>
      <c r="Q134" s="7">
        <v>8</v>
      </c>
      <c r="R134" s="7">
        <f>1+4</f>
        <v>5</v>
      </c>
      <c r="S134" s="7">
        <v>8</v>
      </c>
      <c r="T134" s="7">
        <f>11+1</f>
        <v>12</v>
      </c>
      <c r="U134" s="7">
        <v>6</v>
      </c>
      <c r="V134" s="7">
        <v>9</v>
      </c>
      <c r="W134" s="7">
        <v>5</v>
      </c>
      <c r="X134" s="7">
        <f>1+5</f>
        <v>6</v>
      </c>
      <c r="Y134" s="7">
        <v>6</v>
      </c>
      <c r="Z134" s="7">
        <f>2+8</f>
        <v>10</v>
      </c>
      <c r="AA134" s="7">
        <v>2</v>
      </c>
      <c r="AB134" s="7">
        <v>6</v>
      </c>
      <c r="AC134" s="7">
        <v>10</v>
      </c>
      <c r="AD134" s="7">
        <v>2</v>
      </c>
      <c r="AE134" s="7">
        <f>1+6</f>
        <v>7</v>
      </c>
      <c r="AF134" s="8">
        <f>7+1</f>
        <v>8</v>
      </c>
      <c r="AG134" s="4">
        <f t="shared" ref="AG134:AG147" si="28">SUM(B134:AF134)</f>
        <v>203</v>
      </c>
    </row>
    <row r="135" spans="1:35" ht="18.75" x14ac:dyDescent="0.25">
      <c r="A135" s="43" t="s">
        <v>26</v>
      </c>
      <c r="B135" s="7">
        <v>12</v>
      </c>
      <c r="C135" s="7">
        <v>4</v>
      </c>
      <c r="D135" s="7">
        <v>7</v>
      </c>
      <c r="E135" s="7">
        <v>8</v>
      </c>
      <c r="F135" s="7">
        <v>5</v>
      </c>
      <c r="G135" s="7">
        <v>5</v>
      </c>
      <c r="H135" s="7">
        <v>6</v>
      </c>
      <c r="I135" s="7">
        <v>9</v>
      </c>
      <c r="J135" s="7">
        <v>11</v>
      </c>
      <c r="K135" s="7">
        <v>4</v>
      </c>
      <c r="L135" s="7">
        <v>8</v>
      </c>
      <c r="M135" s="7">
        <v>9</v>
      </c>
      <c r="N135" s="7">
        <v>8</v>
      </c>
      <c r="O135" s="7">
        <v>4</v>
      </c>
      <c r="P135" s="7">
        <v>9</v>
      </c>
      <c r="Q135" s="7">
        <v>8</v>
      </c>
      <c r="R135" s="7">
        <v>8</v>
      </c>
      <c r="S135" s="7">
        <v>14</v>
      </c>
      <c r="T135" s="7">
        <v>6</v>
      </c>
      <c r="U135" s="7">
        <v>9</v>
      </c>
      <c r="V135" s="7">
        <v>9</v>
      </c>
      <c r="W135" s="7">
        <v>5</v>
      </c>
      <c r="X135" s="7">
        <v>2</v>
      </c>
      <c r="Y135" s="7">
        <v>2</v>
      </c>
      <c r="Z135" s="7">
        <v>14</v>
      </c>
      <c r="AA135" s="7">
        <v>8</v>
      </c>
      <c r="AB135" s="7">
        <v>7</v>
      </c>
      <c r="AC135" s="7">
        <v>6</v>
      </c>
      <c r="AD135" s="7">
        <v>2</v>
      </c>
      <c r="AE135" s="7">
        <v>6</v>
      </c>
      <c r="AF135" s="8">
        <v>4</v>
      </c>
      <c r="AG135" s="4">
        <f t="shared" si="28"/>
        <v>219</v>
      </c>
    </row>
    <row r="136" spans="1:35" ht="18.75" x14ac:dyDescent="0.25">
      <c r="A136" s="43" t="s">
        <v>27</v>
      </c>
      <c r="B136" s="7">
        <v>23</v>
      </c>
      <c r="C136" s="7">
        <v>21</v>
      </c>
      <c r="D136" s="7">
        <v>17</v>
      </c>
      <c r="E136" s="7">
        <v>20</v>
      </c>
      <c r="F136" s="7">
        <v>22</v>
      </c>
      <c r="G136" s="7">
        <v>16</v>
      </c>
      <c r="H136" s="7">
        <v>14</v>
      </c>
      <c r="I136" s="7">
        <v>25</v>
      </c>
      <c r="J136" s="7">
        <v>24</v>
      </c>
      <c r="K136" s="7">
        <v>20</v>
      </c>
      <c r="L136" s="7">
        <v>17</v>
      </c>
      <c r="M136" s="7">
        <v>19</v>
      </c>
      <c r="N136" s="7">
        <v>21</v>
      </c>
      <c r="O136" s="7">
        <v>24</v>
      </c>
      <c r="P136" s="7">
        <v>13</v>
      </c>
      <c r="Q136" s="7">
        <v>22</v>
      </c>
      <c r="R136" s="7">
        <v>21</v>
      </c>
      <c r="S136" s="7">
        <v>21</v>
      </c>
      <c r="T136" s="7">
        <v>17</v>
      </c>
      <c r="U136" s="7">
        <v>12</v>
      </c>
      <c r="V136" s="7">
        <v>10</v>
      </c>
      <c r="W136" s="7">
        <v>21</v>
      </c>
      <c r="X136" s="7">
        <v>23</v>
      </c>
      <c r="Y136" s="7">
        <v>7</v>
      </c>
      <c r="Z136" s="7">
        <v>17</v>
      </c>
      <c r="AA136" s="7">
        <v>30</v>
      </c>
      <c r="AB136" s="7">
        <v>30</v>
      </c>
      <c r="AC136" s="7">
        <v>20</v>
      </c>
      <c r="AD136" s="7">
        <v>23</v>
      </c>
      <c r="AE136" s="7">
        <v>18</v>
      </c>
      <c r="AF136" s="8">
        <v>15</v>
      </c>
      <c r="AG136" s="4">
        <f t="shared" si="28"/>
        <v>603</v>
      </c>
    </row>
    <row r="137" spans="1:35" ht="18.75" x14ac:dyDescent="0.25">
      <c r="A137" s="43" t="s">
        <v>28</v>
      </c>
      <c r="B137" s="7">
        <v>3</v>
      </c>
      <c r="C137" s="7">
        <v>9</v>
      </c>
      <c r="D137" s="7">
        <v>1</v>
      </c>
      <c r="E137" s="7">
        <v>4</v>
      </c>
      <c r="F137" s="7">
        <f>2+1</f>
        <v>3</v>
      </c>
      <c r="G137" s="7">
        <f>3+1</f>
        <v>4</v>
      </c>
      <c r="H137" s="7">
        <f>4+1</f>
        <v>5</v>
      </c>
      <c r="I137" s="7">
        <v>1</v>
      </c>
      <c r="J137" s="7">
        <v>3</v>
      </c>
      <c r="K137" s="7">
        <v>8</v>
      </c>
      <c r="L137" s="7">
        <v>4</v>
      </c>
      <c r="M137" s="7">
        <f>6+1</f>
        <v>7</v>
      </c>
      <c r="N137" s="7">
        <v>3</v>
      </c>
      <c r="O137" s="7">
        <v>4</v>
      </c>
      <c r="P137" s="7">
        <v>4</v>
      </c>
      <c r="Q137" s="7">
        <v>2</v>
      </c>
      <c r="R137" s="7">
        <v>4</v>
      </c>
      <c r="S137" s="7">
        <v>3</v>
      </c>
      <c r="T137" s="7">
        <v>5</v>
      </c>
      <c r="U137" s="7">
        <v>2</v>
      </c>
      <c r="V137" s="7">
        <f>4+2</f>
        <v>6</v>
      </c>
      <c r="W137" s="7">
        <f>5+1</f>
        <v>6</v>
      </c>
      <c r="X137" s="7">
        <v>4</v>
      </c>
      <c r="Y137" s="7">
        <f>5+1</f>
        <v>6</v>
      </c>
      <c r="Z137" s="7">
        <v>2</v>
      </c>
      <c r="AA137" s="7">
        <v>7</v>
      </c>
      <c r="AB137" s="7">
        <v>4</v>
      </c>
      <c r="AC137" s="7">
        <f>2+2</f>
        <v>4</v>
      </c>
      <c r="AD137" s="7">
        <v>3</v>
      </c>
      <c r="AE137" s="7">
        <v>8</v>
      </c>
      <c r="AF137" s="8">
        <f>2+1</f>
        <v>3</v>
      </c>
      <c r="AG137" s="4">
        <f t="shared" si="28"/>
        <v>132</v>
      </c>
    </row>
    <row r="138" spans="1:35" ht="18.75" x14ac:dyDescent="0.25">
      <c r="A138" s="43" t="s">
        <v>29</v>
      </c>
      <c r="B138" s="7">
        <v>1</v>
      </c>
      <c r="C138" s="7"/>
      <c r="D138" s="7">
        <v>1</v>
      </c>
      <c r="E138" s="7">
        <v>1</v>
      </c>
      <c r="F138" s="7">
        <v>1</v>
      </c>
      <c r="G138" s="7">
        <v>2</v>
      </c>
      <c r="H138" s="7"/>
      <c r="I138" s="7"/>
      <c r="J138" s="7">
        <v>4</v>
      </c>
      <c r="K138" s="7">
        <v>3</v>
      </c>
      <c r="L138" s="7">
        <v>1</v>
      </c>
      <c r="M138" s="7">
        <v>4</v>
      </c>
      <c r="N138" s="7">
        <v>1</v>
      </c>
      <c r="O138" s="7">
        <v>2</v>
      </c>
      <c r="P138" s="7">
        <v>3</v>
      </c>
      <c r="Q138" s="7">
        <v>1</v>
      </c>
      <c r="R138" s="7">
        <v>2</v>
      </c>
      <c r="S138" s="7">
        <v>4</v>
      </c>
      <c r="T138" s="7">
        <v>1</v>
      </c>
      <c r="U138" s="7">
        <f>1</f>
        <v>1</v>
      </c>
      <c r="V138" s="7">
        <v>2</v>
      </c>
      <c r="W138" s="7">
        <v>1</v>
      </c>
      <c r="X138" s="7">
        <v>2</v>
      </c>
      <c r="Y138" s="7"/>
      <c r="Z138" s="7"/>
      <c r="AA138" s="7"/>
      <c r="AB138" s="7">
        <v>1</v>
      </c>
      <c r="AC138" s="7">
        <v>1</v>
      </c>
      <c r="AD138" s="7">
        <v>4</v>
      </c>
      <c r="AE138" s="7">
        <v>2</v>
      </c>
      <c r="AF138" s="8">
        <v>1</v>
      </c>
      <c r="AG138" s="4">
        <f t="shared" si="28"/>
        <v>47</v>
      </c>
    </row>
    <row r="139" spans="1:35" ht="18.75" x14ac:dyDescent="0.25">
      <c r="A139" s="41" t="s">
        <v>30</v>
      </c>
      <c r="B139" s="7">
        <v>2</v>
      </c>
      <c r="C139" s="7">
        <v>1</v>
      </c>
      <c r="D139" s="7"/>
      <c r="E139" s="7"/>
      <c r="F139" s="7"/>
      <c r="G139" s="7">
        <v>1</v>
      </c>
      <c r="H139" s="7">
        <v>2</v>
      </c>
      <c r="I139" s="7"/>
      <c r="J139" s="7">
        <v>1</v>
      </c>
      <c r="K139" s="7">
        <v>1</v>
      </c>
      <c r="L139" s="7">
        <v>2</v>
      </c>
      <c r="M139" s="7">
        <f>1+1</f>
        <v>2</v>
      </c>
      <c r="N139" s="7"/>
      <c r="O139" s="7">
        <v>1</v>
      </c>
      <c r="P139" s="7"/>
      <c r="Q139" s="7">
        <v>2</v>
      </c>
      <c r="R139" s="7">
        <v>1</v>
      </c>
      <c r="S139" s="7">
        <f>1+1</f>
        <v>2</v>
      </c>
      <c r="T139" s="7">
        <v>2</v>
      </c>
      <c r="U139" s="7"/>
      <c r="V139" s="7">
        <f>1+2</f>
        <v>3</v>
      </c>
      <c r="W139" s="7">
        <v>1</v>
      </c>
      <c r="X139" s="7"/>
      <c r="Y139" s="7"/>
      <c r="Z139" s="7">
        <v>4</v>
      </c>
      <c r="AA139" s="7">
        <v>2</v>
      </c>
      <c r="AB139" s="7"/>
      <c r="AC139" s="7">
        <v>1</v>
      </c>
      <c r="AD139" s="7"/>
      <c r="AE139" s="7">
        <f>4+1</f>
        <v>5</v>
      </c>
      <c r="AF139" s="8">
        <v>1</v>
      </c>
      <c r="AG139" s="4">
        <f t="shared" si="28"/>
        <v>37</v>
      </c>
    </row>
    <row r="140" spans="1:35" ht="18.75" x14ac:dyDescent="0.25">
      <c r="A140" s="41" t="s">
        <v>31</v>
      </c>
      <c r="B140" s="7">
        <v>1</v>
      </c>
      <c r="C140" s="7">
        <v>1</v>
      </c>
      <c r="D140" s="7"/>
      <c r="E140" s="7">
        <v>1</v>
      </c>
      <c r="F140" s="7">
        <v>2</v>
      </c>
      <c r="G140" s="7">
        <v>1</v>
      </c>
      <c r="H140" s="7"/>
      <c r="I140" s="7"/>
      <c r="J140" s="7">
        <v>1</v>
      </c>
      <c r="K140" s="7">
        <v>1</v>
      </c>
      <c r="L140" s="7"/>
      <c r="M140" s="7">
        <v>1</v>
      </c>
      <c r="N140" s="7"/>
      <c r="O140" s="7">
        <v>1</v>
      </c>
      <c r="P140" s="7"/>
      <c r="Q140" s="7">
        <v>1</v>
      </c>
      <c r="R140" s="7">
        <v>1</v>
      </c>
      <c r="S140" s="7"/>
      <c r="T140" s="7"/>
      <c r="U140" s="7"/>
      <c r="V140" s="7">
        <v>2</v>
      </c>
      <c r="W140" s="7"/>
      <c r="X140" s="7">
        <v>1</v>
      </c>
      <c r="Y140" s="7"/>
      <c r="Z140" s="7"/>
      <c r="AA140" s="7">
        <v>3</v>
      </c>
      <c r="AB140" s="7"/>
      <c r="AC140" s="7"/>
      <c r="AD140" s="7">
        <v>1</v>
      </c>
      <c r="AE140" s="7"/>
      <c r="AF140" s="8">
        <v>1</v>
      </c>
      <c r="AG140" s="4">
        <f t="shared" si="28"/>
        <v>20</v>
      </c>
    </row>
    <row r="141" spans="1:35" ht="18.75" x14ac:dyDescent="0.25">
      <c r="A141" s="41" t="s">
        <v>32</v>
      </c>
      <c r="B141" s="7"/>
      <c r="C141" s="7"/>
      <c r="D141" s="7">
        <v>1</v>
      </c>
      <c r="E141" s="7"/>
      <c r="F141" s="7"/>
      <c r="G141" s="7">
        <v>1</v>
      </c>
      <c r="H141" s="7"/>
      <c r="I141" s="7"/>
      <c r="J141" s="7"/>
      <c r="K141" s="7">
        <v>1</v>
      </c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>
        <v>1</v>
      </c>
      <c r="X141" s="7">
        <v>1</v>
      </c>
      <c r="Y141" s="7"/>
      <c r="Z141" s="7"/>
      <c r="AA141" s="7"/>
      <c r="AB141" s="7"/>
      <c r="AC141" s="7"/>
      <c r="AD141" s="7"/>
      <c r="AE141" s="7"/>
      <c r="AF141" s="8"/>
      <c r="AG141" s="4">
        <f t="shared" si="28"/>
        <v>5</v>
      </c>
    </row>
    <row r="142" spans="1:35" ht="18.75" x14ac:dyDescent="0.25">
      <c r="A142" s="43" t="s">
        <v>60</v>
      </c>
      <c r="B142" s="7">
        <v>1</v>
      </c>
      <c r="C142" s="7">
        <f>1+1+1+1+1</f>
        <v>5</v>
      </c>
      <c r="D142" s="7">
        <f>1+1+1+1+2</f>
        <v>6</v>
      </c>
      <c r="E142" s="7">
        <f>1+1+1+1</f>
        <v>4</v>
      </c>
      <c r="F142" s="7">
        <f>1+1+1</f>
        <v>3</v>
      </c>
      <c r="G142" s="7">
        <f>1+1</f>
        <v>2</v>
      </c>
      <c r="H142" s="7">
        <f>1+2+1+1</f>
        <v>5</v>
      </c>
      <c r="I142" s="7">
        <f>1+1+1+1</f>
        <v>4</v>
      </c>
      <c r="J142" s="7">
        <f>1+1+1</f>
        <v>3</v>
      </c>
      <c r="K142" s="7">
        <f>1+1+1</f>
        <v>3</v>
      </c>
      <c r="L142" s="7">
        <f>1+1+1</f>
        <v>3</v>
      </c>
      <c r="M142" s="7">
        <f>1+1</f>
        <v>2</v>
      </c>
      <c r="N142" s="7">
        <f>1+1+1</f>
        <v>3</v>
      </c>
      <c r="O142" s="7">
        <f>3+1+1</f>
        <v>5</v>
      </c>
      <c r="P142" s="7">
        <f>1+1+1</f>
        <v>3</v>
      </c>
      <c r="Q142" s="7">
        <f>4+1+1</f>
        <v>6</v>
      </c>
      <c r="R142" s="7">
        <f>1+1</f>
        <v>2</v>
      </c>
      <c r="S142" s="7"/>
      <c r="T142" s="7">
        <f>1+2+1</f>
        <v>4</v>
      </c>
      <c r="U142" s="7">
        <v>1</v>
      </c>
      <c r="V142" s="7">
        <f>1+1+1+1+1</f>
        <v>5</v>
      </c>
      <c r="W142" s="7">
        <f>1+1+1+1+2</f>
        <v>6</v>
      </c>
      <c r="X142" s="7">
        <f>2+1</f>
        <v>3</v>
      </c>
      <c r="Y142" s="7">
        <f>2+1+2+1</f>
        <v>6</v>
      </c>
      <c r="Z142" s="7">
        <f>1+1+2</f>
        <v>4</v>
      </c>
      <c r="AA142" s="7">
        <f>3+1+1+1+1+1</f>
        <v>8</v>
      </c>
      <c r="AB142" s="7">
        <f>1+2+1+2+1+1+1</f>
        <v>9</v>
      </c>
      <c r="AC142" s="7">
        <f>1+1+1+1+2</f>
        <v>6</v>
      </c>
      <c r="AD142" s="7">
        <f>1+1+1+1+1+1</f>
        <v>6</v>
      </c>
      <c r="AE142" s="7">
        <f>1+1</f>
        <v>2</v>
      </c>
      <c r="AF142" s="8">
        <f>1+1+1+1+1</f>
        <v>5</v>
      </c>
      <c r="AG142" s="4">
        <f t="shared" si="28"/>
        <v>125</v>
      </c>
    </row>
    <row r="143" spans="1:35" ht="19.5" thickBot="1" x14ac:dyDescent="0.3">
      <c r="A143" s="75" t="s">
        <v>86</v>
      </c>
      <c r="B143" s="13">
        <f>14+1+8</f>
        <v>23</v>
      </c>
      <c r="C143" s="13">
        <f>11+10</f>
        <v>21</v>
      </c>
      <c r="D143" s="13">
        <f>10+9</f>
        <v>19</v>
      </c>
      <c r="E143" s="13">
        <f>9+4</f>
        <v>13</v>
      </c>
      <c r="F143" s="13">
        <f>6+3</f>
        <v>9</v>
      </c>
      <c r="G143" s="13">
        <f>4+1+8</f>
        <v>13</v>
      </c>
      <c r="H143" s="13">
        <f>1+9+10</f>
        <v>20</v>
      </c>
      <c r="I143" s="13">
        <f>14+6</f>
        <v>20</v>
      </c>
      <c r="J143" s="13">
        <f>17+9</f>
        <v>26</v>
      </c>
      <c r="K143" s="13">
        <f>4+6</f>
        <v>10</v>
      </c>
      <c r="L143" s="13">
        <f>6+1+3</f>
        <v>10</v>
      </c>
      <c r="M143" s="13">
        <f>4+9</f>
        <v>13</v>
      </c>
      <c r="N143" s="13">
        <f>8+7</f>
        <v>15</v>
      </c>
      <c r="O143" s="13">
        <f>8+9</f>
        <v>17</v>
      </c>
      <c r="P143" s="13">
        <f>11+13</f>
        <v>24</v>
      </c>
      <c r="Q143" s="13">
        <f>10+8</f>
        <v>18</v>
      </c>
      <c r="R143" s="13">
        <f>11+1+15</f>
        <v>27</v>
      </c>
      <c r="S143" s="13">
        <f>8+6</f>
        <v>14</v>
      </c>
      <c r="T143" s="13">
        <f>11+9</f>
        <v>20</v>
      </c>
      <c r="U143" s="13">
        <f>9+5</f>
        <v>14</v>
      </c>
      <c r="V143" s="13">
        <f>12+16</f>
        <v>28</v>
      </c>
      <c r="W143" s="13">
        <f>7+11</f>
        <v>18</v>
      </c>
      <c r="X143" s="13">
        <f>14+8</f>
        <v>22</v>
      </c>
      <c r="Y143" s="13">
        <f>6+5</f>
        <v>11</v>
      </c>
      <c r="Z143" s="13">
        <f>11+8</f>
        <v>19</v>
      </c>
      <c r="AA143" s="13">
        <f>7+7</f>
        <v>14</v>
      </c>
      <c r="AB143" s="13">
        <f>11+1+11</f>
        <v>23</v>
      </c>
      <c r="AC143" s="13">
        <f>15+1+10</f>
        <v>26</v>
      </c>
      <c r="AD143" s="13">
        <f>12+13</f>
        <v>25</v>
      </c>
      <c r="AE143" s="13">
        <f>7+11</f>
        <v>18</v>
      </c>
      <c r="AF143" s="14">
        <f>6+1+6</f>
        <v>13</v>
      </c>
      <c r="AG143" s="108">
        <f t="shared" si="28"/>
        <v>563</v>
      </c>
    </row>
    <row r="144" spans="1:35" ht="19.5" thickBot="1" x14ac:dyDescent="0.3">
      <c r="A144" s="164" t="s">
        <v>89</v>
      </c>
      <c r="B144" s="165">
        <f t="shared" ref="B144:AD144" si="29">+B146+B156+B158+B167</f>
        <v>135</v>
      </c>
      <c r="C144" s="165">
        <f t="shared" si="29"/>
        <v>132</v>
      </c>
      <c r="D144" s="165">
        <f t="shared" si="29"/>
        <v>112</v>
      </c>
      <c r="E144" s="165">
        <f t="shared" si="29"/>
        <v>124</v>
      </c>
      <c r="F144" s="165">
        <f t="shared" si="29"/>
        <v>114</v>
      </c>
      <c r="G144" s="165">
        <f t="shared" si="29"/>
        <v>113</v>
      </c>
      <c r="H144" s="165">
        <f t="shared" si="29"/>
        <v>124</v>
      </c>
      <c r="I144" s="165">
        <f t="shared" si="29"/>
        <v>142</v>
      </c>
      <c r="J144" s="165">
        <f t="shared" si="29"/>
        <v>158</v>
      </c>
      <c r="K144" s="165">
        <f t="shared" si="29"/>
        <v>116</v>
      </c>
      <c r="L144" s="165">
        <f t="shared" si="29"/>
        <v>115</v>
      </c>
      <c r="M144" s="165">
        <f t="shared" si="29"/>
        <v>120</v>
      </c>
      <c r="N144" s="165">
        <f t="shared" si="29"/>
        <v>112</v>
      </c>
      <c r="O144" s="165">
        <f t="shared" si="29"/>
        <v>122</v>
      </c>
      <c r="P144" s="165">
        <f t="shared" si="29"/>
        <v>122</v>
      </c>
      <c r="Q144" s="165">
        <f t="shared" si="29"/>
        <v>149</v>
      </c>
      <c r="R144" s="165">
        <f t="shared" si="29"/>
        <v>127</v>
      </c>
      <c r="S144" s="165">
        <f t="shared" si="29"/>
        <v>112</v>
      </c>
      <c r="T144" s="165">
        <f t="shared" si="29"/>
        <v>124</v>
      </c>
      <c r="U144" s="165">
        <f t="shared" si="29"/>
        <v>97</v>
      </c>
      <c r="V144" s="165">
        <f t="shared" si="29"/>
        <v>138</v>
      </c>
      <c r="W144" s="165">
        <f t="shared" si="29"/>
        <v>128</v>
      </c>
      <c r="X144" s="165">
        <f t="shared" si="29"/>
        <v>129</v>
      </c>
      <c r="Y144" s="165">
        <f t="shared" si="29"/>
        <v>79</v>
      </c>
      <c r="Z144" s="165">
        <f t="shared" si="29"/>
        <v>128</v>
      </c>
      <c r="AA144" s="165">
        <f t="shared" si="29"/>
        <v>142</v>
      </c>
      <c r="AB144" s="165">
        <f t="shared" si="29"/>
        <v>162</v>
      </c>
      <c r="AC144" s="165">
        <f t="shared" si="29"/>
        <v>145</v>
      </c>
      <c r="AD144" s="165">
        <f t="shared" si="29"/>
        <v>141</v>
      </c>
      <c r="AE144" s="165">
        <f>+AE146+AE156+AE158+AE167</f>
        <v>129</v>
      </c>
      <c r="AF144" s="165">
        <f t="shared" ref="AF144" si="30">+AF146+AF156+AF158+AF167</f>
        <v>90</v>
      </c>
      <c r="AG144" s="116">
        <f t="shared" si="28"/>
        <v>3881</v>
      </c>
      <c r="AH144" s="38" t="str">
        <f>IF(AG144&lt;&gt;AG93,"*","")</f>
        <v/>
      </c>
      <c r="AI144" t="s">
        <v>140</v>
      </c>
    </row>
    <row r="145" spans="1:34" ht="19.5" thickBot="1" x14ac:dyDescent="0.3">
      <c r="A145" s="160" t="s">
        <v>98</v>
      </c>
      <c r="B145" s="161">
        <f t="shared" ref="B145:AD145" si="31">+B149+B155+B157+B172</f>
        <v>5</v>
      </c>
      <c r="C145" s="161">
        <f t="shared" si="31"/>
        <v>17</v>
      </c>
      <c r="D145" s="161">
        <f t="shared" si="31"/>
        <v>11</v>
      </c>
      <c r="E145" s="161">
        <f t="shared" si="31"/>
        <v>4</v>
      </c>
      <c r="F145" s="161">
        <f t="shared" si="31"/>
        <v>6</v>
      </c>
      <c r="G145" s="161">
        <f t="shared" si="31"/>
        <v>4</v>
      </c>
      <c r="H145" s="161">
        <f t="shared" si="31"/>
        <v>11</v>
      </c>
      <c r="I145" s="161">
        <f t="shared" si="31"/>
        <v>2</v>
      </c>
      <c r="J145" s="161">
        <f t="shared" si="31"/>
        <v>11</v>
      </c>
      <c r="K145" s="161">
        <f t="shared" si="31"/>
        <v>4</v>
      </c>
      <c r="L145" s="161">
        <f t="shared" si="31"/>
        <v>8</v>
      </c>
      <c r="M145" s="161">
        <f t="shared" si="31"/>
        <v>3</v>
      </c>
      <c r="N145" s="161">
        <f t="shared" si="31"/>
        <v>7</v>
      </c>
      <c r="O145" s="161">
        <f t="shared" si="31"/>
        <v>4</v>
      </c>
      <c r="P145" s="161">
        <f t="shared" si="31"/>
        <v>8</v>
      </c>
      <c r="Q145" s="161">
        <f t="shared" si="31"/>
        <v>11</v>
      </c>
      <c r="R145" s="161">
        <f t="shared" si="31"/>
        <v>5</v>
      </c>
      <c r="S145" s="161">
        <f t="shared" si="31"/>
        <v>3</v>
      </c>
      <c r="T145" s="161">
        <f t="shared" si="31"/>
        <v>12</v>
      </c>
      <c r="U145" s="161">
        <f t="shared" si="31"/>
        <v>2</v>
      </c>
      <c r="V145" s="161">
        <f t="shared" si="31"/>
        <v>5</v>
      </c>
      <c r="W145" s="161">
        <f t="shared" si="31"/>
        <v>7</v>
      </c>
      <c r="X145" s="161">
        <f t="shared" si="31"/>
        <v>6</v>
      </c>
      <c r="Y145" s="161">
        <f t="shared" si="31"/>
        <v>3</v>
      </c>
      <c r="Z145" s="161">
        <f t="shared" si="31"/>
        <v>4</v>
      </c>
      <c r="AA145" s="161">
        <f t="shared" si="31"/>
        <v>6</v>
      </c>
      <c r="AB145" s="161">
        <f t="shared" si="31"/>
        <v>6</v>
      </c>
      <c r="AC145" s="161">
        <f t="shared" si="31"/>
        <v>19</v>
      </c>
      <c r="AD145" s="161">
        <f t="shared" si="31"/>
        <v>11</v>
      </c>
      <c r="AE145" s="161">
        <f>+AE149+AE155+AE157+AE172</f>
        <v>6</v>
      </c>
      <c r="AF145" s="162">
        <f t="shared" ref="AF145" si="32">+AF149+AF155+AF157+AF172</f>
        <v>7</v>
      </c>
      <c r="AG145" s="163">
        <f t="shared" si="28"/>
        <v>218</v>
      </c>
      <c r="AH145" s="1"/>
    </row>
    <row r="146" spans="1:34" ht="19.5" thickBot="1" x14ac:dyDescent="0.3">
      <c r="A146" s="117" t="s">
        <v>69</v>
      </c>
      <c r="B146" s="118">
        <f t="shared" ref="B146:AG147" si="33">+B148+B154</f>
        <v>0</v>
      </c>
      <c r="C146" s="118">
        <f t="shared" si="33"/>
        <v>0</v>
      </c>
      <c r="D146" s="118">
        <f t="shared" si="33"/>
        <v>0</v>
      </c>
      <c r="E146" s="118">
        <f t="shared" si="33"/>
        <v>0</v>
      </c>
      <c r="F146" s="118">
        <f t="shared" si="33"/>
        <v>0</v>
      </c>
      <c r="G146" s="118">
        <f t="shared" si="33"/>
        <v>0</v>
      </c>
      <c r="H146" s="118">
        <f t="shared" si="33"/>
        <v>0</v>
      </c>
      <c r="I146" s="118">
        <f t="shared" si="33"/>
        <v>0</v>
      </c>
      <c r="J146" s="118">
        <f t="shared" si="33"/>
        <v>0</v>
      </c>
      <c r="K146" s="118">
        <f t="shared" si="33"/>
        <v>0</v>
      </c>
      <c r="L146" s="118">
        <f t="shared" si="33"/>
        <v>0</v>
      </c>
      <c r="M146" s="118">
        <f t="shared" si="33"/>
        <v>0</v>
      </c>
      <c r="N146" s="118">
        <f t="shared" si="33"/>
        <v>0</v>
      </c>
      <c r="O146" s="118">
        <f t="shared" si="33"/>
        <v>0</v>
      </c>
      <c r="P146" s="118">
        <f t="shared" si="33"/>
        <v>0</v>
      </c>
      <c r="Q146" s="118">
        <f t="shared" si="33"/>
        <v>0</v>
      </c>
      <c r="R146" s="118">
        <f t="shared" si="33"/>
        <v>0</v>
      </c>
      <c r="S146" s="118">
        <f t="shared" si="33"/>
        <v>0</v>
      </c>
      <c r="T146" s="118">
        <f t="shared" si="33"/>
        <v>0</v>
      </c>
      <c r="U146" s="118">
        <f t="shared" si="33"/>
        <v>0</v>
      </c>
      <c r="V146" s="118">
        <f t="shared" si="33"/>
        <v>0</v>
      </c>
      <c r="W146" s="118">
        <f t="shared" si="33"/>
        <v>0</v>
      </c>
      <c r="X146" s="118">
        <f t="shared" si="33"/>
        <v>0</v>
      </c>
      <c r="Y146" s="118">
        <f t="shared" si="33"/>
        <v>0</v>
      </c>
      <c r="Z146" s="118">
        <f t="shared" si="33"/>
        <v>0</v>
      </c>
      <c r="AA146" s="118">
        <f t="shared" si="33"/>
        <v>0</v>
      </c>
      <c r="AB146" s="118">
        <f t="shared" si="33"/>
        <v>0</v>
      </c>
      <c r="AC146" s="118">
        <f t="shared" si="33"/>
        <v>0</v>
      </c>
      <c r="AD146" s="118">
        <f t="shared" si="33"/>
        <v>0</v>
      </c>
      <c r="AE146" s="118">
        <f t="shared" si="33"/>
        <v>0</v>
      </c>
      <c r="AF146" s="119">
        <f t="shared" si="33"/>
        <v>0</v>
      </c>
      <c r="AG146" s="120">
        <f t="shared" si="33"/>
        <v>0</v>
      </c>
    </row>
    <row r="147" spans="1:34" ht="19.5" thickBot="1" x14ac:dyDescent="0.3">
      <c r="A147" s="153" t="s">
        <v>130</v>
      </c>
      <c r="B147" s="154">
        <f t="shared" si="33"/>
        <v>0</v>
      </c>
      <c r="C147" s="154">
        <f t="shared" si="33"/>
        <v>0</v>
      </c>
      <c r="D147" s="154">
        <f t="shared" si="33"/>
        <v>0</v>
      </c>
      <c r="E147" s="154">
        <f t="shared" si="33"/>
        <v>0</v>
      </c>
      <c r="F147" s="154">
        <f t="shared" si="33"/>
        <v>0</v>
      </c>
      <c r="G147" s="154">
        <f t="shared" si="33"/>
        <v>0</v>
      </c>
      <c r="H147" s="154">
        <f t="shared" si="33"/>
        <v>0</v>
      </c>
      <c r="I147" s="154">
        <f t="shared" si="33"/>
        <v>0</v>
      </c>
      <c r="J147" s="154">
        <f t="shared" si="33"/>
        <v>0</v>
      </c>
      <c r="K147" s="154">
        <f t="shared" si="33"/>
        <v>0</v>
      </c>
      <c r="L147" s="154">
        <f t="shared" si="33"/>
        <v>0</v>
      </c>
      <c r="M147" s="154">
        <f t="shared" si="33"/>
        <v>0</v>
      </c>
      <c r="N147" s="154">
        <f t="shared" si="33"/>
        <v>0</v>
      </c>
      <c r="O147" s="154">
        <f t="shared" si="33"/>
        <v>0</v>
      </c>
      <c r="P147" s="154">
        <f t="shared" si="33"/>
        <v>0</v>
      </c>
      <c r="Q147" s="154">
        <f t="shared" si="33"/>
        <v>0</v>
      </c>
      <c r="R147" s="154">
        <f t="shared" si="33"/>
        <v>0</v>
      </c>
      <c r="S147" s="154">
        <f t="shared" si="33"/>
        <v>0</v>
      </c>
      <c r="T147" s="154">
        <f t="shared" si="33"/>
        <v>0</v>
      </c>
      <c r="U147" s="154">
        <f t="shared" si="33"/>
        <v>0</v>
      </c>
      <c r="V147" s="154">
        <f t="shared" si="33"/>
        <v>0</v>
      </c>
      <c r="W147" s="154">
        <f t="shared" si="33"/>
        <v>0</v>
      </c>
      <c r="X147" s="154">
        <f t="shared" si="33"/>
        <v>0</v>
      </c>
      <c r="Y147" s="154">
        <f t="shared" si="33"/>
        <v>0</v>
      </c>
      <c r="Z147" s="154">
        <f t="shared" si="33"/>
        <v>0</v>
      </c>
      <c r="AA147" s="154">
        <f t="shared" si="33"/>
        <v>0</v>
      </c>
      <c r="AB147" s="154">
        <f>+AB149+AB155</f>
        <v>0</v>
      </c>
      <c r="AC147" s="154">
        <f t="shared" si="33"/>
        <v>0</v>
      </c>
      <c r="AD147" s="154">
        <f t="shared" si="33"/>
        <v>0</v>
      </c>
      <c r="AE147" s="154">
        <f t="shared" si="33"/>
        <v>0</v>
      </c>
      <c r="AF147" s="155">
        <f t="shared" si="33"/>
        <v>0</v>
      </c>
      <c r="AG147" s="156">
        <f t="shared" si="28"/>
        <v>0</v>
      </c>
    </row>
    <row r="148" spans="1:34" ht="19.5" thickBot="1" x14ac:dyDescent="0.3">
      <c r="A148" s="125" t="s">
        <v>68</v>
      </c>
      <c r="B148" s="126">
        <f>SUM(B150:B153)</f>
        <v>0</v>
      </c>
      <c r="C148" s="126">
        <f t="shared" ref="C148:AF148" si="34">SUM(C150:C153)</f>
        <v>0</v>
      </c>
      <c r="D148" s="126">
        <f t="shared" si="34"/>
        <v>0</v>
      </c>
      <c r="E148" s="126">
        <f t="shared" si="34"/>
        <v>0</v>
      </c>
      <c r="F148" s="126">
        <f t="shared" si="34"/>
        <v>0</v>
      </c>
      <c r="G148" s="126">
        <f t="shared" si="34"/>
        <v>0</v>
      </c>
      <c r="H148" s="126">
        <f t="shared" si="34"/>
        <v>0</v>
      </c>
      <c r="I148" s="126">
        <f t="shared" si="34"/>
        <v>0</v>
      </c>
      <c r="J148" s="126">
        <f t="shared" si="34"/>
        <v>0</v>
      </c>
      <c r="K148" s="126">
        <f t="shared" si="34"/>
        <v>0</v>
      </c>
      <c r="L148" s="126">
        <f t="shared" si="34"/>
        <v>0</v>
      </c>
      <c r="M148" s="126">
        <f t="shared" si="34"/>
        <v>0</v>
      </c>
      <c r="N148" s="126">
        <f t="shared" si="34"/>
        <v>0</v>
      </c>
      <c r="O148" s="126">
        <f t="shared" si="34"/>
        <v>0</v>
      </c>
      <c r="P148" s="126">
        <f t="shared" si="34"/>
        <v>0</v>
      </c>
      <c r="Q148" s="126">
        <f t="shared" si="34"/>
        <v>0</v>
      </c>
      <c r="R148" s="126">
        <f t="shared" si="34"/>
        <v>0</v>
      </c>
      <c r="S148" s="126">
        <f t="shared" si="34"/>
        <v>0</v>
      </c>
      <c r="T148" s="126">
        <f t="shared" si="34"/>
        <v>0</v>
      </c>
      <c r="U148" s="126">
        <f t="shared" si="34"/>
        <v>0</v>
      </c>
      <c r="V148" s="126">
        <f t="shared" si="34"/>
        <v>0</v>
      </c>
      <c r="W148" s="126">
        <f t="shared" si="34"/>
        <v>0</v>
      </c>
      <c r="X148" s="126">
        <f t="shared" si="34"/>
        <v>0</v>
      </c>
      <c r="Y148" s="126">
        <f t="shared" si="34"/>
        <v>0</v>
      </c>
      <c r="Z148" s="126">
        <f t="shared" si="34"/>
        <v>0</v>
      </c>
      <c r="AA148" s="126">
        <f t="shared" si="34"/>
        <v>0</v>
      </c>
      <c r="AB148" s="126">
        <f t="shared" si="34"/>
        <v>0</v>
      </c>
      <c r="AC148" s="126">
        <f t="shared" si="34"/>
        <v>0</v>
      </c>
      <c r="AD148" s="126">
        <f t="shared" si="34"/>
        <v>0</v>
      </c>
      <c r="AE148" s="126">
        <f t="shared" si="34"/>
        <v>0</v>
      </c>
      <c r="AF148" s="127">
        <f t="shared" si="34"/>
        <v>0</v>
      </c>
      <c r="AG148" s="128">
        <f t="shared" ref="AG148:AG234" si="35">SUM(B148:AF148)</f>
        <v>0</v>
      </c>
    </row>
    <row r="149" spans="1:34" ht="19.5" thickBot="1" x14ac:dyDescent="0.3">
      <c r="A149" s="153" t="s">
        <v>131</v>
      </c>
      <c r="B149" s="154"/>
      <c r="C149" s="154"/>
      <c r="D149" s="154"/>
      <c r="E149" s="154"/>
      <c r="F149" s="154"/>
      <c r="G149" s="154"/>
      <c r="H149" s="154"/>
      <c r="I149" s="154"/>
      <c r="J149" s="154"/>
      <c r="K149" s="154"/>
      <c r="L149" s="154"/>
      <c r="M149" s="154"/>
      <c r="N149" s="154"/>
      <c r="O149" s="154"/>
      <c r="P149" s="154"/>
      <c r="Q149" s="154"/>
      <c r="R149" s="154"/>
      <c r="S149" s="154"/>
      <c r="T149" s="154"/>
      <c r="U149" s="154"/>
      <c r="V149" s="154"/>
      <c r="W149" s="154"/>
      <c r="X149" s="154"/>
      <c r="Y149" s="154"/>
      <c r="Z149" s="154"/>
      <c r="AA149" s="154"/>
      <c r="AB149" s="154"/>
      <c r="AC149" s="154"/>
      <c r="AD149" s="154"/>
      <c r="AE149" s="154"/>
      <c r="AF149" s="155"/>
      <c r="AG149" s="156">
        <f t="shared" si="35"/>
        <v>0</v>
      </c>
    </row>
    <row r="150" spans="1:34" ht="18.75" x14ac:dyDescent="0.25">
      <c r="A150" s="129" t="s">
        <v>100</v>
      </c>
      <c r="B150" s="130"/>
      <c r="C150" s="130"/>
      <c r="D150" s="130"/>
      <c r="E150" s="130"/>
      <c r="F150" s="130"/>
      <c r="G150" s="130"/>
      <c r="H150" s="130"/>
      <c r="I150" s="130"/>
      <c r="J150" s="130"/>
      <c r="K150" s="130"/>
      <c r="L150" s="130"/>
      <c r="M150" s="130"/>
      <c r="N150" s="130"/>
      <c r="O150" s="130"/>
      <c r="P150" s="130"/>
      <c r="Q150" s="130"/>
      <c r="R150" s="130"/>
      <c r="S150" s="130"/>
      <c r="T150" s="130"/>
      <c r="U150" s="130"/>
      <c r="V150" s="130"/>
      <c r="W150" s="130"/>
      <c r="X150" s="130"/>
      <c r="Y150" s="130"/>
      <c r="Z150" s="130"/>
      <c r="AA150" s="130"/>
      <c r="AB150" s="130"/>
      <c r="AC150" s="130"/>
      <c r="AD150" s="130"/>
      <c r="AE150" s="130"/>
      <c r="AF150" s="131"/>
      <c r="AG150" s="132">
        <f t="shared" si="35"/>
        <v>0</v>
      </c>
    </row>
    <row r="151" spans="1:34" ht="18.75" x14ac:dyDescent="0.25">
      <c r="A151" s="50" t="s">
        <v>101</v>
      </c>
      <c r="B151" s="29"/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  <c r="AA151" s="29"/>
      <c r="AB151" s="29"/>
      <c r="AC151" s="29"/>
      <c r="AD151" s="29"/>
      <c r="AE151" s="29"/>
      <c r="AF151" s="21"/>
      <c r="AG151" s="4">
        <f t="shared" si="35"/>
        <v>0</v>
      </c>
    </row>
    <row r="152" spans="1:34" ht="18.75" x14ac:dyDescent="0.25">
      <c r="A152" s="50" t="s">
        <v>102</v>
      </c>
      <c r="B152" s="29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  <c r="AA152" s="29"/>
      <c r="AB152" s="29"/>
      <c r="AC152" s="29"/>
      <c r="AD152" s="29"/>
      <c r="AE152" s="29"/>
      <c r="AF152" s="21"/>
      <c r="AG152" s="4">
        <f t="shared" si="35"/>
        <v>0</v>
      </c>
    </row>
    <row r="153" spans="1:34" ht="19.5" thickBot="1" x14ac:dyDescent="0.3">
      <c r="A153" s="71" t="s">
        <v>103</v>
      </c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  <c r="AA153" s="30"/>
      <c r="AB153" s="30"/>
      <c r="AC153" s="30"/>
      <c r="AD153" s="30"/>
      <c r="AE153" s="30"/>
      <c r="AF153" s="22"/>
      <c r="AG153" s="28">
        <f t="shared" si="35"/>
        <v>0</v>
      </c>
    </row>
    <row r="154" spans="1:34" ht="19.5" thickBot="1" x14ac:dyDescent="0.3">
      <c r="A154" s="125" t="s">
        <v>67</v>
      </c>
      <c r="B154" s="126"/>
      <c r="C154" s="126"/>
      <c r="D154" s="126"/>
      <c r="E154" s="126"/>
      <c r="F154" s="126"/>
      <c r="G154" s="126"/>
      <c r="H154" s="126"/>
      <c r="I154" s="126"/>
      <c r="J154" s="126"/>
      <c r="K154" s="126"/>
      <c r="L154" s="126"/>
      <c r="M154" s="126"/>
      <c r="N154" s="126"/>
      <c r="O154" s="126"/>
      <c r="P154" s="126"/>
      <c r="Q154" s="126"/>
      <c r="R154" s="126"/>
      <c r="S154" s="126"/>
      <c r="T154" s="126"/>
      <c r="U154" s="126"/>
      <c r="V154" s="126"/>
      <c r="W154" s="126"/>
      <c r="X154" s="126"/>
      <c r="Y154" s="126"/>
      <c r="Z154" s="126"/>
      <c r="AA154" s="126"/>
      <c r="AB154" s="126"/>
      <c r="AC154" s="126"/>
      <c r="AD154" s="126"/>
      <c r="AE154" s="126"/>
      <c r="AF154" s="127"/>
      <c r="AG154" s="128">
        <f t="shared" si="35"/>
        <v>0</v>
      </c>
    </row>
    <row r="155" spans="1:34" ht="19.5" thickBot="1" x14ac:dyDescent="0.3">
      <c r="A155" s="153" t="s">
        <v>132</v>
      </c>
      <c r="B155" s="154"/>
      <c r="C155" s="154"/>
      <c r="D155" s="154"/>
      <c r="E155" s="154"/>
      <c r="F155" s="154"/>
      <c r="G155" s="154"/>
      <c r="H155" s="154"/>
      <c r="I155" s="154"/>
      <c r="J155" s="154"/>
      <c r="K155" s="154"/>
      <c r="L155" s="154"/>
      <c r="M155" s="154"/>
      <c r="N155" s="154"/>
      <c r="O155" s="154"/>
      <c r="P155" s="154"/>
      <c r="Q155" s="154"/>
      <c r="R155" s="154"/>
      <c r="S155" s="154"/>
      <c r="T155" s="154"/>
      <c r="U155" s="154"/>
      <c r="V155" s="154"/>
      <c r="W155" s="154"/>
      <c r="X155" s="154"/>
      <c r="Y155" s="154"/>
      <c r="Z155" s="154"/>
      <c r="AA155" s="154"/>
      <c r="AB155" s="154"/>
      <c r="AC155" s="154"/>
      <c r="AD155" s="154"/>
      <c r="AE155" s="154"/>
      <c r="AF155" s="155"/>
      <c r="AG155" s="156">
        <f t="shared" si="35"/>
        <v>0</v>
      </c>
    </row>
    <row r="156" spans="1:34" ht="18.75" x14ac:dyDescent="0.25">
      <c r="A156" s="69" t="s">
        <v>62</v>
      </c>
      <c r="B156" s="56">
        <v>135</v>
      </c>
      <c r="C156" s="56">
        <v>132</v>
      </c>
      <c r="D156" s="56">
        <v>112</v>
      </c>
      <c r="E156" s="56">
        <v>123</v>
      </c>
      <c r="F156" s="56">
        <v>114</v>
      </c>
      <c r="G156" s="56">
        <v>112</v>
      </c>
      <c r="H156" s="56">
        <v>124</v>
      </c>
      <c r="I156" s="56">
        <v>142</v>
      </c>
      <c r="J156" s="56">
        <v>158</v>
      </c>
      <c r="K156" s="56">
        <v>116</v>
      </c>
      <c r="L156" s="56">
        <v>115</v>
      </c>
      <c r="M156" s="56">
        <v>119</v>
      </c>
      <c r="N156" s="56">
        <v>112</v>
      </c>
      <c r="O156" s="56">
        <v>122</v>
      </c>
      <c r="P156" s="56">
        <v>121</v>
      </c>
      <c r="Q156" s="56">
        <v>149</v>
      </c>
      <c r="R156" s="56">
        <v>127</v>
      </c>
      <c r="S156" s="56">
        <v>112</v>
      </c>
      <c r="T156" s="56">
        <v>124</v>
      </c>
      <c r="U156" s="56">
        <v>97</v>
      </c>
      <c r="V156" s="56">
        <v>138</v>
      </c>
      <c r="W156" s="56">
        <v>120</v>
      </c>
      <c r="X156" s="56">
        <v>129</v>
      </c>
      <c r="Y156" s="56">
        <v>78</v>
      </c>
      <c r="Z156" s="56">
        <v>127</v>
      </c>
      <c r="AA156" s="56">
        <v>141</v>
      </c>
      <c r="AB156" s="56">
        <v>160</v>
      </c>
      <c r="AC156" s="56">
        <v>145</v>
      </c>
      <c r="AD156" s="56">
        <v>141</v>
      </c>
      <c r="AE156" s="56">
        <v>128</v>
      </c>
      <c r="AF156" s="85">
        <v>90</v>
      </c>
      <c r="AG156" s="95">
        <f t="shared" si="35"/>
        <v>3863</v>
      </c>
      <c r="AH156" s="2" t="s">
        <v>84</v>
      </c>
    </row>
    <row r="157" spans="1:34" ht="19.5" thickBot="1" x14ac:dyDescent="0.3">
      <c r="A157" s="75" t="s">
        <v>1</v>
      </c>
      <c r="B157" s="13">
        <v>5</v>
      </c>
      <c r="C157" s="13">
        <v>16</v>
      </c>
      <c r="D157" s="13">
        <v>11</v>
      </c>
      <c r="E157" s="13">
        <v>4</v>
      </c>
      <c r="F157" s="13">
        <v>6</v>
      </c>
      <c r="G157" s="13">
        <v>4</v>
      </c>
      <c r="H157" s="13">
        <v>11</v>
      </c>
      <c r="I157" s="13">
        <v>2</v>
      </c>
      <c r="J157" s="13">
        <v>11</v>
      </c>
      <c r="K157" s="13">
        <v>4</v>
      </c>
      <c r="L157" s="13">
        <v>8</v>
      </c>
      <c r="M157" s="13">
        <v>3</v>
      </c>
      <c r="N157" s="13">
        <v>7</v>
      </c>
      <c r="O157" s="13">
        <v>3</v>
      </c>
      <c r="P157" s="13">
        <v>8</v>
      </c>
      <c r="Q157" s="13">
        <v>11</v>
      </c>
      <c r="R157" s="13">
        <v>4</v>
      </c>
      <c r="S157" s="13">
        <v>3</v>
      </c>
      <c r="T157" s="13">
        <v>12</v>
      </c>
      <c r="U157" s="13">
        <v>2</v>
      </c>
      <c r="V157" s="13">
        <v>5</v>
      </c>
      <c r="W157" s="13">
        <v>7</v>
      </c>
      <c r="X157" s="13">
        <v>6</v>
      </c>
      <c r="Y157" s="13">
        <v>3</v>
      </c>
      <c r="Z157" s="13">
        <v>4</v>
      </c>
      <c r="AA157" s="13">
        <v>6</v>
      </c>
      <c r="AB157" s="13">
        <v>6</v>
      </c>
      <c r="AC157" s="13">
        <v>19</v>
      </c>
      <c r="AD157" s="13">
        <v>11</v>
      </c>
      <c r="AE157" s="13">
        <v>6</v>
      </c>
      <c r="AF157" s="14">
        <v>7</v>
      </c>
      <c r="AG157" s="157">
        <f t="shared" si="35"/>
        <v>215</v>
      </c>
      <c r="AH157" s="2"/>
    </row>
    <row r="158" spans="1:34" ht="19.5" thickBot="1" x14ac:dyDescent="0.3">
      <c r="A158" s="121" t="s">
        <v>22</v>
      </c>
      <c r="B158" s="122">
        <f t="shared" ref="B158:AF158" si="36">SUM(B159:B166)</f>
        <v>0</v>
      </c>
      <c r="C158" s="122">
        <f t="shared" si="36"/>
        <v>0</v>
      </c>
      <c r="D158" s="122">
        <f t="shared" si="36"/>
        <v>0</v>
      </c>
      <c r="E158" s="122">
        <f t="shared" si="36"/>
        <v>0</v>
      </c>
      <c r="F158" s="122">
        <f t="shared" si="36"/>
        <v>0</v>
      </c>
      <c r="G158" s="122">
        <f t="shared" si="36"/>
        <v>1</v>
      </c>
      <c r="H158" s="122">
        <f t="shared" si="36"/>
        <v>0</v>
      </c>
      <c r="I158" s="122">
        <f t="shared" si="36"/>
        <v>0</v>
      </c>
      <c r="J158" s="122">
        <f t="shared" si="36"/>
        <v>0</v>
      </c>
      <c r="K158" s="122">
        <f t="shared" si="36"/>
        <v>0</v>
      </c>
      <c r="L158" s="122">
        <f t="shared" si="36"/>
        <v>0</v>
      </c>
      <c r="M158" s="122">
        <f t="shared" si="36"/>
        <v>0</v>
      </c>
      <c r="N158" s="122">
        <f t="shared" si="36"/>
        <v>0</v>
      </c>
      <c r="O158" s="122">
        <f t="shared" si="36"/>
        <v>0</v>
      </c>
      <c r="P158" s="122">
        <f t="shared" si="36"/>
        <v>0</v>
      </c>
      <c r="Q158" s="122">
        <f t="shared" si="36"/>
        <v>0</v>
      </c>
      <c r="R158" s="122">
        <f t="shared" si="36"/>
        <v>0</v>
      </c>
      <c r="S158" s="122">
        <f t="shared" si="36"/>
        <v>0</v>
      </c>
      <c r="T158" s="122">
        <f t="shared" si="36"/>
        <v>0</v>
      </c>
      <c r="U158" s="122">
        <f t="shared" si="36"/>
        <v>0</v>
      </c>
      <c r="V158" s="122">
        <f t="shared" si="36"/>
        <v>0</v>
      </c>
      <c r="W158" s="122">
        <f t="shared" si="36"/>
        <v>6</v>
      </c>
      <c r="X158" s="122">
        <f t="shared" si="36"/>
        <v>0</v>
      </c>
      <c r="Y158" s="122">
        <f t="shared" si="36"/>
        <v>0</v>
      </c>
      <c r="Z158" s="122">
        <f t="shared" si="36"/>
        <v>1</v>
      </c>
      <c r="AA158" s="122">
        <f t="shared" si="36"/>
        <v>0</v>
      </c>
      <c r="AB158" s="122">
        <f t="shared" si="36"/>
        <v>0</v>
      </c>
      <c r="AC158" s="122">
        <f t="shared" si="36"/>
        <v>0</v>
      </c>
      <c r="AD158" s="122">
        <f t="shared" si="36"/>
        <v>0</v>
      </c>
      <c r="AE158" s="122">
        <f t="shared" si="36"/>
        <v>1</v>
      </c>
      <c r="AF158" s="123">
        <f t="shared" si="36"/>
        <v>0</v>
      </c>
      <c r="AG158" s="124">
        <f t="shared" si="35"/>
        <v>9</v>
      </c>
    </row>
    <row r="159" spans="1:34" ht="18.75" x14ac:dyDescent="0.25">
      <c r="A159" s="129" t="s">
        <v>23</v>
      </c>
      <c r="B159" s="130"/>
      <c r="C159" s="130"/>
      <c r="D159" s="130"/>
      <c r="E159" s="130"/>
      <c r="F159" s="130"/>
      <c r="G159" s="130"/>
      <c r="H159" s="130"/>
      <c r="I159" s="130"/>
      <c r="J159" s="130"/>
      <c r="K159" s="130"/>
      <c r="L159" s="130"/>
      <c r="M159" s="130"/>
      <c r="N159" s="130"/>
      <c r="O159" s="130"/>
      <c r="P159" s="130"/>
      <c r="Q159" s="130"/>
      <c r="R159" s="130"/>
      <c r="S159" s="130"/>
      <c r="T159" s="130"/>
      <c r="U159" s="130"/>
      <c r="V159" s="130"/>
      <c r="W159" s="130"/>
      <c r="X159" s="130"/>
      <c r="Y159" s="130"/>
      <c r="Z159" s="130"/>
      <c r="AA159" s="130"/>
      <c r="AB159" s="130"/>
      <c r="AC159" s="130"/>
      <c r="AD159" s="130"/>
      <c r="AE159" s="130"/>
      <c r="AF159" s="131"/>
      <c r="AG159" s="132">
        <f t="shared" si="35"/>
        <v>0</v>
      </c>
    </row>
    <row r="160" spans="1:34" ht="18.75" x14ac:dyDescent="0.25">
      <c r="A160" s="50" t="s">
        <v>24</v>
      </c>
      <c r="B160" s="29"/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>
        <v>1</v>
      </c>
      <c r="X160" s="29"/>
      <c r="Y160" s="29"/>
      <c r="Z160" s="29"/>
      <c r="AA160" s="29"/>
      <c r="AB160" s="29"/>
      <c r="AC160" s="29"/>
      <c r="AD160" s="29"/>
      <c r="AE160" s="29"/>
      <c r="AF160" s="21"/>
      <c r="AG160" s="4">
        <f t="shared" si="35"/>
        <v>1</v>
      </c>
    </row>
    <row r="161" spans="1:34" ht="18.75" x14ac:dyDescent="0.25">
      <c r="A161" s="50" t="s">
        <v>59</v>
      </c>
      <c r="B161" s="29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>
        <v>3</v>
      </c>
      <c r="X161" s="29"/>
      <c r="Y161" s="29"/>
      <c r="Z161" s="29"/>
      <c r="AA161" s="29"/>
      <c r="AB161" s="29"/>
      <c r="AC161" s="29"/>
      <c r="AD161" s="29"/>
      <c r="AE161" s="29"/>
      <c r="AF161" s="21"/>
      <c r="AG161" s="4">
        <f t="shared" si="35"/>
        <v>3</v>
      </c>
    </row>
    <row r="162" spans="1:34" ht="18.75" x14ac:dyDescent="0.25">
      <c r="A162" s="50" t="s">
        <v>25</v>
      </c>
      <c r="B162" s="29"/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>
        <v>1</v>
      </c>
      <c r="AF162" s="21"/>
      <c r="AG162" s="4">
        <f t="shared" si="35"/>
        <v>1</v>
      </c>
    </row>
    <row r="163" spans="1:34" ht="18.75" x14ac:dyDescent="0.25">
      <c r="A163" s="50" t="s">
        <v>26</v>
      </c>
      <c r="B163" s="29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  <c r="AA163" s="29"/>
      <c r="AB163" s="29"/>
      <c r="AC163" s="29"/>
      <c r="AD163" s="29"/>
      <c r="AE163" s="29"/>
      <c r="AF163" s="21"/>
      <c r="AG163" s="4">
        <f t="shared" si="35"/>
        <v>0</v>
      </c>
    </row>
    <row r="164" spans="1:34" ht="18.75" x14ac:dyDescent="0.25">
      <c r="A164" s="50" t="s">
        <v>27</v>
      </c>
      <c r="B164" s="29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>
        <v>2</v>
      </c>
      <c r="X164" s="29"/>
      <c r="Y164" s="29"/>
      <c r="Z164" s="29">
        <v>1</v>
      </c>
      <c r="AA164" s="29"/>
      <c r="AB164" s="29"/>
      <c r="AC164" s="29"/>
      <c r="AD164" s="29"/>
      <c r="AE164" s="29"/>
      <c r="AF164" s="21"/>
      <c r="AG164" s="4">
        <f t="shared" si="35"/>
        <v>3</v>
      </c>
    </row>
    <row r="165" spans="1:34" ht="18.75" x14ac:dyDescent="0.25">
      <c r="A165" s="50" t="s">
        <v>28</v>
      </c>
      <c r="B165" s="29"/>
      <c r="C165" s="29"/>
      <c r="D165" s="29"/>
      <c r="E165" s="29"/>
      <c r="F165" s="29"/>
      <c r="G165" s="29">
        <v>1</v>
      </c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1"/>
      <c r="AG165" s="4">
        <f t="shared" si="35"/>
        <v>1</v>
      </c>
    </row>
    <row r="166" spans="1:34" ht="19.5" thickBot="1" x14ac:dyDescent="0.3">
      <c r="A166" s="71" t="s">
        <v>29</v>
      </c>
      <c r="B166" s="30"/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  <c r="AA166" s="30"/>
      <c r="AB166" s="30"/>
      <c r="AC166" s="30"/>
      <c r="AD166" s="30"/>
      <c r="AE166" s="30"/>
      <c r="AF166" s="22"/>
      <c r="AG166" s="28">
        <f t="shared" si="35"/>
        <v>0</v>
      </c>
    </row>
    <row r="167" spans="1:34" ht="18.75" x14ac:dyDescent="0.25">
      <c r="A167" s="69" t="s">
        <v>71</v>
      </c>
      <c r="B167" s="56">
        <f t="shared" ref="B167:AF167" si="37">SUM(B168:B171)</f>
        <v>0</v>
      </c>
      <c r="C167" s="56">
        <f t="shared" si="37"/>
        <v>0</v>
      </c>
      <c r="D167" s="56">
        <f t="shared" si="37"/>
        <v>0</v>
      </c>
      <c r="E167" s="56">
        <f t="shared" si="37"/>
        <v>1</v>
      </c>
      <c r="F167" s="56">
        <f t="shared" si="37"/>
        <v>0</v>
      </c>
      <c r="G167" s="56">
        <f t="shared" si="37"/>
        <v>0</v>
      </c>
      <c r="H167" s="56">
        <f t="shared" si="37"/>
        <v>0</v>
      </c>
      <c r="I167" s="56">
        <f t="shared" si="37"/>
        <v>0</v>
      </c>
      <c r="J167" s="56">
        <f t="shared" si="37"/>
        <v>0</v>
      </c>
      <c r="K167" s="56">
        <f t="shared" si="37"/>
        <v>0</v>
      </c>
      <c r="L167" s="56">
        <f t="shared" si="37"/>
        <v>0</v>
      </c>
      <c r="M167" s="56">
        <f t="shared" si="37"/>
        <v>1</v>
      </c>
      <c r="N167" s="56">
        <f t="shared" si="37"/>
        <v>0</v>
      </c>
      <c r="O167" s="56">
        <f t="shared" si="37"/>
        <v>0</v>
      </c>
      <c r="P167" s="56">
        <f t="shared" si="37"/>
        <v>1</v>
      </c>
      <c r="Q167" s="56">
        <f t="shared" si="37"/>
        <v>0</v>
      </c>
      <c r="R167" s="56">
        <f t="shared" si="37"/>
        <v>0</v>
      </c>
      <c r="S167" s="56">
        <f t="shared" si="37"/>
        <v>0</v>
      </c>
      <c r="T167" s="56">
        <f t="shared" si="37"/>
        <v>0</v>
      </c>
      <c r="U167" s="56">
        <f t="shared" si="37"/>
        <v>0</v>
      </c>
      <c r="V167" s="56">
        <f t="shared" si="37"/>
        <v>0</v>
      </c>
      <c r="W167" s="56">
        <f t="shared" si="37"/>
        <v>2</v>
      </c>
      <c r="X167" s="56">
        <f t="shared" si="37"/>
        <v>0</v>
      </c>
      <c r="Y167" s="56">
        <f t="shared" si="37"/>
        <v>1</v>
      </c>
      <c r="Z167" s="56">
        <f t="shared" si="37"/>
        <v>0</v>
      </c>
      <c r="AA167" s="56">
        <f t="shared" si="37"/>
        <v>1</v>
      </c>
      <c r="AB167" s="56">
        <f t="shared" si="37"/>
        <v>2</v>
      </c>
      <c r="AC167" s="56">
        <f t="shared" si="37"/>
        <v>0</v>
      </c>
      <c r="AD167" s="56">
        <f t="shared" si="37"/>
        <v>0</v>
      </c>
      <c r="AE167" s="56">
        <f t="shared" si="37"/>
        <v>0</v>
      </c>
      <c r="AF167" s="85">
        <f t="shared" si="37"/>
        <v>0</v>
      </c>
      <c r="AG167" s="95">
        <f t="shared" si="35"/>
        <v>9</v>
      </c>
    </row>
    <row r="168" spans="1:34" ht="18.75" x14ac:dyDescent="0.25">
      <c r="A168" s="51" t="s">
        <v>30</v>
      </c>
      <c r="B168" s="29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  <c r="AA168" s="29"/>
      <c r="AB168" s="29"/>
      <c r="AC168" s="29"/>
      <c r="AD168" s="29"/>
      <c r="AE168" s="29"/>
      <c r="AF168" s="21"/>
      <c r="AG168" s="4">
        <f t="shared" si="35"/>
        <v>0</v>
      </c>
    </row>
    <row r="169" spans="1:34" ht="18.75" x14ac:dyDescent="0.25">
      <c r="A169" s="51" t="s">
        <v>31</v>
      </c>
      <c r="B169" s="29"/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29">
        <v>1</v>
      </c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  <c r="AF169" s="21"/>
      <c r="AG169" s="4">
        <f t="shared" si="35"/>
        <v>1</v>
      </c>
    </row>
    <row r="170" spans="1:34" ht="18.75" x14ac:dyDescent="0.25">
      <c r="A170" s="51" t="s">
        <v>32</v>
      </c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1"/>
      <c r="AG170" s="4">
        <f t="shared" si="35"/>
        <v>0</v>
      </c>
    </row>
    <row r="171" spans="1:34" ht="19.5" thickBot="1" x14ac:dyDescent="0.3">
      <c r="A171" s="70" t="s">
        <v>87</v>
      </c>
      <c r="B171" s="30"/>
      <c r="C171" s="30"/>
      <c r="D171" s="30"/>
      <c r="E171" s="30">
        <v>1</v>
      </c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>
        <v>1</v>
      </c>
      <c r="Q171" s="30"/>
      <c r="R171" s="30"/>
      <c r="S171" s="30"/>
      <c r="T171" s="30"/>
      <c r="U171" s="30"/>
      <c r="V171" s="30"/>
      <c r="W171" s="30">
        <v>2</v>
      </c>
      <c r="X171" s="30"/>
      <c r="Y171" s="30">
        <v>1</v>
      </c>
      <c r="Z171" s="30"/>
      <c r="AA171" s="30">
        <v>1</v>
      </c>
      <c r="AB171" s="30">
        <v>2</v>
      </c>
      <c r="AC171" s="30"/>
      <c r="AD171" s="30"/>
      <c r="AE171" s="30"/>
      <c r="AF171" s="22"/>
      <c r="AG171" s="28">
        <f t="shared" si="35"/>
        <v>8</v>
      </c>
    </row>
    <row r="172" spans="1:34" ht="19.5" thickBot="1" x14ac:dyDescent="0.3">
      <c r="A172" s="158" t="s">
        <v>128</v>
      </c>
      <c r="B172" s="151"/>
      <c r="C172" s="151">
        <v>1</v>
      </c>
      <c r="D172" s="151"/>
      <c r="E172" s="151"/>
      <c r="F172" s="151"/>
      <c r="G172" s="151"/>
      <c r="H172" s="151"/>
      <c r="I172" s="151"/>
      <c r="J172" s="151"/>
      <c r="K172" s="151"/>
      <c r="L172" s="151"/>
      <c r="M172" s="151"/>
      <c r="N172" s="151"/>
      <c r="O172" s="151">
        <v>1</v>
      </c>
      <c r="P172" s="151"/>
      <c r="Q172" s="151"/>
      <c r="R172" s="151">
        <v>1</v>
      </c>
      <c r="S172" s="151"/>
      <c r="T172" s="151"/>
      <c r="U172" s="151"/>
      <c r="V172" s="151"/>
      <c r="W172" s="151"/>
      <c r="X172" s="151"/>
      <c r="Y172" s="151"/>
      <c r="Z172" s="151"/>
      <c r="AA172" s="151"/>
      <c r="AB172" s="151"/>
      <c r="AC172" s="151"/>
      <c r="AD172" s="151"/>
      <c r="AE172" s="151"/>
      <c r="AF172" s="152"/>
      <c r="AG172" s="159">
        <f t="shared" si="35"/>
        <v>3</v>
      </c>
    </row>
    <row r="173" spans="1:34" ht="18.75" x14ac:dyDescent="0.25">
      <c r="A173" s="68" t="s">
        <v>2</v>
      </c>
      <c r="B173" s="15">
        <v>0</v>
      </c>
      <c r="C173" s="15">
        <v>0</v>
      </c>
      <c r="D173" s="15">
        <v>1</v>
      </c>
      <c r="E173" s="15">
        <v>0</v>
      </c>
      <c r="F173" s="15">
        <v>1</v>
      </c>
      <c r="G173" s="15">
        <v>0</v>
      </c>
      <c r="H173" s="15">
        <v>0</v>
      </c>
      <c r="I173" s="15">
        <v>1</v>
      </c>
      <c r="J173" s="15">
        <v>0</v>
      </c>
      <c r="K173" s="15">
        <v>0</v>
      </c>
      <c r="L173" s="15">
        <v>0</v>
      </c>
      <c r="M173" s="15">
        <v>1</v>
      </c>
      <c r="N173" s="15">
        <v>2</v>
      </c>
      <c r="O173" s="15">
        <v>0</v>
      </c>
      <c r="P173" s="15">
        <v>1</v>
      </c>
      <c r="Q173" s="15">
        <v>0</v>
      </c>
      <c r="R173" s="15">
        <v>1</v>
      </c>
      <c r="S173" s="15">
        <v>0</v>
      </c>
      <c r="T173" s="15">
        <v>1</v>
      </c>
      <c r="U173" s="15">
        <v>0</v>
      </c>
      <c r="V173" s="15">
        <v>0</v>
      </c>
      <c r="W173" s="15">
        <v>2</v>
      </c>
      <c r="X173" s="15">
        <v>1</v>
      </c>
      <c r="Y173" s="15">
        <v>0</v>
      </c>
      <c r="Z173" s="15">
        <v>0</v>
      </c>
      <c r="AA173" s="15">
        <v>2</v>
      </c>
      <c r="AB173" s="15">
        <v>0</v>
      </c>
      <c r="AC173" s="15">
        <v>0</v>
      </c>
      <c r="AD173" s="15">
        <v>0</v>
      </c>
      <c r="AE173" s="15">
        <f>2+1</f>
        <v>3</v>
      </c>
      <c r="AF173" s="23">
        <v>0</v>
      </c>
      <c r="AG173" s="5">
        <f t="shared" si="35"/>
        <v>17</v>
      </c>
      <c r="AH173" s="2" t="s">
        <v>137</v>
      </c>
    </row>
    <row r="174" spans="1:34" ht="19.5" thickBot="1" x14ac:dyDescent="0.3">
      <c r="A174" s="146" t="s">
        <v>3</v>
      </c>
      <c r="B174" s="16">
        <f>SUM(B175:B176)</f>
        <v>1</v>
      </c>
      <c r="C174" s="16">
        <f t="shared" ref="C174:AF174" si="38">SUM(C175:C176)</f>
        <v>0</v>
      </c>
      <c r="D174" s="16">
        <f t="shared" si="38"/>
        <v>2</v>
      </c>
      <c r="E174" s="16">
        <f t="shared" si="38"/>
        <v>4</v>
      </c>
      <c r="F174" s="16">
        <f t="shared" si="38"/>
        <v>4</v>
      </c>
      <c r="G174" s="16">
        <f t="shared" si="38"/>
        <v>3</v>
      </c>
      <c r="H174" s="16">
        <f t="shared" si="38"/>
        <v>3</v>
      </c>
      <c r="I174" s="16">
        <f t="shared" si="38"/>
        <v>3</v>
      </c>
      <c r="J174" s="16">
        <f t="shared" si="38"/>
        <v>2</v>
      </c>
      <c r="K174" s="16">
        <f t="shared" si="38"/>
        <v>3</v>
      </c>
      <c r="L174" s="16">
        <f t="shared" si="38"/>
        <v>5</v>
      </c>
      <c r="M174" s="16">
        <f t="shared" si="38"/>
        <v>0</v>
      </c>
      <c r="N174" s="16">
        <f t="shared" si="38"/>
        <v>3</v>
      </c>
      <c r="O174" s="16">
        <f t="shared" si="38"/>
        <v>2</v>
      </c>
      <c r="P174" s="16">
        <f t="shared" si="38"/>
        <v>7</v>
      </c>
      <c r="Q174" s="16">
        <f t="shared" si="38"/>
        <v>0</v>
      </c>
      <c r="R174" s="16">
        <f t="shared" si="38"/>
        <v>1</v>
      </c>
      <c r="S174" s="16">
        <f t="shared" si="38"/>
        <v>1</v>
      </c>
      <c r="T174" s="16">
        <f t="shared" si="38"/>
        <v>4</v>
      </c>
      <c r="U174" s="16">
        <f t="shared" si="38"/>
        <v>4</v>
      </c>
      <c r="V174" s="16">
        <f t="shared" si="38"/>
        <v>4</v>
      </c>
      <c r="W174" s="16">
        <f t="shared" si="38"/>
        <v>1</v>
      </c>
      <c r="X174" s="16">
        <f t="shared" si="38"/>
        <v>3</v>
      </c>
      <c r="Y174" s="16">
        <f t="shared" si="38"/>
        <v>0</v>
      </c>
      <c r="Z174" s="16">
        <f t="shared" si="38"/>
        <v>9</v>
      </c>
      <c r="AA174" s="16">
        <f t="shared" si="38"/>
        <v>3</v>
      </c>
      <c r="AB174" s="16">
        <f t="shared" si="38"/>
        <v>2</v>
      </c>
      <c r="AC174" s="16">
        <f t="shared" si="38"/>
        <v>4</v>
      </c>
      <c r="AD174" s="16">
        <f t="shared" si="38"/>
        <v>0</v>
      </c>
      <c r="AE174" s="16">
        <f t="shared" si="38"/>
        <v>4</v>
      </c>
      <c r="AF174" s="24">
        <f t="shared" si="38"/>
        <v>2</v>
      </c>
      <c r="AG174" s="6">
        <f t="shared" si="35"/>
        <v>84</v>
      </c>
      <c r="AH174" s="2" t="s">
        <v>138</v>
      </c>
    </row>
    <row r="175" spans="1:34" ht="18.75" x14ac:dyDescent="0.25">
      <c r="A175" s="133" t="s">
        <v>120</v>
      </c>
      <c r="B175" s="15">
        <v>0</v>
      </c>
      <c r="C175" s="15">
        <v>0</v>
      </c>
      <c r="D175" s="15">
        <v>0</v>
      </c>
      <c r="E175" s="15">
        <v>1</v>
      </c>
      <c r="F175" s="15">
        <v>0</v>
      </c>
      <c r="G175" s="15">
        <v>0</v>
      </c>
      <c r="H175" s="15">
        <v>1</v>
      </c>
      <c r="I175" s="15">
        <v>0</v>
      </c>
      <c r="J175" s="15">
        <v>0</v>
      </c>
      <c r="K175" s="15">
        <v>0</v>
      </c>
      <c r="L175" s="15">
        <v>2</v>
      </c>
      <c r="M175" s="15">
        <v>0</v>
      </c>
      <c r="N175" s="15">
        <v>0</v>
      </c>
      <c r="O175" s="15">
        <v>0</v>
      </c>
      <c r="P175" s="15">
        <v>0</v>
      </c>
      <c r="Q175" s="15">
        <v>0</v>
      </c>
      <c r="R175" s="15">
        <v>0</v>
      </c>
      <c r="S175" s="15">
        <v>0</v>
      </c>
      <c r="T175" s="15">
        <v>1</v>
      </c>
      <c r="U175" s="15">
        <v>1</v>
      </c>
      <c r="V175" s="15">
        <v>0</v>
      </c>
      <c r="W175" s="15">
        <v>0</v>
      </c>
      <c r="X175" s="15">
        <v>0</v>
      </c>
      <c r="Y175" s="15">
        <v>0</v>
      </c>
      <c r="Z175" s="15">
        <v>1</v>
      </c>
      <c r="AA175" s="15">
        <v>0</v>
      </c>
      <c r="AB175" s="15">
        <v>0</v>
      </c>
      <c r="AC175" s="15">
        <v>0</v>
      </c>
      <c r="AD175" s="15">
        <v>0</v>
      </c>
      <c r="AE175" s="15">
        <v>1</v>
      </c>
      <c r="AF175" s="23">
        <v>0</v>
      </c>
      <c r="AG175" s="5">
        <f t="shared" si="35"/>
        <v>8</v>
      </c>
      <c r="AH175" s="2" t="s">
        <v>138</v>
      </c>
    </row>
    <row r="176" spans="1:34" ht="19.5" thickBot="1" x14ac:dyDescent="0.3">
      <c r="A176" s="104" t="s">
        <v>119</v>
      </c>
      <c r="B176" s="101">
        <v>1</v>
      </c>
      <c r="C176" s="101">
        <v>0</v>
      </c>
      <c r="D176" s="101">
        <v>2</v>
      </c>
      <c r="E176" s="101">
        <v>3</v>
      </c>
      <c r="F176" s="101">
        <v>4</v>
      </c>
      <c r="G176" s="101">
        <v>3</v>
      </c>
      <c r="H176" s="101">
        <v>2</v>
      </c>
      <c r="I176" s="101">
        <v>3</v>
      </c>
      <c r="J176" s="101">
        <v>2</v>
      </c>
      <c r="K176" s="101">
        <v>3</v>
      </c>
      <c r="L176" s="101">
        <v>3</v>
      </c>
      <c r="M176" s="101">
        <v>0</v>
      </c>
      <c r="N176" s="101">
        <v>3</v>
      </c>
      <c r="O176" s="101">
        <v>2</v>
      </c>
      <c r="P176" s="101">
        <v>7</v>
      </c>
      <c r="Q176" s="101">
        <v>0</v>
      </c>
      <c r="R176" s="101">
        <v>1</v>
      </c>
      <c r="S176" s="101">
        <v>1</v>
      </c>
      <c r="T176" s="101">
        <v>3</v>
      </c>
      <c r="U176" s="101">
        <v>3</v>
      </c>
      <c r="V176" s="101">
        <v>4</v>
      </c>
      <c r="W176" s="101">
        <v>1</v>
      </c>
      <c r="X176" s="101">
        <v>3</v>
      </c>
      <c r="Y176" s="101">
        <v>0</v>
      </c>
      <c r="Z176" s="101">
        <v>8</v>
      </c>
      <c r="AA176" s="101">
        <v>3</v>
      </c>
      <c r="AB176" s="101">
        <v>2</v>
      </c>
      <c r="AC176" s="101">
        <v>4</v>
      </c>
      <c r="AD176" s="101">
        <v>0</v>
      </c>
      <c r="AE176" s="101">
        <v>3</v>
      </c>
      <c r="AF176" s="102">
        <v>2</v>
      </c>
      <c r="AG176" s="103">
        <f t="shared" si="35"/>
        <v>76</v>
      </c>
      <c r="AH176" s="2" t="s">
        <v>138</v>
      </c>
    </row>
    <row r="177" spans="1:34" ht="18.75" x14ac:dyDescent="0.25">
      <c r="A177" s="64" t="s">
        <v>105</v>
      </c>
      <c r="B177" s="65"/>
      <c r="C177" s="65"/>
      <c r="D177" s="65"/>
      <c r="E177" s="65"/>
      <c r="F177" s="65"/>
      <c r="G177" s="65"/>
      <c r="H177" s="65"/>
      <c r="I177" s="65"/>
      <c r="J177" s="65"/>
      <c r="K177" s="65"/>
      <c r="L177" s="65"/>
      <c r="M177" s="65"/>
      <c r="N177" s="65"/>
      <c r="O177" s="65"/>
      <c r="P177" s="65"/>
      <c r="Q177" s="65"/>
      <c r="R177" s="65"/>
      <c r="S177" s="65"/>
      <c r="T177" s="65"/>
      <c r="U177" s="65"/>
      <c r="V177" s="65"/>
      <c r="W177" s="65"/>
      <c r="X177" s="65"/>
      <c r="Y177" s="65"/>
      <c r="Z177" s="65"/>
      <c r="AA177" s="65"/>
      <c r="AB177" s="65"/>
      <c r="AC177" s="65"/>
      <c r="AD177" s="65"/>
      <c r="AE177" s="65"/>
      <c r="AF177" s="86"/>
      <c r="AG177" s="96">
        <f t="shared" si="35"/>
        <v>0</v>
      </c>
    </row>
    <row r="178" spans="1:34" ht="19.5" thickBot="1" x14ac:dyDescent="0.3">
      <c r="A178" s="66" t="s">
        <v>104</v>
      </c>
      <c r="B178" s="67"/>
      <c r="C178" s="67"/>
      <c r="D178" s="67"/>
      <c r="E178" s="67"/>
      <c r="F178" s="67"/>
      <c r="G178" s="67"/>
      <c r="H178" s="67"/>
      <c r="I178" s="67"/>
      <c r="J178" s="67"/>
      <c r="K178" s="67"/>
      <c r="L178" s="67"/>
      <c r="M178" s="67"/>
      <c r="N178" s="67"/>
      <c r="O178" s="67"/>
      <c r="P178" s="67"/>
      <c r="Q178" s="67"/>
      <c r="R178" s="67"/>
      <c r="S178" s="67"/>
      <c r="T178" s="67"/>
      <c r="U178" s="67"/>
      <c r="V178" s="67"/>
      <c r="W178" s="67"/>
      <c r="X178" s="67"/>
      <c r="Y178" s="67"/>
      <c r="Z178" s="67"/>
      <c r="AA178" s="67"/>
      <c r="AB178" s="67"/>
      <c r="AC178" s="67"/>
      <c r="AD178" s="67"/>
      <c r="AE178" s="67"/>
      <c r="AF178" s="87"/>
      <c r="AG178" s="32">
        <f t="shared" si="35"/>
        <v>0</v>
      </c>
    </row>
    <row r="179" spans="1:34" ht="19.5" thickBot="1" x14ac:dyDescent="0.3">
      <c r="A179" s="219" t="s">
        <v>149</v>
      </c>
      <c r="B179" s="220">
        <f t="shared" ref="B179:AF179" si="39">SUM(B180:B205)</f>
        <v>55</v>
      </c>
      <c r="C179" s="220">
        <f t="shared" si="39"/>
        <v>57</v>
      </c>
      <c r="D179" s="220">
        <f t="shared" si="39"/>
        <v>37</v>
      </c>
      <c r="E179" s="220">
        <f t="shared" si="39"/>
        <v>40</v>
      </c>
      <c r="F179" s="220">
        <f t="shared" si="39"/>
        <v>24</v>
      </c>
      <c r="G179" s="220">
        <f t="shared" si="39"/>
        <v>38</v>
      </c>
      <c r="H179" s="220">
        <f t="shared" si="39"/>
        <v>39</v>
      </c>
      <c r="I179" s="220">
        <f t="shared" si="39"/>
        <v>44</v>
      </c>
      <c r="J179" s="220">
        <f t="shared" si="39"/>
        <v>65</v>
      </c>
      <c r="K179" s="220">
        <f t="shared" si="39"/>
        <v>45</v>
      </c>
      <c r="L179" s="220">
        <f t="shared" si="39"/>
        <v>40</v>
      </c>
      <c r="M179" s="220">
        <f t="shared" si="39"/>
        <v>33</v>
      </c>
      <c r="N179" s="220">
        <f t="shared" si="39"/>
        <v>35</v>
      </c>
      <c r="O179" s="220">
        <f t="shared" si="39"/>
        <v>42</v>
      </c>
      <c r="P179" s="220">
        <f t="shared" si="39"/>
        <v>41</v>
      </c>
      <c r="Q179" s="220">
        <f t="shared" si="39"/>
        <v>69</v>
      </c>
      <c r="R179" s="220">
        <f t="shared" si="39"/>
        <v>54</v>
      </c>
      <c r="S179" s="220">
        <f t="shared" si="39"/>
        <v>46</v>
      </c>
      <c r="T179" s="220">
        <f t="shared" si="39"/>
        <v>45</v>
      </c>
      <c r="U179" s="220">
        <f t="shared" si="39"/>
        <v>27</v>
      </c>
      <c r="V179" s="220">
        <f t="shared" si="39"/>
        <v>70</v>
      </c>
      <c r="W179" s="220">
        <f t="shared" si="39"/>
        <v>49</v>
      </c>
      <c r="X179" s="220">
        <f t="shared" si="39"/>
        <v>58</v>
      </c>
      <c r="Y179" s="220">
        <f t="shared" si="39"/>
        <v>30</v>
      </c>
      <c r="Z179" s="220">
        <f t="shared" si="39"/>
        <v>44</v>
      </c>
      <c r="AA179" s="220">
        <f t="shared" si="39"/>
        <v>59</v>
      </c>
      <c r="AB179" s="220">
        <f t="shared" si="39"/>
        <v>55</v>
      </c>
      <c r="AC179" s="220">
        <f t="shared" si="39"/>
        <v>60</v>
      </c>
      <c r="AD179" s="220">
        <f t="shared" si="39"/>
        <v>66</v>
      </c>
      <c r="AE179" s="220">
        <f t="shared" si="39"/>
        <v>60</v>
      </c>
      <c r="AF179" s="221">
        <f t="shared" si="39"/>
        <v>44</v>
      </c>
      <c r="AG179" s="156">
        <f t="shared" si="35"/>
        <v>1471</v>
      </c>
      <c r="AH179" s="38"/>
    </row>
    <row r="180" spans="1:34" ht="18.75" x14ac:dyDescent="0.25">
      <c r="A180" s="109" t="s">
        <v>4</v>
      </c>
      <c r="B180" s="216">
        <v>5</v>
      </c>
      <c r="C180" s="216">
        <v>2</v>
      </c>
      <c r="D180" s="216">
        <v>5</v>
      </c>
      <c r="E180" s="216">
        <v>4</v>
      </c>
      <c r="F180" s="216">
        <v>3</v>
      </c>
      <c r="G180" s="216">
        <v>7</v>
      </c>
      <c r="H180" s="216">
        <v>4</v>
      </c>
      <c r="I180" s="216">
        <v>6</v>
      </c>
      <c r="J180" s="216">
        <v>2</v>
      </c>
      <c r="K180" s="216">
        <v>1</v>
      </c>
      <c r="L180" s="216">
        <v>4</v>
      </c>
      <c r="M180" s="216">
        <v>5</v>
      </c>
      <c r="N180" s="217">
        <v>5</v>
      </c>
      <c r="O180" s="217">
        <v>2</v>
      </c>
      <c r="P180" s="217">
        <v>4</v>
      </c>
      <c r="Q180" s="217">
        <v>7</v>
      </c>
      <c r="R180" s="217">
        <v>7</v>
      </c>
      <c r="S180" s="217">
        <v>2</v>
      </c>
      <c r="T180" s="217">
        <v>9</v>
      </c>
      <c r="U180" s="217"/>
      <c r="V180" s="217">
        <v>7</v>
      </c>
      <c r="W180" s="217">
        <v>9</v>
      </c>
      <c r="X180" s="217">
        <v>5</v>
      </c>
      <c r="Y180" s="217">
        <v>7</v>
      </c>
      <c r="Z180" s="217">
        <v>4</v>
      </c>
      <c r="AA180" s="217">
        <v>5</v>
      </c>
      <c r="AB180" s="217">
        <v>5</v>
      </c>
      <c r="AC180" s="217">
        <v>2</v>
      </c>
      <c r="AD180" s="217">
        <v>4</v>
      </c>
      <c r="AE180" s="217">
        <v>7</v>
      </c>
      <c r="AF180" s="218">
        <v>8</v>
      </c>
      <c r="AG180" s="31">
        <f t="shared" si="35"/>
        <v>147</v>
      </c>
    </row>
    <row r="181" spans="1:34" ht="18.75" x14ac:dyDescent="0.25">
      <c r="A181" s="109" t="s">
        <v>122</v>
      </c>
      <c r="B181" s="147"/>
      <c r="C181" s="147">
        <v>1</v>
      </c>
      <c r="D181" s="147"/>
      <c r="E181" s="147"/>
      <c r="F181" s="147"/>
      <c r="G181" s="147">
        <v>1</v>
      </c>
      <c r="H181" s="147"/>
      <c r="I181" s="147"/>
      <c r="J181" s="147"/>
      <c r="K181" s="147"/>
      <c r="L181" s="147"/>
      <c r="M181" s="14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  <c r="AE181" s="17"/>
      <c r="AF181" s="18"/>
      <c r="AG181" s="4">
        <f t="shared" si="35"/>
        <v>2</v>
      </c>
    </row>
    <row r="182" spans="1:34" ht="18.75" x14ac:dyDescent="0.25">
      <c r="A182" s="109" t="s">
        <v>123</v>
      </c>
      <c r="B182" s="147"/>
      <c r="C182" s="147"/>
      <c r="D182" s="147"/>
      <c r="E182" s="147"/>
      <c r="F182" s="147"/>
      <c r="G182" s="147"/>
      <c r="H182" s="147"/>
      <c r="I182" s="147"/>
      <c r="J182" s="147"/>
      <c r="K182" s="147"/>
      <c r="L182" s="147"/>
      <c r="M182" s="14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  <c r="AD182" s="17"/>
      <c r="AE182" s="17"/>
      <c r="AF182" s="18"/>
      <c r="AG182" s="4">
        <f t="shared" si="35"/>
        <v>0</v>
      </c>
    </row>
    <row r="183" spans="1:34" ht="18.75" x14ac:dyDescent="0.25">
      <c r="A183" s="109" t="s">
        <v>614</v>
      </c>
      <c r="B183" s="147"/>
      <c r="C183" s="147"/>
      <c r="D183" s="147"/>
      <c r="E183" s="147"/>
      <c r="F183" s="147"/>
      <c r="G183" s="147"/>
      <c r="H183" s="147"/>
      <c r="I183" s="147"/>
      <c r="J183" s="147"/>
      <c r="K183" s="147"/>
      <c r="L183" s="147"/>
      <c r="M183" s="14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  <c r="AE183" s="17"/>
      <c r="AF183" s="18"/>
      <c r="AG183" s="4">
        <f t="shared" ref="AG183:AG184" si="40">SUM(B183:AF183)</f>
        <v>0</v>
      </c>
    </row>
    <row r="184" spans="1:34" s="398" customFormat="1" ht="18.75" x14ac:dyDescent="0.25">
      <c r="A184" s="393" t="s">
        <v>621</v>
      </c>
      <c r="B184" s="394">
        <v>49</v>
      </c>
      <c r="C184" s="394">
        <v>48</v>
      </c>
      <c r="D184" s="394">
        <v>30</v>
      </c>
      <c r="E184" s="394">
        <v>36</v>
      </c>
      <c r="F184" s="394">
        <v>20</v>
      </c>
      <c r="G184" s="394">
        <v>25</v>
      </c>
      <c r="H184" s="394">
        <v>35</v>
      </c>
      <c r="I184" s="394">
        <v>37</v>
      </c>
      <c r="J184" s="394">
        <v>62</v>
      </c>
      <c r="K184" s="394">
        <v>43</v>
      </c>
      <c r="L184" s="394">
        <v>35</v>
      </c>
      <c r="M184" s="394">
        <v>26</v>
      </c>
      <c r="N184" s="395">
        <v>30</v>
      </c>
      <c r="O184" s="395">
        <v>39</v>
      </c>
      <c r="P184" s="395">
        <v>35</v>
      </c>
      <c r="Q184" s="395">
        <v>59</v>
      </c>
      <c r="R184" s="395">
        <v>44</v>
      </c>
      <c r="S184" s="395">
        <v>42</v>
      </c>
      <c r="T184" s="395">
        <v>32</v>
      </c>
      <c r="U184" s="395">
        <v>24</v>
      </c>
      <c r="V184" s="395">
        <v>60</v>
      </c>
      <c r="W184" s="395">
        <v>38</v>
      </c>
      <c r="X184" s="395">
        <v>51</v>
      </c>
      <c r="Y184" s="395">
        <v>23</v>
      </c>
      <c r="Z184" s="395">
        <v>37</v>
      </c>
      <c r="AA184" s="395">
        <v>51</v>
      </c>
      <c r="AB184" s="395">
        <v>48</v>
      </c>
      <c r="AC184" s="395">
        <v>56</v>
      </c>
      <c r="AD184" s="395">
        <v>59</v>
      </c>
      <c r="AE184" s="395">
        <v>51</v>
      </c>
      <c r="AF184" s="396">
        <v>27</v>
      </c>
      <c r="AG184" s="397">
        <f t="shared" si="40"/>
        <v>1252</v>
      </c>
    </row>
    <row r="185" spans="1:34" ht="18.75" x14ac:dyDescent="0.25">
      <c r="A185" s="109" t="s">
        <v>165</v>
      </c>
      <c r="B185" s="147"/>
      <c r="C185" s="147"/>
      <c r="D185" s="147"/>
      <c r="E185" s="147"/>
      <c r="F185" s="147"/>
      <c r="G185" s="147"/>
      <c r="H185" s="147"/>
      <c r="I185" s="147"/>
      <c r="J185" s="147"/>
      <c r="K185" s="147"/>
      <c r="L185" s="147"/>
      <c r="M185" s="14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  <c r="AF185" s="18"/>
      <c r="AG185" s="4">
        <f t="shared" si="35"/>
        <v>0</v>
      </c>
    </row>
    <row r="186" spans="1:34" ht="18.75" x14ac:dyDescent="0.25">
      <c r="A186" s="109" t="s">
        <v>141</v>
      </c>
      <c r="B186" s="147"/>
      <c r="C186" s="147"/>
      <c r="D186" s="147"/>
      <c r="E186" s="147"/>
      <c r="F186" s="147"/>
      <c r="G186" s="147"/>
      <c r="H186" s="147"/>
      <c r="I186" s="147"/>
      <c r="J186" s="147"/>
      <c r="K186" s="147"/>
      <c r="L186" s="147"/>
      <c r="M186" s="14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  <c r="AF186" s="18"/>
      <c r="AG186" s="4">
        <f t="shared" si="35"/>
        <v>0</v>
      </c>
    </row>
    <row r="187" spans="1:34" ht="18.75" x14ac:dyDescent="0.25">
      <c r="A187" s="109" t="s">
        <v>613</v>
      </c>
      <c r="B187" s="147"/>
      <c r="C187" s="147"/>
      <c r="D187" s="147"/>
      <c r="E187" s="147"/>
      <c r="F187" s="147"/>
      <c r="G187" s="147"/>
      <c r="H187" s="147"/>
      <c r="I187" s="147"/>
      <c r="J187" s="147"/>
      <c r="K187" s="147"/>
      <c r="L187" s="147"/>
      <c r="M187" s="14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  <c r="AF187" s="18"/>
      <c r="AG187" s="4">
        <f t="shared" si="35"/>
        <v>0</v>
      </c>
    </row>
    <row r="188" spans="1:34" ht="18.75" x14ac:dyDescent="0.25">
      <c r="A188" s="109" t="s">
        <v>139</v>
      </c>
      <c r="B188" s="147"/>
      <c r="C188" s="147"/>
      <c r="D188" s="147"/>
      <c r="E188" s="147"/>
      <c r="F188" s="147">
        <v>1</v>
      </c>
      <c r="G188" s="147">
        <v>1</v>
      </c>
      <c r="H188" s="147"/>
      <c r="I188" s="147"/>
      <c r="J188" s="147"/>
      <c r="K188" s="147"/>
      <c r="L188" s="147"/>
      <c r="M188" s="147"/>
      <c r="N188" s="17"/>
      <c r="O188" s="17"/>
      <c r="P188" s="17"/>
      <c r="Q188" s="17"/>
      <c r="R188" s="17"/>
      <c r="S188" s="17"/>
      <c r="T188" s="17"/>
      <c r="U188" s="17"/>
      <c r="V188" s="17">
        <v>1</v>
      </c>
      <c r="W188" s="17">
        <v>1</v>
      </c>
      <c r="X188" s="17"/>
      <c r="Y188" s="17"/>
      <c r="Z188" s="17"/>
      <c r="AA188" s="17"/>
      <c r="AB188" s="17"/>
      <c r="AC188" s="17"/>
      <c r="AD188" s="17"/>
      <c r="AE188" s="17"/>
      <c r="AF188" s="18"/>
      <c r="AG188" s="4">
        <f t="shared" si="35"/>
        <v>4</v>
      </c>
    </row>
    <row r="189" spans="1:34" ht="18.75" x14ac:dyDescent="0.25">
      <c r="A189" s="110" t="s">
        <v>63</v>
      </c>
      <c r="B189" s="147"/>
      <c r="C189" s="147"/>
      <c r="D189" s="147"/>
      <c r="E189" s="147"/>
      <c r="F189" s="147"/>
      <c r="G189" s="147"/>
      <c r="H189" s="147"/>
      <c r="I189" s="147"/>
      <c r="J189" s="147"/>
      <c r="K189" s="147"/>
      <c r="L189" s="147"/>
      <c r="M189" s="14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  <c r="AE189" s="17"/>
      <c r="AF189" s="18"/>
      <c r="AG189" s="4">
        <f t="shared" si="35"/>
        <v>0</v>
      </c>
    </row>
    <row r="190" spans="1:34" ht="18.75" x14ac:dyDescent="0.25">
      <c r="A190" s="110" t="s">
        <v>142</v>
      </c>
      <c r="B190" s="147"/>
      <c r="C190" s="147"/>
      <c r="D190" s="147"/>
      <c r="E190" s="147"/>
      <c r="F190" s="147"/>
      <c r="G190" s="147"/>
      <c r="H190" s="147"/>
      <c r="I190" s="147"/>
      <c r="J190" s="147"/>
      <c r="K190" s="147"/>
      <c r="L190" s="147"/>
      <c r="M190" s="14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  <c r="AE190" s="17"/>
      <c r="AF190" s="18"/>
      <c r="AG190" s="4">
        <f t="shared" si="35"/>
        <v>0</v>
      </c>
    </row>
    <row r="191" spans="1:34" ht="18.75" x14ac:dyDescent="0.25">
      <c r="A191" s="110" t="s">
        <v>168</v>
      </c>
      <c r="B191" s="147"/>
      <c r="C191" s="147"/>
      <c r="D191" s="147"/>
      <c r="E191" s="147"/>
      <c r="F191" s="147"/>
      <c r="G191" s="147"/>
      <c r="H191" s="147"/>
      <c r="I191" s="147"/>
      <c r="J191" s="147"/>
      <c r="K191" s="147"/>
      <c r="L191" s="147"/>
      <c r="M191" s="14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  <c r="AE191" s="17"/>
      <c r="AF191" s="18"/>
      <c r="AG191" s="4">
        <f t="shared" si="35"/>
        <v>0</v>
      </c>
    </row>
    <row r="192" spans="1:34" ht="18.75" x14ac:dyDescent="0.25">
      <c r="A192" s="110" t="s">
        <v>169</v>
      </c>
      <c r="B192" s="147"/>
      <c r="C192" s="147"/>
      <c r="D192" s="147"/>
      <c r="E192" s="147"/>
      <c r="F192" s="147"/>
      <c r="G192" s="147"/>
      <c r="H192" s="147"/>
      <c r="I192" s="147"/>
      <c r="J192" s="147"/>
      <c r="K192" s="147"/>
      <c r="L192" s="147"/>
      <c r="M192" s="14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  <c r="AE192" s="17"/>
      <c r="AF192" s="18"/>
      <c r="AG192" s="4">
        <f t="shared" si="35"/>
        <v>0</v>
      </c>
    </row>
    <row r="193" spans="1:34" ht="18.75" x14ac:dyDescent="0.25">
      <c r="A193" s="236" t="s">
        <v>5</v>
      </c>
      <c r="B193" s="237"/>
      <c r="C193" s="237">
        <v>4</v>
      </c>
      <c r="D193" s="237">
        <v>2</v>
      </c>
      <c r="E193" s="237"/>
      <c r="F193" s="237"/>
      <c r="G193" s="237">
        <v>1</v>
      </c>
      <c r="H193" s="237"/>
      <c r="I193" s="237"/>
      <c r="J193" s="237"/>
      <c r="K193" s="237"/>
      <c r="L193" s="237">
        <v>1</v>
      </c>
      <c r="M193" s="237">
        <v>1</v>
      </c>
      <c r="N193" s="238"/>
      <c r="O193" s="238">
        <v>1</v>
      </c>
      <c r="P193" s="238">
        <v>1</v>
      </c>
      <c r="Q193" s="238">
        <v>2</v>
      </c>
      <c r="R193" s="238">
        <v>1</v>
      </c>
      <c r="S193" s="238">
        <v>2</v>
      </c>
      <c r="T193" s="238">
        <v>3</v>
      </c>
      <c r="U193" s="238"/>
      <c r="V193" s="238">
        <v>1</v>
      </c>
      <c r="W193" s="238">
        <v>1</v>
      </c>
      <c r="X193" s="238">
        <v>1</v>
      </c>
      <c r="Y193" s="238"/>
      <c r="Z193" s="238">
        <v>2</v>
      </c>
      <c r="AA193" s="238">
        <v>1</v>
      </c>
      <c r="AB193" s="238">
        <v>1</v>
      </c>
      <c r="AC193" s="238">
        <v>2</v>
      </c>
      <c r="AD193" s="238">
        <v>2</v>
      </c>
      <c r="AE193" s="238">
        <v>2</v>
      </c>
      <c r="AF193" s="239">
        <v>6</v>
      </c>
      <c r="AG193" s="240">
        <f t="shared" ref="AG193" si="41">SUM(B193:AF193)</f>
        <v>38</v>
      </c>
    </row>
    <row r="194" spans="1:34" ht="18.75" x14ac:dyDescent="0.25">
      <c r="A194" s="111" t="s">
        <v>174</v>
      </c>
      <c r="B194" s="147"/>
      <c r="C194" s="147"/>
      <c r="D194" s="147"/>
      <c r="E194" s="147"/>
      <c r="F194" s="147"/>
      <c r="G194" s="147"/>
      <c r="H194" s="147"/>
      <c r="I194" s="147"/>
      <c r="J194" s="147">
        <v>1</v>
      </c>
      <c r="K194" s="147"/>
      <c r="L194" s="147"/>
      <c r="M194" s="14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  <c r="AE194" s="17"/>
      <c r="AF194" s="18"/>
      <c r="AG194" s="4">
        <f t="shared" si="35"/>
        <v>1</v>
      </c>
    </row>
    <row r="195" spans="1:34" ht="18.75" x14ac:dyDescent="0.25">
      <c r="A195" s="111" t="s">
        <v>171</v>
      </c>
      <c r="B195" s="147"/>
      <c r="C195" s="147"/>
      <c r="D195" s="147"/>
      <c r="E195" s="147"/>
      <c r="F195" s="147"/>
      <c r="G195" s="147"/>
      <c r="H195" s="147"/>
      <c r="I195" s="147"/>
      <c r="J195" s="147"/>
      <c r="K195" s="147"/>
      <c r="L195" s="147"/>
      <c r="M195" s="14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  <c r="AE195" s="17"/>
      <c r="AF195" s="18"/>
      <c r="AG195" s="4">
        <f t="shared" si="35"/>
        <v>0</v>
      </c>
    </row>
    <row r="196" spans="1:34" ht="18.75" x14ac:dyDescent="0.25">
      <c r="A196" s="111" t="s">
        <v>173</v>
      </c>
      <c r="B196" s="147"/>
      <c r="C196" s="147"/>
      <c r="D196" s="147"/>
      <c r="E196" s="147"/>
      <c r="F196" s="147"/>
      <c r="G196" s="147"/>
      <c r="H196" s="147"/>
      <c r="I196" s="147"/>
      <c r="J196" s="147"/>
      <c r="K196" s="147"/>
      <c r="L196" s="147"/>
      <c r="M196" s="14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  <c r="AE196" s="17"/>
      <c r="AF196" s="18"/>
      <c r="AG196" s="4">
        <f t="shared" si="35"/>
        <v>0</v>
      </c>
    </row>
    <row r="197" spans="1:34" ht="18.75" x14ac:dyDescent="0.25">
      <c r="A197" s="111" t="s">
        <v>88</v>
      </c>
      <c r="B197" s="147"/>
      <c r="C197" s="147"/>
      <c r="D197" s="147"/>
      <c r="E197" s="147"/>
      <c r="F197" s="147"/>
      <c r="G197" s="147"/>
      <c r="H197" s="147"/>
      <c r="I197" s="147"/>
      <c r="J197" s="147"/>
      <c r="K197" s="147"/>
      <c r="L197" s="147"/>
      <c r="M197" s="14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  <c r="AE197" s="17"/>
      <c r="AF197" s="18"/>
      <c r="AG197" s="4">
        <f t="shared" si="35"/>
        <v>0</v>
      </c>
    </row>
    <row r="198" spans="1:34" ht="18.75" x14ac:dyDescent="0.25">
      <c r="A198" s="111" t="s">
        <v>617</v>
      </c>
      <c r="B198" s="147"/>
      <c r="C198" s="147"/>
      <c r="D198" s="147"/>
      <c r="E198" s="147"/>
      <c r="F198" s="147"/>
      <c r="G198" s="147"/>
      <c r="H198" s="147"/>
      <c r="I198" s="147"/>
      <c r="J198" s="147"/>
      <c r="K198" s="147"/>
      <c r="L198" s="147"/>
      <c r="M198" s="14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  <c r="AE198" s="17"/>
      <c r="AF198" s="18"/>
      <c r="AG198" s="4">
        <f t="shared" ref="AG198" si="42">SUM(B198:AF198)</f>
        <v>0</v>
      </c>
    </row>
    <row r="199" spans="1:34" ht="18.75" x14ac:dyDescent="0.25">
      <c r="A199" s="111" t="s">
        <v>143</v>
      </c>
      <c r="B199" s="147"/>
      <c r="C199" s="147"/>
      <c r="D199" s="147"/>
      <c r="E199" s="147"/>
      <c r="F199" s="147"/>
      <c r="G199" s="147"/>
      <c r="H199" s="147"/>
      <c r="I199" s="147"/>
      <c r="J199" s="147"/>
      <c r="K199" s="147"/>
      <c r="L199" s="147"/>
      <c r="M199" s="14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  <c r="AE199" s="17"/>
      <c r="AF199" s="18"/>
      <c r="AG199" s="4">
        <f t="shared" si="35"/>
        <v>0</v>
      </c>
    </row>
    <row r="200" spans="1:34" ht="18.75" x14ac:dyDescent="0.25">
      <c r="A200" s="110" t="s">
        <v>124</v>
      </c>
      <c r="B200" s="147"/>
      <c r="C200" s="147"/>
      <c r="D200" s="147"/>
      <c r="E200" s="147"/>
      <c r="F200" s="147"/>
      <c r="G200" s="147"/>
      <c r="H200" s="147"/>
      <c r="I200" s="147"/>
      <c r="J200" s="147"/>
      <c r="K200" s="147"/>
      <c r="L200" s="147"/>
      <c r="M200" s="14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  <c r="AE200" s="17"/>
      <c r="AF200" s="18"/>
      <c r="AG200" s="4">
        <f t="shared" si="35"/>
        <v>0</v>
      </c>
    </row>
    <row r="201" spans="1:34" ht="18.75" x14ac:dyDescent="0.25">
      <c r="A201" s="110" t="s">
        <v>167</v>
      </c>
      <c r="B201" s="147"/>
      <c r="C201" s="147"/>
      <c r="D201" s="147"/>
      <c r="E201" s="147"/>
      <c r="F201" s="147"/>
      <c r="G201" s="147"/>
      <c r="H201" s="147"/>
      <c r="I201" s="147"/>
      <c r="J201" s="147"/>
      <c r="K201" s="147"/>
      <c r="L201" s="147"/>
      <c r="M201" s="14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  <c r="AD201" s="17"/>
      <c r="AE201" s="17"/>
      <c r="AF201" s="18"/>
      <c r="AG201" s="4">
        <f t="shared" si="35"/>
        <v>0</v>
      </c>
    </row>
    <row r="202" spans="1:34" ht="18.75" x14ac:dyDescent="0.25">
      <c r="A202" s="110" t="s">
        <v>125</v>
      </c>
      <c r="B202" s="147"/>
      <c r="C202" s="147">
        <v>1</v>
      </c>
      <c r="D202" s="147"/>
      <c r="E202" s="147"/>
      <c r="F202" s="147"/>
      <c r="G202" s="147"/>
      <c r="H202" s="147"/>
      <c r="I202" s="147"/>
      <c r="J202" s="147"/>
      <c r="K202" s="147"/>
      <c r="L202" s="147"/>
      <c r="M202" s="147"/>
      <c r="N202" s="17"/>
      <c r="O202" s="17"/>
      <c r="P202" s="17">
        <v>1</v>
      </c>
      <c r="Q202" s="17"/>
      <c r="R202" s="17"/>
      <c r="S202" s="17"/>
      <c r="T202" s="17"/>
      <c r="U202" s="17">
        <v>2</v>
      </c>
      <c r="V202" s="17"/>
      <c r="W202" s="17"/>
      <c r="X202" s="17"/>
      <c r="Y202" s="17"/>
      <c r="Z202" s="17">
        <v>1</v>
      </c>
      <c r="AA202" s="17"/>
      <c r="AB202" s="17"/>
      <c r="AC202" s="17"/>
      <c r="AD202" s="17">
        <v>1</v>
      </c>
      <c r="AE202" s="17"/>
      <c r="AF202" s="18">
        <v>1</v>
      </c>
      <c r="AG202" s="4">
        <f t="shared" si="35"/>
        <v>7</v>
      </c>
    </row>
    <row r="203" spans="1:34" ht="18.75" x14ac:dyDescent="0.25">
      <c r="A203" s="110" t="s">
        <v>126</v>
      </c>
      <c r="B203" s="202">
        <v>1</v>
      </c>
      <c r="C203" s="202">
        <v>1</v>
      </c>
      <c r="D203" s="202"/>
      <c r="E203" s="202"/>
      <c r="F203" s="202"/>
      <c r="G203" s="202">
        <v>1</v>
      </c>
      <c r="H203" s="202"/>
      <c r="I203" s="202">
        <v>1</v>
      </c>
      <c r="J203" s="202"/>
      <c r="K203" s="202">
        <v>1</v>
      </c>
      <c r="L203" s="202"/>
      <c r="M203" s="202">
        <v>1</v>
      </c>
      <c r="N203" s="203"/>
      <c r="O203" s="203"/>
      <c r="P203" s="203"/>
      <c r="Q203" s="203">
        <v>1</v>
      </c>
      <c r="R203" s="203">
        <v>2</v>
      </c>
      <c r="S203" s="203"/>
      <c r="T203" s="203"/>
      <c r="U203" s="203">
        <v>1</v>
      </c>
      <c r="V203" s="203"/>
      <c r="W203" s="203"/>
      <c r="X203" s="203">
        <v>1</v>
      </c>
      <c r="Y203" s="203"/>
      <c r="Z203" s="203"/>
      <c r="AA203" s="203"/>
      <c r="AB203" s="203"/>
      <c r="AC203" s="203"/>
      <c r="AD203" s="203"/>
      <c r="AE203" s="203"/>
      <c r="AF203" s="204">
        <v>2</v>
      </c>
      <c r="AG203" s="4">
        <f t="shared" si="35"/>
        <v>13</v>
      </c>
    </row>
    <row r="204" spans="1:34" ht="18.75" x14ac:dyDescent="0.25">
      <c r="A204" s="112" t="s">
        <v>170</v>
      </c>
      <c r="B204" s="202"/>
      <c r="C204" s="202"/>
      <c r="D204" s="202"/>
      <c r="E204" s="202"/>
      <c r="F204" s="202"/>
      <c r="G204" s="202">
        <v>1</v>
      </c>
      <c r="H204" s="202"/>
      <c r="I204" s="202"/>
      <c r="J204" s="202"/>
      <c r="K204" s="202"/>
      <c r="L204" s="202"/>
      <c r="M204" s="202"/>
      <c r="N204" s="203"/>
      <c r="O204" s="203"/>
      <c r="P204" s="203"/>
      <c r="Q204" s="203"/>
      <c r="R204" s="203"/>
      <c r="S204" s="203"/>
      <c r="T204" s="203"/>
      <c r="U204" s="203"/>
      <c r="V204" s="203">
        <v>1</v>
      </c>
      <c r="W204" s="203"/>
      <c r="X204" s="203"/>
      <c r="Y204" s="203"/>
      <c r="Z204" s="203"/>
      <c r="AA204" s="203">
        <v>2</v>
      </c>
      <c r="AB204" s="203">
        <v>1</v>
      </c>
      <c r="AC204" s="203"/>
      <c r="AD204" s="203"/>
      <c r="AE204" s="203"/>
      <c r="AF204" s="204"/>
      <c r="AG204" s="4">
        <f t="shared" si="35"/>
        <v>5</v>
      </c>
    </row>
    <row r="205" spans="1:34" ht="19.5" thickBot="1" x14ac:dyDescent="0.3">
      <c r="A205" s="231" t="s">
        <v>166</v>
      </c>
      <c r="B205" s="202"/>
      <c r="C205" s="202"/>
      <c r="D205" s="202"/>
      <c r="E205" s="202"/>
      <c r="F205" s="202"/>
      <c r="G205" s="202">
        <v>1</v>
      </c>
      <c r="H205" s="202"/>
      <c r="I205" s="202"/>
      <c r="J205" s="202"/>
      <c r="K205" s="202"/>
      <c r="L205" s="202"/>
      <c r="M205" s="202"/>
      <c r="N205" s="203"/>
      <c r="O205" s="203"/>
      <c r="P205" s="203"/>
      <c r="Q205" s="203"/>
      <c r="R205" s="203"/>
      <c r="S205" s="203"/>
      <c r="T205" s="203">
        <v>1</v>
      </c>
      <c r="U205" s="203"/>
      <c r="V205" s="203"/>
      <c r="W205" s="203"/>
      <c r="X205" s="203"/>
      <c r="Y205" s="203"/>
      <c r="Z205" s="203"/>
      <c r="AA205" s="203"/>
      <c r="AB205" s="203"/>
      <c r="AC205" s="203"/>
      <c r="AD205" s="203"/>
      <c r="AE205" s="203"/>
      <c r="AF205" s="204"/>
      <c r="AG205" s="28">
        <f t="shared" si="35"/>
        <v>2</v>
      </c>
    </row>
    <row r="206" spans="1:34" ht="19.5" thickBot="1" x14ac:dyDescent="0.3">
      <c r="A206" s="215" t="s">
        <v>83</v>
      </c>
      <c r="B206" s="209">
        <f>SUM(B207:B211)</f>
        <v>135</v>
      </c>
      <c r="C206" s="210">
        <f t="shared" ref="C206:AF206" si="43">SUM(C207:C211)</f>
        <v>132</v>
      </c>
      <c r="D206" s="210">
        <f t="shared" si="43"/>
        <v>112</v>
      </c>
      <c r="E206" s="210">
        <f t="shared" si="43"/>
        <v>124</v>
      </c>
      <c r="F206" s="210">
        <f t="shared" si="43"/>
        <v>114</v>
      </c>
      <c r="G206" s="210">
        <f t="shared" si="43"/>
        <v>113</v>
      </c>
      <c r="H206" s="210">
        <f t="shared" si="43"/>
        <v>124</v>
      </c>
      <c r="I206" s="210">
        <f t="shared" si="43"/>
        <v>142</v>
      </c>
      <c r="J206" s="210">
        <f t="shared" si="43"/>
        <v>158</v>
      </c>
      <c r="K206" s="210">
        <f t="shared" si="43"/>
        <v>116</v>
      </c>
      <c r="L206" s="210">
        <f t="shared" si="43"/>
        <v>115</v>
      </c>
      <c r="M206" s="210">
        <f t="shared" si="43"/>
        <v>120</v>
      </c>
      <c r="N206" s="211">
        <f t="shared" si="43"/>
        <v>112</v>
      </c>
      <c r="O206" s="211">
        <f t="shared" si="43"/>
        <v>122</v>
      </c>
      <c r="P206" s="211">
        <f t="shared" si="43"/>
        <v>122</v>
      </c>
      <c r="Q206" s="211">
        <f t="shared" si="43"/>
        <v>149</v>
      </c>
      <c r="R206" s="211">
        <f t="shared" si="43"/>
        <v>127</v>
      </c>
      <c r="S206" s="211">
        <f t="shared" si="43"/>
        <v>112</v>
      </c>
      <c r="T206" s="211">
        <f t="shared" si="43"/>
        <v>124</v>
      </c>
      <c r="U206" s="211">
        <f t="shared" si="43"/>
        <v>97</v>
      </c>
      <c r="V206" s="211">
        <f t="shared" si="43"/>
        <v>138</v>
      </c>
      <c r="W206" s="211">
        <f t="shared" si="43"/>
        <v>128</v>
      </c>
      <c r="X206" s="211">
        <f t="shared" si="43"/>
        <v>129</v>
      </c>
      <c r="Y206" s="211">
        <f t="shared" si="43"/>
        <v>79</v>
      </c>
      <c r="Z206" s="211">
        <f t="shared" si="43"/>
        <v>128</v>
      </c>
      <c r="AA206" s="211">
        <f t="shared" si="43"/>
        <v>142</v>
      </c>
      <c r="AB206" s="211">
        <f t="shared" si="43"/>
        <v>162</v>
      </c>
      <c r="AC206" s="211">
        <f t="shared" si="43"/>
        <v>145</v>
      </c>
      <c r="AD206" s="211">
        <f t="shared" si="43"/>
        <v>141</v>
      </c>
      <c r="AE206" s="211">
        <f t="shared" si="43"/>
        <v>129</v>
      </c>
      <c r="AF206" s="212">
        <f t="shared" si="43"/>
        <v>90</v>
      </c>
      <c r="AG206" s="213">
        <f t="shared" si="35"/>
        <v>3881</v>
      </c>
      <c r="AH206" s="180" t="str">
        <f>IF(AG206&lt;&gt;AG93,"X","")</f>
        <v/>
      </c>
    </row>
    <row r="207" spans="1:34" ht="18.75" x14ac:dyDescent="0.25">
      <c r="A207" s="214" t="s">
        <v>72</v>
      </c>
      <c r="B207" s="205"/>
      <c r="C207" s="205"/>
      <c r="D207" s="205"/>
      <c r="E207" s="205"/>
      <c r="F207" s="205"/>
      <c r="G207" s="205"/>
      <c r="H207" s="205"/>
      <c r="I207" s="205"/>
      <c r="J207" s="205"/>
      <c r="K207" s="205"/>
      <c r="L207" s="205"/>
      <c r="M207" s="205"/>
      <c r="N207" s="206">
        <v>1</v>
      </c>
      <c r="O207" s="206"/>
      <c r="P207" s="206">
        <v>1</v>
      </c>
      <c r="Q207" s="206"/>
      <c r="R207" s="206"/>
      <c r="S207" s="206"/>
      <c r="T207" s="206"/>
      <c r="U207" s="206"/>
      <c r="V207" s="206"/>
      <c r="W207" s="206"/>
      <c r="X207" s="206"/>
      <c r="Y207" s="206"/>
      <c r="Z207" s="206"/>
      <c r="AA207" s="206"/>
      <c r="AB207" s="206"/>
      <c r="AC207" s="206"/>
      <c r="AD207" s="206"/>
      <c r="AE207" s="206"/>
      <c r="AF207" s="207"/>
      <c r="AG207" s="208">
        <f t="shared" si="35"/>
        <v>2</v>
      </c>
    </row>
    <row r="208" spans="1:34" ht="18.75" x14ac:dyDescent="0.25">
      <c r="A208" s="52" t="s">
        <v>73</v>
      </c>
      <c r="B208" s="148"/>
      <c r="C208" s="148"/>
      <c r="D208" s="148"/>
      <c r="E208" s="148"/>
      <c r="F208" s="148">
        <v>2</v>
      </c>
      <c r="G208" s="148">
        <v>1</v>
      </c>
      <c r="H208" s="148"/>
      <c r="I208" s="148"/>
      <c r="J208" s="148">
        <v>2</v>
      </c>
      <c r="K208" s="148">
        <v>1</v>
      </c>
      <c r="L208" s="148">
        <v>1</v>
      </c>
      <c r="M208" s="148">
        <v>1</v>
      </c>
      <c r="N208" s="33"/>
      <c r="O208" s="33">
        <v>1</v>
      </c>
      <c r="P208" s="33"/>
      <c r="Q208" s="33"/>
      <c r="R208" s="33">
        <v>2</v>
      </c>
      <c r="S208" s="33"/>
      <c r="T208" s="33"/>
      <c r="U208" s="33"/>
      <c r="V208" s="33"/>
      <c r="W208" s="33"/>
      <c r="X208" s="33">
        <v>2</v>
      </c>
      <c r="Y208" s="33">
        <v>1</v>
      </c>
      <c r="Z208" s="33">
        <v>2</v>
      </c>
      <c r="AA208" s="33">
        <v>2</v>
      </c>
      <c r="AB208" s="33"/>
      <c r="AC208" s="33">
        <v>3</v>
      </c>
      <c r="AD208" s="33"/>
      <c r="AE208" s="33">
        <v>1</v>
      </c>
      <c r="AF208" s="88">
        <v>1</v>
      </c>
      <c r="AG208" s="97">
        <f t="shared" si="35"/>
        <v>23</v>
      </c>
    </row>
    <row r="209" spans="1:34" ht="18.75" x14ac:dyDescent="0.25">
      <c r="A209" s="52" t="s">
        <v>74</v>
      </c>
      <c r="B209" s="148">
        <v>18</v>
      </c>
      <c r="C209" s="148">
        <v>12</v>
      </c>
      <c r="D209" s="148">
        <v>9</v>
      </c>
      <c r="E209" s="148">
        <v>17</v>
      </c>
      <c r="F209" s="148">
        <v>12</v>
      </c>
      <c r="G209" s="148">
        <v>11</v>
      </c>
      <c r="H209" s="148">
        <v>11</v>
      </c>
      <c r="I209" s="148">
        <v>11</v>
      </c>
      <c r="J209" s="148">
        <v>12</v>
      </c>
      <c r="K209" s="148">
        <v>3</v>
      </c>
      <c r="L209" s="148">
        <v>6</v>
      </c>
      <c r="M209" s="148">
        <v>11</v>
      </c>
      <c r="N209" s="33">
        <v>11</v>
      </c>
      <c r="O209" s="33">
        <v>5</v>
      </c>
      <c r="P209" s="33">
        <v>14</v>
      </c>
      <c r="Q209" s="33">
        <v>16</v>
      </c>
      <c r="R209" s="33">
        <v>12</v>
      </c>
      <c r="S209" s="33">
        <v>9</v>
      </c>
      <c r="T209" s="33">
        <v>17</v>
      </c>
      <c r="U209" s="33">
        <v>2</v>
      </c>
      <c r="V209" s="33">
        <v>10</v>
      </c>
      <c r="W209" s="33">
        <v>18</v>
      </c>
      <c r="X209" s="33">
        <v>9</v>
      </c>
      <c r="Y209" s="33">
        <v>13</v>
      </c>
      <c r="Z209" s="33">
        <v>12</v>
      </c>
      <c r="AA209" s="33">
        <v>9</v>
      </c>
      <c r="AB209" s="33">
        <v>11</v>
      </c>
      <c r="AC209" s="33">
        <v>8</v>
      </c>
      <c r="AD209" s="33">
        <v>14</v>
      </c>
      <c r="AE209" s="33">
        <v>9</v>
      </c>
      <c r="AF209" s="88">
        <v>18</v>
      </c>
      <c r="AG209" s="97">
        <f t="shared" si="35"/>
        <v>350</v>
      </c>
    </row>
    <row r="210" spans="1:34" ht="18.75" x14ac:dyDescent="0.25">
      <c r="A210" s="52" t="s">
        <v>75</v>
      </c>
      <c r="B210" s="148">
        <v>95</v>
      </c>
      <c r="C210" s="148">
        <v>105</v>
      </c>
      <c r="D210" s="148">
        <v>58</v>
      </c>
      <c r="E210" s="148">
        <v>91</v>
      </c>
      <c r="F210" s="148">
        <v>70</v>
      </c>
      <c r="G210" s="148">
        <v>66</v>
      </c>
      <c r="H210" s="148">
        <v>69</v>
      </c>
      <c r="I210" s="148">
        <v>81</v>
      </c>
      <c r="J210" s="148">
        <v>104</v>
      </c>
      <c r="K210" s="148">
        <v>79</v>
      </c>
      <c r="L210" s="148">
        <v>70</v>
      </c>
      <c r="M210" s="148">
        <v>70</v>
      </c>
      <c r="N210" s="33">
        <v>73</v>
      </c>
      <c r="O210" s="33">
        <v>97</v>
      </c>
      <c r="P210" s="33">
        <v>84</v>
      </c>
      <c r="Q210" s="33">
        <v>93</v>
      </c>
      <c r="R210" s="33">
        <v>84</v>
      </c>
      <c r="S210" s="33">
        <v>80</v>
      </c>
      <c r="T210" s="33">
        <v>53</v>
      </c>
      <c r="U210" s="33">
        <v>69</v>
      </c>
      <c r="V210" s="33">
        <v>119</v>
      </c>
      <c r="W210" s="33">
        <v>73</v>
      </c>
      <c r="X210" s="33">
        <v>61</v>
      </c>
      <c r="Y210" s="33">
        <v>47</v>
      </c>
      <c r="Z210" s="33">
        <v>96</v>
      </c>
      <c r="AA210" s="33">
        <v>64</v>
      </c>
      <c r="AB210" s="33">
        <v>70</v>
      </c>
      <c r="AC210" s="33">
        <v>87</v>
      </c>
      <c r="AD210" s="33">
        <v>110</v>
      </c>
      <c r="AE210" s="33">
        <v>99</v>
      </c>
      <c r="AF210" s="88">
        <v>44</v>
      </c>
      <c r="AG210" s="97">
        <f t="shared" si="35"/>
        <v>2461</v>
      </c>
    </row>
    <row r="211" spans="1:34" ht="19.5" thickBot="1" x14ac:dyDescent="0.3">
      <c r="A211" s="63" t="s">
        <v>76</v>
      </c>
      <c r="B211" s="149">
        <v>22</v>
      </c>
      <c r="C211" s="149">
        <v>15</v>
      </c>
      <c r="D211" s="149">
        <v>45</v>
      </c>
      <c r="E211" s="149">
        <v>16</v>
      </c>
      <c r="F211" s="149">
        <v>30</v>
      </c>
      <c r="G211" s="149">
        <v>35</v>
      </c>
      <c r="H211" s="149">
        <v>44</v>
      </c>
      <c r="I211" s="149">
        <v>50</v>
      </c>
      <c r="J211" s="149">
        <v>40</v>
      </c>
      <c r="K211" s="149">
        <v>33</v>
      </c>
      <c r="L211" s="149">
        <v>38</v>
      </c>
      <c r="M211" s="149">
        <v>38</v>
      </c>
      <c r="N211" s="34">
        <v>27</v>
      </c>
      <c r="O211" s="34">
        <v>19</v>
      </c>
      <c r="P211" s="34">
        <v>23</v>
      </c>
      <c r="Q211" s="34">
        <v>40</v>
      </c>
      <c r="R211" s="34">
        <v>29</v>
      </c>
      <c r="S211" s="34">
        <v>23</v>
      </c>
      <c r="T211" s="34">
        <v>54</v>
      </c>
      <c r="U211" s="34">
        <v>26</v>
      </c>
      <c r="V211" s="34">
        <v>9</v>
      </c>
      <c r="W211" s="34">
        <v>37</v>
      </c>
      <c r="X211" s="34">
        <v>57</v>
      </c>
      <c r="Y211" s="34">
        <v>18</v>
      </c>
      <c r="Z211" s="34">
        <v>18</v>
      </c>
      <c r="AA211" s="34">
        <v>67</v>
      </c>
      <c r="AB211" s="34">
        <v>81</v>
      </c>
      <c r="AC211" s="34">
        <v>47</v>
      </c>
      <c r="AD211" s="34">
        <v>17</v>
      </c>
      <c r="AE211" s="34">
        <v>20</v>
      </c>
      <c r="AF211" s="89">
        <v>27</v>
      </c>
      <c r="AG211" s="35">
        <f t="shared" si="35"/>
        <v>1045</v>
      </c>
    </row>
    <row r="212" spans="1:34" ht="19.5" thickBot="1" x14ac:dyDescent="0.3">
      <c r="A212" s="121" t="s">
        <v>622</v>
      </c>
      <c r="B212" s="404">
        <f t="shared" ref="B212:Z212" si="44">SUM(B213:B218)</f>
        <v>45</v>
      </c>
      <c r="C212" s="404">
        <f t="shared" si="44"/>
        <v>42</v>
      </c>
      <c r="D212" s="404">
        <f t="shared" si="44"/>
        <v>21</v>
      </c>
      <c r="E212" s="404">
        <f t="shared" si="44"/>
        <v>31</v>
      </c>
      <c r="F212" s="404">
        <f t="shared" si="44"/>
        <v>22</v>
      </c>
      <c r="G212" s="404">
        <f t="shared" si="44"/>
        <v>17</v>
      </c>
      <c r="H212" s="404">
        <f t="shared" si="44"/>
        <v>36</v>
      </c>
      <c r="I212" s="404">
        <f t="shared" si="44"/>
        <v>34</v>
      </c>
      <c r="J212" s="404">
        <f t="shared" si="44"/>
        <v>62</v>
      </c>
      <c r="K212" s="404">
        <f t="shared" si="44"/>
        <v>45</v>
      </c>
      <c r="L212" s="404">
        <f t="shared" si="44"/>
        <v>34</v>
      </c>
      <c r="M212" s="404">
        <f t="shared" si="44"/>
        <v>25</v>
      </c>
      <c r="N212" s="122">
        <f t="shared" si="44"/>
        <v>29</v>
      </c>
      <c r="O212" s="122">
        <f t="shared" si="44"/>
        <v>42</v>
      </c>
      <c r="P212" s="122">
        <f t="shared" si="44"/>
        <v>35</v>
      </c>
      <c r="Q212" s="122">
        <f t="shared" si="44"/>
        <v>40</v>
      </c>
      <c r="R212" s="122">
        <f t="shared" si="44"/>
        <v>34</v>
      </c>
      <c r="S212" s="122">
        <f t="shared" si="44"/>
        <v>47</v>
      </c>
      <c r="T212" s="122">
        <f t="shared" si="44"/>
        <v>24</v>
      </c>
      <c r="U212" s="122">
        <f t="shared" si="44"/>
        <v>27</v>
      </c>
      <c r="V212" s="122">
        <f t="shared" si="44"/>
        <v>56</v>
      </c>
      <c r="W212" s="122">
        <f t="shared" si="44"/>
        <v>35</v>
      </c>
      <c r="X212" s="122">
        <f t="shared" si="44"/>
        <v>47</v>
      </c>
      <c r="Y212" s="122">
        <f t="shared" si="44"/>
        <v>26</v>
      </c>
      <c r="Z212" s="122">
        <f t="shared" si="44"/>
        <v>29</v>
      </c>
      <c r="AA212" s="122">
        <f>SUM(AA213:AA218)</f>
        <v>44</v>
      </c>
      <c r="AB212" s="122">
        <f t="shared" ref="AB212:AF212" si="45">SUM(AB213:AB218)</f>
        <v>46</v>
      </c>
      <c r="AC212" s="122">
        <f t="shared" si="45"/>
        <v>45</v>
      </c>
      <c r="AD212" s="122">
        <f t="shared" si="45"/>
        <v>53</v>
      </c>
      <c r="AE212" s="122">
        <f t="shared" si="45"/>
        <v>42</v>
      </c>
      <c r="AF212" s="123">
        <f t="shared" si="45"/>
        <v>19</v>
      </c>
      <c r="AG212" s="124">
        <f t="shared" ref="AG212:AG217" si="46">SUM(B212:AF212)</f>
        <v>1134</v>
      </c>
    </row>
    <row r="213" spans="1:34" ht="18.75" x14ac:dyDescent="0.25">
      <c r="A213" s="414" t="s">
        <v>624</v>
      </c>
      <c r="B213" s="415">
        <v>35</v>
      </c>
      <c r="C213" s="415">
        <v>39</v>
      </c>
      <c r="D213" s="415">
        <v>19</v>
      </c>
      <c r="E213" s="415">
        <v>26</v>
      </c>
      <c r="F213" s="415">
        <v>17</v>
      </c>
      <c r="G213" s="415">
        <v>10</v>
      </c>
      <c r="H213" s="415">
        <v>31</v>
      </c>
      <c r="I213" s="415">
        <v>21</v>
      </c>
      <c r="J213" s="415">
        <v>50</v>
      </c>
      <c r="K213" s="415">
        <v>38</v>
      </c>
      <c r="L213" s="415">
        <v>28</v>
      </c>
      <c r="M213" s="415">
        <v>20</v>
      </c>
      <c r="N213" s="416">
        <v>21</v>
      </c>
      <c r="O213" s="416">
        <v>35</v>
      </c>
      <c r="P213" s="416">
        <v>30</v>
      </c>
      <c r="Q213" s="416">
        <v>26</v>
      </c>
      <c r="R213" s="416">
        <v>32</v>
      </c>
      <c r="S213" s="416">
        <v>41</v>
      </c>
      <c r="T213" s="416">
        <v>20</v>
      </c>
      <c r="U213" s="416">
        <v>17</v>
      </c>
      <c r="V213" s="416">
        <v>45</v>
      </c>
      <c r="W213" s="416">
        <v>27</v>
      </c>
      <c r="X213" s="416">
        <v>34</v>
      </c>
      <c r="Y213" s="416">
        <v>18</v>
      </c>
      <c r="Z213" s="416">
        <v>21</v>
      </c>
      <c r="AA213" s="416">
        <v>34</v>
      </c>
      <c r="AB213" s="416">
        <v>37</v>
      </c>
      <c r="AC213" s="416">
        <v>32</v>
      </c>
      <c r="AD213" s="416">
        <v>42</v>
      </c>
      <c r="AE213" s="416">
        <v>30</v>
      </c>
      <c r="AF213" s="417">
        <v>13</v>
      </c>
      <c r="AG213" s="418">
        <f t="shared" si="46"/>
        <v>889</v>
      </c>
    </row>
    <row r="214" spans="1:34" ht="18.75" x14ac:dyDescent="0.25">
      <c r="A214" s="419" t="s">
        <v>626</v>
      </c>
      <c r="B214" s="420"/>
      <c r="C214" s="420"/>
      <c r="D214" s="420"/>
      <c r="E214" s="420"/>
      <c r="F214" s="420"/>
      <c r="G214" s="420"/>
      <c r="H214" s="420"/>
      <c r="I214" s="420"/>
      <c r="J214" s="420"/>
      <c r="K214" s="420"/>
      <c r="L214" s="420"/>
      <c r="M214" s="420"/>
      <c r="N214" s="421">
        <v>1</v>
      </c>
      <c r="O214" s="421">
        <v>7</v>
      </c>
      <c r="P214" s="421"/>
      <c r="Q214" s="421">
        <v>1</v>
      </c>
      <c r="R214" s="421"/>
      <c r="S214" s="421"/>
      <c r="T214" s="421"/>
      <c r="U214" s="421"/>
      <c r="V214" s="421"/>
      <c r="W214" s="421"/>
      <c r="X214" s="421"/>
      <c r="Y214" s="421"/>
      <c r="Z214" s="421"/>
      <c r="AA214" s="421"/>
      <c r="AB214" s="421"/>
      <c r="AC214" s="421"/>
      <c r="AD214" s="421"/>
      <c r="AE214" s="421"/>
      <c r="AF214" s="422"/>
      <c r="AG214" s="397">
        <f t="shared" si="46"/>
        <v>9</v>
      </c>
    </row>
    <row r="215" spans="1:34" ht="18.75" x14ac:dyDescent="0.25">
      <c r="A215" s="423" t="s">
        <v>630</v>
      </c>
      <c r="B215" s="420"/>
      <c r="C215" s="420"/>
      <c r="D215" s="420"/>
      <c r="E215" s="420"/>
      <c r="F215" s="420"/>
      <c r="G215" s="420"/>
      <c r="H215" s="420"/>
      <c r="I215" s="420"/>
      <c r="J215" s="420"/>
      <c r="K215" s="420"/>
      <c r="L215" s="420"/>
      <c r="M215" s="420"/>
      <c r="N215" s="421"/>
      <c r="O215" s="421"/>
      <c r="P215" s="421"/>
      <c r="Q215" s="421"/>
      <c r="R215" s="421"/>
      <c r="S215" s="421"/>
      <c r="T215" s="421"/>
      <c r="U215" s="421"/>
      <c r="V215" s="421"/>
      <c r="W215" s="421"/>
      <c r="X215" s="421"/>
      <c r="Y215" s="421"/>
      <c r="Z215" s="421"/>
      <c r="AA215" s="421"/>
      <c r="AB215" s="421"/>
      <c r="AC215" s="421"/>
      <c r="AD215" s="421"/>
      <c r="AE215" s="421"/>
      <c r="AF215" s="422"/>
      <c r="AG215" s="397">
        <f t="shared" si="46"/>
        <v>0</v>
      </c>
    </row>
    <row r="216" spans="1:34" ht="18.75" x14ac:dyDescent="0.25">
      <c r="A216" s="423" t="s">
        <v>631</v>
      </c>
      <c r="B216" s="420"/>
      <c r="C216" s="420"/>
      <c r="D216" s="420"/>
      <c r="E216" s="420"/>
      <c r="F216" s="420"/>
      <c r="G216" s="420"/>
      <c r="H216" s="420"/>
      <c r="I216" s="420"/>
      <c r="J216" s="420"/>
      <c r="K216" s="420"/>
      <c r="L216" s="420"/>
      <c r="M216" s="420"/>
      <c r="N216" s="421"/>
      <c r="O216" s="421"/>
      <c r="P216" s="421"/>
      <c r="Q216" s="421"/>
      <c r="R216" s="421"/>
      <c r="S216" s="421"/>
      <c r="T216" s="421"/>
      <c r="U216" s="421"/>
      <c r="V216" s="421"/>
      <c r="W216" s="421"/>
      <c r="X216" s="421"/>
      <c r="Y216" s="421"/>
      <c r="Z216" s="421"/>
      <c r="AA216" s="421"/>
      <c r="AB216" s="421"/>
      <c r="AC216" s="421"/>
      <c r="AD216" s="421"/>
      <c r="AE216" s="421"/>
      <c r="AF216" s="422"/>
      <c r="AG216" s="397">
        <f t="shared" si="46"/>
        <v>0</v>
      </c>
    </row>
    <row r="217" spans="1:34" ht="18.75" x14ac:dyDescent="0.25">
      <c r="A217" s="423" t="s">
        <v>627</v>
      </c>
      <c r="B217" s="420"/>
      <c r="C217" s="420"/>
      <c r="D217" s="420"/>
      <c r="E217" s="420"/>
      <c r="F217" s="420"/>
      <c r="G217" s="420"/>
      <c r="H217" s="420"/>
      <c r="I217" s="420"/>
      <c r="J217" s="420"/>
      <c r="K217" s="420"/>
      <c r="L217" s="420"/>
      <c r="M217" s="420"/>
      <c r="N217" s="421"/>
      <c r="O217" s="421"/>
      <c r="P217" s="421"/>
      <c r="Q217" s="421"/>
      <c r="R217" s="421"/>
      <c r="S217" s="421"/>
      <c r="T217" s="421"/>
      <c r="U217" s="421"/>
      <c r="V217" s="421"/>
      <c r="W217" s="421"/>
      <c r="X217" s="421">
        <v>2</v>
      </c>
      <c r="Y217" s="421"/>
      <c r="Z217" s="421"/>
      <c r="AA217" s="421"/>
      <c r="AB217" s="421"/>
      <c r="AC217" s="421"/>
      <c r="AD217" s="421"/>
      <c r="AE217" s="421"/>
      <c r="AF217" s="422"/>
      <c r="AG217" s="397">
        <f t="shared" si="46"/>
        <v>2</v>
      </c>
    </row>
    <row r="218" spans="1:34" ht="19.5" thickBot="1" x14ac:dyDescent="0.3">
      <c r="A218" s="424" t="s">
        <v>623</v>
      </c>
      <c r="B218" s="412">
        <v>10</v>
      </c>
      <c r="C218" s="412">
        <v>3</v>
      </c>
      <c r="D218" s="412">
        <v>2</v>
      </c>
      <c r="E218" s="412">
        <v>5</v>
      </c>
      <c r="F218" s="412">
        <v>5</v>
      </c>
      <c r="G218" s="412">
        <v>7</v>
      </c>
      <c r="H218" s="412">
        <v>5</v>
      </c>
      <c r="I218" s="412">
        <v>13</v>
      </c>
      <c r="J218" s="412">
        <v>12</v>
      </c>
      <c r="K218" s="412">
        <v>7</v>
      </c>
      <c r="L218" s="412">
        <v>6</v>
      </c>
      <c r="M218" s="412">
        <v>5</v>
      </c>
      <c r="N218" s="425">
        <v>7</v>
      </c>
      <c r="O218" s="425"/>
      <c r="P218" s="425">
        <v>5</v>
      </c>
      <c r="Q218" s="425">
        <v>13</v>
      </c>
      <c r="R218" s="425">
        <v>2</v>
      </c>
      <c r="S218" s="425">
        <v>6</v>
      </c>
      <c r="T218" s="425">
        <v>4</v>
      </c>
      <c r="U218" s="425">
        <v>10</v>
      </c>
      <c r="V218" s="425">
        <v>11</v>
      </c>
      <c r="W218" s="425">
        <v>8</v>
      </c>
      <c r="X218" s="425">
        <v>11</v>
      </c>
      <c r="Y218" s="425">
        <v>8</v>
      </c>
      <c r="Z218" s="425">
        <v>8</v>
      </c>
      <c r="AA218" s="425">
        <v>10</v>
      </c>
      <c r="AB218" s="425">
        <v>9</v>
      </c>
      <c r="AC218" s="425">
        <v>13</v>
      </c>
      <c r="AD218" s="425">
        <v>11</v>
      </c>
      <c r="AE218" s="425">
        <v>12</v>
      </c>
      <c r="AF218" s="426">
        <v>6</v>
      </c>
      <c r="AG218" s="397">
        <f>SUM(B218:AF218)</f>
        <v>234</v>
      </c>
    </row>
    <row r="219" spans="1:34" ht="18.75" x14ac:dyDescent="0.25">
      <c r="A219" s="69" t="s">
        <v>628</v>
      </c>
      <c r="B219" s="407">
        <v>45</v>
      </c>
      <c r="C219" s="407">
        <v>42</v>
      </c>
      <c r="D219" s="407">
        <v>21</v>
      </c>
      <c r="E219" s="407">
        <v>31</v>
      </c>
      <c r="F219" s="407">
        <v>22</v>
      </c>
      <c r="G219" s="407">
        <v>17</v>
      </c>
      <c r="H219" s="407">
        <v>36</v>
      </c>
      <c r="I219" s="407">
        <v>34</v>
      </c>
      <c r="J219" s="407">
        <v>62</v>
      </c>
      <c r="K219" s="407">
        <v>45</v>
      </c>
      <c r="L219" s="407">
        <v>34</v>
      </c>
      <c r="M219" s="407">
        <v>25</v>
      </c>
      <c r="N219" s="56">
        <v>29</v>
      </c>
      <c r="O219" s="56">
        <v>42</v>
      </c>
      <c r="P219" s="56">
        <v>35</v>
      </c>
      <c r="Q219" s="56">
        <v>40</v>
      </c>
      <c r="R219" s="56">
        <v>34</v>
      </c>
      <c r="S219" s="56">
        <v>45</v>
      </c>
      <c r="T219" s="56">
        <v>24</v>
      </c>
      <c r="U219" s="56">
        <v>27</v>
      </c>
      <c r="V219" s="56">
        <v>56</v>
      </c>
      <c r="W219" s="56">
        <v>35</v>
      </c>
      <c r="X219" s="56">
        <v>47</v>
      </c>
      <c r="Y219" s="56">
        <v>26</v>
      </c>
      <c r="Z219" s="56">
        <v>29</v>
      </c>
      <c r="AA219" s="56">
        <v>44</v>
      </c>
      <c r="AB219" s="56">
        <v>46</v>
      </c>
      <c r="AC219" s="56">
        <v>45</v>
      </c>
      <c r="AD219" s="56">
        <v>53</v>
      </c>
      <c r="AE219" s="56">
        <v>42</v>
      </c>
      <c r="AF219" s="85">
        <v>19</v>
      </c>
      <c r="AG219" s="95">
        <f>SUM(B219:AF219)</f>
        <v>1132</v>
      </c>
    </row>
    <row r="220" spans="1:34" ht="19.5" thickBot="1" x14ac:dyDescent="0.3">
      <c r="A220" s="424" t="s">
        <v>629</v>
      </c>
      <c r="B220" s="412">
        <f>+B212-B219</f>
        <v>0</v>
      </c>
      <c r="C220" s="412">
        <f t="shared" ref="C220:AF220" si="47">+C212-C219</f>
        <v>0</v>
      </c>
      <c r="D220" s="412">
        <f t="shared" si="47"/>
        <v>0</v>
      </c>
      <c r="E220" s="412">
        <f t="shared" si="47"/>
        <v>0</v>
      </c>
      <c r="F220" s="412">
        <f t="shared" si="47"/>
        <v>0</v>
      </c>
      <c r="G220" s="412">
        <f t="shared" si="47"/>
        <v>0</v>
      </c>
      <c r="H220" s="412">
        <f t="shared" si="47"/>
        <v>0</v>
      </c>
      <c r="I220" s="412">
        <f t="shared" si="47"/>
        <v>0</v>
      </c>
      <c r="J220" s="412">
        <f t="shared" si="47"/>
        <v>0</v>
      </c>
      <c r="K220" s="412">
        <f t="shared" si="47"/>
        <v>0</v>
      </c>
      <c r="L220" s="412">
        <f t="shared" si="47"/>
        <v>0</v>
      </c>
      <c r="M220" s="412">
        <f t="shared" si="47"/>
        <v>0</v>
      </c>
      <c r="N220" s="425">
        <f t="shared" si="47"/>
        <v>0</v>
      </c>
      <c r="O220" s="425">
        <f t="shared" si="47"/>
        <v>0</v>
      </c>
      <c r="P220" s="425">
        <f t="shared" si="47"/>
        <v>0</v>
      </c>
      <c r="Q220" s="425">
        <f t="shared" si="47"/>
        <v>0</v>
      </c>
      <c r="R220" s="425">
        <f t="shared" si="47"/>
        <v>0</v>
      </c>
      <c r="S220" s="425">
        <f t="shared" si="47"/>
        <v>2</v>
      </c>
      <c r="T220" s="425">
        <f t="shared" si="47"/>
        <v>0</v>
      </c>
      <c r="U220" s="425">
        <f t="shared" si="47"/>
        <v>0</v>
      </c>
      <c r="V220" s="425">
        <f t="shared" si="47"/>
        <v>0</v>
      </c>
      <c r="W220" s="425">
        <f t="shared" si="47"/>
        <v>0</v>
      </c>
      <c r="X220" s="425">
        <f t="shared" si="47"/>
        <v>0</v>
      </c>
      <c r="Y220" s="425">
        <f t="shared" si="47"/>
        <v>0</v>
      </c>
      <c r="Z220" s="425">
        <f t="shared" si="47"/>
        <v>0</v>
      </c>
      <c r="AA220" s="425">
        <f t="shared" si="47"/>
        <v>0</v>
      </c>
      <c r="AB220" s="425">
        <f t="shared" si="47"/>
        <v>0</v>
      </c>
      <c r="AC220" s="425">
        <f t="shared" si="47"/>
        <v>0</v>
      </c>
      <c r="AD220" s="425">
        <f t="shared" si="47"/>
        <v>0</v>
      </c>
      <c r="AE220" s="425">
        <f t="shared" si="47"/>
        <v>0</v>
      </c>
      <c r="AF220" s="428">
        <f t="shared" si="47"/>
        <v>0</v>
      </c>
      <c r="AG220" s="413">
        <f>SUM(B220:AF220)</f>
        <v>2</v>
      </c>
    </row>
    <row r="221" spans="1:34" ht="19.5" thickBot="1" x14ac:dyDescent="0.3">
      <c r="A221" s="60" t="s">
        <v>64</v>
      </c>
      <c r="B221" s="61"/>
      <c r="C221" s="61"/>
      <c r="D221" s="61"/>
      <c r="E221" s="61"/>
      <c r="F221" s="61"/>
      <c r="G221" s="61"/>
      <c r="H221" s="61"/>
      <c r="I221" s="61"/>
      <c r="J221" s="61"/>
      <c r="K221" s="61"/>
      <c r="L221" s="61"/>
      <c r="M221" s="61"/>
      <c r="N221" s="61"/>
      <c r="O221" s="61"/>
      <c r="P221" s="61"/>
      <c r="Q221" s="61"/>
      <c r="R221" s="61"/>
      <c r="S221" s="61"/>
      <c r="T221" s="61"/>
      <c r="U221" s="61"/>
      <c r="V221" s="61"/>
      <c r="W221" s="61"/>
      <c r="X221" s="61"/>
      <c r="Y221" s="61"/>
      <c r="Z221" s="61"/>
      <c r="AA221" s="61"/>
      <c r="AB221" s="61"/>
      <c r="AC221" s="61"/>
      <c r="AD221" s="61"/>
      <c r="AE221" s="61"/>
      <c r="AF221" s="90"/>
      <c r="AG221" s="98"/>
    </row>
    <row r="222" spans="1:34" ht="18.75" x14ac:dyDescent="0.25">
      <c r="A222" s="43" t="s">
        <v>77</v>
      </c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19"/>
      <c r="AF222" s="25"/>
      <c r="AG222" s="99">
        <f t="shared" si="35"/>
        <v>0</v>
      </c>
      <c r="AH222" s="437" t="s">
        <v>85</v>
      </c>
    </row>
    <row r="223" spans="1:34" ht="18.75" x14ac:dyDescent="0.25">
      <c r="A223" s="53" t="s">
        <v>110</v>
      </c>
      <c r="B223" s="39"/>
      <c r="C223" s="39"/>
      <c r="D223" s="39"/>
      <c r="E223" s="39"/>
      <c r="F223" s="39"/>
      <c r="G223" s="39"/>
      <c r="H223" s="39"/>
      <c r="I223" s="39"/>
      <c r="J223" s="39"/>
      <c r="K223" s="39"/>
      <c r="L223" s="39"/>
      <c r="M223" s="39"/>
      <c r="N223" s="39"/>
      <c r="O223" s="39"/>
      <c r="P223" s="39"/>
      <c r="Q223" s="39"/>
      <c r="R223" s="39"/>
      <c r="S223" s="39"/>
      <c r="T223" s="39"/>
      <c r="U223" s="39"/>
      <c r="V223" s="39"/>
      <c r="W223" s="39"/>
      <c r="X223" s="39"/>
      <c r="Y223" s="39"/>
      <c r="Z223" s="39"/>
      <c r="AA223" s="39"/>
      <c r="AB223" s="39"/>
      <c r="AC223" s="39"/>
      <c r="AD223" s="39"/>
      <c r="AE223" s="39"/>
      <c r="AF223" s="91"/>
      <c r="AG223" s="100">
        <f t="shared" si="35"/>
        <v>0</v>
      </c>
      <c r="AH223" s="438"/>
    </row>
    <row r="224" spans="1:34" ht="18.75" x14ac:dyDescent="0.25">
      <c r="A224" s="53" t="s">
        <v>111</v>
      </c>
      <c r="B224" s="39"/>
      <c r="C224" s="39"/>
      <c r="D224" s="39"/>
      <c r="E224" s="39"/>
      <c r="F224" s="39"/>
      <c r="G224" s="39"/>
      <c r="H224" s="39"/>
      <c r="I224" s="39"/>
      <c r="J224" s="39"/>
      <c r="K224" s="39"/>
      <c r="L224" s="39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  <c r="Y224" s="39"/>
      <c r="Z224" s="39"/>
      <c r="AA224" s="39"/>
      <c r="AB224" s="39"/>
      <c r="AC224" s="39"/>
      <c r="AD224" s="39"/>
      <c r="AE224" s="39"/>
      <c r="AF224" s="91"/>
      <c r="AG224" s="100">
        <f t="shared" si="35"/>
        <v>0</v>
      </c>
      <c r="AH224" s="438"/>
    </row>
    <row r="225" spans="1:34" ht="18.75" x14ac:dyDescent="0.25">
      <c r="A225" s="53" t="s">
        <v>112</v>
      </c>
      <c r="B225" s="39"/>
      <c r="C225" s="39"/>
      <c r="D225" s="39"/>
      <c r="E225" s="39"/>
      <c r="F225" s="39"/>
      <c r="G225" s="39"/>
      <c r="H225" s="39"/>
      <c r="I225" s="39"/>
      <c r="J225" s="39"/>
      <c r="K225" s="39"/>
      <c r="L225" s="39"/>
      <c r="M225" s="39"/>
      <c r="N225" s="39"/>
      <c r="O225" s="39"/>
      <c r="P225" s="39"/>
      <c r="Q225" s="39"/>
      <c r="R225" s="39"/>
      <c r="S225" s="39"/>
      <c r="T225" s="39"/>
      <c r="U225" s="39"/>
      <c r="V225" s="39"/>
      <c r="W225" s="39"/>
      <c r="X225" s="39"/>
      <c r="Y225" s="39"/>
      <c r="Z225" s="39"/>
      <c r="AA225" s="39"/>
      <c r="AB225" s="39"/>
      <c r="AC225" s="39"/>
      <c r="AD225" s="39"/>
      <c r="AE225" s="39"/>
      <c r="AF225" s="91"/>
      <c r="AG225" s="100">
        <f t="shared" si="35"/>
        <v>0</v>
      </c>
      <c r="AH225" s="438"/>
    </row>
    <row r="226" spans="1:34" ht="18.75" x14ac:dyDescent="0.25">
      <c r="A226" s="53" t="s">
        <v>113</v>
      </c>
      <c r="B226" s="39"/>
      <c r="C226" s="39"/>
      <c r="D226" s="39"/>
      <c r="E226" s="39"/>
      <c r="F226" s="39"/>
      <c r="G226" s="39"/>
      <c r="H226" s="39"/>
      <c r="I226" s="39"/>
      <c r="J226" s="39"/>
      <c r="K226" s="39"/>
      <c r="L226" s="39"/>
      <c r="M226" s="39"/>
      <c r="N226" s="39"/>
      <c r="O226" s="39"/>
      <c r="P226" s="39"/>
      <c r="Q226" s="39"/>
      <c r="R226" s="39"/>
      <c r="S226" s="39"/>
      <c r="T226" s="39"/>
      <c r="U226" s="39"/>
      <c r="V226" s="39"/>
      <c r="W226" s="39"/>
      <c r="X226" s="39"/>
      <c r="Y226" s="39"/>
      <c r="Z226" s="39"/>
      <c r="AA226" s="39"/>
      <c r="AB226" s="39"/>
      <c r="AC226" s="39"/>
      <c r="AD226" s="39"/>
      <c r="AE226" s="39"/>
      <c r="AF226" s="91"/>
      <c r="AG226" s="100">
        <f t="shared" si="35"/>
        <v>0</v>
      </c>
      <c r="AH226" s="438"/>
    </row>
    <row r="227" spans="1:34" ht="18.75" x14ac:dyDescent="0.25">
      <c r="A227" s="53" t="s">
        <v>114</v>
      </c>
      <c r="B227" s="39"/>
      <c r="C227" s="39"/>
      <c r="D227" s="39"/>
      <c r="E227" s="39"/>
      <c r="F227" s="39"/>
      <c r="G227" s="39"/>
      <c r="H227" s="39"/>
      <c r="I227" s="39"/>
      <c r="J227" s="39"/>
      <c r="K227" s="39"/>
      <c r="L227" s="39"/>
      <c r="M227" s="39"/>
      <c r="N227" s="39"/>
      <c r="O227" s="39"/>
      <c r="P227" s="39"/>
      <c r="Q227" s="39"/>
      <c r="R227" s="39"/>
      <c r="S227" s="39"/>
      <c r="T227" s="39"/>
      <c r="U227" s="39"/>
      <c r="V227" s="39"/>
      <c r="W227" s="39"/>
      <c r="X227" s="39"/>
      <c r="Y227" s="39"/>
      <c r="Z227" s="39"/>
      <c r="AA227" s="39"/>
      <c r="AB227" s="39"/>
      <c r="AC227" s="39"/>
      <c r="AD227" s="39"/>
      <c r="AE227" s="39"/>
      <c r="AF227" s="91"/>
      <c r="AG227" s="100">
        <f t="shared" ref="AG227:AG229" si="48">SUM(B227:AF227)</f>
        <v>0</v>
      </c>
      <c r="AH227" s="438"/>
    </row>
    <row r="228" spans="1:34" ht="18.75" x14ac:dyDescent="0.25">
      <c r="A228" s="53" t="s">
        <v>115</v>
      </c>
      <c r="B228" s="39"/>
      <c r="C228" s="39"/>
      <c r="D228" s="39"/>
      <c r="E228" s="39"/>
      <c r="F228" s="39"/>
      <c r="G228" s="39"/>
      <c r="H228" s="39"/>
      <c r="I228" s="39"/>
      <c r="J228" s="39"/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39"/>
      <c r="AA228" s="39"/>
      <c r="AB228" s="39"/>
      <c r="AC228" s="39"/>
      <c r="AD228" s="39"/>
      <c r="AE228" s="39"/>
      <c r="AF228" s="91"/>
      <c r="AG228" s="100">
        <f t="shared" si="48"/>
        <v>0</v>
      </c>
      <c r="AH228" s="438"/>
    </row>
    <row r="229" spans="1:34" ht="18.75" x14ac:dyDescent="0.25">
      <c r="A229" s="53" t="s">
        <v>116</v>
      </c>
      <c r="B229" s="39"/>
      <c r="C229" s="39"/>
      <c r="D229" s="39"/>
      <c r="E229" s="39"/>
      <c r="F229" s="39"/>
      <c r="G229" s="39"/>
      <c r="H229" s="39"/>
      <c r="I229" s="39"/>
      <c r="J229" s="39"/>
      <c r="K229" s="39"/>
      <c r="L229" s="39"/>
      <c r="M229" s="39"/>
      <c r="N229" s="39"/>
      <c r="O229" s="39"/>
      <c r="P229" s="39"/>
      <c r="Q229" s="39"/>
      <c r="R229" s="39"/>
      <c r="S229" s="39"/>
      <c r="T229" s="39"/>
      <c r="U229" s="39"/>
      <c r="V229" s="39"/>
      <c r="W229" s="39"/>
      <c r="X229" s="39"/>
      <c r="Y229" s="39"/>
      <c r="Z229" s="39"/>
      <c r="AA229" s="39"/>
      <c r="AB229" s="39"/>
      <c r="AC229" s="39"/>
      <c r="AD229" s="39"/>
      <c r="AE229" s="39"/>
      <c r="AF229" s="91"/>
      <c r="AG229" s="100">
        <f t="shared" si="48"/>
        <v>0</v>
      </c>
      <c r="AH229" s="438"/>
    </row>
    <row r="230" spans="1:34" ht="18.75" x14ac:dyDescent="0.25">
      <c r="A230" s="53" t="s">
        <v>117</v>
      </c>
      <c r="B230" s="39"/>
      <c r="C230" s="39"/>
      <c r="D230" s="39"/>
      <c r="E230" s="39"/>
      <c r="F230" s="39"/>
      <c r="G230" s="39"/>
      <c r="H230" s="39"/>
      <c r="I230" s="39"/>
      <c r="J230" s="39"/>
      <c r="K230" s="39"/>
      <c r="L230" s="39"/>
      <c r="M230" s="39"/>
      <c r="N230" s="39"/>
      <c r="O230" s="39"/>
      <c r="P230" s="39"/>
      <c r="Q230" s="39"/>
      <c r="R230" s="39"/>
      <c r="S230" s="39"/>
      <c r="T230" s="39"/>
      <c r="U230" s="39"/>
      <c r="V230" s="39"/>
      <c r="W230" s="39"/>
      <c r="X230" s="39"/>
      <c r="Y230" s="39"/>
      <c r="Z230" s="39"/>
      <c r="AA230" s="39"/>
      <c r="AB230" s="39"/>
      <c r="AC230" s="39"/>
      <c r="AD230" s="39"/>
      <c r="AE230" s="39"/>
      <c r="AF230" s="91"/>
      <c r="AG230" s="100">
        <f t="shared" si="35"/>
        <v>0</v>
      </c>
      <c r="AH230" s="438"/>
    </row>
    <row r="231" spans="1:34" ht="18.75" x14ac:dyDescent="0.25">
      <c r="A231" s="43" t="s">
        <v>150</v>
      </c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19"/>
      <c r="AD231" s="19"/>
      <c r="AE231" s="19"/>
      <c r="AF231" s="25"/>
      <c r="AG231" s="99">
        <f t="shared" si="35"/>
        <v>0</v>
      </c>
      <c r="AH231" s="438"/>
    </row>
    <row r="232" spans="1:34" ht="18.75" x14ac:dyDescent="0.25">
      <c r="A232" s="43" t="s">
        <v>78</v>
      </c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  <c r="AC232" s="19"/>
      <c r="AD232" s="19"/>
      <c r="AE232" s="19"/>
      <c r="AF232" s="25"/>
      <c r="AG232" s="99">
        <f t="shared" si="35"/>
        <v>0</v>
      </c>
      <c r="AH232" s="438"/>
    </row>
    <row r="233" spans="1:34" ht="19.5" thickBot="1" x14ac:dyDescent="0.3">
      <c r="A233" s="43" t="s">
        <v>79</v>
      </c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  <c r="AE233" s="19"/>
      <c r="AF233" s="25"/>
      <c r="AG233" s="99">
        <f t="shared" si="35"/>
        <v>0</v>
      </c>
      <c r="AH233" s="439"/>
    </row>
    <row r="234" spans="1:34" ht="24" thickBot="1" x14ac:dyDescent="0.3">
      <c r="A234" s="62" t="s">
        <v>118</v>
      </c>
      <c r="B234" s="20">
        <f>+B233+B232+B222+B231</f>
        <v>0</v>
      </c>
      <c r="C234" s="20">
        <f t="shared" ref="C234:AF234" si="49">+C233+C232+C222+C231</f>
        <v>0</v>
      </c>
      <c r="D234" s="20">
        <f t="shared" si="49"/>
        <v>0</v>
      </c>
      <c r="E234" s="20">
        <f t="shared" si="49"/>
        <v>0</v>
      </c>
      <c r="F234" s="20">
        <f t="shared" si="49"/>
        <v>0</v>
      </c>
      <c r="G234" s="20">
        <f t="shared" si="49"/>
        <v>0</v>
      </c>
      <c r="H234" s="20">
        <f t="shared" si="49"/>
        <v>0</v>
      </c>
      <c r="I234" s="20">
        <f t="shared" si="49"/>
        <v>0</v>
      </c>
      <c r="J234" s="20">
        <f t="shared" si="49"/>
        <v>0</v>
      </c>
      <c r="K234" s="20">
        <f t="shared" si="49"/>
        <v>0</v>
      </c>
      <c r="L234" s="20">
        <f t="shared" si="49"/>
        <v>0</v>
      </c>
      <c r="M234" s="20">
        <f t="shared" si="49"/>
        <v>0</v>
      </c>
      <c r="N234" s="20">
        <f t="shared" si="49"/>
        <v>0</v>
      </c>
      <c r="O234" s="20">
        <f t="shared" si="49"/>
        <v>0</v>
      </c>
      <c r="P234" s="20">
        <f t="shared" si="49"/>
        <v>0</v>
      </c>
      <c r="Q234" s="20">
        <f t="shared" si="49"/>
        <v>0</v>
      </c>
      <c r="R234" s="20">
        <f t="shared" si="49"/>
        <v>0</v>
      </c>
      <c r="S234" s="20">
        <f t="shared" si="49"/>
        <v>0</v>
      </c>
      <c r="T234" s="20">
        <f t="shared" si="49"/>
        <v>0</v>
      </c>
      <c r="U234" s="20">
        <f t="shared" si="49"/>
        <v>0</v>
      </c>
      <c r="V234" s="20">
        <f t="shared" si="49"/>
        <v>0</v>
      </c>
      <c r="W234" s="20">
        <f t="shared" si="49"/>
        <v>0</v>
      </c>
      <c r="X234" s="20">
        <f t="shared" si="49"/>
        <v>0</v>
      </c>
      <c r="Y234" s="20">
        <f t="shared" si="49"/>
        <v>0</v>
      </c>
      <c r="Z234" s="20">
        <f t="shared" si="49"/>
        <v>0</v>
      </c>
      <c r="AA234" s="20">
        <f t="shared" si="49"/>
        <v>0</v>
      </c>
      <c r="AB234" s="20">
        <f t="shared" si="49"/>
        <v>0</v>
      </c>
      <c r="AC234" s="20">
        <f t="shared" si="49"/>
        <v>0</v>
      </c>
      <c r="AD234" s="20">
        <f t="shared" si="49"/>
        <v>0</v>
      </c>
      <c r="AE234" s="20">
        <f t="shared" si="49"/>
        <v>0</v>
      </c>
      <c r="AF234" s="26">
        <f t="shared" si="49"/>
        <v>0</v>
      </c>
      <c r="AG234" s="99">
        <f t="shared" si="35"/>
        <v>0</v>
      </c>
      <c r="AH234" s="36"/>
    </row>
    <row r="235" spans="1:34" ht="18.75" x14ac:dyDescent="0.25">
      <c r="A235" s="57" t="s">
        <v>90</v>
      </c>
      <c r="B235" s="27"/>
      <c r="C235" s="27"/>
      <c r="D235" s="27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  <c r="AA235" s="27"/>
      <c r="AB235" s="27"/>
      <c r="AC235" s="27"/>
      <c r="AD235" s="27"/>
      <c r="AE235" s="27"/>
      <c r="AF235" s="92"/>
      <c r="AG235" s="31">
        <f t="shared" ref="AG235:AG248" si="50">SUM(B235:AF235)</f>
        <v>0</v>
      </c>
      <c r="AH235" s="440" t="s">
        <v>96</v>
      </c>
    </row>
    <row r="236" spans="1:34" ht="18.75" x14ac:dyDescent="0.25">
      <c r="A236" s="54" t="s">
        <v>91</v>
      </c>
      <c r="B236" s="40"/>
      <c r="C236" s="40"/>
      <c r="D236" s="40"/>
      <c r="E236" s="40"/>
      <c r="F236" s="40"/>
      <c r="G236" s="40"/>
      <c r="H236" s="40"/>
      <c r="I236" s="40"/>
      <c r="J236" s="40"/>
      <c r="K236" s="40"/>
      <c r="L236" s="40"/>
      <c r="M236" s="40"/>
      <c r="N236" s="40"/>
      <c r="O236" s="40"/>
      <c r="P236" s="40"/>
      <c r="Q236" s="40"/>
      <c r="R236" s="40"/>
      <c r="S236" s="40"/>
      <c r="T236" s="40"/>
      <c r="U236" s="40"/>
      <c r="V236" s="40"/>
      <c r="W236" s="40"/>
      <c r="X236" s="40"/>
      <c r="Y236" s="40"/>
      <c r="Z236" s="40"/>
      <c r="AA236" s="40"/>
      <c r="AB236" s="40"/>
      <c r="AC236" s="40"/>
      <c r="AD236" s="40"/>
      <c r="AE236" s="40"/>
      <c r="AF236" s="93"/>
      <c r="AG236" s="99">
        <f t="shared" si="50"/>
        <v>0</v>
      </c>
      <c r="AH236" s="441"/>
    </row>
    <row r="237" spans="1:34" ht="19.5" thickBot="1" x14ac:dyDescent="0.3">
      <c r="A237" s="58" t="s">
        <v>97</v>
      </c>
      <c r="B237" s="59"/>
      <c r="C237" s="59"/>
      <c r="D237" s="59"/>
      <c r="E237" s="59"/>
      <c r="F237" s="59"/>
      <c r="G237" s="59"/>
      <c r="H237" s="59"/>
      <c r="I237" s="59"/>
      <c r="J237" s="59"/>
      <c r="K237" s="59"/>
      <c r="L237" s="59"/>
      <c r="M237" s="59"/>
      <c r="N237" s="59"/>
      <c r="O237" s="59"/>
      <c r="P237" s="59"/>
      <c r="Q237" s="59"/>
      <c r="R237" s="59"/>
      <c r="S237" s="59"/>
      <c r="T237" s="59"/>
      <c r="U237" s="59"/>
      <c r="V237" s="59"/>
      <c r="W237" s="59"/>
      <c r="X237" s="59"/>
      <c r="Y237" s="59"/>
      <c r="Z237" s="59"/>
      <c r="AA237" s="59"/>
      <c r="AB237" s="59"/>
      <c r="AC237" s="59"/>
      <c r="AD237" s="59"/>
      <c r="AE237" s="59"/>
      <c r="AF237" s="94"/>
      <c r="AG237" s="28">
        <f t="shared" si="50"/>
        <v>0</v>
      </c>
      <c r="AH237" s="442"/>
    </row>
    <row r="238" spans="1:34" ht="18.75" x14ac:dyDescent="0.25">
      <c r="A238" s="55" t="s">
        <v>92</v>
      </c>
      <c r="B238" s="118">
        <f>SUM(B239:B241)</f>
        <v>0</v>
      </c>
      <c r="C238" s="118">
        <f t="shared" ref="C238:AF238" si="51">SUM(C239:C241)</f>
        <v>0</v>
      </c>
      <c r="D238" s="118">
        <f t="shared" si="51"/>
        <v>0</v>
      </c>
      <c r="E238" s="118">
        <f t="shared" si="51"/>
        <v>0</v>
      </c>
      <c r="F238" s="118">
        <f t="shared" si="51"/>
        <v>0</v>
      </c>
      <c r="G238" s="118">
        <f t="shared" si="51"/>
        <v>0</v>
      </c>
      <c r="H238" s="118">
        <f t="shared" si="51"/>
        <v>0</v>
      </c>
      <c r="I238" s="118">
        <f t="shared" si="51"/>
        <v>0</v>
      </c>
      <c r="J238" s="118">
        <f t="shared" si="51"/>
        <v>0</v>
      </c>
      <c r="K238" s="118">
        <f t="shared" si="51"/>
        <v>0</v>
      </c>
      <c r="L238" s="118">
        <f t="shared" si="51"/>
        <v>0</v>
      </c>
      <c r="M238" s="118">
        <f t="shared" si="51"/>
        <v>0</v>
      </c>
      <c r="N238" s="118">
        <f t="shared" si="51"/>
        <v>0</v>
      </c>
      <c r="O238" s="118">
        <f t="shared" si="51"/>
        <v>0</v>
      </c>
      <c r="P238" s="118">
        <f t="shared" si="51"/>
        <v>0</v>
      </c>
      <c r="Q238" s="118">
        <f t="shared" si="51"/>
        <v>0</v>
      </c>
      <c r="R238" s="118">
        <f t="shared" si="51"/>
        <v>0</v>
      </c>
      <c r="S238" s="118">
        <f t="shared" si="51"/>
        <v>0</v>
      </c>
      <c r="T238" s="118">
        <f t="shared" si="51"/>
        <v>0</v>
      </c>
      <c r="U238" s="118">
        <f t="shared" si="51"/>
        <v>0</v>
      </c>
      <c r="V238" s="118">
        <f t="shared" si="51"/>
        <v>0</v>
      </c>
      <c r="W238" s="118">
        <f t="shared" si="51"/>
        <v>0</v>
      </c>
      <c r="X238" s="118">
        <f t="shared" si="51"/>
        <v>0</v>
      </c>
      <c r="Y238" s="118">
        <f t="shared" si="51"/>
        <v>0</v>
      </c>
      <c r="Z238" s="118">
        <f t="shared" si="51"/>
        <v>0</v>
      </c>
      <c r="AA238" s="118">
        <f t="shared" si="51"/>
        <v>0</v>
      </c>
      <c r="AB238" s="118">
        <f t="shared" si="51"/>
        <v>0</v>
      </c>
      <c r="AC238" s="118">
        <f t="shared" si="51"/>
        <v>0</v>
      </c>
      <c r="AD238" s="118">
        <f t="shared" si="51"/>
        <v>0</v>
      </c>
      <c r="AE238" s="118">
        <f t="shared" si="51"/>
        <v>0</v>
      </c>
      <c r="AF238" s="118">
        <f t="shared" si="51"/>
        <v>0</v>
      </c>
      <c r="AG238" s="95">
        <f t="shared" si="50"/>
        <v>0</v>
      </c>
      <c r="AH238" s="440" t="s">
        <v>93</v>
      </c>
    </row>
    <row r="239" spans="1:34" ht="18.75" x14ac:dyDescent="0.25">
      <c r="A239" s="139" t="s">
        <v>94</v>
      </c>
      <c r="B239" s="140"/>
      <c r="C239" s="140"/>
      <c r="D239" s="140"/>
      <c r="E239" s="140"/>
      <c r="F239" s="140"/>
      <c r="G239" s="140"/>
      <c r="H239" s="140"/>
      <c r="I239" s="140"/>
      <c r="J239" s="140"/>
      <c r="K239" s="140"/>
      <c r="L239" s="140"/>
      <c r="M239" s="140"/>
      <c r="N239" s="145"/>
      <c r="O239" s="140"/>
      <c r="P239" s="140"/>
      <c r="Q239" s="140"/>
      <c r="R239" s="140"/>
      <c r="S239" s="140"/>
      <c r="T239" s="140"/>
      <c r="U239" s="140"/>
      <c r="V239" s="140"/>
      <c r="W239" s="140"/>
      <c r="X239" s="140"/>
      <c r="Y239" s="140"/>
      <c r="Z239" s="142"/>
      <c r="AA239" s="140"/>
      <c r="AB239" s="140"/>
      <c r="AC239" s="140"/>
      <c r="AD239" s="140"/>
      <c r="AE239" s="140"/>
      <c r="AF239" s="144"/>
      <c r="AG239" s="143">
        <f t="shared" si="50"/>
        <v>0</v>
      </c>
      <c r="AH239" s="441"/>
    </row>
    <row r="240" spans="1:34" ht="18.75" x14ac:dyDescent="0.25">
      <c r="A240" s="139" t="s">
        <v>95</v>
      </c>
      <c r="B240" s="140"/>
      <c r="C240" s="140"/>
      <c r="D240" s="140"/>
      <c r="E240" s="140"/>
      <c r="F240" s="140"/>
      <c r="G240" s="140"/>
      <c r="H240" s="140"/>
      <c r="I240" s="140"/>
      <c r="J240" s="140"/>
      <c r="K240" s="140"/>
      <c r="L240" s="140"/>
      <c r="M240" s="140"/>
      <c r="N240" s="145"/>
      <c r="O240" s="140"/>
      <c r="P240" s="140"/>
      <c r="Q240" s="140"/>
      <c r="R240" s="140"/>
      <c r="S240" s="140"/>
      <c r="T240" s="140"/>
      <c r="U240" s="140"/>
      <c r="V240" s="140"/>
      <c r="W240" s="140"/>
      <c r="X240" s="140"/>
      <c r="Y240" s="140"/>
      <c r="Z240" s="142"/>
      <c r="AA240" s="140"/>
      <c r="AB240" s="140"/>
      <c r="AC240" s="140"/>
      <c r="AD240" s="140"/>
      <c r="AE240" s="140"/>
      <c r="AF240" s="144"/>
      <c r="AG240" s="143">
        <f t="shared" si="50"/>
        <v>0</v>
      </c>
      <c r="AH240" s="441"/>
    </row>
    <row r="241" spans="1:34" ht="19.5" thickBot="1" x14ac:dyDescent="0.3">
      <c r="A241" s="190" t="s">
        <v>106</v>
      </c>
      <c r="B241" s="191"/>
      <c r="C241" s="191"/>
      <c r="D241" s="191"/>
      <c r="E241" s="191"/>
      <c r="F241" s="191"/>
      <c r="G241" s="191"/>
      <c r="H241" s="191"/>
      <c r="I241" s="191"/>
      <c r="J241" s="191"/>
      <c r="K241" s="192"/>
      <c r="L241" s="192"/>
      <c r="M241" s="192"/>
      <c r="N241" s="193"/>
      <c r="O241" s="194"/>
      <c r="P241" s="194"/>
      <c r="Q241" s="194"/>
      <c r="R241" s="194"/>
      <c r="S241" s="194"/>
      <c r="T241" s="194"/>
      <c r="U241" s="194"/>
      <c r="V241" s="194"/>
      <c r="W241" s="194"/>
      <c r="X241" s="194"/>
      <c r="Y241" s="194"/>
      <c r="Z241" s="194"/>
      <c r="AA241" s="194"/>
      <c r="AB241" s="194"/>
      <c r="AC241" s="194"/>
      <c r="AD241" s="194"/>
      <c r="AE241" s="194"/>
      <c r="AF241" s="195"/>
      <c r="AG241" s="108">
        <f t="shared" si="50"/>
        <v>0</v>
      </c>
      <c r="AH241" s="442"/>
    </row>
    <row r="242" spans="1:34" ht="24" hidden="1" thickBot="1" x14ac:dyDescent="0.3">
      <c r="A242" s="198" t="s">
        <v>148</v>
      </c>
      <c r="B242" s="199">
        <f>SUM(B243:B248)</f>
        <v>0</v>
      </c>
      <c r="C242" s="199">
        <f t="shared" ref="C242:AF242" si="52">SUM(C243:C248)</f>
        <v>0</v>
      </c>
      <c r="D242" s="199">
        <f t="shared" si="52"/>
        <v>0</v>
      </c>
      <c r="E242" s="199">
        <f t="shared" si="52"/>
        <v>0</v>
      </c>
      <c r="F242" s="199">
        <f t="shared" si="52"/>
        <v>0</v>
      </c>
      <c r="G242" s="199">
        <f t="shared" si="52"/>
        <v>0</v>
      </c>
      <c r="H242" s="199">
        <f t="shared" si="52"/>
        <v>0</v>
      </c>
      <c r="I242" s="199">
        <f t="shared" si="52"/>
        <v>0</v>
      </c>
      <c r="J242" s="199">
        <f t="shared" si="52"/>
        <v>0</v>
      </c>
      <c r="K242" s="199">
        <f t="shared" si="52"/>
        <v>0</v>
      </c>
      <c r="L242" s="199">
        <f t="shared" si="52"/>
        <v>0</v>
      </c>
      <c r="M242" s="199">
        <f t="shared" si="52"/>
        <v>0</v>
      </c>
      <c r="N242" s="199">
        <f t="shared" si="52"/>
        <v>0</v>
      </c>
      <c r="O242" s="199">
        <f t="shared" si="52"/>
        <v>0</v>
      </c>
      <c r="P242" s="199">
        <f t="shared" si="52"/>
        <v>0</v>
      </c>
      <c r="Q242" s="199">
        <f t="shared" si="52"/>
        <v>0</v>
      </c>
      <c r="R242" s="199">
        <f t="shared" si="52"/>
        <v>0</v>
      </c>
      <c r="S242" s="199">
        <f t="shared" si="52"/>
        <v>0</v>
      </c>
      <c r="T242" s="199">
        <f t="shared" si="52"/>
        <v>0</v>
      </c>
      <c r="U242" s="199">
        <f t="shared" si="52"/>
        <v>0</v>
      </c>
      <c r="V242" s="199">
        <f t="shared" si="52"/>
        <v>0</v>
      </c>
      <c r="W242" s="199">
        <f t="shared" si="52"/>
        <v>0</v>
      </c>
      <c r="X242" s="199">
        <f t="shared" si="52"/>
        <v>0</v>
      </c>
      <c r="Y242" s="199">
        <f t="shared" si="52"/>
        <v>0</v>
      </c>
      <c r="Z242" s="199">
        <f t="shared" si="52"/>
        <v>0</v>
      </c>
      <c r="AA242" s="199">
        <f t="shared" si="52"/>
        <v>0</v>
      </c>
      <c r="AB242" s="199">
        <f t="shared" si="52"/>
        <v>0</v>
      </c>
      <c r="AC242" s="199">
        <f t="shared" si="52"/>
        <v>0</v>
      </c>
      <c r="AD242" s="199">
        <f t="shared" si="52"/>
        <v>0</v>
      </c>
      <c r="AE242" s="199">
        <f t="shared" si="52"/>
        <v>0</v>
      </c>
      <c r="AF242" s="200">
        <f t="shared" si="52"/>
        <v>0</v>
      </c>
      <c r="AG242" s="201">
        <f t="shared" si="50"/>
        <v>0</v>
      </c>
    </row>
    <row r="243" spans="1:34" ht="38.25" hidden="1" customHeight="1" x14ac:dyDescent="0.3">
      <c r="A243" s="227" t="s">
        <v>159</v>
      </c>
      <c r="B243" s="189"/>
      <c r="C243" s="189"/>
      <c r="D243" s="189"/>
      <c r="E243" s="189"/>
      <c r="F243" s="189"/>
      <c r="G243" s="189"/>
      <c r="H243" s="189"/>
      <c r="I243" s="189"/>
      <c r="J243" s="189"/>
      <c r="K243" s="189"/>
      <c r="L243" s="189"/>
      <c r="M243" s="189"/>
      <c r="N243" s="189"/>
      <c r="O243" s="189"/>
      <c r="P243" s="189"/>
      <c r="Q243" s="189"/>
      <c r="R243" s="189"/>
      <c r="S243" s="189"/>
      <c r="T243" s="189"/>
      <c r="U243" s="189"/>
      <c r="V243" s="189"/>
      <c r="W243" s="189"/>
      <c r="X243" s="189"/>
      <c r="Y243" s="189"/>
      <c r="Z243" s="189"/>
      <c r="AA243" s="189"/>
      <c r="AB243" s="189"/>
      <c r="AC243" s="189"/>
      <c r="AD243" s="189"/>
      <c r="AE243" s="189"/>
      <c r="AF243" s="196"/>
      <c r="AG243" s="197">
        <f t="shared" si="50"/>
        <v>0</v>
      </c>
    </row>
    <row r="244" spans="1:34" ht="40.5" hidden="1" customHeight="1" x14ac:dyDescent="0.3">
      <c r="A244" s="227" t="s">
        <v>160</v>
      </c>
      <c r="B244" s="189"/>
      <c r="C244" s="189"/>
      <c r="D244" s="189"/>
      <c r="E244" s="189"/>
      <c r="F244" s="189"/>
      <c r="G244" s="189"/>
      <c r="H244" s="189"/>
      <c r="I244" s="189"/>
      <c r="J244" s="189"/>
      <c r="K244" s="189"/>
      <c r="L244" s="189"/>
      <c r="M244" s="189"/>
      <c r="N244" s="189"/>
      <c r="O244" s="189"/>
      <c r="P244" s="189"/>
      <c r="Q244" s="189"/>
      <c r="R244" s="189"/>
      <c r="S244" s="189"/>
      <c r="T244" s="189"/>
      <c r="U244" s="189"/>
      <c r="V244" s="189"/>
      <c r="W244" s="189"/>
      <c r="X244" s="189"/>
      <c r="Y244" s="189"/>
      <c r="Z244" s="189"/>
      <c r="AA244" s="189"/>
      <c r="AB244" s="189"/>
      <c r="AC244" s="189"/>
      <c r="AD244" s="189"/>
      <c r="AE244" s="189"/>
      <c r="AF244" s="196"/>
      <c r="AG244" s="197"/>
    </row>
    <row r="245" spans="1:34" ht="40.5" hidden="1" customHeight="1" x14ac:dyDescent="0.3">
      <c r="A245" s="227" t="s">
        <v>161</v>
      </c>
      <c r="B245" s="189"/>
      <c r="C245" s="189"/>
      <c r="D245" s="189"/>
      <c r="E245" s="189"/>
      <c r="F245" s="189"/>
      <c r="G245" s="189"/>
      <c r="H245" s="189"/>
      <c r="I245" s="189"/>
      <c r="J245" s="189"/>
      <c r="K245" s="189"/>
      <c r="L245" s="189"/>
      <c r="M245" s="189"/>
      <c r="N245" s="189"/>
      <c r="O245" s="189"/>
      <c r="P245" s="189"/>
      <c r="Q245" s="189"/>
      <c r="R245" s="189"/>
      <c r="S245" s="189"/>
      <c r="T245" s="189"/>
      <c r="U245" s="189"/>
      <c r="V245" s="189"/>
      <c r="W245" s="189"/>
      <c r="X245" s="189"/>
      <c r="Y245" s="189"/>
      <c r="Z245" s="189"/>
      <c r="AA245" s="189"/>
      <c r="AB245" s="189"/>
      <c r="AC245" s="189"/>
      <c r="AD245" s="189"/>
      <c r="AE245" s="189"/>
      <c r="AF245" s="196"/>
      <c r="AG245" s="197"/>
    </row>
    <row r="246" spans="1:34" ht="40.5" hidden="1" customHeight="1" x14ac:dyDescent="0.3">
      <c r="A246" s="227" t="s">
        <v>162</v>
      </c>
      <c r="B246" s="189"/>
      <c r="C246" s="189"/>
      <c r="D246" s="189"/>
      <c r="E246" s="189"/>
      <c r="F246" s="189"/>
      <c r="G246" s="189"/>
      <c r="H246" s="189"/>
      <c r="I246" s="189"/>
      <c r="J246" s="189"/>
      <c r="K246" s="189"/>
      <c r="L246" s="189"/>
      <c r="M246" s="189"/>
      <c r="N246" s="189"/>
      <c r="O246" s="189"/>
      <c r="P246" s="189"/>
      <c r="Q246" s="189"/>
      <c r="R246" s="189"/>
      <c r="S246" s="189"/>
      <c r="T246" s="189"/>
      <c r="U246" s="189"/>
      <c r="V246" s="189"/>
      <c r="W246" s="189"/>
      <c r="X246" s="189"/>
      <c r="Y246" s="189"/>
      <c r="Z246" s="189"/>
      <c r="AA246" s="189"/>
      <c r="AB246" s="189"/>
      <c r="AC246" s="189"/>
      <c r="AD246" s="189"/>
      <c r="AE246" s="189"/>
      <c r="AF246" s="196"/>
      <c r="AG246" s="197"/>
    </row>
    <row r="247" spans="1:34" ht="40.5" hidden="1" customHeight="1" x14ac:dyDescent="0.3">
      <c r="A247" s="228" t="s">
        <v>163</v>
      </c>
      <c r="B247" s="137"/>
      <c r="C247" s="137"/>
      <c r="D247" s="137"/>
      <c r="E247" s="137"/>
      <c r="F247" s="137"/>
      <c r="G247" s="137"/>
      <c r="H247" s="137"/>
      <c r="I247" s="137"/>
      <c r="J247" s="137"/>
      <c r="K247" s="137"/>
      <c r="L247" s="137"/>
      <c r="M247" s="137"/>
      <c r="N247" s="137"/>
      <c r="O247" s="137"/>
      <c r="P247" s="137"/>
      <c r="Q247" s="137"/>
      <c r="R247" s="137"/>
      <c r="S247" s="137"/>
      <c r="T247" s="137"/>
      <c r="U247" s="137"/>
      <c r="V247" s="137"/>
      <c r="W247" s="137"/>
      <c r="X247" s="137"/>
      <c r="Y247" s="137"/>
      <c r="Z247" s="137"/>
      <c r="AA247" s="137"/>
      <c r="AB247" s="137"/>
      <c r="AC247" s="137"/>
      <c r="AD247" s="137"/>
      <c r="AE247" s="137"/>
      <c r="AF247" s="188"/>
      <c r="AG247" s="138">
        <f t="shared" si="50"/>
        <v>0</v>
      </c>
    </row>
    <row r="248" spans="1:34" ht="39.75" hidden="1" customHeight="1" thickBot="1" x14ac:dyDescent="0.3">
      <c r="A248" s="229" t="s">
        <v>164</v>
      </c>
      <c r="B248" s="222"/>
      <c r="C248" s="222"/>
      <c r="D248" s="222"/>
      <c r="E248" s="222"/>
      <c r="F248" s="222"/>
      <c r="G248" s="222"/>
      <c r="H248" s="222"/>
      <c r="I248" s="222"/>
      <c r="J248" s="222"/>
      <c r="K248" s="222"/>
      <c r="L248" s="222"/>
      <c r="M248" s="222"/>
      <c r="N248" s="222"/>
      <c r="O248" s="222"/>
      <c r="P248" s="222"/>
      <c r="Q248" s="222"/>
      <c r="R248" s="222"/>
      <c r="S248" s="222"/>
      <c r="T248" s="222"/>
      <c r="U248" s="222"/>
      <c r="V248" s="222"/>
      <c r="W248" s="222"/>
      <c r="X248" s="222"/>
      <c r="Y248" s="222"/>
      <c r="Z248" s="222"/>
      <c r="AA248" s="222"/>
      <c r="AB248" s="222"/>
      <c r="AC248" s="222"/>
      <c r="AD248" s="222"/>
      <c r="AE248" s="222"/>
      <c r="AF248" s="223"/>
      <c r="AG248" s="224">
        <f t="shared" si="50"/>
        <v>0</v>
      </c>
    </row>
    <row r="249" spans="1:34" ht="21.75" x14ac:dyDescent="0.25">
      <c r="A249" s="225" t="s">
        <v>151</v>
      </c>
      <c r="B249" s="363"/>
      <c r="C249" s="363"/>
      <c r="D249" s="363"/>
      <c r="E249" s="363"/>
      <c r="F249" s="363"/>
      <c r="G249" s="363"/>
      <c r="H249" s="363"/>
      <c r="I249" s="363"/>
      <c r="J249" s="363"/>
      <c r="K249" s="363"/>
      <c r="L249" s="363"/>
      <c r="M249" s="363"/>
      <c r="N249" s="363"/>
      <c r="O249" s="363"/>
      <c r="P249" s="363"/>
      <c r="Q249" s="363"/>
      <c r="R249" s="363"/>
      <c r="S249" s="363"/>
      <c r="T249" s="363"/>
      <c r="U249" s="363"/>
      <c r="V249" s="363"/>
      <c r="W249" s="363"/>
      <c r="X249" s="363"/>
      <c r="Y249" s="363"/>
      <c r="Z249" s="363"/>
      <c r="AA249" s="363"/>
      <c r="AB249" s="363"/>
      <c r="AC249" s="363"/>
      <c r="AD249" s="363"/>
      <c r="AE249" s="363"/>
      <c r="AF249" s="367"/>
      <c r="AG249" s="369">
        <f>SUM(B249:AF249)</f>
        <v>0</v>
      </c>
    </row>
    <row r="250" spans="1:34" ht="22.5" thickBot="1" x14ac:dyDescent="0.3">
      <c r="A250" s="226" t="s">
        <v>152</v>
      </c>
      <c r="B250" s="364"/>
      <c r="C250" s="364"/>
      <c r="D250" s="364"/>
      <c r="E250" s="364"/>
      <c r="F250" s="364"/>
      <c r="G250" s="364"/>
      <c r="H250" s="364"/>
      <c r="I250" s="364"/>
      <c r="J250" s="364"/>
      <c r="K250" s="364"/>
      <c r="L250" s="364"/>
      <c r="M250" s="364"/>
      <c r="N250" s="364"/>
      <c r="O250" s="364"/>
      <c r="P250" s="364"/>
      <c r="Q250" s="364"/>
      <c r="R250" s="364"/>
      <c r="S250" s="364"/>
      <c r="T250" s="364"/>
      <c r="U250" s="364"/>
      <c r="V250" s="364"/>
      <c r="W250" s="364"/>
      <c r="X250" s="364"/>
      <c r="Y250" s="364"/>
      <c r="Z250" s="364"/>
      <c r="AA250" s="364"/>
      <c r="AB250" s="364"/>
      <c r="AC250" s="364"/>
      <c r="AD250" s="364"/>
      <c r="AE250" s="364"/>
      <c r="AF250" s="368"/>
      <c r="AG250" s="370">
        <f>SUM(B250:AF250)</f>
        <v>0</v>
      </c>
    </row>
    <row r="270" ht="18.75" customHeight="1" x14ac:dyDescent="0.25"/>
    <row r="271" ht="18.75" customHeight="1" x14ac:dyDescent="0.25"/>
    <row r="272" ht="18.75" customHeight="1" x14ac:dyDescent="0.25"/>
    <row r="273" ht="18.75" customHeight="1" x14ac:dyDescent="0.25"/>
    <row r="274" ht="18.75" customHeight="1" x14ac:dyDescent="0.25"/>
    <row r="275" ht="18.75" customHeight="1" x14ac:dyDescent="0.25"/>
    <row r="276" ht="18.75" customHeight="1" x14ac:dyDescent="0.25"/>
    <row r="277" ht="18.75" customHeight="1" x14ac:dyDescent="0.25"/>
    <row r="278" ht="18.75" customHeight="1" x14ac:dyDescent="0.25"/>
    <row r="279" ht="18.75" customHeight="1" x14ac:dyDescent="0.25"/>
    <row r="280" ht="18.75" customHeight="1" x14ac:dyDescent="0.25"/>
    <row r="281" ht="19.5" customHeight="1" x14ac:dyDescent="0.25"/>
    <row r="283" ht="18.75" customHeight="1" x14ac:dyDescent="0.25"/>
    <row r="286" ht="18.75" customHeight="1" x14ac:dyDescent="0.25"/>
  </sheetData>
  <dataConsolidate/>
  <mergeCells count="5">
    <mergeCell ref="A1:AG1"/>
    <mergeCell ref="AI84:AI86"/>
    <mergeCell ref="AH222:AH233"/>
    <mergeCell ref="AH235:AH237"/>
    <mergeCell ref="AH238:AH241"/>
  </mergeCells>
  <conditionalFormatting sqref="B29:AF52">
    <cfRule type="cellIs" dxfId="10" priority="2" operator="lessThan">
      <formula>0</formula>
    </cfRule>
  </conditionalFormatting>
  <conditionalFormatting sqref="D54:D77">
    <cfRule type="cellIs" dxfId="9" priority="5" operator="lessThan">
      <formula>0</formula>
    </cfRule>
  </conditionalFormatting>
  <conditionalFormatting sqref="G54:G77">
    <cfRule type="cellIs" dxfId="8" priority="4" operator="lessThan">
      <formula>0</formula>
    </cfRule>
  </conditionalFormatting>
  <conditionalFormatting sqref="AD54:AE77">
    <cfRule type="cellIs" dxfId="7" priority="1" operator="lessThan">
      <formula>0</formula>
    </cfRule>
  </conditionalFormatting>
  <conditionalFormatting sqref="AH81">
    <cfRule type="cellIs" dxfId="6" priority="7" operator="equal">
      <formula>"*"</formula>
    </cfRule>
  </conditionalFormatting>
  <conditionalFormatting sqref="AH84 AH87">
    <cfRule type="cellIs" dxfId="5" priority="8" operator="equal">
      <formula>"*"</formula>
    </cfRule>
  </conditionalFormatting>
  <conditionalFormatting sqref="AH93">
    <cfRule type="cellIs" dxfId="4" priority="13" operator="equal">
      <formula>"*"</formula>
    </cfRule>
  </conditionalFormatting>
  <conditionalFormatting sqref="AH130">
    <cfRule type="cellIs" dxfId="3" priority="11" operator="equal">
      <formula>"*"</formula>
    </cfRule>
  </conditionalFormatting>
  <conditionalFormatting sqref="AH144:AH145">
    <cfRule type="cellIs" dxfId="2" priority="12" operator="equal">
      <formula>"*"</formula>
    </cfRule>
  </conditionalFormatting>
  <conditionalFormatting sqref="AH179">
    <cfRule type="cellIs" dxfId="1" priority="10" operator="equal">
      <formula>"*"</formula>
    </cfRule>
  </conditionalFormatting>
  <conditionalFormatting sqref="AH206">
    <cfRule type="cellIs" dxfId="0" priority="6" operator="equal">
      <formula>"X"</formula>
    </cfRule>
  </conditionalFormatting>
  <dataValidations disablePrompts="1" count="1">
    <dataValidation type="whole" allowBlank="1" showInputMessage="1" showErrorMessage="1" errorTitle="ERROR" error="Por favor ingrese solo Números" sqref="A98:A99 A101:A115" xr:uid="{00000000-0002-0000-0E00-000000000000}">
      <formula1>0</formula1>
      <formula2>1000000000</formula2>
    </dataValidation>
  </dataValidations>
  <pageMargins left="0.7" right="0.7" top="0.75" bottom="0.75" header="0.3" footer="0.3"/>
  <pageSetup orientation="portrait" horizontalDpi="0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15</vt:i4>
      </vt:variant>
    </vt:vector>
  </HeadingPairs>
  <TitlesOfParts>
    <vt:vector size="15" baseType="lpstr">
      <vt:lpstr>detalle CIE10</vt:lpstr>
      <vt:lpstr>FORMATO</vt:lpstr>
      <vt:lpstr>CONSOLIDADO</vt:lpstr>
      <vt:lpstr>ENERO</vt:lpstr>
      <vt:lpstr>FEBRERO</vt:lpstr>
      <vt:lpstr>MARZO</vt:lpstr>
      <vt:lpstr>ABRIL</vt:lpstr>
      <vt:lpstr>MAYO</vt:lpstr>
      <vt:lpstr>JUNIO</vt:lpstr>
      <vt:lpstr>JULIO</vt:lpstr>
      <vt:lpstr>AGOSTO</vt:lpstr>
      <vt:lpstr>SEPTIEMBRE</vt:lpstr>
      <vt:lpstr>OCTUBRE</vt:lpstr>
      <vt:lpstr>NOVIEMBRE</vt:lpstr>
      <vt:lpstr>DICIEMBRE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Katherine Salazar D. (CVP)</dc:creator>
  <cp:lastModifiedBy>Rodrigo Villalobosr</cp:lastModifiedBy>
  <dcterms:created xsi:type="dcterms:W3CDTF">2017-04-06T19:03:30Z</dcterms:created>
  <dcterms:modified xsi:type="dcterms:W3CDTF">2026-03-20T18:30:02Z</dcterms:modified>
</cp:coreProperties>
</file>